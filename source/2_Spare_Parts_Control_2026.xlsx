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pico-my.sharepoint.com/personal/jutamart_s_aapico_com/Documents/Desktop/"/>
    </mc:Choice>
  </mc:AlternateContent>
  <xr:revisionPtr revIDLastSave="40" documentId="13_ncr:1_{CCF3E51C-AC18-4256-A2CA-43FB10A59D52}" xr6:coauthVersionLast="47" xr6:coauthVersionMax="47" xr10:uidLastSave="{9001A24D-5CB2-4793-A7AA-E46362E073D9}"/>
  <bookViews>
    <workbookView xWindow="-110" yWindow="-110" windowWidth="19420" windowHeight="11500" xr2:uid="{00000000-000D-0000-FFFF-FFFF00000000}"/>
  </bookViews>
  <sheets>
    <sheet name="Machine Spare parts 2026" sheetId="59" r:id="rId1"/>
  </sheets>
  <definedNames>
    <definedName name="plc" localSheetId="0">'Machine Spare parts 2026'!$A$1:$AU$891</definedName>
    <definedName name="pl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02" i="59" l="1"/>
  <c r="AH583" i="59"/>
  <c r="AH501" i="59"/>
  <c r="AH449" i="59"/>
  <c r="AH356" i="59" l="1"/>
  <c r="AH177" i="59" l="1"/>
  <c r="AH913" i="59" l="1"/>
  <c r="AG354" i="59"/>
  <c r="AH253" i="59"/>
  <c r="AV933" i="59" l="1"/>
  <c r="AV638" i="59"/>
  <c r="AH915" i="59"/>
  <c r="AH254" i="59" l="1"/>
  <c r="AH250" i="59"/>
  <c r="AW81" i="59"/>
  <c r="BG5" i="59" l="1"/>
  <c r="BG6" i="59" s="1"/>
  <c r="BG7" i="59" s="1"/>
  <c r="BG8" i="59" s="1"/>
  <c r="BG9" i="59" s="1"/>
  <c r="BG10" i="59" s="1"/>
  <c r="BG11" i="59" s="1"/>
  <c r="BG12" i="59" s="1"/>
  <c r="BG13" i="59" s="1"/>
  <c r="BG14" i="59" s="1"/>
  <c r="BG15" i="59" s="1"/>
  <c r="BG16" i="59" s="1"/>
  <c r="BG17" i="59" s="1"/>
  <c r="BG18" i="59" s="1"/>
  <c r="BG19" i="59" s="1"/>
  <c r="BG20" i="59" s="1"/>
  <c r="BG21" i="59" s="1"/>
  <c r="BG22" i="59" s="1"/>
  <c r="BG23" i="59" s="1"/>
  <c r="BG24" i="59" s="1"/>
  <c r="BG25" i="59" s="1"/>
  <c r="BG26" i="59" s="1"/>
  <c r="BG27" i="59" s="1"/>
  <c r="BG28" i="59" s="1"/>
  <c r="BG29" i="59" s="1"/>
  <c r="BG30" i="59" s="1"/>
  <c r="BG31" i="59" s="1"/>
  <c r="BG32" i="59" s="1"/>
  <c r="BG33" i="59" s="1"/>
  <c r="BG34" i="59" s="1"/>
  <c r="BG35" i="59" s="1"/>
  <c r="BG36" i="59" s="1"/>
  <c r="BG37" i="59" s="1"/>
  <c r="BG38" i="59" s="1"/>
  <c r="BG39" i="59" s="1"/>
  <c r="BG40" i="59" s="1"/>
  <c r="BG41" i="59" s="1"/>
  <c r="BG42" i="59" s="1"/>
  <c r="BG43" i="59" s="1"/>
  <c r="BG44" i="59" s="1"/>
  <c r="BG45" i="59" s="1"/>
  <c r="BG46" i="59" s="1"/>
  <c r="BG47" i="59" s="1"/>
  <c r="BG48" i="59" s="1"/>
  <c r="BG49" i="59" s="1"/>
  <c r="BG50" i="59" s="1"/>
  <c r="BG51" i="59" s="1"/>
  <c r="BG52" i="59" s="1"/>
  <c r="BG53" i="59" s="1"/>
  <c r="BG54" i="59" s="1"/>
  <c r="BG55" i="59" s="1"/>
  <c r="BG56" i="59" s="1"/>
  <c r="BG57" i="59" s="1"/>
  <c r="BG58" i="59" s="1"/>
  <c r="BG59" i="59" s="1"/>
  <c r="BG60" i="59" s="1"/>
  <c r="BG61" i="59" s="1"/>
  <c r="BG62" i="59" s="1"/>
  <c r="BG63" i="59" s="1"/>
  <c r="BG64" i="59" s="1"/>
  <c r="BG65" i="59" s="1"/>
  <c r="BG66" i="59" s="1"/>
  <c r="BG67" i="59" s="1"/>
  <c r="BG68" i="59" s="1"/>
  <c r="BG69" i="59" s="1"/>
  <c r="BG70" i="59" s="1"/>
  <c r="BG71" i="59" s="1"/>
  <c r="BG72" i="59" s="1"/>
  <c r="BG73" i="59" s="1"/>
  <c r="BG74" i="59" s="1"/>
  <c r="BG75" i="59" s="1"/>
  <c r="BG76" i="59" s="1"/>
  <c r="BG77" i="59" s="1"/>
  <c r="BG78" i="59" s="1"/>
  <c r="BG79" i="59" s="1"/>
  <c r="BG80" i="59" s="1"/>
  <c r="BG81" i="59" s="1"/>
  <c r="BG82" i="59" s="1"/>
  <c r="BG83" i="59" s="1"/>
  <c r="BG84" i="59" s="1"/>
  <c r="BG85" i="59" s="1"/>
  <c r="BG86" i="59" s="1"/>
  <c r="BG87" i="59" s="1"/>
  <c r="BG88" i="59" s="1"/>
  <c r="BG89" i="59" s="1"/>
  <c r="BG90" i="59" s="1"/>
  <c r="BG91" i="59" s="1"/>
  <c r="BG92" i="59" s="1"/>
  <c r="BG93" i="59" s="1"/>
  <c r="BG94" i="59" s="1"/>
  <c r="BG95" i="59" s="1"/>
  <c r="BG96" i="59" s="1"/>
  <c r="BG97" i="59" s="1"/>
  <c r="BG98" i="59" s="1"/>
  <c r="BG99" i="59" s="1"/>
  <c r="BG100" i="59" s="1"/>
  <c r="BG101" i="59" s="1"/>
  <c r="BG102" i="59" s="1"/>
  <c r="BG103" i="59" s="1"/>
  <c r="BG104" i="59" s="1"/>
  <c r="BG105" i="59" s="1"/>
  <c r="BG106" i="59" s="1"/>
  <c r="BG107" i="59" s="1"/>
  <c r="BG108" i="59" s="1"/>
  <c r="BG109" i="59" s="1"/>
  <c r="BG110" i="59" s="1"/>
  <c r="BG111" i="59" s="1"/>
  <c r="BG112" i="59" s="1"/>
  <c r="BG113" i="59" s="1"/>
  <c r="BG114" i="59" s="1"/>
  <c r="BG115" i="59" s="1"/>
  <c r="BG116" i="59" s="1"/>
  <c r="BG117" i="59" s="1"/>
  <c r="BG118" i="59" s="1"/>
  <c r="BG119" i="59" s="1"/>
  <c r="BG120" i="59" s="1"/>
  <c r="BG121" i="59" s="1"/>
  <c r="BG122" i="59" s="1"/>
  <c r="BG123" i="59" s="1"/>
  <c r="BG124" i="59" s="1"/>
  <c r="BG125" i="59" s="1"/>
  <c r="BG126" i="59" s="1"/>
  <c r="BG127" i="59" s="1"/>
  <c r="BG128" i="59" s="1"/>
  <c r="BG129" i="59" s="1"/>
  <c r="BG130" i="59" s="1"/>
  <c r="BG131" i="59" s="1"/>
  <c r="BG132" i="59" s="1"/>
  <c r="BG133" i="59" s="1"/>
  <c r="BG134" i="59" s="1"/>
  <c r="BG135" i="59" s="1"/>
  <c r="BG136" i="59" s="1"/>
  <c r="BG137" i="59" s="1"/>
  <c r="BG138" i="59" s="1"/>
  <c r="BG139" i="59" s="1"/>
  <c r="BG140" i="59" s="1"/>
  <c r="BG141" i="59" s="1"/>
  <c r="BG142" i="59" s="1"/>
  <c r="BG143" i="59" s="1"/>
  <c r="BG144" i="59" s="1"/>
  <c r="BG145" i="59" s="1"/>
  <c r="BG146" i="59" s="1"/>
  <c r="BG147" i="59" s="1"/>
  <c r="BG148" i="59" s="1"/>
  <c r="BG149" i="59" s="1"/>
  <c r="BG150" i="59" s="1"/>
  <c r="BG151" i="59" s="1"/>
  <c r="BG152" i="59" s="1"/>
  <c r="BG153" i="59" s="1"/>
  <c r="BG154" i="59" s="1"/>
  <c r="BG155" i="59" s="1"/>
  <c r="BG156" i="59" s="1"/>
  <c r="BG157" i="59" s="1"/>
  <c r="BG158" i="59" s="1"/>
  <c r="BG159" i="59" s="1"/>
  <c r="BG160" i="59" s="1"/>
  <c r="BG161" i="59" s="1"/>
  <c r="BG162" i="59" s="1"/>
  <c r="BG163" i="59" s="1"/>
  <c r="BG164" i="59" s="1"/>
  <c r="BG165" i="59" s="1"/>
  <c r="BG166" i="59" s="1"/>
  <c r="BG167" i="59" s="1"/>
  <c r="BG168" i="59" s="1"/>
  <c r="BG169" i="59" s="1"/>
  <c r="BG170" i="59" s="1"/>
  <c r="BG171" i="59" s="1"/>
  <c r="BG172" i="59" s="1"/>
  <c r="BG173" i="59" s="1"/>
  <c r="BG174" i="59" s="1"/>
  <c r="BG175" i="59" s="1"/>
  <c r="BG176" i="59" s="1"/>
  <c r="BG177" i="59" s="1"/>
  <c r="BG178" i="59" s="1"/>
  <c r="BG179" i="59" s="1"/>
  <c r="BG180" i="59" s="1"/>
  <c r="BG181" i="59" s="1"/>
  <c r="BG182" i="59" s="1"/>
  <c r="BG183" i="59" s="1"/>
  <c r="BG184" i="59" s="1"/>
  <c r="BG185" i="59" s="1"/>
  <c r="BG186" i="59" s="1"/>
  <c r="BG187" i="59" s="1"/>
  <c r="BG188" i="59" s="1"/>
  <c r="BG189" i="59" s="1"/>
  <c r="BG190" i="59" s="1"/>
  <c r="BG191" i="59" s="1"/>
  <c r="BG192" i="59" s="1"/>
  <c r="BG193" i="59" s="1"/>
  <c r="BG194" i="59" s="1"/>
  <c r="BG195" i="59" s="1"/>
  <c r="BG196" i="59" s="1"/>
  <c r="BG197" i="59" s="1"/>
  <c r="BG198" i="59" s="1"/>
  <c r="BG199" i="59" s="1"/>
  <c r="BG200" i="59" s="1"/>
  <c r="BG201" i="59" s="1"/>
  <c r="BG202" i="59" s="1"/>
  <c r="BG203" i="59" s="1"/>
  <c r="BG204" i="59" s="1"/>
  <c r="BG205" i="59" s="1"/>
  <c r="BG206" i="59" s="1"/>
  <c r="BG207" i="59" s="1"/>
  <c r="BG208" i="59" s="1"/>
  <c r="BG209" i="59" s="1"/>
  <c r="BG210" i="59" s="1"/>
  <c r="BG211" i="59" s="1"/>
  <c r="BG212" i="59" s="1"/>
  <c r="BG213" i="59" s="1"/>
  <c r="BG214" i="59" s="1"/>
  <c r="BG215" i="59" s="1"/>
  <c r="BG216" i="59" s="1"/>
  <c r="BG217" i="59" s="1"/>
  <c r="BG218" i="59" s="1"/>
  <c r="BG219" i="59" s="1"/>
  <c r="BG220" i="59" s="1"/>
  <c r="BG221" i="59" s="1"/>
  <c r="BG222" i="59" s="1"/>
  <c r="BG223" i="59" s="1"/>
  <c r="BG224" i="59" s="1"/>
  <c r="BG225" i="59" s="1"/>
  <c r="BG226" i="59" s="1"/>
  <c r="BG227" i="59" s="1"/>
  <c r="BG228" i="59" s="1"/>
  <c r="BG229" i="59" s="1"/>
  <c r="BG230" i="59" s="1"/>
  <c r="BG231" i="59" s="1"/>
  <c r="BG232" i="59" s="1"/>
  <c r="BG233" i="59" s="1"/>
  <c r="BG234" i="59" s="1"/>
  <c r="BG235" i="59" s="1"/>
  <c r="BG236" i="59" s="1"/>
  <c r="BG237" i="59" s="1"/>
  <c r="BG238" i="59" s="1"/>
  <c r="BG239" i="59" s="1"/>
  <c r="BG240" i="59" s="1"/>
  <c r="BG241" i="59" s="1"/>
  <c r="BG242" i="59" s="1"/>
  <c r="BG243" i="59" s="1"/>
  <c r="BG244" i="59" s="1"/>
  <c r="BG245" i="59" s="1"/>
  <c r="BG246" i="59" s="1"/>
  <c r="BG247" i="59" s="1"/>
  <c r="BG248" i="59" s="1"/>
  <c r="BG249" i="59" s="1"/>
  <c r="BG250" i="59" s="1"/>
  <c r="BG251" i="59" s="1"/>
  <c r="BG252" i="59" s="1"/>
  <c r="BG253" i="59" s="1"/>
  <c r="BG254" i="59" s="1"/>
  <c r="BG255" i="59" s="1"/>
  <c r="BG256" i="59" s="1"/>
  <c r="BG257" i="59" s="1"/>
  <c r="BG258" i="59" s="1"/>
  <c r="BG259" i="59" s="1"/>
  <c r="BG260" i="59" s="1"/>
  <c r="BG261" i="59" s="1"/>
  <c r="BG262" i="59" s="1"/>
  <c r="BG263" i="59" s="1"/>
  <c r="BG264" i="59" s="1"/>
  <c r="BG265" i="59" s="1"/>
  <c r="BG266" i="59" s="1"/>
  <c r="BG267" i="59" s="1"/>
  <c r="BG268" i="59" s="1"/>
  <c r="BG269" i="59" s="1"/>
  <c r="BG270" i="59" s="1"/>
  <c r="BG271" i="59" s="1"/>
  <c r="BG272" i="59" s="1"/>
  <c r="BG273" i="59" s="1"/>
  <c r="BG274" i="59" s="1"/>
  <c r="BG275" i="59" s="1"/>
  <c r="BG276" i="59" s="1"/>
  <c r="BG277" i="59" s="1"/>
  <c r="BG278" i="59" s="1"/>
  <c r="BG279" i="59" s="1"/>
  <c r="BG280" i="59" s="1"/>
  <c r="BG281" i="59" s="1"/>
  <c r="BG282" i="59" s="1"/>
  <c r="BG283" i="59" s="1"/>
  <c r="BG284" i="59" s="1"/>
  <c r="BG285" i="59" s="1"/>
  <c r="BG286" i="59" s="1"/>
  <c r="BG287" i="59" s="1"/>
  <c r="BG288" i="59" s="1"/>
  <c r="BG289" i="59" s="1"/>
  <c r="BG290" i="59" s="1"/>
  <c r="BG291" i="59" s="1"/>
  <c r="BG292" i="59" s="1"/>
  <c r="BG293" i="59" s="1"/>
  <c r="BG294" i="59" s="1"/>
  <c r="BG295" i="59" s="1"/>
  <c r="BG296" i="59" s="1"/>
  <c r="BG297" i="59" s="1"/>
  <c r="BG298" i="59" s="1"/>
  <c r="BG299" i="59" s="1"/>
  <c r="BG300" i="59" s="1"/>
  <c r="BG301" i="59" s="1"/>
  <c r="BG302" i="59" s="1"/>
  <c r="BG303" i="59" s="1"/>
  <c r="BG304" i="59" s="1"/>
  <c r="BG305" i="59" s="1"/>
  <c r="BG306" i="59" s="1"/>
  <c r="BG307" i="59" s="1"/>
  <c r="BG308" i="59" s="1"/>
  <c r="BG309" i="59" s="1"/>
  <c r="BG310" i="59" s="1"/>
  <c r="BG311" i="59" s="1"/>
  <c r="BG312" i="59" s="1"/>
  <c r="BG313" i="59" s="1"/>
  <c r="BG314" i="59" s="1"/>
  <c r="BG315" i="59" s="1"/>
  <c r="BG316" i="59" s="1"/>
  <c r="BG317" i="59" s="1"/>
  <c r="BG318" i="59" s="1"/>
  <c r="BG319" i="59" s="1"/>
  <c r="BG320" i="59" s="1"/>
  <c r="BG321" i="59" s="1"/>
  <c r="BG322" i="59" s="1"/>
  <c r="BG323" i="59" s="1"/>
  <c r="BG324" i="59" s="1"/>
  <c r="BG325" i="59" s="1"/>
  <c r="BG326" i="59" s="1"/>
  <c r="BG327" i="59" s="1"/>
  <c r="BG328" i="59" s="1"/>
  <c r="BG329" i="59" s="1"/>
  <c r="BG330" i="59" s="1"/>
  <c r="BG331" i="59" s="1"/>
  <c r="BG332" i="59" s="1"/>
  <c r="BG333" i="59" s="1"/>
  <c r="BG334" i="59" s="1"/>
  <c r="BG335" i="59" s="1"/>
  <c r="BG336" i="59" s="1"/>
  <c r="BG337" i="59" s="1"/>
  <c r="BG338" i="59" s="1"/>
  <c r="BG339" i="59" s="1"/>
  <c r="BG340" i="59" s="1"/>
  <c r="BG341" i="59" s="1"/>
  <c r="BG342" i="59" s="1"/>
  <c r="BG343" i="59" s="1"/>
  <c r="BG344" i="59" s="1"/>
  <c r="BG345" i="59" s="1"/>
  <c r="BG346" i="59" s="1"/>
  <c r="BG347" i="59" s="1"/>
  <c r="BG348" i="59" s="1"/>
  <c r="BG349" i="59" s="1"/>
  <c r="BG350" i="59" s="1"/>
  <c r="BG351" i="59" s="1"/>
  <c r="BG352" i="59" s="1"/>
  <c r="BG353" i="59" s="1"/>
  <c r="BG354" i="59" s="1"/>
  <c r="BG355" i="59" s="1"/>
  <c r="BG356" i="59" s="1"/>
  <c r="BG357" i="59" s="1"/>
  <c r="BG358" i="59" s="1"/>
  <c r="BG359" i="59" s="1"/>
  <c r="BG360" i="59" s="1"/>
  <c r="BG361" i="59" s="1"/>
  <c r="BG362" i="59" s="1"/>
  <c r="BG363" i="59" s="1"/>
  <c r="BG364" i="59" s="1"/>
  <c r="BG365" i="59" s="1"/>
  <c r="BG366" i="59" s="1"/>
  <c r="BG367" i="59" s="1"/>
  <c r="BG368" i="59" s="1"/>
  <c r="BG369" i="59" s="1"/>
  <c r="BG370" i="59" s="1"/>
  <c r="BG371" i="59" s="1"/>
  <c r="BG372" i="59" s="1"/>
  <c r="BG373" i="59" s="1"/>
  <c r="BG374" i="59" s="1"/>
  <c r="BG375" i="59" s="1"/>
  <c r="BG376" i="59" s="1"/>
  <c r="BG377" i="59" s="1"/>
  <c r="BG378" i="59" s="1"/>
  <c r="BG379" i="59" s="1"/>
  <c r="BG380" i="59" s="1"/>
  <c r="BG381" i="59" s="1"/>
  <c r="BG382" i="59" s="1"/>
  <c r="BG383" i="59" s="1"/>
  <c r="BG384" i="59" s="1"/>
  <c r="BG385" i="59" s="1"/>
  <c r="BG386" i="59" s="1"/>
  <c r="BG387" i="59" s="1"/>
  <c r="BG388" i="59" s="1"/>
  <c r="BG389" i="59" s="1"/>
  <c r="BG390" i="59" s="1"/>
  <c r="BG391" i="59" s="1"/>
  <c r="BG392" i="59" s="1"/>
  <c r="BG393" i="59" s="1"/>
  <c r="BG394" i="59" s="1"/>
  <c r="BG395" i="59" s="1"/>
  <c r="BG396" i="59" s="1"/>
  <c r="BG397" i="59" s="1"/>
  <c r="BG398" i="59" s="1"/>
  <c r="BG399" i="59" s="1"/>
  <c r="BG400" i="59" s="1"/>
  <c r="BG401" i="59" s="1"/>
  <c r="BG402" i="59" s="1"/>
  <c r="BG403" i="59" s="1"/>
  <c r="BG404" i="59" s="1"/>
  <c r="BG405" i="59" s="1"/>
  <c r="BG406" i="59" s="1"/>
  <c r="BG407" i="59" s="1"/>
  <c r="BG408" i="59" s="1"/>
  <c r="BG409" i="59" s="1"/>
  <c r="BG410" i="59" s="1"/>
  <c r="BG411" i="59" s="1"/>
  <c r="BG412" i="59" s="1"/>
  <c r="BG413" i="59" s="1"/>
  <c r="BG414" i="59" s="1"/>
  <c r="BG415" i="59" s="1"/>
  <c r="BG416" i="59" s="1"/>
  <c r="BG417" i="59" s="1"/>
  <c r="BG418" i="59" s="1"/>
  <c r="BG419" i="59" s="1"/>
  <c r="BG420" i="59" s="1"/>
  <c r="BG421" i="59" s="1"/>
  <c r="BG422" i="59" s="1"/>
  <c r="BG423" i="59" s="1"/>
  <c r="BG424" i="59" s="1"/>
  <c r="BG425" i="59" s="1"/>
  <c r="BG426" i="59" s="1"/>
  <c r="BG427" i="59" s="1"/>
  <c r="BG428" i="59" s="1"/>
  <c r="BG429" i="59" s="1"/>
  <c r="BG430" i="59" s="1"/>
  <c r="BG431" i="59" s="1"/>
  <c r="BG432" i="59" s="1"/>
  <c r="BG433" i="59" s="1"/>
  <c r="BG434" i="59" s="1"/>
  <c r="BG435" i="59" s="1"/>
  <c r="BG436" i="59" s="1"/>
  <c r="BG437" i="59" s="1"/>
  <c r="BG438" i="59" s="1"/>
  <c r="BG439" i="59" s="1"/>
  <c r="BG440" i="59" s="1"/>
  <c r="BG441" i="59" s="1"/>
  <c r="BG442" i="59" s="1"/>
  <c r="BG443" i="59" s="1"/>
  <c r="BG444" i="59" s="1"/>
  <c r="BG445" i="59" s="1"/>
  <c r="BG446" i="59" s="1"/>
  <c r="BG447" i="59" s="1"/>
  <c r="BG448" i="59" s="1"/>
  <c r="BG449" i="59" s="1"/>
  <c r="BG450" i="59" s="1"/>
  <c r="BG451" i="59" s="1"/>
  <c r="BG452" i="59" s="1"/>
  <c r="BG453" i="59" s="1"/>
  <c r="BG454" i="59" s="1"/>
  <c r="BG455" i="59" s="1"/>
  <c r="BG456" i="59" s="1"/>
  <c r="BG457" i="59" s="1"/>
  <c r="BG458" i="59" s="1"/>
  <c r="BG459" i="59" s="1"/>
  <c r="BG460" i="59" s="1"/>
  <c r="BG461" i="59" s="1"/>
  <c r="BG462" i="59" s="1"/>
  <c r="BG463" i="59" s="1"/>
  <c r="BG464" i="59" s="1"/>
  <c r="BG465" i="59" s="1"/>
  <c r="BG466" i="59" s="1"/>
  <c r="BG467" i="59" s="1"/>
  <c r="BG468" i="59" s="1"/>
  <c r="BG469" i="59" s="1"/>
  <c r="BG470" i="59" s="1"/>
  <c r="BG471" i="59" s="1"/>
  <c r="BG472" i="59" s="1"/>
  <c r="BG473" i="59" s="1"/>
  <c r="BG474" i="59" s="1"/>
  <c r="BG475" i="59" s="1"/>
  <c r="BG476" i="59" s="1"/>
  <c r="BG477" i="59" s="1"/>
  <c r="BG478" i="59" s="1"/>
  <c r="BG479" i="59" s="1"/>
  <c r="BG480" i="59" s="1"/>
  <c r="BG481" i="59" s="1"/>
  <c r="BG482" i="59" s="1"/>
  <c r="BG483" i="59" s="1"/>
  <c r="BG484" i="59" s="1"/>
  <c r="BG485" i="59" s="1"/>
  <c r="BG486" i="59" s="1"/>
  <c r="BG487" i="59" s="1"/>
  <c r="BG488" i="59" s="1"/>
  <c r="BG489" i="59" s="1"/>
  <c r="BG490" i="59" s="1"/>
  <c r="BG491" i="59" s="1"/>
  <c r="BG492" i="59" s="1"/>
  <c r="BG493" i="59" s="1"/>
  <c r="BG494" i="59" s="1"/>
  <c r="BG495" i="59" s="1"/>
  <c r="BG496" i="59" s="1"/>
  <c r="BG497" i="59" s="1"/>
  <c r="BG498" i="59" s="1"/>
  <c r="BG499" i="59" s="1"/>
  <c r="BG500" i="59" s="1"/>
  <c r="BG501" i="59" s="1"/>
  <c r="BG502" i="59" s="1"/>
  <c r="BG503" i="59" s="1"/>
  <c r="BG504" i="59" s="1"/>
  <c r="BG505" i="59" s="1"/>
  <c r="BG506" i="59" s="1"/>
  <c r="BG507" i="59" s="1"/>
  <c r="BG508" i="59" s="1"/>
  <c r="BG509" i="59" s="1"/>
  <c r="BG510" i="59" s="1"/>
  <c r="BG511" i="59" s="1"/>
  <c r="BG512" i="59" s="1"/>
  <c r="BG513" i="59" s="1"/>
  <c r="BG514" i="59" s="1"/>
  <c r="BG515" i="59" s="1"/>
  <c r="BG516" i="59" s="1"/>
  <c r="BG517" i="59" s="1"/>
  <c r="BG518" i="59" s="1"/>
  <c r="BG519" i="59" s="1"/>
  <c r="BG520" i="59" s="1"/>
  <c r="BG521" i="59" s="1"/>
  <c r="BG522" i="59" s="1"/>
  <c r="BG523" i="59" s="1"/>
  <c r="BG524" i="59" s="1"/>
  <c r="BG525" i="59" s="1"/>
  <c r="BG526" i="59" s="1"/>
  <c r="BG527" i="59" s="1"/>
  <c r="BG528" i="59" s="1"/>
  <c r="BG529" i="59" s="1"/>
  <c r="BG530" i="59" s="1"/>
  <c r="BG531" i="59" s="1"/>
  <c r="BG532" i="59" s="1"/>
  <c r="BG533" i="59" s="1"/>
  <c r="BG534" i="59" s="1"/>
  <c r="BG535" i="59" s="1"/>
  <c r="BG536" i="59" s="1"/>
  <c r="BG537" i="59" s="1"/>
  <c r="BG538" i="59" s="1"/>
  <c r="BG539" i="59" s="1"/>
  <c r="BG540" i="59" s="1"/>
  <c r="BG541" i="59" s="1"/>
  <c r="BG542" i="59" s="1"/>
  <c r="BG543" i="59" s="1"/>
  <c r="BG544" i="59" s="1"/>
  <c r="BG545" i="59" s="1"/>
  <c r="BG546" i="59" s="1"/>
  <c r="BG547" i="59" s="1"/>
  <c r="BG548" i="59" s="1"/>
  <c r="BG549" i="59" s="1"/>
  <c r="BG550" i="59" s="1"/>
  <c r="BG551" i="59" s="1"/>
  <c r="BG552" i="59" s="1"/>
  <c r="BG553" i="59" s="1"/>
  <c r="BG554" i="59" s="1"/>
  <c r="BG555" i="59" s="1"/>
  <c r="BG556" i="59" s="1"/>
  <c r="BG557" i="59" s="1"/>
  <c r="BG558" i="59" s="1"/>
  <c r="BG559" i="59" s="1"/>
  <c r="BG560" i="59" s="1"/>
  <c r="BG561" i="59" s="1"/>
  <c r="BG562" i="59" s="1"/>
  <c r="BG563" i="59" s="1"/>
  <c r="BG564" i="59" s="1"/>
  <c r="BG565" i="59" s="1"/>
  <c r="BG566" i="59" s="1"/>
  <c r="BG567" i="59" s="1"/>
  <c r="BG568" i="59" s="1"/>
  <c r="BG569" i="59" s="1"/>
  <c r="BG570" i="59" s="1"/>
  <c r="BG571" i="59" s="1"/>
  <c r="BG572" i="59" s="1"/>
  <c r="BG573" i="59" s="1"/>
  <c r="BG574" i="59" s="1"/>
  <c r="BG575" i="59" s="1"/>
  <c r="BG576" i="59" s="1"/>
  <c r="BG577" i="59" s="1"/>
  <c r="BG578" i="59" s="1"/>
  <c r="BG579" i="59" s="1"/>
  <c r="BG580" i="59" s="1"/>
  <c r="BG581" i="59" s="1"/>
  <c r="BG582" i="59" s="1"/>
  <c r="BG583" i="59" s="1"/>
  <c r="BG584" i="59" s="1"/>
  <c r="BG585" i="59" s="1"/>
  <c r="BG586" i="59" s="1"/>
  <c r="BG587" i="59" s="1"/>
  <c r="BG588" i="59" s="1"/>
  <c r="BG589" i="59" s="1"/>
  <c r="BG590" i="59" s="1"/>
  <c r="BG591" i="59" s="1"/>
  <c r="BG592" i="59" s="1"/>
  <c r="BG593" i="59" s="1"/>
  <c r="BG594" i="59" s="1"/>
  <c r="BG595" i="59" s="1"/>
  <c r="BG596" i="59" s="1"/>
  <c r="BG597" i="59" s="1"/>
  <c r="BG598" i="59" s="1"/>
  <c r="BG599" i="59" s="1"/>
  <c r="BG600" i="59" s="1"/>
  <c r="BG601" i="59" s="1"/>
  <c r="BG602" i="59" s="1"/>
  <c r="BG603" i="59" s="1"/>
  <c r="BG604" i="59" s="1"/>
  <c r="BG605" i="59" s="1"/>
  <c r="BG606" i="59" s="1"/>
  <c r="BG607" i="59" s="1"/>
  <c r="BG608" i="59" s="1"/>
  <c r="BG609" i="59" s="1"/>
  <c r="BG610" i="59" s="1"/>
  <c r="BG611" i="59" s="1"/>
  <c r="BG612" i="59" s="1"/>
  <c r="BG613" i="59" s="1"/>
  <c r="BG614" i="59" s="1"/>
  <c r="BG615" i="59" s="1"/>
  <c r="BG616" i="59" s="1"/>
  <c r="BG617" i="59" s="1"/>
  <c r="BG618" i="59" s="1"/>
  <c r="BG619" i="59" s="1"/>
  <c r="BG620" i="59" s="1"/>
  <c r="BG621" i="59" s="1"/>
  <c r="BG622" i="59" s="1"/>
  <c r="BG623" i="59" s="1"/>
  <c r="BG624" i="59" s="1"/>
  <c r="BG625" i="59" s="1"/>
  <c r="BG626" i="59" s="1"/>
  <c r="BG627" i="59" s="1"/>
  <c r="BG628" i="59" s="1"/>
  <c r="BG629" i="59" s="1"/>
  <c r="BG630" i="59" s="1"/>
  <c r="BG631" i="59" s="1"/>
  <c r="BG632" i="59" s="1"/>
  <c r="BG633" i="59" s="1"/>
  <c r="BG634" i="59" s="1"/>
  <c r="BG635" i="59" s="1"/>
  <c r="BG636" i="59" s="1"/>
  <c r="BG637" i="59" s="1"/>
  <c r="BG638" i="59" s="1"/>
  <c r="BG639" i="59" s="1"/>
  <c r="BG640" i="59" s="1"/>
  <c r="BG641" i="59" s="1"/>
  <c r="BG642" i="59" s="1"/>
  <c r="BG643" i="59" s="1"/>
  <c r="BG644" i="59" s="1"/>
  <c r="BG645" i="59" s="1"/>
  <c r="BG646" i="59" s="1"/>
  <c r="BG647" i="59" s="1"/>
  <c r="BG648" i="59" s="1"/>
  <c r="BG649" i="59" s="1"/>
  <c r="BG650" i="59" s="1"/>
  <c r="BG651" i="59" s="1"/>
  <c r="BG652" i="59" s="1"/>
  <c r="BG653" i="59" s="1"/>
  <c r="BG654" i="59" s="1"/>
  <c r="BG655" i="59" s="1"/>
  <c r="BG656" i="59" s="1"/>
  <c r="BG657" i="59" s="1"/>
  <c r="BG658" i="59" s="1"/>
  <c r="BG659" i="59" s="1"/>
  <c r="BG660" i="59" s="1"/>
  <c r="BG661" i="59" s="1"/>
  <c r="BG662" i="59" s="1"/>
  <c r="BG663" i="59" s="1"/>
  <c r="BG664" i="59" s="1"/>
  <c r="BG665" i="59" s="1"/>
  <c r="BG666" i="59" s="1"/>
  <c r="BG667" i="59" s="1"/>
  <c r="BG668" i="59" s="1"/>
  <c r="BG669" i="59" s="1"/>
  <c r="BG670" i="59" s="1"/>
  <c r="BG671" i="59" s="1"/>
  <c r="BG672" i="59" s="1"/>
  <c r="BG673" i="59" s="1"/>
  <c r="BG674" i="59" s="1"/>
  <c r="BG675" i="59" s="1"/>
  <c r="BG676" i="59" s="1"/>
  <c r="BG677" i="59" s="1"/>
  <c r="BG678" i="59" s="1"/>
  <c r="BG679" i="59" s="1"/>
  <c r="BG680" i="59" s="1"/>
  <c r="BG681" i="59" s="1"/>
  <c r="BG682" i="59" s="1"/>
  <c r="BG683" i="59" s="1"/>
  <c r="BG684" i="59" s="1"/>
  <c r="BG685" i="59" s="1"/>
  <c r="BG686" i="59" s="1"/>
  <c r="BG687" i="59" s="1"/>
  <c r="BG688" i="59" s="1"/>
  <c r="BG689" i="59" s="1"/>
  <c r="BG690" i="59" s="1"/>
  <c r="BG691" i="59" s="1"/>
  <c r="BG692" i="59" s="1"/>
  <c r="BG693" i="59" s="1"/>
  <c r="BG694" i="59" s="1"/>
  <c r="BG695" i="59" s="1"/>
  <c r="BG696" i="59" s="1"/>
  <c r="BG697" i="59" s="1"/>
  <c r="BG698" i="59" s="1"/>
  <c r="BG699" i="59" s="1"/>
  <c r="BG700" i="59" s="1"/>
  <c r="BG701" i="59" s="1"/>
  <c r="BG702" i="59" s="1"/>
  <c r="BG703" i="59" s="1"/>
  <c r="BG704" i="59" s="1"/>
  <c r="BG705" i="59" s="1"/>
  <c r="BG706" i="59" s="1"/>
  <c r="BG707" i="59" s="1"/>
  <c r="BG708" i="59" s="1"/>
  <c r="BG709" i="59" s="1"/>
  <c r="BG710" i="59" s="1"/>
  <c r="BG711" i="59" s="1"/>
  <c r="BG712" i="59" s="1"/>
  <c r="BG713" i="59" s="1"/>
  <c r="BG714" i="59" s="1"/>
  <c r="BG715" i="59" s="1"/>
  <c r="BG716" i="59" s="1"/>
  <c r="BG717" i="59" s="1"/>
  <c r="BG718" i="59" s="1"/>
  <c r="BG719" i="59" s="1"/>
  <c r="BG720" i="59" s="1"/>
  <c r="BG721" i="59" s="1"/>
  <c r="BG722" i="59" s="1"/>
  <c r="BG723" i="59" s="1"/>
  <c r="BG724" i="59" s="1"/>
  <c r="BG725" i="59" s="1"/>
  <c r="BG726" i="59" s="1"/>
  <c r="BG727" i="59" s="1"/>
  <c r="BG728" i="59" s="1"/>
  <c r="BG729" i="59" s="1"/>
  <c r="BG730" i="59" s="1"/>
  <c r="BG731" i="59" s="1"/>
  <c r="BG732" i="59" s="1"/>
  <c r="BG733" i="59" s="1"/>
  <c r="BG734" i="59" s="1"/>
  <c r="BG735" i="59" s="1"/>
  <c r="BG736" i="59" s="1"/>
  <c r="BG737" i="59" s="1"/>
  <c r="BG738" i="59" s="1"/>
  <c r="BG739" i="59" s="1"/>
  <c r="BG740" i="59" s="1"/>
  <c r="BG741" i="59" s="1"/>
  <c r="BG742" i="59" s="1"/>
  <c r="BG743" i="59" s="1"/>
  <c r="BG744" i="59" s="1"/>
  <c r="BG745" i="59" s="1"/>
  <c r="BG746" i="59" s="1"/>
  <c r="BG747" i="59" s="1"/>
  <c r="BG748" i="59" s="1"/>
  <c r="BG749" i="59" s="1"/>
  <c r="BG750" i="59" s="1"/>
  <c r="BG751" i="59" s="1"/>
  <c r="BG752" i="59" s="1"/>
  <c r="BG753" i="59" s="1"/>
  <c r="BG754" i="59" s="1"/>
  <c r="BG755" i="59" s="1"/>
  <c r="BG756" i="59" s="1"/>
  <c r="BG757" i="59" s="1"/>
  <c r="BG758" i="59" s="1"/>
  <c r="BG759" i="59" s="1"/>
  <c r="BG760" i="59" s="1"/>
  <c r="BG761" i="59" s="1"/>
  <c r="BG762" i="59" s="1"/>
  <c r="BG763" i="59" s="1"/>
  <c r="BG764" i="59" s="1"/>
  <c r="BG765" i="59" s="1"/>
  <c r="BG766" i="59" s="1"/>
  <c r="BG767" i="59" s="1"/>
  <c r="BG768" i="59" s="1"/>
  <c r="BG769" i="59" s="1"/>
  <c r="BG770" i="59" s="1"/>
  <c r="BG771" i="59" s="1"/>
  <c r="BG772" i="59" s="1"/>
  <c r="BG773" i="59" s="1"/>
  <c r="BG774" i="59" s="1"/>
  <c r="BG775" i="59" s="1"/>
  <c r="BG776" i="59" s="1"/>
  <c r="BG777" i="59" s="1"/>
  <c r="BG778" i="59" s="1"/>
  <c r="BG779" i="59" s="1"/>
  <c r="BG780" i="59" s="1"/>
  <c r="BG781" i="59" s="1"/>
  <c r="BG782" i="59" s="1"/>
  <c r="BG783" i="59" s="1"/>
  <c r="BG784" i="59" s="1"/>
  <c r="BG785" i="59" s="1"/>
  <c r="BG786" i="59" s="1"/>
  <c r="BG787" i="59" s="1"/>
  <c r="BG788" i="59" s="1"/>
  <c r="BG789" i="59" s="1"/>
  <c r="BG790" i="59" s="1"/>
  <c r="BG791" i="59" s="1"/>
  <c r="BG792" i="59" s="1"/>
  <c r="BG793" i="59" s="1"/>
  <c r="BG794" i="59" s="1"/>
  <c r="BG795" i="59" s="1"/>
  <c r="BG796" i="59" s="1"/>
  <c r="BG797" i="59" s="1"/>
  <c r="BG798" i="59" s="1"/>
  <c r="BG799" i="59" s="1"/>
  <c r="BG800" i="59" s="1"/>
  <c r="BG801" i="59" s="1"/>
  <c r="BG802" i="59" s="1"/>
  <c r="BG803" i="59" s="1"/>
  <c r="BG804" i="59" s="1"/>
  <c r="BG805" i="59" s="1"/>
  <c r="BG806" i="59" s="1"/>
  <c r="BG807" i="59" s="1"/>
  <c r="BG808" i="59" s="1"/>
  <c r="BG809" i="59" s="1"/>
  <c r="BG810" i="59" s="1"/>
  <c r="BG811" i="59" s="1"/>
  <c r="BG812" i="59" s="1"/>
  <c r="BG813" i="59" s="1"/>
  <c r="BG814" i="59" s="1"/>
  <c r="BG815" i="59" s="1"/>
  <c r="BG816" i="59" s="1"/>
  <c r="BG817" i="59" s="1"/>
  <c r="BG818" i="59" s="1"/>
  <c r="BG819" i="59" s="1"/>
  <c r="BG820" i="59" s="1"/>
  <c r="BG821" i="59" s="1"/>
  <c r="BG822" i="59" s="1"/>
  <c r="BG823" i="59" s="1"/>
  <c r="BG824" i="59" s="1"/>
  <c r="BG825" i="59" s="1"/>
  <c r="BG826" i="59" s="1"/>
  <c r="BG827" i="59" s="1"/>
  <c r="BG828" i="59" s="1"/>
  <c r="BG829" i="59" s="1"/>
  <c r="BG830" i="59" s="1"/>
  <c r="BG831" i="59" s="1"/>
  <c r="BG832" i="59" s="1"/>
  <c r="BG833" i="59" s="1"/>
  <c r="BG834" i="59" s="1"/>
  <c r="BG835" i="59" s="1"/>
  <c r="BG836" i="59" s="1"/>
  <c r="BG837" i="59" s="1"/>
  <c r="BG838" i="59" s="1"/>
  <c r="BG839" i="59" s="1"/>
  <c r="BG840" i="59" s="1"/>
  <c r="BG841" i="59" s="1"/>
  <c r="BG842" i="59" s="1"/>
  <c r="BG843" i="59" s="1"/>
  <c r="BG844" i="59" s="1"/>
  <c r="BG845" i="59" s="1"/>
  <c r="BG846" i="59" s="1"/>
  <c r="BG847" i="59" s="1"/>
  <c r="BG848" i="59" s="1"/>
  <c r="BG849" i="59" s="1"/>
  <c r="BG850" i="59" s="1"/>
  <c r="BG851" i="59" s="1"/>
  <c r="BG852" i="59" s="1"/>
  <c r="BG853" i="59" s="1"/>
  <c r="BG854" i="59" s="1"/>
  <c r="BG855" i="59" s="1"/>
  <c r="BG856" i="59" s="1"/>
  <c r="BG857" i="59" s="1"/>
  <c r="BG858" i="59" s="1"/>
  <c r="BG859" i="59" s="1"/>
  <c r="BG860" i="59" s="1"/>
  <c r="BG861" i="59" s="1"/>
  <c r="BG862" i="59" s="1"/>
  <c r="BG863" i="59" s="1"/>
  <c r="BG864" i="59" s="1"/>
  <c r="BG865" i="59" s="1"/>
  <c r="BG866" i="59" s="1"/>
  <c r="BG867" i="59" s="1"/>
  <c r="BG868" i="59" s="1"/>
  <c r="BG869" i="59" s="1"/>
  <c r="BG870" i="59" s="1"/>
  <c r="BG871" i="59" s="1"/>
  <c r="BG872" i="59" s="1"/>
  <c r="BG873" i="59" s="1"/>
  <c r="BG874" i="59" s="1"/>
  <c r="BG875" i="59" s="1"/>
  <c r="BG876" i="59" s="1"/>
  <c r="BG877" i="59" s="1"/>
  <c r="BG878" i="59" s="1"/>
  <c r="BG879" i="59" s="1"/>
  <c r="BG880" i="59" s="1"/>
  <c r="BG881" i="59" s="1"/>
  <c r="BG882" i="59" s="1"/>
  <c r="BG883" i="59" s="1"/>
  <c r="BG884" i="59" s="1"/>
  <c r="BG885" i="59" s="1"/>
  <c r="BG886" i="59" s="1"/>
  <c r="BG887" i="59" s="1"/>
  <c r="BG888" i="59" s="1"/>
  <c r="BG889" i="59" s="1"/>
  <c r="BG890" i="59" s="1"/>
  <c r="BG891" i="59" s="1"/>
  <c r="BG892" i="59" s="1"/>
  <c r="BG893" i="59" s="1"/>
  <c r="BG894" i="59" s="1"/>
  <c r="BG895" i="59" s="1"/>
  <c r="BG896" i="59" s="1"/>
  <c r="BG897" i="59" s="1"/>
  <c r="BG898" i="59" s="1"/>
  <c r="BG899" i="59" s="1"/>
  <c r="BG900" i="59" s="1"/>
  <c r="BG901" i="59" s="1"/>
  <c r="BG902" i="59" s="1"/>
  <c r="BG903" i="59" s="1"/>
  <c r="BG904" i="59" s="1"/>
  <c r="BG905" i="59" s="1"/>
  <c r="BG906" i="59" s="1"/>
  <c r="BG907" i="59" s="1"/>
  <c r="BG908" i="59" s="1"/>
  <c r="BG909" i="59" s="1"/>
  <c r="BG910" i="59" s="1"/>
  <c r="BG911" i="59" s="1"/>
  <c r="BG912" i="59" s="1"/>
  <c r="BG913" i="59" s="1"/>
  <c r="BG914" i="59" s="1"/>
  <c r="BG915" i="59" s="1"/>
  <c r="BG916" i="59" s="1"/>
  <c r="BG917" i="59" s="1"/>
  <c r="BG918" i="59" s="1"/>
  <c r="BG919" i="59" s="1"/>
  <c r="BG920" i="59" s="1"/>
  <c r="BG921" i="59" s="1"/>
  <c r="BG922" i="59" s="1"/>
  <c r="BG923" i="59" s="1"/>
  <c r="BG924" i="59" s="1"/>
  <c r="BG925" i="59" s="1"/>
  <c r="BG926" i="59" s="1"/>
  <c r="BG927" i="59" s="1"/>
  <c r="BG928" i="59" s="1"/>
  <c r="BG929" i="59" s="1"/>
  <c r="BG930" i="59" s="1"/>
  <c r="BG931" i="59" s="1"/>
  <c r="BG932" i="59" s="1"/>
  <c r="BG933" i="59" s="1"/>
  <c r="AE913" i="59"/>
  <c r="AE452" i="59"/>
  <c r="AE446" i="59"/>
  <c r="AD254" i="59"/>
  <c r="BH78" i="59" l="1"/>
  <c r="AE502" i="59"/>
  <c r="AE250" i="59"/>
  <c r="AE501" i="59"/>
  <c r="AE354" i="59"/>
  <c r="AE914" i="59" l="1"/>
  <c r="AD915" i="59"/>
  <c r="AE915" i="59"/>
  <c r="AE359" i="59" l="1"/>
  <c r="AE580" i="59"/>
  <c r="AD250" i="59"/>
  <c r="AB502" i="59" l="1"/>
  <c r="AB501" i="59"/>
  <c r="AB861" i="59"/>
  <c r="AB880" i="59"/>
  <c r="AB253" i="59" l="1"/>
  <c r="AA915" i="59" l="1"/>
  <c r="Y446" i="59" l="1"/>
  <c r="Y250" i="59" l="1"/>
  <c r="Y501" i="59" l="1"/>
  <c r="Y913" i="59"/>
  <c r="Y502" i="59"/>
  <c r="Y449" i="59"/>
  <c r="X502" i="59" l="1"/>
  <c r="X263" i="59" l="1"/>
  <c r="Y861" i="59" l="1"/>
  <c r="X916" i="59" l="1"/>
  <c r="Y34" i="59" l="1"/>
  <c r="V446" i="59" l="1"/>
  <c r="V580" i="59"/>
  <c r="U359" i="59" l="1"/>
  <c r="V502" i="59"/>
  <c r="V575" i="59" l="1"/>
  <c r="V501" i="59"/>
  <c r="V913" i="59" l="1"/>
  <c r="V915" i="59"/>
  <c r="U686" i="59"/>
  <c r="R915" i="59" l="1"/>
  <c r="S446" i="59"/>
  <c r="S501" i="59"/>
  <c r="S502" i="59"/>
  <c r="S412" i="59"/>
  <c r="S704" i="59" l="1"/>
  <c r="R350" i="59"/>
  <c r="R20" i="59" l="1"/>
  <c r="R880" i="59" l="1"/>
  <c r="AV270" i="59"/>
  <c r="AW270" i="59"/>
  <c r="S913" i="59" l="1"/>
  <c r="S580" i="59" l="1"/>
  <c r="AW293" i="59"/>
  <c r="AW294" i="59"/>
  <c r="AW295" i="59"/>
  <c r="AW296" i="59"/>
  <c r="AW297" i="59"/>
  <c r="AW298" i="59"/>
  <c r="AW299" i="59"/>
  <c r="AW300" i="59"/>
  <c r="AW301" i="59"/>
  <c r="AW302" i="59"/>
  <c r="AW303" i="59"/>
  <c r="AW304" i="59"/>
  <c r="AW305" i="59"/>
  <c r="AW306" i="59"/>
  <c r="AW307" i="59"/>
  <c r="AW308" i="59"/>
  <c r="AW310" i="59"/>
  <c r="AW311" i="59"/>
  <c r="AW312" i="59"/>
  <c r="AW313" i="59"/>
  <c r="AW314" i="59"/>
  <c r="AW315" i="59"/>
  <c r="AW316" i="59"/>
  <c r="AW317" i="59"/>
  <c r="AW318" i="59"/>
  <c r="AW319" i="59"/>
  <c r="AW320" i="59"/>
  <c r="AW321" i="59"/>
  <c r="AW322" i="59"/>
  <c r="AW323" i="59"/>
  <c r="AW324" i="59"/>
  <c r="AW325" i="59"/>
  <c r="AW326" i="59"/>
  <c r="AW327" i="59"/>
  <c r="AW328" i="59"/>
  <c r="AW329" i="59"/>
  <c r="AW330" i="59"/>
  <c r="AW331" i="59"/>
  <c r="AW332" i="59"/>
  <c r="AW333" i="59"/>
  <c r="AW334" i="59"/>
  <c r="AW335" i="59"/>
  <c r="AW336" i="59"/>
  <c r="AW337" i="59"/>
  <c r="AW338" i="59"/>
  <c r="AW339" i="59"/>
  <c r="AW340" i="59"/>
  <c r="AW341" i="59"/>
  <c r="AW342" i="59"/>
  <c r="AW343" i="59"/>
  <c r="AW344" i="59"/>
  <c r="AW345" i="59"/>
  <c r="AW346" i="59"/>
  <c r="AW347" i="59"/>
  <c r="AW348" i="59"/>
  <c r="AW349" i="59"/>
  <c r="AW350" i="59"/>
  <c r="AW351" i="59"/>
  <c r="AW352" i="59"/>
  <c r="AW353" i="59"/>
  <c r="AW354" i="59"/>
  <c r="AW355" i="59"/>
  <c r="AW357" i="59"/>
  <c r="AW358" i="59"/>
  <c r="AW360" i="59"/>
  <c r="AW361" i="59"/>
  <c r="AW362" i="59"/>
  <c r="AW363" i="59"/>
  <c r="AW364" i="59"/>
  <c r="AW365" i="59"/>
  <c r="AW366" i="59"/>
  <c r="AW367" i="59"/>
  <c r="AW368" i="59"/>
  <c r="AW369" i="59"/>
  <c r="AW370" i="59"/>
  <c r="AW372" i="59"/>
  <c r="AW374" i="59"/>
  <c r="AW377" i="59"/>
  <c r="AW378" i="59"/>
  <c r="AW379" i="59"/>
  <c r="AW380" i="59"/>
  <c r="AW381" i="59"/>
  <c r="AW382" i="59"/>
  <c r="AW383" i="59"/>
  <c r="AW384" i="59"/>
  <c r="AW386" i="59"/>
  <c r="AW387" i="59"/>
  <c r="AW388" i="59"/>
  <c r="AW389" i="59"/>
  <c r="AW390" i="59"/>
  <c r="AW391" i="59"/>
  <c r="AW392" i="59"/>
  <c r="AW393" i="59"/>
  <c r="AW394" i="59"/>
  <c r="AW395" i="59"/>
  <c r="AW396" i="59"/>
  <c r="AW397" i="59"/>
  <c r="AW398" i="59"/>
  <c r="AW399" i="59"/>
  <c r="AW400" i="59"/>
  <c r="AW401" i="59"/>
  <c r="AW402" i="59"/>
  <c r="AW403" i="59"/>
  <c r="AW404" i="59"/>
  <c r="AW405" i="59"/>
  <c r="AW406" i="59"/>
  <c r="AW408" i="59"/>
  <c r="AW409" i="59"/>
  <c r="AW410" i="59"/>
  <c r="AW411" i="59"/>
  <c r="AW412" i="59"/>
  <c r="AW414" i="59"/>
  <c r="AW415" i="59"/>
  <c r="AW416" i="59"/>
  <c r="AW417" i="59"/>
  <c r="AW418" i="59"/>
  <c r="AW419" i="59"/>
  <c r="AW420" i="59"/>
  <c r="AW421" i="59"/>
  <c r="AW422" i="59"/>
  <c r="AW423" i="59"/>
  <c r="AW424" i="59"/>
  <c r="AW425" i="59"/>
  <c r="AW426" i="59"/>
  <c r="AW427" i="59"/>
  <c r="AW910" i="59"/>
  <c r="AW429" i="59"/>
  <c r="AW430" i="59"/>
  <c r="AW431" i="59"/>
  <c r="AW432" i="59"/>
  <c r="AW433" i="59"/>
  <c r="AW434" i="59"/>
  <c r="AW435" i="59"/>
  <c r="AW436" i="59"/>
  <c r="AW437" i="59"/>
  <c r="AW438" i="59"/>
  <c r="AW439" i="59"/>
  <c r="AW440" i="59"/>
  <c r="AW441" i="59"/>
  <c r="AW442" i="59"/>
  <c r="AW443" i="59"/>
  <c r="AW444" i="59"/>
  <c r="AW445" i="59"/>
  <c r="AW447" i="59"/>
  <c r="AW448" i="59"/>
  <c r="AW449" i="59"/>
  <c r="AW451" i="59"/>
  <c r="AW452" i="59"/>
  <c r="AW487" i="59"/>
  <c r="AW488" i="59"/>
  <c r="AW489" i="59"/>
  <c r="AW490" i="59"/>
  <c r="AW491" i="59"/>
  <c r="AW492" i="59"/>
  <c r="AW493" i="59"/>
  <c r="AW494" i="59"/>
  <c r="AW495" i="59"/>
  <c r="AW497" i="59"/>
  <c r="AW510" i="59"/>
  <c r="AW503" i="59"/>
  <c r="AW504" i="59"/>
  <c r="AW505" i="59"/>
  <c r="AW507" i="59"/>
  <c r="AW509" i="59"/>
  <c r="AW499" i="59"/>
  <c r="AW511" i="59"/>
  <c r="AW512" i="59"/>
  <c r="AW513" i="59"/>
  <c r="AW516" i="59"/>
  <c r="AW525" i="59"/>
  <c r="AW526" i="59"/>
  <c r="AW527" i="59"/>
  <c r="AW528" i="59"/>
  <c r="AW529" i="59"/>
  <c r="AW530" i="59"/>
  <c r="AW531" i="59"/>
  <c r="AW532" i="59"/>
  <c r="AW533" i="59"/>
  <c r="AW534" i="59"/>
  <c r="AW535" i="59"/>
  <c r="AW536" i="59"/>
  <c r="AW537" i="59"/>
  <c r="AW538" i="59"/>
  <c r="AW539" i="59"/>
  <c r="AW540" i="59"/>
  <c r="AW541" i="59"/>
  <c r="AW542" i="59"/>
  <c r="AW517" i="59"/>
  <c r="AW518" i="59"/>
  <c r="AW521" i="59"/>
  <c r="AW522" i="59"/>
  <c r="AW523" i="59"/>
  <c r="AW524" i="59"/>
  <c r="AW543" i="59"/>
  <c r="AW544" i="59"/>
  <c r="AW545" i="59"/>
  <c r="AW546" i="59"/>
  <c r="AW547" i="59"/>
  <c r="AW548" i="59"/>
  <c r="AW549" i="59"/>
  <c r="AW550" i="59"/>
  <c r="AW552" i="59"/>
  <c r="AW553" i="59"/>
  <c r="AW554" i="59"/>
  <c r="AW555" i="59"/>
  <c r="AW557" i="59"/>
  <c r="AW558" i="59"/>
  <c r="AW559" i="59"/>
  <c r="AW560" i="59"/>
  <c r="AW561" i="59"/>
  <c r="AW562" i="59"/>
  <c r="AW563" i="59"/>
  <c r="AW564" i="59"/>
  <c r="AW565" i="59"/>
  <c r="AW566" i="59"/>
  <c r="AW568" i="59"/>
  <c r="AW569" i="59"/>
  <c r="AW570" i="59"/>
  <c r="AW571" i="59"/>
  <c r="AW572" i="59"/>
  <c r="AW573" i="59"/>
  <c r="AW574" i="59"/>
  <c r="AW576" i="59"/>
  <c r="AW577" i="59"/>
  <c r="AW581" i="59"/>
  <c r="AW582" i="59"/>
  <c r="AW584" i="59"/>
  <c r="AW585" i="59"/>
  <c r="AW586" i="59"/>
  <c r="AW587" i="59"/>
  <c r="AW588" i="59"/>
  <c r="AW589" i="59"/>
  <c r="AW590" i="59"/>
  <c r="AW591" i="59"/>
  <c r="AW592" i="59"/>
  <c r="AW593" i="59"/>
  <c r="AW594" i="59"/>
  <c r="AW595" i="59"/>
  <c r="AW608" i="59"/>
  <c r="AW600" i="59"/>
  <c r="AW603" i="59"/>
  <c r="AW596" i="59"/>
  <c r="AW609" i="59"/>
  <c r="AW602" i="59"/>
  <c r="AW601" i="59"/>
  <c r="AW604" i="59"/>
  <c r="AW605" i="59"/>
  <c r="AW851" i="59"/>
  <c r="AW643" i="59"/>
  <c r="AW607" i="59"/>
  <c r="AW645" i="59"/>
  <c r="AW626" i="59"/>
  <c r="AW627" i="59"/>
  <c r="AW636" i="59"/>
  <c r="AW625" i="59"/>
  <c r="AW597" i="59"/>
  <c r="AW651" i="59"/>
  <c r="AW642" i="59"/>
  <c r="AW635" i="59"/>
  <c r="AW637" i="59"/>
  <c r="AW611" i="59"/>
  <c r="AW632" i="59"/>
  <c r="AW641" i="59"/>
  <c r="AW640" i="59"/>
  <c r="AW633" i="59"/>
  <c r="AW634" i="59"/>
  <c r="AW631" i="59"/>
  <c r="AW610" i="59"/>
  <c r="AW852" i="59"/>
  <c r="AW639" i="59"/>
  <c r="AW650" i="59"/>
  <c r="AW850" i="59"/>
  <c r="AW853" i="59"/>
  <c r="AW854" i="59"/>
  <c r="AW855" i="59"/>
  <c r="AW856" i="59"/>
  <c r="AW857" i="59"/>
  <c r="AW598" i="59"/>
  <c r="AW599" i="59"/>
  <c r="AW644" i="59"/>
  <c r="AW606" i="59"/>
  <c r="AW612" i="59"/>
  <c r="AW613" i="59"/>
  <c r="AW614" i="59"/>
  <c r="AW615" i="59"/>
  <c r="AW616" i="59"/>
  <c r="AW617" i="59"/>
  <c r="AW618" i="59"/>
  <c r="AW619" i="59"/>
  <c r="AW620" i="59"/>
  <c r="AW621" i="59"/>
  <c r="AW622" i="59"/>
  <c r="AW630" i="59"/>
  <c r="AW858" i="59"/>
  <c r="AW859" i="59"/>
  <c r="AW694" i="59"/>
  <c r="AW698" i="59"/>
  <c r="AW716" i="59"/>
  <c r="AW717" i="59"/>
  <c r="AW718" i="59"/>
  <c r="AW726" i="59"/>
  <c r="AW725" i="59"/>
  <c r="AW724" i="59"/>
  <c r="AW723" i="59"/>
  <c r="AW695" i="59"/>
  <c r="AW692" i="59"/>
  <c r="AW691" i="59"/>
  <c r="AW693" i="59"/>
  <c r="AW699" i="59"/>
  <c r="AW689" i="59"/>
  <c r="AW690" i="59"/>
  <c r="AW688" i="59"/>
  <c r="AW628" i="59"/>
  <c r="AW684" i="59"/>
  <c r="AW685" i="59"/>
  <c r="AW686" i="59"/>
  <c r="AW687" i="59"/>
  <c r="AW697" i="59"/>
  <c r="AW413" i="59"/>
  <c r="AW696" i="59"/>
  <c r="AW682" i="59"/>
  <c r="AW683" i="59"/>
  <c r="AW663" i="59"/>
  <c r="AW660" i="59"/>
  <c r="AW662" i="59"/>
  <c r="AW671" i="59"/>
  <c r="AW661" i="59"/>
  <c r="AW657" i="59"/>
  <c r="AW659" i="59"/>
  <c r="AW655" i="59"/>
  <c r="AW654" i="59"/>
  <c r="AW669" i="59"/>
  <c r="AW719" i="59"/>
  <c r="AW667" i="59"/>
  <c r="AW670" i="59"/>
  <c r="AW679" i="59"/>
  <c r="AW680" i="59"/>
  <c r="AW862" i="59"/>
  <c r="AW681" i="59"/>
  <c r="AW700" i="59"/>
  <c r="AW701" i="59"/>
  <c r="AW703" i="59"/>
  <c r="AW702" i="59"/>
  <c r="AW704" i="59"/>
  <c r="AW863" i="59"/>
  <c r="AW864" i="59"/>
  <c r="AW865" i="59"/>
  <c r="AW866" i="59"/>
  <c r="AW867" i="59"/>
  <c r="AW868" i="59"/>
  <c r="AW869" i="59"/>
  <c r="AW870" i="59"/>
  <c r="AW871" i="59"/>
  <c r="AW872" i="59"/>
  <c r="AW873" i="59"/>
  <c r="AW874" i="59"/>
  <c r="AW711" i="59"/>
  <c r="AW710" i="59"/>
  <c r="AW712" i="59"/>
  <c r="AW713" i="59"/>
  <c r="AW709" i="59"/>
  <c r="AW708" i="59"/>
  <c r="AW748" i="59"/>
  <c r="AW737" i="59"/>
  <c r="AW751" i="59"/>
  <c r="AW727" i="59"/>
  <c r="AW731" i="59"/>
  <c r="AW732" i="59"/>
  <c r="AW728" i="59"/>
  <c r="AW730" i="59"/>
  <c r="AW734" i="59"/>
  <c r="AW706" i="59"/>
  <c r="AW750" i="59"/>
  <c r="AW749" i="59"/>
  <c r="AW707" i="59"/>
  <c r="AW705" i="59"/>
  <c r="AW733" i="59"/>
  <c r="AW741" i="59"/>
  <c r="AW739" i="59"/>
  <c r="AW729" i="59"/>
  <c r="AW735" i="59"/>
  <c r="AW744" i="59"/>
  <c r="AW743" i="59"/>
  <c r="AW740" i="59"/>
  <c r="AW745" i="59"/>
  <c r="AW738" i="59"/>
  <c r="AW742" i="59"/>
  <c r="AW746" i="59"/>
  <c r="AW747" i="59"/>
  <c r="AW875" i="59"/>
  <c r="AW736" i="59"/>
  <c r="AW674" i="59"/>
  <c r="AW676" i="59"/>
  <c r="AW675" i="59"/>
  <c r="AW677" i="59"/>
  <c r="AW678" i="59"/>
  <c r="AW656" i="59"/>
  <c r="AW752" i="59"/>
  <c r="AW753" i="59"/>
  <c r="AW754" i="59"/>
  <c r="AW755" i="59"/>
  <c r="AW756" i="59"/>
  <c r="AW757" i="59"/>
  <c r="AW758" i="59"/>
  <c r="AW759" i="59"/>
  <c r="AW760" i="59"/>
  <c r="AW761" i="59"/>
  <c r="AW762" i="59"/>
  <c r="AW763" i="59"/>
  <c r="AW764" i="59"/>
  <c r="AW765" i="59"/>
  <c r="AW766" i="59"/>
  <c r="AW767" i="59"/>
  <c r="AW768" i="59"/>
  <c r="AW769" i="59"/>
  <c r="AW770" i="59"/>
  <c r="AW771" i="59"/>
  <c r="AW772" i="59"/>
  <c r="AW773" i="59"/>
  <c r="AW774" i="59"/>
  <c r="AW775" i="59"/>
  <c r="AW776" i="59"/>
  <c r="AW777" i="59"/>
  <c r="AW778" i="59"/>
  <c r="AW779" i="59"/>
  <c r="AW780" i="59"/>
  <c r="AW781" i="59"/>
  <c r="AW782" i="59"/>
  <c r="AW783" i="59"/>
  <c r="AW784" i="59"/>
  <c r="AW785" i="59"/>
  <c r="AW786" i="59"/>
  <c r="AW787" i="59"/>
  <c r="AW788" i="59"/>
  <c r="AW789" i="59"/>
  <c r="AW790" i="59"/>
  <c r="AW791" i="59"/>
  <c r="AW792" i="59"/>
  <c r="AW793" i="59"/>
  <c r="AW794" i="59"/>
  <c r="AW795" i="59"/>
  <c r="AW796" i="59"/>
  <c r="AW797" i="59"/>
  <c r="AW798" i="59"/>
  <c r="AW799" i="59"/>
  <c r="AW800" i="59"/>
  <c r="AW801" i="59"/>
  <c r="AW802" i="59"/>
  <c r="AW803" i="59"/>
  <c r="AW804" i="59"/>
  <c r="AW805" i="59"/>
  <c r="AW806" i="59"/>
  <c r="AW807" i="59"/>
  <c r="AW808" i="59"/>
  <c r="AW809" i="59"/>
  <c r="AW810" i="59"/>
  <c r="AW811" i="59"/>
  <c r="AW812" i="59"/>
  <c r="AW813" i="59"/>
  <c r="AW814" i="59"/>
  <c r="AW815" i="59"/>
  <c r="AW816" i="59"/>
  <c r="AW817" i="59"/>
  <c r="AW818" i="59"/>
  <c r="AW819" i="59"/>
  <c r="AW820" i="59"/>
  <c r="AW821" i="59"/>
  <c r="AW822" i="59"/>
  <c r="AW823" i="59"/>
  <c r="AW824" i="59"/>
  <c r="AW825" i="59"/>
  <c r="AW826" i="59"/>
  <c r="AW827" i="59"/>
  <c r="AW828" i="59"/>
  <c r="AW829" i="59"/>
  <c r="AW830" i="59"/>
  <c r="AW831" i="59"/>
  <c r="AW652" i="59"/>
  <c r="AW832" i="59"/>
  <c r="AW833" i="59"/>
  <c r="AW834" i="59"/>
  <c r="AW835" i="59"/>
  <c r="AW836" i="59"/>
  <c r="AW837" i="59"/>
  <c r="AW838" i="59"/>
  <c r="AW839" i="59"/>
  <c r="AW840" i="59"/>
  <c r="AW841" i="59"/>
  <c r="AW842" i="59"/>
  <c r="AW843" i="59"/>
  <c r="AW844" i="59"/>
  <c r="AW845" i="59"/>
  <c r="AW846" i="59"/>
  <c r="AW847" i="59"/>
  <c r="AW848" i="59"/>
  <c r="AW849" i="59"/>
  <c r="AW653" i="59"/>
  <c r="AW876" i="59"/>
  <c r="AW877" i="59"/>
  <c r="AW878" i="59"/>
  <c r="AW879" i="59"/>
  <c r="AW880" i="59"/>
  <c r="AW881" i="59"/>
  <c r="AW882" i="59"/>
  <c r="AW883" i="59"/>
  <c r="AW884" i="59"/>
  <c r="AW885" i="59"/>
  <c r="AW886" i="59"/>
  <c r="AW890" i="59"/>
  <c r="AW891" i="59"/>
  <c r="AW892" i="59"/>
  <c r="AW893" i="59"/>
  <c r="AW894" i="59"/>
  <c r="AW895" i="59"/>
  <c r="AW896" i="59"/>
  <c r="AW897" i="59"/>
  <c r="AW898" i="59"/>
  <c r="AW899" i="59"/>
  <c r="AW900" i="59"/>
  <c r="AW901" i="59"/>
  <c r="AW902" i="59"/>
  <c r="AW720" i="59"/>
  <c r="AW903" i="59"/>
  <c r="AW904" i="59"/>
  <c r="AW905" i="59"/>
  <c r="AW906" i="59"/>
  <c r="AW907" i="59"/>
  <c r="AW908" i="59"/>
  <c r="AW909" i="59"/>
  <c r="AW911" i="59"/>
  <c r="AW912" i="59"/>
  <c r="AW916" i="59"/>
  <c r="AW917" i="59"/>
  <c r="AW918" i="59"/>
  <c r="AW919" i="59"/>
  <c r="AW514" i="59"/>
  <c r="AW515" i="59"/>
  <c r="AW920" i="59"/>
  <c r="AW924" i="59"/>
  <c r="AW921" i="59"/>
  <c r="AW922" i="59"/>
  <c r="AW500" i="59"/>
  <c r="AW224" i="59"/>
  <c r="AW454" i="59"/>
  <c r="AW453" i="59"/>
  <c r="AW455" i="59"/>
  <c r="AW456" i="59"/>
  <c r="AW457" i="59"/>
  <c r="AW461" i="59"/>
  <c r="AW462" i="59"/>
  <c r="AW458" i="59"/>
  <c r="AW459" i="59"/>
  <c r="AW460" i="59"/>
  <c r="AW463" i="59"/>
  <c r="AW465" i="59"/>
  <c r="AW464" i="59"/>
  <c r="AW476" i="59"/>
  <c r="AW466" i="59"/>
  <c r="AW468" i="59"/>
  <c r="AW469" i="59"/>
  <c r="AW470" i="59"/>
  <c r="AW472" i="59"/>
  <c r="AW474" i="59"/>
  <c r="AW475" i="59"/>
  <c r="AW473" i="59"/>
  <c r="AW477" i="59"/>
  <c r="AW484" i="59"/>
  <c r="AW478" i="59"/>
  <c r="AW479" i="59"/>
  <c r="AW480" i="59"/>
  <c r="AW481" i="59"/>
  <c r="AW482" i="59"/>
  <c r="AW471" i="59"/>
  <c r="AW485" i="59"/>
  <c r="AW486" i="59"/>
  <c r="AW37" i="59"/>
  <c r="AW38" i="59"/>
  <c r="AW39" i="59"/>
  <c r="AW40" i="59"/>
  <c r="AW498" i="59"/>
  <c r="AW496" i="59"/>
  <c r="AW629" i="59"/>
  <c r="AW923" i="59"/>
  <c r="AW666" i="59"/>
  <c r="AW658" i="59"/>
  <c r="AW715" i="59"/>
  <c r="AW520" i="59"/>
  <c r="AW673" i="59"/>
  <c r="AW714" i="59"/>
  <c r="AW668" i="59"/>
  <c r="AW888" i="59"/>
  <c r="AW373" i="59"/>
  <c r="AW721" i="59"/>
  <c r="AW722" i="59"/>
  <c r="AW623" i="59"/>
  <c r="AW624" i="59"/>
  <c r="AW925" i="59"/>
  <c r="AW519" i="59"/>
  <c r="AW646" i="59"/>
  <c r="AW647" i="59"/>
  <c r="AW648" i="59"/>
  <c r="AW649" i="59"/>
  <c r="AW887" i="59"/>
  <c r="AW309" i="59"/>
  <c r="AW926" i="59"/>
  <c r="AW375" i="59"/>
  <c r="AW376" i="59"/>
  <c r="AW91" i="59"/>
  <c r="AW467" i="59"/>
  <c r="AW889" i="59"/>
  <c r="AW428" i="59"/>
  <c r="AW933" i="59"/>
  <c r="AW638" i="59"/>
  <c r="AW483" i="59"/>
  <c r="AW665" i="59"/>
  <c r="AW927" i="59"/>
  <c r="AW928" i="59"/>
  <c r="AW929" i="59"/>
  <c r="AW930" i="59"/>
  <c r="AW931" i="59"/>
  <c r="AW932" i="59"/>
  <c r="AW934" i="59"/>
  <c r="AW935" i="59"/>
  <c r="AW936" i="59"/>
  <c r="AW937" i="59"/>
  <c r="AW938" i="59"/>
  <c r="AW939" i="59"/>
  <c r="AW940" i="59"/>
  <c r="AW941" i="59"/>
  <c r="AW942" i="59"/>
  <c r="AW943" i="59"/>
  <c r="AW944" i="59"/>
  <c r="AW945" i="59"/>
  <c r="AW946" i="59"/>
  <c r="AW947" i="59"/>
  <c r="AW948" i="59"/>
  <c r="AW949" i="59"/>
  <c r="AW950" i="59"/>
  <c r="AW951" i="59"/>
  <c r="AW952" i="59"/>
  <c r="AW953" i="59"/>
  <c r="AW954" i="59"/>
  <c r="AW955" i="59"/>
  <c r="AW956" i="59"/>
  <c r="AW957" i="59"/>
  <c r="AW958" i="59"/>
  <c r="AW959" i="59"/>
  <c r="AW960" i="59"/>
  <c r="AW961" i="59"/>
  <c r="AW962" i="59"/>
  <c r="AW963" i="59"/>
  <c r="AW964" i="59"/>
  <c r="AW965" i="59"/>
  <c r="AW966" i="59"/>
  <c r="AW967" i="59"/>
  <c r="AW968" i="59"/>
  <c r="AW969" i="59"/>
  <c r="AW970" i="59"/>
  <c r="AW971" i="59"/>
  <c r="AW972" i="59"/>
  <c r="AW973" i="59"/>
  <c r="AW974" i="59"/>
  <c r="AW975" i="59"/>
  <c r="AW976" i="59"/>
  <c r="AW977" i="59"/>
  <c r="AW978" i="59"/>
  <c r="AW979" i="59"/>
  <c r="AW980" i="59"/>
  <c r="AW981" i="59"/>
  <c r="AW982" i="59"/>
  <c r="AW983" i="59"/>
  <c r="AW984" i="59"/>
  <c r="AW985" i="59"/>
  <c r="AW986" i="59"/>
  <c r="AW987" i="59"/>
  <c r="AW988" i="59"/>
  <c r="AW989" i="59"/>
  <c r="AW990" i="59"/>
  <c r="AW991" i="59"/>
  <c r="AW992" i="59"/>
  <c r="AW993" i="59"/>
  <c r="AW994" i="59"/>
  <c r="AV293" i="59"/>
  <c r="AV294" i="59"/>
  <c r="AV295" i="59"/>
  <c r="AV296" i="59"/>
  <c r="AV297" i="59"/>
  <c r="S915" i="59" l="1"/>
  <c r="R629" i="59"/>
  <c r="AV599" i="59"/>
  <c r="R914" i="59"/>
  <c r="O664" i="59" l="1"/>
  <c r="P501" i="59" l="1"/>
  <c r="P915" i="59"/>
  <c r="AW915" i="59" s="1"/>
  <c r="P508" i="59"/>
  <c r="AW508" i="59" s="1"/>
  <c r="P506" i="59" l="1"/>
  <c r="AW506" i="59" s="1"/>
  <c r="P502" i="59"/>
  <c r="P446" i="59"/>
  <c r="P179" i="59"/>
  <c r="BH498" i="59" l="1"/>
  <c r="P580" i="59"/>
  <c r="P913" i="59" l="1"/>
  <c r="AW913" i="59" s="1"/>
  <c r="AV516" i="59" l="1"/>
  <c r="AV525" i="59"/>
  <c r="M502" i="59"/>
  <c r="AW502" i="59" s="1"/>
  <c r="M501" i="59"/>
  <c r="AW501" i="59" s="1"/>
  <c r="M664" i="59" l="1"/>
  <c r="AW664" i="59" s="1"/>
  <c r="M359" i="59"/>
  <c r="AW359" i="59" s="1"/>
  <c r="M914" i="59" l="1"/>
  <c r="AW914" i="59" s="1"/>
  <c r="M407" i="59" l="1"/>
  <c r="AW407" i="59" s="1"/>
  <c r="M371" i="59" l="1"/>
  <c r="AW371" i="59" s="1"/>
  <c r="M446" i="59" l="1"/>
  <c r="AW446" i="59" s="1"/>
  <c r="M580" i="59"/>
  <c r="AW580" i="59" s="1"/>
  <c r="M575" i="59"/>
  <c r="AW575" i="59" s="1"/>
  <c r="M250" i="59"/>
  <c r="M579" i="59"/>
  <c r="AW579" i="59" s="1"/>
  <c r="M578" i="59"/>
  <c r="AW578" i="59" s="1"/>
  <c r="M583" i="59"/>
  <c r="AW583" i="59" s="1"/>
  <c r="M356" i="59"/>
  <c r="AW356" i="59" s="1"/>
  <c r="M385" i="59"/>
  <c r="AW385" i="59" s="1"/>
  <c r="M245" i="59" l="1"/>
  <c r="M567" i="59"/>
  <c r="AW567" i="59" s="1"/>
  <c r="M551" i="59"/>
  <c r="AW551" i="59" s="1"/>
  <c r="M556" i="59"/>
  <c r="AW556" i="59" s="1"/>
  <c r="M230" i="59"/>
  <c r="M672" i="59"/>
  <c r="AW672" i="59" s="1"/>
  <c r="AW861" i="59"/>
  <c r="M450" i="59"/>
  <c r="AW450" i="59" s="1"/>
  <c r="AW860" i="59"/>
  <c r="L76" i="59" l="1"/>
  <c r="BH629" i="59" l="1"/>
  <c r="BH951" i="59"/>
  <c r="BH952" i="59"/>
  <c r="BH953" i="59"/>
  <c r="BH954" i="59"/>
  <c r="BH955" i="59"/>
  <c r="BH956" i="59"/>
  <c r="BH957" i="59"/>
  <c r="BH958" i="59"/>
  <c r="BH959" i="59"/>
  <c r="BH960" i="59"/>
  <c r="BH961" i="59"/>
  <c r="BH962" i="59"/>
  <c r="BH963" i="59"/>
  <c r="BH964" i="59"/>
  <c r="BH965" i="59"/>
  <c r="BH966" i="59"/>
  <c r="BH967" i="59"/>
  <c r="BH968" i="59"/>
  <c r="BH969" i="59"/>
  <c r="BH970" i="59"/>
  <c r="BH971" i="59"/>
  <c r="BH972" i="59"/>
  <c r="BH973" i="59"/>
  <c r="BH974" i="59"/>
  <c r="BH975" i="59"/>
  <c r="BH976" i="59"/>
  <c r="BH977" i="59"/>
  <c r="BH978" i="59"/>
  <c r="BH979" i="59"/>
  <c r="BH980" i="59"/>
  <c r="BH981" i="59"/>
  <c r="BH982" i="59"/>
  <c r="BH983" i="59"/>
  <c r="BH984" i="59"/>
  <c r="BH985" i="59"/>
  <c r="BH986" i="59"/>
  <c r="BH987" i="59"/>
  <c r="BH988" i="59"/>
  <c r="BH989" i="59"/>
  <c r="BH990" i="59"/>
  <c r="BH991" i="59"/>
  <c r="BH992" i="59"/>
  <c r="BH993" i="59"/>
  <c r="BH994" i="59"/>
  <c r="N994" i="59"/>
  <c r="Q994" i="59" s="1"/>
  <c r="T994" i="59" s="1"/>
  <c r="W994" i="59" s="1"/>
  <c r="Z994" i="59" s="1"/>
  <c r="AC994" i="59" s="1"/>
  <c r="AF994" i="59" s="1"/>
  <c r="AI994" i="59" s="1"/>
  <c r="AL994" i="59" s="1"/>
  <c r="AO994" i="59" s="1"/>
  <c r="AR994" i="59" s="1"/>
  <c r="AU994" i="59" s="1"/>
  <c r="J994" i="59" s="1"/>
  <c r="AV994" i="59"/>
  <c r="AX994" i="59"/>
  <c r="AY994" i="59"/>
  <c r="AZ994" i="59"/>
  <c r="BA994" i="59"/>
  <c r="BB994" i="59"/>
  <c r="N610" i="59"/>
  <c r="Q610" i="59" s="1"/>
  <c r="T610" i="59" s="1"/>
  <c r="W610" i="59" s="1"/>
  <c r="Z610" i="59" s="1"/>
  <c r="AC610" i="59" s="1"/>
  <c r="AF610" i="59" s="1"/>
  <c r="AI610" i="59" s="1"/>
  <c r="AL610" i="59" s="1"/>
  <c r="AO610" i="59" s="1"/>
  <c r="AR610" i="59" s="1"/>
  <c r="AU610" i="59" s="1"/>
  <c r="J610" i="59" s="1"/>
  <c r="AV610" i="59"/>
  <c r="AX610" i="59"/>
  <c r="AY610" i="59"/>
  <c r="AZ610" i="59"/>
  <c r="BA610" i="59"/>
  <c r="N328" i="59"/>
  <c r="Q328" i="59" s="1"/>
  <c r="T328" i="59" s="1"/>
  <c r="W328" i="59" s="1"/>
  <c r="Z328" i="59" s="1"/>
  <c r="AC328" i="59" s="1"/>
  <c r="AF328" i="59" s="1"/>
  <c r="AI328" i="59" s="1"/>
  <c r="AL328" i="59" s="1"/>
  <c r="AO328" i="59" s="1"/>
  <c r="AR328" i="59" s="1"/>
  <c r="AU328" i="59" s="1"/>
  <c r="J328" i="59" s="1"/>
  <c r="AV328" i="59"/>
  <c r="AX328" i="59"/>
  <c r="AY328" i="59"/>
  <c r="AZ328" i="59"/>
  <c r="N484" i="59"/>
  <c r="Q484" i="59" s="1"/>
  <c r="T484" i="59" s="1"/>
  <c r="W484" i="59" s="1"/>
  <c r="Z484" i="59" s="1"/>
  <c r="AC484" i="59" s="1"/>
  <c r="AF484" i="59" s="1"/>
  <c r="AI484" i="59" s="1"/>
  <c r="AL484" i="59" s="1"/>
  <c r="AO484" i="59" s="1"/>
  <c r="AR484" i="59" s="1"/>
  <c r="AU484" i="59" s="1"/>
  <c r="J484" i="59" s="1"/>
  <c r="AV484" i="59"/>
  <c r="AX484" i="59"/>
  <c r="AY484" i="59"/>
  <c r="AZ484" i="59"/>
  <c r="N454" i="59"/>
  <c r="Q454" i="59" s="1"/>
  <c r="T454" i="59" s="1"/>
  <c r="W454" i="59" s="1"/>
  <c r="Z454" i="59" s="1"/>
  <c r="AC454" i="59" s="1"/>
  <c r="AF454" i="59" s="1"/>
  <c r="AI454" i="59" s="1"/>
  <c r="AL454" i="59" s="1"/>
  <c r="AO454" i="59" s="1"/>
  <c r="AR454" i="59" s="1"/>
  <c r="AU454" i="59" s="1"/>
  <c r="J454" i="59" s="1"/>
  <c r="AV454" i="59"/>
  <c r="AX454" i="59"/>
  <c r="AY454" i="59"/>
  <c r="AZ454" i="59"/>
  <c r="N453" i="59"/>
  <c r="Q453" i="59" s="1"/>
  <c r="T453" i="59" s="1"/>
  <c r="W453" i="59" s="1"/>
  <c r="Z453" i="59" s="1"/>
  <c r="AC453" i="59" s="1"/>
  <c r="AF453" i="59" s="1"/>
  <c r="AI453" i="59" s="1"/>
  <c r="AL453" i="59" s="1"/>
  <c r="AO453" i="59" s="1"/>
  <c r="AR453" i="59" s="1"/>
  <c r="AU453" i="59" s="1"/>
  <c r="J453" i="59" s="1"/>
  <c r="AV453" i="59"/>
  <c r="AX453" i="59"/>
  <c r="AY453" i="59"/>
  <c r="AZ453" i="59"/>
  <c r="N481" i="59"/>
  <c r="Q481" i="59" s="1"/>
  <c r="T481" i="59" s="1"/>
  <c r="W481" i="59" s="1"/>
  <c r="Z481" i="59" s="1"/>
  <c r="AC481" i="59" s="1"/>
  <c r="AF481" i="59" s="1"/>
  <c r="AI481" i="59" s="1"/>
  <c r="AL481" i="59" s="1"/>
  <c r="AO481" i="59" s="1"/>
  <c r="AR481" i="59" s="1"/>
  <c r="AU481" i="59" s="1"/>
  <c r="J481" i="59" s="1"/>
  <c r="AV481" i="59"/>
  <c r="AX481" i="59"/>
  <c r="AY481" i="59"/>
  <c r="AZ481" i="59"/>
  <c r="N482" i="59"/>
  <c r="Q482" i="59" s="1"/>
  <c r="T482" i="59" s="1"/>
  <c r="W482" i="59" s="1"/>
  <c r="Z482" i="59" s="1"/>
  <c r="AC482" i="59" s="1"/>
  <c r="AF482" i="59" s="1"/>
  <c r="AI482" i="59" s="1"/>
  <c r="AL482" i="59" s="1"/>
  <c r="AO482" i="59" s="1"/>
  <c r="AR482" i="59" s="1"/>
  <c r="AU482" i="59" s="1"/>
  <c r="J482" i="59" s="1"/>
  <c r="AV482" i="59"/>
  <c r="AX482" i="59"/>
  <c r="AY482" i="59"/>
  <c r="AZ482" i="59"/>
  <c r="N88" i="59"/>
  <c r="Q88" i="59" s="1"/>
  <c r="T88" i="59" s="1"/>
  <c r="W88" i="59" s="1"/>
  <c r="Z88" i="59" s="1"/>
  <c r="AC88" i="59" s="1"/>
  <c r="AF88" i="59" s="1"/>
  <c r="AI88" i="59" s="1"/>
  <c r="AL88" i="59" s="1"/>
  <c r="AO88" i="59" s="1"/>
  <c r="AR88" i="59" s="1"/>
  <c r="AU88" i="59" s="1"/>
  <c r="J88" i="59" s="1"/>
  <c r="AV88" i="59"/>
  <c r="AW88" i="59"/>
  <c r="AX88" i="59"/>
  <c r="AY88" i="59"/>
  <c r="AZ88" i="59"/>
  <c r="N37" i="59"/>
  <c r="Q37" i="59" s="1"/>
  <c r="T37" i="59" s="1"/>
  <c r="W37" i="59" s="1"/>
  <c r="Z37" i="59" s="1"/>
  <c r="AC37" i="59" s="1"/>
  <c r="AF37" i="59" s="1"/>
  <c r="AI37" i="59" s="1"/>
  <c r="AL37" i="59" s="1"/>
  <c r="AO37" i="59" s="1"/>
  <c r="AR37" i="59" s="1"/>
  <c r="AU37" i="59" s="1"/>
  <c r="J37" i="59" s="1"/>
  <c r="AV37" i="59"/>
  <c r="AX37" i="59"/>
  <c r="AY37" i="59"/>
  <c r="AZ37" i="59"/>
  <c r="N38" i="59"/>
  <c r="Q38" i="59" s="1"/>
  <c r="T38" i="59" s="1"/>
  <c r="W38" i="59" s="1"/>
  <c r="Z38" i="59" s="1"/>
  <c r="AC38" i="59" s="1"/>
  <c r="AF38" i="59" s="1"/>
  <c r="AI38" i="59" s="1"/>
  <c r="AL38" i="59" s="1"/>
  <c r="AO38" i="59" s="1"/>
  <c r="AR38" i="59" s="1"/>
  <c r="AU38" i="59" s="1"/>
  <c r="J38" i="59" s="1"/>
  <c r="AV38" i="59"/>
  <c r="AX38" i="59"/>
  <c r="AY38" i="59"/>
  <c r="AZ38" i="59"/>
  <c r="N39" i="59"/>
  <c r="Q39" i="59" s="1"/>
  <c r="T39" i="59" s="1"/>
  <c r="W39" i="59" s="1"/>
  <c r="Z39" i="59" s="1"/>
  <c r="AC39" i="59" s="1"/>
  <c r="AF39" i="59" s="1"/>
  <c r="AI39" i="59" s="1"/>
  <c r="AL39" i="59" s="1"/>
  <c r="AO39" i="59" s="1"/>
  <c r="AR39" i="59" s="1"/>
  <c r="AU39" i="59" s="1"/>
  <c r="J39" i="59" s="1"/>
  <c r="AV39" i="59"/>
  <c r="AX39" i="59"/>
  <c r="AY39" i="59"/>
  <c r="AZ39" i="59"/>
  <c r="N40" i="59"/>
  <c r="Q40" i="59" s="1"/>
  <c r="T40" i="59" s="1"/>
  <c r="W40" i="59" s="1"/>
  <c r="Z40" i="59" s="1"/>
  <c r="AC40" i="59" s="1"/>
  <c r="AF40" i="59" s="1"/>
  <c r="AI40" i="59" s="1"/>
  <c r="AL40" i="59" s="1"/>
  <c r="AO40" i="59" s="1"/>
  <c r="AR40" i="59" s="1"/>
  <c r="AU40" i="59" s="1"/>
  <c r="J40" i="59" s="1"/>
  <c r="AV40" i="59"/>
  <c r="AX40" i="59"/>
  <c r="AY40" i="59"/>
  <c r="AZ40" i="59"/>
  <c r="BB40" i="59"/>
  <c r="N496" i="59"/>
  <c r="Q496" i="59" s="1"/>
  <c r="T496" i="59" s="1"/>
  <c r="W496" i="59" s="1"/>
  <c r="Z496" i="59" s="1"/>
  <c r="AC496" i="59" s="1"/>
  <c r="AF496" i="59" s="1"/>
  <c r="AI496" i="59" s="1"/>
  <c r="AL496" i="59" s="1"/>
  <c r="AO496" i="59" s="1"/>
  <c r="AR496" i="59" s="1"/>
  <c r="AU496" i="59" s="1"/>
  <c r="J496" i="59" s="1"/>
  <c r="AV496" i="59"/>
  <c r="AX496" i="59"/>
  <c r="AY496" i="59"/>
  <c r="AZ496" i="59"/>
  <c r="N629" i="59"/>
  <c r="Q629" i="59" s="1"/>
  <c r="T629" i="59" s="1"/>
  <c r="W629" i="59" s="1"/>
  <c r="Z629" i="59" s="1"/>
  <c r="AC629" i="59" s="1"/>
  <c r="AF629" i="59" s="1"/>
  <c r="AI629" i="59" s="1"/>
  <c r="AL629" i="59" s="1"/>
  <c r="AO629" i="59" s="1"/>
  <c r="AR629" i="59" s="1"/>
  <c r="AU629" i="59" s="1"/>
  <c r="J629" i="59" s="1"/>
  <c r="AV629" i="59"/>
  <c r="AX629" i="59"/>
  <c r="AY629" i="59"/>
  <c r="AZ629" i="59"/>
  <c r="N951" i="59"/>
  <c r="Q951" i="59" s="1"/>
  <c r="T951" i="59" s="1"/>
  <c r="W951" i="59" s="1"/>
  <c r="Z951" i="59" s="1"/>
  <c r="AC951" i="59" s="1"/>
  <c r="AF951" i="59" s="1"/>
  <c r="AI951" i="59" s="1"/>
  <c r="AL951" i="59" s="1"/>
  <c r="AO951" i="59" s="1"/>
  <c r="AR951" i="59" s="1"/>
  <c r="AU951" i="59" s="1"/>
  <c r="J951" i="59" s="1"/>
  <c r="AV951" i="59"/>
  <c r="AX951" i="59"/>
  <c r="AY951" i="59"/>
  <c r="AZ951" i="59"/>
  <c r="BA951" i="59"/>
  <c r="N952" i="59"/>
  <c r="Q952" i="59" s="1"/>
  <c r="T952" i="59" s="1"/>
  <c r="W952" i="59" s="1"/>
  <c r="Z952" i="59" s="1"/>
  <c r="AC952" i="59" s="1"/>
  <c r="AF952" i="59" s="1"/>
  <c r="AI952" i="59" s="1"/>
  <c r="AL952" i="59" s="1"/>
  <c r="AO952" i="59" s="1"/>
  <c r="AR952" i="59" s="1"/>
  <c r="AU952" i="59" s="1"/>
  <c r="J952" i="59" s="1"/>
  <c r="AV952" i="59"/>
  <c r="AX952" i="59"/>
  <c r="AY952" i="59"/>
  <c r="AZ952" i="59"/>
  <c r="BA952" i="59"/>
  <c r="N953" i="59"/>
  <c r="Q953" i="59" s="1"/>
  <c r="T953" i="59" s="1"/>
  <c r="W953" i="59" s="1"/>
  <c r="Z953" i="59" s="1"/>
  <c r="AC953" i="59" s="1"/>
  <c r="AF953" i="59" s="1"/>
  <c r="AI953" i="59" s="1"/>
  <c r="AL953" i="59" s="1"/>
  <c r="AO953" i="59" s="1"/>
  <c r="AR953" i="59" s="1"/>
  <c r="AU953" i="59" s="1"/>
  <c r="J953" i="59" s="1"/>
  <c r="AV953" i="59"/>
  <c r="AX953" i="59"/>
  <c r="AY953" i="59"/>
  <c r="AZ953" i="59"/>
  <c r="BA953" i="59"/>
  <c r="N954" i="59"/>
  <c r="Q954" i="59" s="1"/>
  <c r="T954" i="59" s="1"/>
  <c r="W954" i="59" s="1"/>
  <c r="Z954" i="59" s="1"/>
  <c r="AC954" i="59" s="1"/>
  <c r="AF954" i="59" s="1"/>
  <c r="AI954" i="59" s="1"/>
  <c r="AL954" i="59" s="1"/>
  <c r="AO954" i="59" s="1"/>
  <c r="AR954" i="59" s="1"/>
  <c r="AU954" i="59" s="1"/>
  <c r="J954" i="59" s="1"/>
  <c r="AV954" i="59"/>
  <c r="AX954" i="59"/>
  <c r="AY954" i="59"/>
  <c r="AZ954" i="59"/>
  <c r="BA954" i="59"/>
  <c r="N955" i="59"/>
  <c r="Q955" i="59" s="1"/>
  <c r="T955" i="59" s="1"/>
  <c r="W955" i="59" s="1"/>
  <c r="Z955" i="59" s="1"/>
  <c r="AC955" i="59" s="1"/>
  <c r="AF955" i="59" s="1"/>
  <c r="AI955" i="59" s="1"/>
  <c r="AL955" i="59" s="1"/>
  <c r="AO955" i="59" s="1"/>
  <c r="AR955" i="59" s="1"/>
  <c r="AU955" i="59" s="1"/>
  <c r="J955" i="59" s="1"/>
  <c r="AV955" i="59"/>
  <c r="AX955" i="59"/>
  <c r="AY955" i="59"/>
  <c r="AZ955" i="59"/>
  <c r="BA955" i="59"/>
  <c r="N956" i="59"/>
  <c r="Q956" i="59" s="1"/>
  <c r="T956" i="59" s="1"/>
  <c r="W956" i="59" s="1"/>
  <c r="Z956" i="59" s="1"/>
  <c r="AC956" i="59" s="1"/>
  <c r="AF956" i="59" s="1"/>
  <c r="AI956" i="59" s="1"/>
  <c r="AL956" i="59" s="1"/>
  <c r="AO956" i="59" s="1"/>
  <c r="AR956" i="59" s="1"/>
  <c r="AU956" i="59" s="1"/>
  <c r="J956" i="59" s="1"/>
  <c r="AV956" i="59"/>
  <c r="AX956" i="59"/>
  <c r="AY956" i="59"/>
  <c r="AZ956" i="59"/>
  <c r="BA956" i="59"/>
  <c r="N957" i="59"/>
  <c r="Q957" i="59" s="1"/>
  <c r="T957" i="59" s="1"/>
  <c r="W957" i="59" s="1"/>
  <c r="Z957" i="59" s="1"/>
  <c r="AC957" i="59" s="1"/>
  <c r="AF957" i="59" s="1"/>
  <c r="AI957" i="59" s="1"/>
  <c r="AL957" i="59" s="1"/>
  <c r="AO957" i="59" s="1"/>
  <c r="AR957" i="59" s="1"/>
  <c r="AU957" i="59" s="1"/>
  <c r="J957" i="59" s="1"/>
  <c r="AV957" i="59"/>
  <c r="AX957" i="59"/>
  <c r="AY957" i="59"/>
  <c r="AZ957" i="59"/>
  <c r="BA957" i="59"/>
  <c r="N958" i="59"/>
  <c r="Q958" i="59" s="1"/>
  <c r="T958" i="59" s="1"/>
  <c r="W958" i="59" s="1"/>
  <c r="Z958" i="59" s="1"/>
  <c r="AC958" i="59" s="1"/>
  <c r="AF958" i="59" s="1"/>
  <c r="AI958" i="59" s="1"/>
  <c r="AL958" i="59" s="1"/>
  <c r="AO958" i="59" s="1"/>
  <c r="AR958" i="59" s="1"/>
  <c r="AU958" i="59" s="1"/>
  <c r="J958" i="59" s="1"/>
  <c r="AV958" i="59"/>
  <c r="AX958" i="59"/>
  <c r="AY958" i="59"/>
  <c r="AZ958" i="59"/>
  <c r="BA958" i="59"/>
  <c r="N959" i="59"/>
  <c r="Q959" i="59" s="1"/>
  <c r="T959" i="59" s="1"/>
  <c r="W959" i="59" s="1"/>
  <c r="Z959" i="59" s="1"/>
  <c r="AC959" i="59" s="1"/>
  <c r="AF959" i="59" s="1"/>
  <c r="AI959" i="59" s="1"/>
  <c r="AL959" i="59" s="1"/>
  <c r="AO959" i="59" s="1"/>
  <c r="AR959" i="59" s="1"/>
  <c r="AU959" i="59" s="1"/>
  <c r="J959" i="59" s="1"/>
  <c r="AV959" i="59"/>
  <c r="AX959" i="59"/>
  <c r="AY959" i="59"/>
  <c r="AZ959" i="59"/>
  <c r="BA959" i="59"/>
  <c r="N960" i="59"/>
  <c r="Q960" i="59" s="1"/>
  <c r="T960" i="59" s="1"/>
  <c r="W960" i="59" s="1"/>
  <c r="Z960" i="59" s="1"/>
  <c r="AC960" i="59" s="1"/>
  <c r="AF960" i="59" s="1"/>
  <c r="AI960" i="59" s="1"/>
  <c r="AL960" i="59" s="1"/>
  <c r="AO960" i="59" s="1"/>
  <c r="AR960" i="59" s="1"/>
  <c r="AU960" i="59" s="1"/>
  <c r="J960" i="59" s="1"/>
  <c r="AV960" i="59"/>
  <c r="AX960" i="59"/>
  <c r="AY960" i="59"/>
  <c r="AZ960" i="59"/>
  <c r="BA960" i="59"/>
  <c r="N961" i="59"/>
  <c r="Q961" i="59" s="1"/>
  <c r="T961" i="59" s="1"/>
  <c r="W961" i="59" s="1"/>
  <c r="Z961" i="59" s="1"/>
  <c r="AC961" i="59" s="1"/>
  <c r="AF961" i="59" s="1"/>
  <c r="AI961" i="59" s="1"/>
  <c r="AL961" i="59" s="1"/>
  <c r="AO961" i="59" s="1"/>
  <c r="AR961" i="59" s="1"/>
  <c r="AU961" i="59" s="1"/>
  <c r="J961" i="59" s="1"/>
  <c r="AV961" i="59"/>
  <c r="AX961" i="59"/>
  <c r="AY961" i="59"/>
  <c r="AZ961" i="59"/>
  <c r="BA961" i="59"/>
  <c r="N962" i="59"/>
  <c r="Q962" i="59" s="1"/>
  <c r="T962" i="59" s="1"/>
  <c r="W962" i="59" s="1"/>
  <c r="Z962" i="59" s="1"/>
  <c r="AC962" i="59" s="1"/>
  <c r="AF962" i="59" s="1"/>
  <c r="AI962" i="59" s="1"/>
  <c r="AL962" i="59" s="1"/>
  <c r="AO962" i="59" s="1"/>
  <c r="AR962" i="59" s="1"/>
  <c r="AU962" i="59" s="1"/>
  <c r="J962" i="59" s="1"/>
  <c r="AV962" i="59"/>
  <c r="AX962" i="59"/>
  <c r="AY962" i="59"/>
  <c r="AZ962" i="59"/>
  <c r="BA962" i="59"/>
  <c r="N963" i="59"/>
  <c r="Q963" i="59" s="1"/>
  <c r="T963" i="59" s="1"/>
  <c r="W963" i="59" s="1"/>
  <c r="Z963" i="59" s="1"/>
  <c r="AC963" i="59" s="1"/>
  <c r="AF963" i="59" s="1"/>
  <c r="AI963" i="59" s="1"/>
  <c r="AL963" i="59" s="1"/>
  <c r="AO963" i="59" s="1"/>
  <c r="AR963" i="59" s="1"/>
  <c r="AU963" i="59" s="1"/>
  <c r="J963" i="59" s="1"/>
  <c r="AV963" i="59"/>
  <c r="AX963" i="59"/>
  <c r="AY963" i="59"/>
  <c r="AZ963" i="59"/>
  <c r="BA963" i="59"/>
  <c r="N964" i="59"/>
  <c r="Q964" i="59" s="1"/>
  <c r="T964" i="59" s="1"/>
  <c r="W964" i="59" s="1"/>
  <c r="Z964" i="59" s="1"/>
  <c r="AC964" i="59" s="1"/>
  <c r="AF964" i="59" s="1"/>
  <c r="AI964" i="59" s="1"/>
  <c r="AL964" i="59" s="1"/>
  <c r="AO964" i="59" s="1"/>
  <c r="AR964" i="59" s="1"/>
  <c r="AU964" i="59" s="1"/>
  <c r="J964" i="59" s="1"/>
  <c r="AV964" i="59"/>
  <c r="AX964" i="59"/>
  <c r="AY964" i="59"/>
  <c r="AZ964" i="59"/>
  <c r="BA964" i="59"/>
  <c r="N965" i="59"/>
  <c r="Q965" i="59" s="1"/>
  <c r="T965" i="59" s="1"/>
  <c r="W965" i="59" s="1"/>
  <c r="Z965" i="59" s="1"/>
  <c r="AC965" i="59" s="1"/>
  <c r="AF965" i="59" s="1"/>
  <c r="AI965" i="59" s="1"/>
  <c r="AL965" i="59" s="1"/>
  <c r="AO965" i="59" s="1"/>
  <c r="AR965" i="59" s="1"/>
  <c r="AU965" i="59" s="1"/>
  <c r="J965" i="59" s="1"/>
  <c r="AV965" i="59"/>
  <c r="AX965" i="59"/>
  <c r="AY965" i="59"/>
  <c r="AZ965" i="59"/>
  <c r="BA965" i="59"/>
  <c r="N966" i="59"/>
  <c r="Q966" i="59" s="1"/>
  <c r="T966" i="59" s="1"/>
  <c r="W966" i="59" s="1"/>
  <c r="Z966" i="59" s="1"/>
  <c r="AC966" i="59" s="1"/>
  <c r="AF966" i="59" s="1"/>
  <c r="AI966" i="59" s="1"/>
  <c r="AL966" i="59" s="1"/>
  <c r="AO966" i="59" s="1"/>
  <c r="AR966" i="59" s="1"/>
  <c r="AU966" i="59" s="1"/>
  <c r="J966" i="59" s="1"/>
  <c r="AV966" i="59"/>
  <c r="AX966" i="59"/>
  <c r="AY966" i="59"/>
  <c r="AZ966" i="59"/>
  <c r="BA966" i="59"/>
  <c r="N967" i="59"/>
  <c r="Q967" i="59" s="1"/>
  <c r="T967" i="59" s="1"/>
  <c r="W967" i="59" s="1"/>
  <c r="Z967" i="59" s="1"/>
  <c r="AC967" i="59" s="1"/>
  <c r="AF967" i="59" s="1"/>
  <c r="AI967" i="59" s="1"/>
  <c r="AL967" i="59" s="1"/>
  <c r="AO967" i="59" s="1"/>
  <c r="AR967" i="59" s="1"/>
  <c r="AU967" i="59" s="1"/>
  <c r="J967" i="59" s="1"/>
  <c r="AV967" i="59"/>
  <c r="AX967" i="59"/>
  <c r="AY967" i="59"/>
  <c r="AZ967" i="59"/>
  <c r="BA967" i="59"/>
  <c r="N968" i="59"/>
  <c r="Q968" i="59" s="1"/>
  <c r="T968" i="59" s="1"/>
  <c r="W968" i="59" s="1"/>
  <c r="Z968" i="59" s="1"/>
  <c r="AC968" i="59" s="1"/>
  <c r="AF968" i="59" s="1"/>
  <c r="AI968" i="59" s="1"/>
  <c r="AL968" i="59" s="1"/>
  <c r="AO968" i="59" s="1"/>
  <c r="AR968" i="59" s="1"/>
  <c r="AU968" i="59" s="1"/>
  <c r="J968" i="59" s="1"/>
  <c r="AV968" i="59"/>
  <c r="AX968" i="59"/>
  <c r="AY968" i="59"/>
  <c r="AZ968" i="59"/>
  <c r="BA968" i="59"/>
  <c r="N969" i="59"/>
  <c r="Q969" i="59" s="1"/>
  <c r="T969" i="59" s="1"/>
  <c r="W969" i="59" s="1"/>
  <c r="Z969" i="59" s="1"/>
  <c r="AC969" i="59" s="1"/>
  <c r="AF969" i="59" s="1"/>
  <c r="AI969" i="59" s="1"/>
  <c r="AL969" i="59" s="1"/>
  <c r="AO969" i="59" s="1"/>
  <c r="AR969" i="59" s="1"/>
  <c r="AU969" i="59" s="1"/>
  <c r="J969" i="59" s="1"/>
  <c r="AV969" i="59"/>
  <c r="AX969" i="59"/>
  <c r="AY969" i="59"/>
  <c r="AZ969" i="59"/>
  <c r="BA969" i="59"/>
  <c r="N970" i="59"/>
  <c r="Q970" i="59" s="1"/>
  <c r="T970" i="59" s="1"/>
  <c r="W970" i="59" s="1"/>
  <c r="Z970" i="59" s="1"/>
  <c r="AC970" i="59" s="1"/>
  <c r="AF970" i="59" s="1"/>
  <c r="AI970" i="59" s="1"/>
  <c r="AL970" i="59" s="1"/>
  <c r="AO970" i="59" s="1"/>
  <c r="AR970" i="59" s="1"/>
  <c r="AU970" i="59" s="1"/>
  <c r="J970" i="59" s="1"/>
  <c r="AV970" i="59"/>
  <c r="AX970" i="59"/>
  <c r="AY970" i="59"/>
  <c r="AZ970" i="59"/>
  <c r="BA970" i="59"/>
  <c r="N971" i="59"/>
  <c r="Q971" i="59" s="1"/>
  <c r="T971" i="59" s="1"/>
  <c r="W971" i="59" s="1"/>
  <c r="Z971" i="59" s="1"/>
  <c r="AC971" i="59" s="1"/>
  <c r="AF971" i="59" s="1"/>
  <c r="AI971" i="59" s="1"/>
  <c r="AL971" i="59" s="1"/>
  <c r="AO971" i="59" s="1"/>
  <c r="AR971" i="59" s="1"/>
  <c r="AU971" i="59" s="1"/>
  <c r="J971" i="59" s="1"/>
  <c r="AV971" i="59"/>
  <c r="AX971" i="59"/>
  <c r="AY971" i="59"/>
  <c r="AZ971" i="59"/>
  <c r="BA971" i="59"/>
  <c r="N972" i="59"/>
  <c r="Q972" i="59" s="1"/>
  <c r="T972" i="59" s="1"/>
  <c r="W972" i="59" s="1"/>
  <c r="Z972" i="59" s="1"/>
  <c r="AC972" i="59" s="1"/>
  <c r="AF972" i="59" s="1"/>
  <c r="AI972" i="59" s="1"/>
  <c r="AL972" i="59" s="1"/>
  <c r="AO972" i="59" s="1"/>
  <c r="AR972" i="59" s="1"/>
  <c r="AU972" i="59" s="1"/>
  <c r="J972" i="59" s="1"/>
  <c r="AV972" i="59"/>
  <c r="AX972" i="59"/>
  <c r="AY972" i="59"/>
  <c r="AZ972" i="59"/>
  <c r="BA972" i="59"/>
  <c r="N973" i="59"/>
  <c r="Q973" i="59" s="1"/>
  <c r="T973" i="59" s="1"/>
  <c r="W973" i="59" s="1"/>
  <c r="Z973" i="59" s="1"/>
  <c r="AC973" i="59" s="1"/>
  <c r="AF973" i="59" s="1"/>
  <c r="AI973" i="59" s="1"/>
  <c r="AL973" i="59" s="1"/>
  <c r="AO973" i="59" s="1"/>
  <c r="AR973" i="59" s="1"/>
  <c r="AU973" i="59" s="1"/>
  <c r="J973" i="59" s="1"/>
  <c r="AV973" i="59"/>
  <c r="AX973" i="59"/>
  <c r="AY973" i="59"/>
  <c r="AZ973" i="59"/>
  <c r="BA973" i="59"/>
  <c r="N974" i="59"/>
  <c r="Q974" i="59" s="1"/>
  <c r="T974" i="59" s="1"/>
  <c r="W974" i="59" s="1"/>
  <c r="Z974" i="59" s="1"/>
  <c r="AC974" i="59" s="1"/>
  <c r="AF974" i="59" s="1"/>
  <c r="AI974" i="59" s="1"/>
  <c r="AL974" i="59" s="1"/>
  <c r="AO974" i="59" s="1"/>
  <c r="AR974" i="59" s="1"/>
  <c r="AU974" i="59" s="1"/>
  <c r="J974" i="59" s="1"/>
  <c r="AV974" i="59"/>
  <c r="AX974" i="59"/>
  <c r="AY974" i="59"/>
  <c r="AZ974" i="59"/>
  <c r="BA974" i="59"/>
  <c r="N975" i="59"/>
  <c r="Q975" i="59" s="1"/>
  <c r="T975" i="59" s="1"/>
  <c r="W975" i="59" s="1"/>
  <c r="Z975" i="59" s="1"/>
  <c r="AC975" i="59" s="1"/>
  <c r="AF975" i="59" s="1"/>
  <c r="AI975" i="59" s="1"/>
  <c r="AL975" i="59" s="1"/>
  <c r="AO975" i="59" s="1"/>
  <c r="AR975" i="59" s="1"/>
  <c r="AU975" i="59" s="1"/>
  <c r="J975" i="59" s="1"/>
  <c r="AV975" i="59"/>
  <c r="AX975" i="59"/>
  <c r="AY975" i="59"/>
  <c r="AZ975" i="59"/>
  <c r="BA975" i="59"/>
  <c r="N976" i="59"/>
  <c r="Q976" i="59" s="1"/>
  <c r="T976" i="59" s="1"/>
  <c r="W976" i="59" s="1"/>
  <c r="Z976" i="59" s="1"/>
  <c r="AC976" i="59" s="1"/>
  <c r="AF976" i="59" s="1"/>
  <c r="AI976" i="59" s="1"/>
  <c r="AL976" i="59" s="1"/>
  <c r="AO976" i="59" s="1"/>
  <c r="AR976" i="59" s="1"/>
  <c r="AU976" i="59" s="1"/>
  <c r="J976" i="59" s="1"/>
  <c r="AV976" i="59"/>
  <c r="AX976" i="59"/>
  <c r="AY976" i="59"/>
  <c r="AZ976" i="59"/>
  <c r="BA976" i="59"/>
  <c r="N977" i="59"/>
  <c r="Q977" i="59" s="1"/>
  <c r="T977" i="59" s="1"/>
  <c r="W977" i="59" s="1"/>
  <c r="Z977" i="59" s="1"/>
  <c r="AC977" i="59" s="1"/>
  <c r="AF977" i="59" s="1"/>
  <c r="AI977" i="59" s="1"/>
  <c r="AL977" i="59" s="1"/>
  <c r="AO977" i="59" s="1"/>
  <c r="AR977" i="59" s="1"/>
  <c r="AU977" i="59" s="1"/>
  <c r="J977" i="59" s="1"/>
  <c r="AV977" i="59"/>
  <c r="AX977" i="59"/>
  <c r="AY977" i="59"/>
  <c r="AZ977" i="59"/>
  <c r="BA977" i="59"/>
  <c r="N978" i="59"/>
  <c r="Q978" i="59" s="1"/>
  <c r="T978" i="59" s="1"/>
  <c r="W978" i="59" s="1"/>
  <c r="Z978" i="59" s="1"/>
  <c r="AC978" i="59" s="1"/>
  <c r="AF978" i="59" s="1"/>
  <c r="AI978" i="59" s="1"/>
  <c r="AL978" i="59" s="1"/>
  <c r="AO978" i="59" s="1"/>
  <c r="AR978" i="59" s="1"/>
  <c r="AU978" i="59" s="1"/>
  <c r="J978" i="59" s="1"/>
  <c r="AV978" i="59"/>
  <c r="AX978" i="59"/>
  <c r="AY978" i="59"/>
  <c r="AZ978" i="59"/>
  <c r="BA978" i="59"/>
  <c r="N979" i="59"/>
  <c r="Q979" i="59" s="1"/>
  <c r="T979" i="59" s="1"/>
  <c r="W979" i="59" s="1"/>
  <c r="Z979" i="59" s="1"/>
  <c r="AC979" i="59" s="1"/>
  <c r="AF979" i="59" s="1"/>
  <c r="AI979" i="59" s="1"/>
  <c r="AL979" i="59" s="1"/>
  <c r="AO979" i="59" s="1"/>
  <c r="AR979" i="59" s="1"/>
  <c r="AU979" i="59" s="1"/>
  <c r="J979" i="59" s="1"/>
  <c r="AV979" i="59"/>
  <c r="AX979" i="59"/>
  <c r="AY979" i="59"/>
  <c r="AZ979" i="59"/>
  <c r="BA979" i="59"/>
  <c r="N980" i="59"/>
  <c r="Q980" i="59" s="1"/>
  <c r="T980" i="59" s="1"/>
  <c r="W980" i="59" s="1"/>
  <c r="Z980" i="59" s="1"/>
  <c r="AC980" i="59" s="1"/>
  <c r="AF980" i="59" s="1"/>
  <c r="AI980" i="59" s="1"/>
  <c r="AL980" i="59" s="1"/>
  <c r="AO980" i="59" s="1"/>
  <c r="AR980" i="59" s="1"/>
  <c r="AU980" i="59" s="1"/>
  <c r="J980" i="59" s="1"/>
  <c r="AV980" i="59"/>
  <c r="AX980" i="59"/>
  <c r="AY980" i="59"/>
  <c r="AZ980" i="59"/>
  <c r="BA980" i="59"/>
  <c r="N981" i="59"/>
  <c r="Q981" i="59" s="1"/>
  <c r="T981" i="59" s="1"/>
  <c r="W981" i="59" s="1"/>
  <c r="Z981" i="59" s="1"/>
  <c r="AC981" i="59" s="1"/>
  <c r="AF981" i="59" s="1"/>
  <c r="AI981" i="59" s="1"/>
  <c r="AL981" i="59" s="1"/>
  <c r="AO981" i="59" s="1"/>
  <c r="AR981" i="59" s="1"/>
  <c r="AU981" i="59" s="1"/>
  <c r="J981" i="59" s="1"/>
  <c r="AV981" i="59"/>
  <c r="AX981" i="59"/>
  <c r="AY981" i="59"/>
  <c r="AZ981" i="59"/>
  <c r="BA981" i="59"/>
  <c r="N982" i="59"/>
  <c r="Q982" i="59" s="1"/>
  <c r="T982" i="59" s="1"/>
  <c r="W982" i="59" s="1"/>
  <c r="Z982" i="59" s="1"/>
  <c r="AC982" i="59" s="1"/>
  <c r="AF982" i="59" s="1"/>
  <c r="AI982" i="59" s="1"/>
  <c r="AL982" i="59" s="1"/>
  <c r="AO982" i="59" s="1"/>
  <c r="AR982" i="59" s="1"/>
  <c r="AU982" i="59" s="1"/>
  <c r="J982" i="59" s="1"/>
  <c r="AV982" i="59"/>
  <c r="AX982" i="59"/>
  <c r="AY982" i="59"/>
  <c r="AZ982" i="59"/>
  <c r="BA982" i="59"/>
  <c r="N983" i="59"/>
  <c r="Q983" i="59" s="1"/>
  <c r="T983" i="59" s="1"/>
  <c r="W983" i="59" s="1"/>
  <c r="Z983" i="59" s="1"/>
  <c r="AC983" i="59" s="1"/>
  <c r="AF983" i="59" s="1"/>
  <c r="AI983" i="59" s="1"/>
  <c r="AL983" i="59" s="1"/>
  <c r="AO983" i="59" s="1"/>
  <c r="AR983" i="59" s="1"/>
  <c r="AU983" i="59" s="1"/>
  <c r="J983" i="59" s="1"/>
  <c r="AV983" i="59"/>
  <c r="AX983" i="59"/>
  <c r="AY983" i="59"/>
  <c r="AZ983" i="59"/>
  <c r="BA983" i="59"/>
  <c r="N984" i="59"/>
  <c r="Q984" i="59" s="1"/>
  <c r="T984" i="59" s="1"/>
  <c r="W984" i="59" s="1"/>
  <c r="Z984" i="59" s="1"/>
  <c r="AC984" i="59" s="1"/>
  <c r="AF984" i="59" s="1"/>
  <c r="AI984" i="59" s="1"/>
  <c r="AL984" i="59" s="1"/>
  <c r="AO984" i="59" s="1"/>
  <c r="AR984" i="59" s="1"/>
  <c r="AU984" i="59" s="1"/>
  <c r="J984" i="59" s="1"/>
  <c r="AV984" i="59"/>
  <c r="AX984" i="59"/>
  <c r="AY984" i="59"/>
  <c r="AZ984" i="59"/>
  <c r="BA984" i="59"/>
  <c r="N985" i="59"/>
  <c r="Q985" i="59" s="1"/>
  <c r="T985" i="59" s="1"/>
  <c r="W985" i="59" s="1"/>
  <c r="Z985" i="59" s="1"/>
  <c r="AC985" i="59" s="1"/>
  <c r="AF985" i="59" s="1"/>
  <c r="AI985" i="59" s="1"/>
  <c r="AL985" i="59" s="1"/>
  <c r="AO985" i="59" s="1"/>
  <c r="AR985" i="59" s="1"/>
  <c r="AU985" i="59" s="1"/>
  <c r="J985" i="59" s="1"/>
  <c r="AV985" i="59"/>
  <c r="AX985" i="59"/>
  <c r="AY985" i="59"/>
  <c r="AZ985" i="59"/>
  <c r="BA985" i="59"/>
  <c r="N986" i="59"/>
  <c r="Q986" i="59" s="1"/>
  <c r="T986" i="59" s="1"/>
  <c r="W986" i="59" s="1"/>
  <c r="Z986" i="59" s="1"/>
  <c r="AC986" i="59" s="1"/>
  <c r="AF986" i="59" s="1"/>
  <c r="AI986" i="59" s="1"/>
  <c r="AL986" i="59" s="1"/>
  <c r="AO986" i="59" s="1"/>
  <c r="AR986" i="59" s="1"/>
  <c r="AU986" i="59" s="1"/>
  <c r="J986" i="59" s="1"/>
  <c r="AV986" i="59"/>
  <c r="AX986" i="59"/>
  <c r="AY986" i="59"/>
  <c r="AZ986" i="59"/>
  <c r="BA986" i="59"/>
  <c r="N987" i="59"/>
  <c r="Q987" i="59" s="1"/>
  <c r="T987" i="59" s="1"/>
  <c r="W987" i="59" s="1"/>
  <c r="Z987" i="59" s="1"/>
  <c r="AC987" i="59" s="1"/>
  <c r="AF987" i="59" s="1"/>
  <c r="AI987" i="59" s="1"/>
  <c r="AL987" i="59" s="1"/>
  <c r="AO987" i="59" s="1"/>
  <c r="AR987" i="59" s="1"/>
  <c r="AU987" i="59" s="1"/>
  <c r="J987" i="59" s="1"/>
  <c r="AV987" i="59"/>
  <c r="AX987" i="59"/>
  <c r="AY987" i="59"/>
  <c r="AZ987" i="59"/>
  <c r="BA987" i="59"/>
  <c r="N988" i="59"/>
  <c r="Q988" i="59" s="1"/>
  <c r="T988" i="59" s="1"/>
  <c r="W988" i="59" s="1"/>
  <c r="Z988" i="59" s="1"/>
  <c r="AC988" i="59" s="1"/>
  <c r="AF988" i="59" s="1"/>
  <c r="AI988" i="59" s="1"/>
  <c r="AL988" i="59" s="1"/>
  <c r="AO988" i="59" s="1"/>
  <c r="AR988" i="59" s="1"/>
  <c r="AU988" i="59" s="1"/>
  <c r="J988" i="59" s="1"/>
  <c r="AV988" i="59"/>
  <c r="AX988" i="59"/>
  <c r="AY988" i="59"/>
  <c r="AZ988" i="59"/>
  <c r="BA988" i="59"/>
  <c r="N989" i="59"/>
  <c r="Q989" i="59" s="1"/>
  <c r="T989" i="59" s="1"/>
  <c r="W989" i="59" s="1"/>
  <c r="Z989" i="59" s="1"/>
  <c r="AC989" i="59" s="1"/>
  <c r="AF989" i="59" s="1"/>
  <c r="AI989" i="59" s="1"/>
  <c r="AL989" i="59" s="1"/>
  <c r="AO989" i="59" s="1"/>
  <c r="AR989" i="59" s="1"/>
  <c r="AU989" i="59" s="1"/>
  <c r="J989" i="59" s="1"/>
  <c r="AV989" i="59"/>
  <c r="AX989" i="59"/>
  <c r="AY989" i="59"/>
  <c r="AZ989" i="59"/>
  <c r="BA989" i="59"/>
  <c r="N990" i="59"/>
  <c r="Q990" i="59" s="1"/>
  <c r="T990" i="59" s="1"/>
  <c r="W990" i="59" s="1"/>
  <c r="Z990" i="59" s="1"/>
  <c r="AC990" i="59" s="1"/>
  <c r="AF990" i="59" s="1"/>
  <c r="AI990" i="59" s="1"/>
  <c r="AL990" i="59" s="1"/>
  <c r="AO990" i="59" s="1"/>
  <c r="AR990" i="59" s="1"/>
  <c r="AU990" i="59" s="1"/>
  <c r="J990" i="59" s="1"/>
  <c r="AV990" i="59"/>
  <c r="AX990" i="59"/>
  <c r="AY990" i="59"/>
  <c r="AZ990" i="59"/>
  <c r="BA990" i="59"/>
  <c r="N991" i="59"/>
  <c r="Q991" i="59" s="1"/>
  <c r="T991" i="59" s="1"/>
  <c r="W991" i="59" s="1"/>
  <c r="Z991" i="59" s="1"/>
  <c r="AC991" i="59" s="1"/>
  <c r="AF991" i="59" s="1"/>
  <c r="AI991" i="59" s="1"/>
  <c r="AL991" i="59" s="1"/>
  <c r="AO991" i="59" s="1"/>
  <c r="AR991" i="59" s="1"/>
  <c r="AU991" i="59" s="1"/>
  <c r="J991" i="59" s="1"/>
  <c r="AV991" i="59"/>
  <c r="AX991" i="59"/>
  <c r="AY991" i="59"/>
  <c r="AZ991" i="59"/>
  <c r="BA991" i="59"/>
  <c r="N992" i="59"/>
  <c r="Q992" i="59" s="1"/>
  <c r="T992" i="59" s="1"/>
  <c r="W992" i="59" s="1"/>
  <c r="Z992" i="59" s="1"/>
  <c r="AC992" i="59" s="1"/>
  <c r="AF992" i="59" s="1"/>
  <c r="AI992" i="59" s="1"/>
  <c r="AL992" i="59" s="1"/>
  <c r="AO992" i="59" s="1"/>
  <c r="AR992" i="59" s="1"/>
  <c r="AU992" i="59" s="1"/>
  <c r="J992" i="59" s="1"/>
  <c r="AV992" i="59"/>
  <c r="AX992" i="59"/>
  <c r="AY992" i="59"/>
  <c r="AZ992" i="59"/>
  <c r="BA992" i="59"/>
  <c r="N993" i="59"/>
  <c r="Q993" i="59" s="1"/>
  <c r="T993" i="59" s="1"/>
  <c r="W993" i="59" s="1"/>
  <c r="Z993" i="59" s="1"/>
  <c r="AC993" i="59" s="1"/>
  <c r="AF993" i="59" s="1"/>
  <c r="AI993" i="59" s="1"/>
  <c r="AL993" i="59" s="1"/>
  <c r="AO993" i="59" s="1"/>
  <c r="AR993" i="59" s="1"/>
  <c r="AU993" i="59" s="1"/>
  <c r="J993" i="59" s="1"/>
  <c r="AV993" i="59"/>
  <c r="AX993" i="59"/>
  <c r="AY993" i="59"/>
  <c r="AZ993" i="59"/>
  <c r="BA993" i="59"/>
  <c r="BC39" i="59" l="1"/>
  <c r="BD39" i="59" s="1"/>
  <c r="BC629" i="59"/>
  <c r="BD629" i="59" s="1"/>
  <c r="BI629" i="59"/>
  <c r="BC88" i="59"/>
  <c r="BD88" i="59" s="1"/>
  <c r="BC453" i="59"/>
  <c r="BD453" i="59" s="1"/>
  <c r="BC992" i="59"/>
  <c r="BD992" i="59" s="1"/>
  <c r="BI992" i="59"/>
  <c r="BC990" i="59"/>
  <c r="BD990" i="59" s="1"/>
  <c r="BI990" i="59"/>
  <c r="BC988" i="59"/>
  <c r="BD988" i="59" s="1"/>
  <c r="BI988" i="59"/>
  <c r="BC986" i="59"/>
  <c r="BD986" i="59" s="1"/>
  <c r="BI986" i="59"/>
  <c r="BC984" i="59"/>
  <c r="BD984" i="59" s="1"/>
  <c r="BI984" i="59"/>
  <c r="BC982" i="59"/>
  <c r="BD982" i="59" s="1"/>
  <c r="BI982" i="59"/>
  <c r="BC980" i="59"/>
  <c r="BD980" i="59" s="1"/>
  <c r="BI980" i="59"/>
  <c r="BC978" i="59"/>
  <c r="BD978" i="59" s="1"/>
  <c r="BI978" i="59"/>
  <c r="BC976" i="59"/>
  <c r="BD976" i="59" s="1"/>
  <c r="BI976" i="59"/>
  <c r="BC974" i="59"/>
  <c r="BD974" i="59" s="1"/>
  <c r="BI974" i="59"/>
  <c r="BC972" i="59"/>
  <c r="BD972" i="59" s="1"/>
  <c r="BI972" i="59"/>
  <c r="BC970" i="59"/>
  <c r="BD970" i="59" s="1"/>
  <c r="BI970" i="59"/>
  <c r="BC968" i="59"/>
  <c r="BD968" i="59" s="1"/>
  <c r="BI968" i="59"/>
  <c r="BC966" i="59"/>
  <c r="BD966" i="59" s="1"/>
  <c r="BI966" i="59"/>
  <c r="BC964" i="59"/>
  <c r="BD964" i="59" s="1"/>
  <c r="BI964" i="59"/>
  <c r="BC962" i="59"/>
  <c r="BD962" i="59" s="1"/>
  <c r="BI962" i="59"/>
  <c r="BC960" i="59"/>
  <c r="BD960" i="59" s="1"/>
  <c r="BI960" i="59"/>
  <c r="BC958" i="59"/>
  <c r="BD958" i="59" s="1"/>
  <c r="BI958" i="59"/>
  <c r="BC956" i="59"/>
  <c r="BD956" i="59" s="1"/>
  <c r="BI956" i="59"/>
  <c r="BC954" i="59"/>
  <c r="BD954" i="59" s="1"/>
  <c r="BI954" i="59"/>
  <c r="BC952" i="59"/>
  <c r="BD952" i="59" s="1"/>
  <c r="BI952" i="59"/>
  <c r="BC328" i="59"/>
  <c r="BD328" i="59" s="1"/>
  <c r="BC454" i="59"/>
  <c r="BD454" i="59" s="1"/>
  <c r="BC40" i="59"/>
  <c r="BD40" i="59" s="1"/>
  <c r="BC37" i="59"/>
  <c r="BD37" i="59" s="1"/>
  <c r="BC610" i="59"/>
  <c r="BD610" i="59" s="1"/>
  <c r="BC496" i="59"/>
  <c r="BD496" i="59" s="1"/>
  <c r="BC994" i="59"/>
  <c r="BD994" i="59" s="1"/>
  <c r="BI994" i="59"/>
  <c r="BC993" i="59"/>
  <c r="BD993" i="59" s="1"/>
  <c r="BI993" i="59"/>
  <c r="BC985" i="59"/>
  <c r="BD985" i="59" s="1"/>
  <c r="BI985" i="59"/>
  <c r="BC979" i="59"/>
  <c r="BD979" i="59" s="1"/>
  <c r="BI979" i="59"/>
  <c r="BC977" i="59"/>
  <c r="BD977" i="59" s="1"/>
  <c r="BI977" i="59"/>
  <c r="BC971" i="59"/>
  <c r="BD971" i="59" s="1"/>
  <c r="BI971" i="59"/>
  <c r="BC969" i="59"/>
  <c r="BD969" i="59" s="1"/>
  <c r="BI969" i="59"/>
  <c r="BC967" i="59"/>
  <c r="BD967" i="59" s="1"/>
  <c r="BI967" i="59"/>
  <c r="BC965" i="59"/>
  <c r="BD965" i="59" s="1"/>
  <c r="BI965" i="59"/>
  <c r="BC963" i="59"/>
  <c r="BD963" i="59" s="1"/>
  <c r="BI963" i="59"/>
  <c r="BC961" i="59"/>
  <c r="BD961" i="59" s="1"/>
  <c r="BI961" i="59"/>
  <c r="BC959" i="59"/>
  <c r="BD959" i="59" s="1"/>
  <c r="BI959" i="59"/>
  <c r="BC957" i="59"/>
  <c r="BD957" i="59" s="1"/>
  <c r="BI957" i="59"/>
  <c r="BC955" i="59"/>
  <c r="BD955" i="59" s="1"/>
  <c r="BI955" i="59"/>
  <c r="BC953" i="59"/>
  <c r="BD953" i="59" s="1"/>
  <c r="BI953" i="59"/>
  <c r="BC951" i="59"/>
  <c r="BD951" i="59" s="1"/>
  <c r="BI951" i="59"/>
  <c r="BC38" i="59"/>
  <c r="BD38" i="59" s="1"/>
  <c r="BC991" i="59"/>
  <c r="BD991" i="59" s="1"/>
  <c r="BI991" i="59"/>
  <c r="BC987" i="59"/>
  <c r="BD987" i="59" s="1"/>
  <c r="BI987" i="59"/>
  <c r="BC981" i="59"/>
  <c r="BD981" i="59" s="1"/>
  <c r="BI981" i="59"/>
  <c r="BC973" i="59"/>
  <c r="BD973" i="59" s="1"/>
  <c r="BI973" i="59"/>
  <c r="BC481" i="59"/>
  <c r="BD481" i="59" s="1"/>
  <c r="BC482" i="59"/>
  <c r="BD482" i="59" s="1"/>
  <c r="BC989" i="59"/>
  <c r="BD989" i="59" s="1"/>
  <c r="BI989" i="59"/>
  <c r="BC983" i="59"/>
  <c r="BD983" i="59" s="1"/>
  <c r="BI983" i="59"/>
  <c r="BC975" i="59"/>
  <c r="BD975" i="59" s="1"/>
  <c r="BI975" i="59"/>
  <c r="BC484" i="59"/>
  <c r="BD484" i="59" s="1"/>
  <c r="N607" i="59" l="1"/>
  <c r="Q607" i="59" s="1"/>
  <c r="T607" i="59" s="1"/>
  <c r="W607" i="59" s="1"/>
  <c r="Z607" i="59" s="1"/>
  <c r="AC607" i="59" s="1"/>
  <c r="AF607" i="59" s="1"/>
  <c r="AI607" i="59" s="1"/>
  <c r="AL607" i="59" s="1"/>
  <c r="AO607" i="59" s="1"/>
  <c r="AR607" i="59" s="1"/>
  <c r="AU607" i="59" s="1"/>
  <c r="J607" i="59" s="1"/>
  <c r="AV607" i="59"/>
  <c r="AX607" i="59"/>
  <c r="AY607" i="59"/>
  <c r="AZ607" i="59"/>
  <c r="N406" i="59"/>
  <c r="Q406" i="59" s="1"/>
  <c r="T406" i="59" s="1"/>
  <c r="W406" i="59" s="1"/>
  <c r="Z406" i="59" s="1"/>
  <c r="AC406" i="59" s="1"/>
  <c r="AF406" i="59" s="1"/>
  <c r="AI406" i="59" s="1"/>
  <c r="AL406" i="59" s="1"/>
  <c r="AO406" i="59" s="1"/>
  <c r="AR406" i="59" s="1"/>
  <c r="AU406" i="59" s="1"/>
  <c r="J406" i="59" s="1"/>
  <c r="AV406" i="59"/>
  <c r="AX406" i="59"/>
  <c r="AY406" i="59"/>
  <c r="AZ406" i="59"/>
  <c r="N228" i="59"/>
  <c r="Q228" i="59" s="1"/>
  <c r="T228" i="59" s="1"/>
  <c r="W228" i="59" s="1"/>
  <c r="Z228" i="59" s="1"/>
  <c r="AC228" i="59" s="1"/>
  <c r="AF228" i="59" s="1"/>
  <c r="AI228" i="59" s="1"/>
  <c r="AL228" i="59" s="1"/>
  <c r="AO228" i="59" s="1"/>
  <c r="AR228" i="59" s="1"/>
  <c r="AU228" i="59" s="1"/>
  <c r="J228" i="59" s="1"/>
  <c r="AV228" i="59"/>
  <c r="AW228" i="59"/>
  <c r="AX228" i="59"/>
  <c r="AY228" i="59"/>
  <c r="AZ228" i="59"/>
  <c r="BC228" i="59" l="1"/>
  <c r="BD228" i="59" s="1"/>
  <c r="BC406" i="59"/>
  <c r="BD406" i="59" s="1"/>
  <c r="BC607" i="59"/>
  <c r="BD607" i="59" s="1"/>
  <c r="BA607" i="59"/>
  <c r="BA406" i="59"/>
  <c r="BA228" i="59"/>
  <c r="AX377" i="59" l="1"/>
  <c r="AY377" i="59"/>
  <c r="N726" i="59" l="1"/>
  <c r="Q726" i="59" s="1"/>
  <c r="T726" i="59" s="1"/>
  <c r="W726" i="59" s="1"/>
  <c r="Z726" i="59" s="1"/>
  <c r="AC726" i="59" s="1"/>
  <c r="AF726" i="59" s="1"/>
  <c r="AI726" i="59" s="1"/>
  <c r="AL726" i="59" s="1"/>
  <c r="AO726" i="59" s="1"/>
  <c r="AR726" i="59" s="1"/>
  <c r="AU726" i="59" s="1"/>
  <c r="J726" i="59" s="1"/>
  <c r="AV726" i="59"/>
  <c r="AX726" i="59"/>
  <c r="AY726" i="59"/>
  <c r="AZ726" i="59"/>
  <c r="BC726" i="59" l="1"/>
  <c r="BD726" i="59" s="1"/>
  <c r="BA23" i="59"/>
  <c r="BA255" i="59"/>
  <c r="BA246" i="59"/>
  <c r="BA300" i="59"/>
  <c r="BA361" i="59"/>
  <c r="BA371" i="59"/>
  <c r="BA446" i="59"/>
  <c r="BA438" i="59"/>
  <c r="BA439" i="59"/>
  <c r="BA483" i="59"/>
  <c r="BA665" i="59"/>
  <c r="BA487" i="59"/>
  <c r="BA950" i="59"/>
  <c r="BA628" i="59"/>
  <c r="BA666" i="59"/>
  <c r="BA668" i="59"/>
  <c r="BA911" i="59"/>
  <c r="BA660" i="59"/>
  <c r="BA369" i="59"/>
  <c r="BA937" i="59"/>
  <c r="BA938" i="59"/>
  <c r="BA945" i="59"/>
  <c r="BA946" i="59"/>
  <c r="BA514" i="59"/>
  <c r="BA939" i="59"/>
  <c r="BA685" i="59"/>
  <c r="BA875" i="59"/>
  <c r="BA932" i="59"/>
  <c r="BA719" i="59"/>
  <c r="BA120" i="59"/>
  <c r="BA931" i="59"/>
  <c r="BA656" i="59"/>
  <c r="BA708" i="59"/>
  <c r="BA709" i="59"/>
  <c r="BB28" i="59"/>
  <c r="BB41" i="59"/>
  <c r="BB78" i="59"/>
  <c r="BB69" i="59"/>
  <c r="BB428" i="59"/>
  <c r="BB452" i="59"/>
  <c r="BB255" i="59"/>
  <c r="BB861" i="59"/>
  <c r="BB371" i="59"/>
  <c r="BB446" i="59"/>
  <c r="BB441" i="59"/>
  <c r="BB251" i="59"/>
  <c r="BB667" i="59"/>
  <c r="BB670" i="59"/>
  <c r="BB302" i="59"/>
  <c r="BB535" i="59"/>
  <c r="BB733" i="59"/>
  <c r="BB707" i="59"/>
  <c r="BB749" i="59"/>
  <c r="BB705" i="59"/>
  <c r="BB210" i="59"/>
  <c r="BB503" i="59"/>
  <c r="BB708" i="59"/>
  <c r="BB709" i="59"/>
  <c r="BB640" i="59"/>
  <c r="BB209" i="59"/>
  <c r="BB505" i="59"/>
  <c r="BB211" i="59"/>
  <c r="BH30" i="59" l="1"/>
  <c r="N459" i="59" l="1"/>
  <c r="Q459" i="59" s="1"/>
  <c r="T459" i="59" s="1"/>
  <c r="W459" i="59" s="1"/>
  <c r="Z459" i="59" s="1"/>
  <c r="AC459" i="59" s="1"/>
  <c r="AF459" i="59" s="1"/>
  <c r="AI459" i="59" s="1"/>
  <c r="AL459" i="59" s="1"/>
  <c r="AO459" i="59" s="1"/>
  <c r="AR459" i="59" s="1"/>
  <c r="AU459" i="59" s="1"/>
  <c r="J459" i="59" s="1"/>
  <c r="AV459" i="59"/>
  <c r="AX459" i="59"/>
  <c r="AY459" i="59"/>
  <c r="AZ459" i="59"/>
  <c r="BA459" i="59" l="1"/>
  <c r="BC459" i="59"/>
  <c r="BD459" i="59" s="1"/>
  <c r="AY247" i="59" l="1"/>
  <c r="BH4" i="59" l="1"/>
  <c r="AV171" i="59" l="1"/>
  <c r="AV844" i="59"/>
  <c r="AV91" i="59"/>
  <c r="AV949" i="59"/>
  <c r="AV646" i="59"/>
  <c r="N527" i="59" l="1"/>
  <c r="Q527" i="59" s="1"/>
  <c r="T527" i="59" s="1"/>
  <c r="W527" i="59" s="1"/>
  <c r="Z527" i="59" s="1"/>
  <c r="AC527" i="59" s="1"/>
  <c r="AF527" i="59" s="1"/>
  <c r="AI527" i="59" s="1"/>
  <c r="AL527" i="59" s="1"/>
  <c r="AO527" i="59" s="1"/>
  <c r="AR527" i="59" s="1"/>
  <c r="AU527" i="59" s="1"/>
  <c r="AV527" i="59"/>
  <c r="AX527" i="59"/>
  <c r="AY527" i="59"/>
  <c r="AZ527" i="59"/>
  <c r="N531" i="59"/>
  <c r="Q531" i="59" s="1"/>
  <c r="T531" i="59" s="1"/>
  <c r="W531" i="59" s="1"/>
  <c r="Z531" i="59" s="1"/>
  <c r="AC531" i="59" s="1"/>
  <c r="AF531" i="59" s="1"/>
  <c r="AI531" i="59" s="1"/>
  <c r="AL531" i="59" s="1"/>
  <c r="AO531" i="59" s="1"/>
  <c r="AR531" i="59" s="1"/>
  <c r="AU531" i="59" s="1"/>
  <c r="J531" i="59" s="1"/>
  <c r="AV531" i="59"/>
  <c r="AX531" i="59"/>
  <c r="AY531" i="59"/>
  <c r="AZ531" i="59"/>
  <c r="N535" i="59"/>
  <c r="Q535" i="59" s="1"/>
  <c r="T535" i="59" s="1"/>
  <c r="W535" i="59" s="1"/>
  <c r="Z535" i="59" s="1"/>
  <c r="AC535" i="59" s="1"/>
  <c r="AF535" i="59" s="1"/>
  <c r="AI535" i="59" s="1"/>
  <c r="AL535" i="59" s="1"/>
  <c r="AO535" i="59" s="1"/>
  <c r="AR535" i="59" s="1"/>
  <c r="AU535" i="59" s="1"/>
  <c r="J535" i="59" s="1"/>
  <c r="AV535" i="59"/>
  <c r="AX535" i="59"/>
  <c r="AY535" i="59"/>
  <c r="AZ535" i="59"/>
  <c r="N528" i="59"/>
  <c r="Q528" i="59" s="1"/>
  <c r="T528" i="59" s="1"/>
  <c r="W528" i="59" s="1"/>
  <c r="Z528" i="59" s="1"/>
  <c r="AC528" i="59" s="1"/>
  <c r="AF528" i="59" s="1"/>
  <c r="AI528" i="59" s="1"/>
  <c r="AL528" i="59" s="1"/>
  <c r="AO528" i="59" s="1"/>
  <c r="AR528" i="59" s="1"/>
  <c r="AU528" i="59" s="1"/>
  <c r="J528" i="59" s="1"/>
  <c r="AV528" i="59"/>
  <c r="AX528" i="59"/>
  <c r="AY528" i="59"/>
  <c r="AZ528" i="59"/>
  <c r="N526" i="59"/>
  <c r="Q526" i="59" s="1"/>
  <c r="T526" i="59" s="1"/>
  <c r="W526" i="59" s="1"/>
  <c r="Z526" i="59" s="1"/>
  <c r="AC526" i="59" s="1"/>
  <c r="AF526" i="59" s="1"/>
  <c r="AI526" i="59" s="1"/>
  <c r="AL526" i="59" s="1"/>
  <c r="AO526" i="59" s="1"/>
  <c r="AR526" i="59" s="1"/>
  <c r="AU526" i="59" s="1"/>
  <c r="AV526" i="59"/>
  <c r="AX526" i="59"/>
  <c r="AY526" i="59"/>
  <c r="AZ526" i="59"/>
  <c r="N532" i="59"/>
  <c r="Q532" i="59" s="1"/>
  <c r="T532" i="59" s="1"/>
  <c r="W532" i="59" s="1"/>
  <c r="Z532" i="59" s="1"/>
  <c r="AC532" i="59" s="1"/>
  <c r="AF532" i="59" s="1"/>
  <c r="AI532" i="59" s="1"/>
  <c r="AL532" i="59" s="1"/>
  <c r="AO532" i="59" s="1"/>
  <c r="AR532" i="59" s="1"/>
  <c r="AU532" i="59" s="1"/>
  <c r="J532" i="59" s="1"/>
  <c r="AV532" i="59"/>
  <c r="AX532" i="59"/>
  <c r="AY532" i="59"/>
  <c r="AZ532" i="59"/>
  <c r="N536" i="59"/>
  <c r="Q536" i="59" s="1"/>
  <c r="T536" i="59" s="1"/>
  <c r="W536" i="59" s="1"/>
  <c r="Z536" i="59" s="1"/>
  <c r="AC536" i="59" s="1"/>
  <c r="AF536" i="59" s="1"/>
  <c r="AI536" i="59" s="1"/>
  <c r="AL536" i="59" s="1"/>
  <c r="AO536" i="59" s="1"/>
  <c r="AR536" i="59" s="1"/>
  <c r="AU536" i="59" s="1"/>
  <c r="J536" i="59" s="1"/>
  <c r="AV536" i="59"/>
  <c r="AX536" i="59"/>
  <c r="AY536" i="59"/>
  <c r="AZ536" i="59"/>
  <c r="N529" i="59"/>
  <c r="Q529" i="59" s="1"/>
  <c r="T529" i="59" s="1"/>
  <c r="W529" i="59" s="1"/>
  <c r="Z529" i="59" s="1"/>
  <c r="AC529" i="59" s="1"/>
  <c r="AF529" i="59" s="1"/>
  <c r="AI529" i="59" s="1"/>
  <c r="AL529" i="59" s="1"/>
  <c r="AO529" i="59" s="1"/>
  <c r="AR529" i="59" s="1"/>
  <c r="AU529" i="59" s="1"/>
  <c r="J529" i="59" s="1"/>
  <c r="AV529" i="59"/>
  <c r="AX529" i="59"/>
  <c r="AY529" i="59"/>
  <c r="AZ529" i="59"/>
  <c r="N533" i="59"/>
  <c r="Q533" i="59" s="1"/>
  <c r="T533" i="59" s="1"/>
  <c r="W533" i="59" s="1"/>
  <c r="Z533" i="59" s="1"/>
  <c r="AC533" i="59" s="1"/>
  <c r="AF533" i="59" s="1"/>
  <c r="AI533" i="59" s="1"/>
  <c r="AL533" i="59" s="1"/>
  <c r="AO533" i="59" s="1"/>
  <c r="AR533" i="59" s="1"/>
  <c r="AU533" i="59" s="1"/>
  <c r="J533" i="59" s="1"/>
  <c r="AV533" i="59"/>
  <c r="AX533" i="59"/>
  <c r="AY533" i="59"/>
  <c r="AZ533" i="59"/>
  <c r="N537" i="59"/>
  <c r="Q537" i="59" s="1"/>
  <c r="T537" i="59" s="1"/>
  <c r="W537" i="59" s="1"/>
  <c r="Z537" i="59" s="1"/>
  <c r="AC537" i="59" s="1"/>
  <c r="AF537" i="59" s="1"/>
  <c r="AI537" i="59" s="1"/>
  <c r="AL537" i="59" s="1"/>
  <c r="AO537" i="59" s="1"/>
  <c r="AR537" i="59" s="1"/>
  <c r="AU537" i="59" s="1"/>
  <c r="J537" i="59" s="1"/>
  <c r="AV537" i="59"/>
  <c r="AX537" i="59"/>
  <c r="AY537" i="59"/>
  <c r="AZ537" i="59"/>
  <c r="N530" i="59"/>
  <c r="Q530" i="59" s="1"/>
  <c r="T530" i="59" s="1"/>
  <c r="W530" i="59" s="1"/>
  <c r="Z530" i="59" s="1"/>
  <c r="AC530" i="59" s="1"/>
  <c r="AF530" i="59" s="1"/>
  <c r="AI530" i="59" s="1"/>
  <c r="AL530" i="59" s="1"/>
  <c r="AO530" i="59" s="1"/>
  <c r="AR530" i="59" s="1"/>
  <c r="AU530" i="59" s="1"/>
  <c r="J530" i="59" s="1"/>
  <c r="AV530" i="59"/>
  <c r="AX530" i="59"/>
  <c r="AY530" i="59"/>
  <c r="AZ530" i="59"/>
  <c r="N534" i="59"/>
  <c r="Q534" i="59" s="1"/>
  <c r="T534" i="59" s="1"/>
  <c r="W534" i="59" s="1"/>
  <c r="Z534" i="59" s="1"/>
  <c r="AC534" i="59" s="1"/>
  <c r="AF534" i="59" s="1"/>
  <c r="AI534" i="59" s="1"/>
  <c r="AL534" i="59" s="1"/>
  <c r="AO534" i="59" s="1"/>
  <c r="AR534" i="59" s="1"/>
  <c r="AU534" i="59" s="1"/>
  <c r="J534" i="59" s="1"/>
  <c r="AV534" i="59"/>
  <c r="AX534" i="59"/>
  <c r="AY534" i="59"/>
  <c r="AZ534" i="59"/>
  <c r="N538" i="59"/>
  <c r="Q538" i="59" s="1"/>
  <c r="T538" i="59" s="1"/>
  <c r="W538" i="59" s="1"/>
  <c r="Z538" i="59" s="1"/>
  <c r="AC538" i="59" s="1"/>
  <c r="AF538" i="59" s="1"/>
  <c r="AI538" i="59" s="1"/>
  <c r="AL538" i="59" s="1"/>
  <c r="AO538" i="59" s="1"/>
  <c r="AR538" i="59" s="1"/>
  <c r="AU538" i="59" s="1"/>
  <c r="J538" i="59" s="1"/>
  <c r="AV538" i="59"/>
  <c r="AX538" i="59"/>
  <c r="AY538" i="59"/>
  <c r="AZ538" i="59"/>
  <c r="N480" i="59"/>
  <c r="Q480" i="59" s="1"/>
  <c r="T480" i="59" s="1"/>
  <c r="W480" i="59" s="1"/>
  <c r="Z480" i="59" s="1"/>
  <c r="AC480" i="59" s="1"/>
  <c r="AF480" i="59" s="1"/>
  <c r="AI480" i="59" s="1"/>
  <c r="AL480" i="59" s="1"/>
  <c r="AO480" i="59" s="1"/>
  <c r="AR480" i="59" s="1"/>
  <c r="AU480" i="59" s="1"/>
  <c r="AV480" i="59"/>
  <c r="AX480" i="59"/>
  <c r="AY480" i="59"/>
  <c r="AZ480" i="59"/>
  <c r="N845" i="59"/>
  <c r="Q845" i="59" s="1"/>
  <c r="T845" i="59" s="1"/>
  <c r="W845" i="59" s="1"/>
  <c r="Z845" i="59" s="1"/>
  <c r="AC845" i="59" s="1"/>
  <c r="AF845" i="59" s="1"/>
  <c r="AI845" i="59" s="1"/>
  <c r="AL845" i="59" s="1"/>
  <c r="AO845" i="59" s="1"/>
  <c r="AR845" i="59" s="1"/>
  <c r="AU845" i="59" s="1"/>
  <c r="AV845" i="59"/>
  <c r="AX845" i="59"/>
  <c r="AY845" i="59"/>
  <c r="AZ845" i="59"/>
  <c r="N478" i="59"/>
  <c r="Q478" i="59" s="1"/>
  <c r="T478" i="59" s="1"/>
  <c r="W478" i="59" s="1"/>
  <c r="Z478" i="59" s="1"/>
  <c r="AC478" i="59" s="1"/>
  <c r="AF478" i="59" s="1"/>
  <c r="AI478" i="59" s="1"/>
  <c r="AL478" i="59" s="1"/>
  <c r="AO478" i="59" s="1"/>
  <c r="AR478" i="59" s="1"/>
  <c r="AU478" i="59" s="1"/>
  <c r="AV478" i="59"/>
  <c r="AX478" i="59"/>
  <c r="AY478" i="59"/>
  <c r="AZ478" i="59"/>
  <c r="N251" i="59"/>
  <c r="Q251" i="59" s="1"/>
  <c r="T251" i="59" s="1"/>
  <c r="W251" i="59" s="1"/>
  <c r="Z251" i="59" s="1"/>
  <c r="AC251" i="59" s="1"/>
  <c r="AF251" i="59" s="1"/>
  <c r="AI251" i="59" s="1"/>
  <c r="AL251" i="59" s="1"/>
  <c r="AO251" i="59" s="1"/>
  <c r="AR251" i="59" s="1"/>
  <c r="AU251" i="59" s="1"/>
  <c r="AV251" i="59"/>
  <c r="AW251" i="59"/>
  <c r="AX251" i="59"/>
  <c r="AY251" i="59"/>
  <c r="AZ251" i="59"/>
  <c r="N847" i="59"/>
  <c r="Q847" i="59" s="1"/>
  <c r="T847" i="59" s="1"/>
  <c r="W847" i="59" s="1"/>
  <c r="Z847" i="59" s="1"/>
  <c r="AC847" i="59" s="1"/>
  <c r="AF847" i="59" s="1"/>
  <c r="AI847" i="59" s="1"/>
  <c r="AL847" i="59" s="1"/>
  <c r="AO847" i="59" s="1"/>
  <c r="AR847" i="59" s="1"/>
  <c r="AU847" i="59" s="1"/>
  <c r="AV847" i="59"/>
  <c r="AX847" i="59"/>
  <c r="AY847" i="59"/>
  <c r="AZ847" i="59"/>
  <c r="N848" i="59"/>
  <c r="Q848" i="59" s="1"/>
  <c r="T848" i="59" s="1"/>
  <c r="W848" i="59" s="1"/>
  <c r="Z848" i="59" s="1"/>
  <c r="AC848" i="59" s="1"/>
  <c r="AF848" i="59" s="1"/>
  <c r="AI848" i="59" s="1"/>
  <c r="AL848" i="59" s="1"/>
  <c r="AO848" i="59" s="1"/>
  <c r="AR848" i="59" s="1"/>
  <c r="AU848" i="59" s="1"/>
  <c r="AV848" i="59"/>
  <c r="AX848" i="59"/>
  <c r="AY848" i="59"/>
  <c r="AZ848" i="59"/>
  <c r="N479" i="59"/>
  <c r="Q479" i="59" s="1"/>
  <c r="T479" i="59" s="1"/>
  <c r="W479" i="59" s="1"/>
  <c r="Z479" i="59" s="1"/>
  <c r="AC479" i="59" s="1"/>
  <c r="AF479" i="59" s="1"/>
  <c r="AI479" i="59" s="1"/>
  <c r="AL479" i="59" s="1"/>
  <c r="AO479" i="59" s="1"/>
  <c r="AR479" i="59" s="1"/>
  <c r="AU479" i="59" s="1"/>
  <c r="AV479" i="59"/>
  <c r="AX479" i="59"/>
  <c r="AY479" i="59"/>
  <c r="AZ479" i="59"/>
  <c r="N846" i="59"/>
  <c r="Q846" i="59" s="1"/>
  <c r="T846" i="59" s="1"/>
  <c r="W846" i="59" s="1"/>
  <c r="Z846" i="59" s="1"/>
  <c r="AC846" i="59" s="1"/>
  <c r="AF846" i="59" s="1"/>
  <c r="AI846" i="59" s="1"/>
  <c r="AL846" i="59" s="1"/>
  <c r="AO846" i="59" s="1"/>
  <c r="AR846" i="59" s="1"/>
  <c r="AU846" i="59" s="1"/>
  <c r="AV846" i="59"/>
  <c r="AX846" i="59"/>
  <c r="AY846" i="59"/>
  <c r="AZ846" i="59"/>
  <c r="N849" i="59"/>
  <c r="Q849" i="59" s="1"/>
  <c r="T849" i="59" s="1"/>
  <c r="W849" i="59" s="1"/>
  <c r="Z849" i="59" s="1"/>
  <c r="AC849" i="59" s="1"/>
  <c r="AF849" i="59" s="1"/>
  <c r="AI849" i="59" s="1"/>
  <c r="AL849" i="59" s="1"/>
  <c r="AO849" i="59" s="1"/>
  <c r="AR849" i="59" s="1"/>
  <c r="AU849" i="59" s="1"/>
  <c r="AV849" i="59"/>
  <c r="AX849" i="59"/>
  <c r="AY849" i="59"/>
  <c r="AZ849" i="59"/>
  <c r="N472" i="59"/>
  <c r="Q472" i="59" s="1"/>
  <c r="T472" i="59" s="1"/>
  <c r="W472" i="59" s="1"/>
  <c r="Z472" i="59" s="1"/>
  <c r="AC472" i="59" s="1"/>
  <c r="AF472" i="59" s="1"/>
  <c r="AI472" i="59" s="1"/>
  <c r="AL472" i="59" s="1"/>
  <c r="AO472" i="59" s="1"/>
  <c r="AR472" i="59" s="1"/>
  <c r="AU472" i="59" s="1"/>
  <c r="AV472" i="59"/>
  <c r="AX472" i="59"/>
  <c r="AY472" i="59"/>
  <c r="AZ472" i="59"/>
  <c r="N427" i="59"/>
  <c r="Q427" i="59" s="1"/>
  <c r="T427" i="59" s="1"/>
  <c r="W427" i="59" s="1"/>
  <c r="Z427" i="59" s="1"/>
  <c r="AC427" i="59" s="1"/>
  <c r="AF427" i="59" s="1"/>
  <c r="AI427" i="59" s="1"/>
  <c r="AL427" i="59" s="1"/>
  <c r="AO427" i="59" s="1"/>
  <c r="AR427" i="59" s="1"/>
  <c r="AU427" i="59" s="1"/>
  <c r="AV427" i="59"/>
  <c r="AX427" i="59"/>
  <c r="AY427" i="59"/>
  <c r="AZ427" i="59"/>
  <c r="N692" i="59"/>
  <c r="Q692" i="59" s="1"/>
  <c r="T692" i="59" s="1"/>
  <c r="W692" i="59" s="1"/>
  <c r="Z692" i="59" s="1"/>
  <c r="AC692" i="59" s="1"/>
  <c r="AF692" i="59" s="1"/>
  <c r="AI692" i="59" s="1"/>
  <c r="AL692" i="59" s="1"/>
  <c r="AO692" i="59" s="1"/>
  <c r="AR692" i="59" s="1"/>
  <c r="AU692" i="59" s="1"/>
  <c r="AV692" i="59"/>
  <c r="AX692" i="59"/>
  <c r="AY692" i="59"/>
  <c r="AZ692" i="59"/>
  <c r="N361" i="59"/>
  <c r="Q361" i="59" s="1"/>
  <c r="T361" i="59" s="1"/>
  <c r="W361" i="59" s="1"/>
  <c r="Z361" i="59" s="1"/>
  <c r="AC361" i="59" s="1"/>
  <c r="AF361" i="59" s="1"/>
  <c r="AI361" i="59" s="1"/>
  <c r="AL361" i="59" s="1"/>
  <c r="AO361" i="59" s="1"/>
  <c r="AR361" i="59" s="1"/>
  <c r="AU361" i="59" s="1"/>
  <c r="J361" i="59" s="1"/>
  <c r="AV361" i="59"/>
  <c r="AX361" i="59"/>
  <c r="AY361" i="59"/>
  <c r="AZ361" i="59"/>
  <c r="N923" i="59"/>
  <c r="Q923" i="59" s="1"/>
  <c r="T923" i="59" s="1"/>
  <c r="W923" i="59" s="1"/>
  <c r="Z923" i="59" s="1"/>
  <c r="AC923" i="59" s="1"/>
  <c r="AF923" i="59" s="1"/>
  <c r="AI923" i="59" s="1"/>
  <c r="AL923" i="59" s="1"/>
  <c r="AO923" i="59" s="1"/>
  <c r="AR923" i="59" s="1"/>
  <c r="AU923" i="59" s="1"/>
  <c r="J923" i="59" s="1"/>
  <c r="AV923" i="59"/>
  <c r="AX923" i="59"/>
  <c r="AY923" i="59"/>
  <c r="AZ923" i="59"/>
  <c r="N373" i="59"/>
  <c r="Q373" i="59" s="1"/>
  <c r="T373" i="59" s="1"/>
  <c r="W373" i="59" s="1"/>
  <c r="Z373" i="59" s="1"/>
  <c r="AC373" i="59" s="1"/>
  <c r="AF373" i="59" s="1"/>
  <c r="AI373" i="59" s="1"/>
  <c r="AL373" i="59" s="1"/>
  <c r="AO373" i="59" s="1"/>
  <c r="AR373" i="59" s="1"/>
  <c r="AU373" i="59" s="1"/>
  <c r="J373" i="59" s="1"/>
  <c r="AV373" i="59"/>
  <c r="AX373" i="59"/>
  <c r="AY373" i="59"/>
  <c r="AZ373" i="59"/>
  <c r="N722" i="59"/>
  <c r="Q722" i="59" s="1"/>
  <c r="T722" i="59" s="1"/>
  <c r="W722" i="59" s="1"/>
  <c r="Z722" i="59" s="1"/>
  <c r="AC722" i="59" s="1"/>
  <c r="AF722" i="59" s="1"/>
  <c r="AI722" i="59" s="1"/>
  <c r="AL722" i="59" s="1"/>
  <c r="AO722" i="59" s="1"/>
  <c r="AR722" i="59" s="1"/>
  <c r="AU722" i="59" s="1"/>
  <c r="J722" i="59" s="1"/>
  <c r="AV722" i="59"/>
  <c r="AX722" i="59"/>
  <c r="AY722" i="59"/>
  <c r="AZ722" i="59"/>
  <c r="N673" i="59"/>
  <c r="Q673" i="59" s="1"/>
  <c r="T673" i="59" s="1"/>
  <c r="W673" i="59" s="1"/>
  <c r="Z673" i="59" s="1"/>
  <c r="AC673" i="59" s="1"/>
  <c r="AF673" i="59" s="1"/>
  <c r="AI673" i="59" s="1"/>
  <c r="AL673" i="59" s="1"/>
  <c r="AO673" i="59" s="1"/>
  <c r="AR673" i="59" s="1"/>
  <c r="AU673" i="59" s="1"/>
  <c r="J673" i="59" s="1"/>
  <c r="AV673" i="59"/>
  <c r="AX673" i="59"/>
  <c r="AY673" i="59"/>
  <c r="AZ673" i="59"/>
  <c r="N666" i="59"/>
  <c r="Q666" i="59" s="1"/>
  <c r="T666" i="59" s="1"/>
  <c r="W666" i="59" s="1"/>
  <c r="Z666" i="59" s="1"/>
  <c r="AC666" i="59" s="1"/>
  <c r="AF666" i="59" s="1"/>
  <c r="AI666" i="59" s="1"/>
  <c r="AL666" i="59" s="1"/>
  <c r="AO666" i="59" s="1"/>
  <c r="AR666" i="59" s="1"/>
  <c r="AU666" i="59" s="1"/>
  <c r="J666" i="59" s="1"/>
  <c r="AV666" i="59"/>
  <c r="AX666" i="59"/>
  <c r="AY666" i="59"/>
  <c r="AZ666" i="59"/>
  <c r="N658" i="59"/>
  <c r="Q658" i="59" s="1"/>
  <c r="T658" i="59" s="1"/>
  <c r="W658" i="59" s="1"/>
  <c r="Z658" i="59" s="1"/>
  <c r="AC658" i="59" s="1"/>
  <c r="AF658" i="59" s="1"/>
  <c r="AI658" i="59" s="1"/>
  <c r="AL658" i="59" s="1"/>
  <c r="AO658" i="59" s="1"/>
  <c r="AR658" i="59" s="1"/>
  <c r="AU658" i="59" s="1"/>
  <c r="J658" i="59" s="1"/>
  <c r="AV658" i="59"/>
  <c r="AX658" i="59"/>
  <c r="AY658" i="59"/>
  <c r="AZ658" i="59"/>
  <c r="N520" i="59"/>
  <c r="Q520" i="59" s="1"/>
  <c r="T520" i="59" s="1"/>
  <c r="W520" i="59" s="1"/>
  <c r="Z520" i="59" s="1"/>
  <c r="AC520" i="59" s="1"/>
  <c r="AF520" i="59" s="1"/>
  <c r="AI520" i="59" s="1"/>
  <c r="AL520" i="59" s="1"/>
  <c r="AO520" i="59" s="1"/>
  <c r="AR520" i="59" s="1"/>
  <c r="AU520" i="59" s="1"/>
  <c r="J520" i="59" s="1"/>
  <c r="AV520" i="59"/>
  <c r="AX520" i="59"/>
  <c r="AY520" i="59"/>
  <c r="AZ520" i="59"/>
  <c r="N668" i="59"/>
  <c r="Q668" i="59" s="1"/>
  <c r="T668" i="59" s="1"/>
  <c r="W668" i="59" s="1"/>
  <c r="Z668" i="59" s="1"/>
  <c r="AC668" i="59" s="1"/>
  <c r="AF668" i="59" s="1"/>
  <c r="AI668" i="59" s="1"/>
  <c r="AL668" i="59" s="1"/>
  <c r="AO668" i="59" s="1"/>
  <c r="AR668" i="59" s="1"/>
  <c r="AU668" i="59" s="1"/>
  <c r="J668" i="59" s="1"/>
  <c r="AV668" i="59"/>
  <c r="AX668" i="59"/>
  <c r="AY668" i="59"/>
  <c r="AZ668" i="59"/>
  <c r="N714" i="59"/>
  <c r="Q714" i="59" s="1"/>
  <c r="T714" i="59" s="1"/>
  <c r="W714" i="59" s="1"/>
  <c r="Z714" i="59" s="1"/>
  <c r="AC714" i="59" s="1"/>
  <c r="AF714" i="59" s="1"/>
  <c r="AI714" i="59" s="1"/>
  <c r="AL714" i="59" s="1"/>
  <c r="AO714" i="59" s="1"/>
  <c r="AR714" i="59" s="1"/>
  <c r="AU714" i="59" s="1"/>
  <c r="J714" i="59" s="1"/>
  <c r="AV714" i="59"/>
  <c r="AX714" i="59"/>
  <c r="AY714" i="59"/>
  <c r="AZ714" i="59"/>
  <c r="N715" i="59"/>
  <c r="Q715" i="59" s="1"/>
  <c r="T715" i="59" s="1"/>
  <c r="W715" i="59" s="1"/>
  <c r="Z715" i="59" s="1"/>
  <c r="AC715" i="59" s="1"/>
  <c r="AF715" i="59" s="1"/>
  <c r="AI715" i="59" s="1"/>
  <c r="AL715" i="59" s="1"/>
  <c r="AO715" i="59" s="1"/>
  <c r="AR715" i="59" s="1"/>
  <c r="AU715" i="59" s="1"/>
  <c r="J715" i="59" s="1"/>
  <c r="AV715" i="59"/>
  <c r="AX715" i="59"/>
  <c r="AY715" i="59"/>
  <c r="AZ715" i="59"/>
  <c r="N519" i="59"/>
  <c r="Q519" i="59" s="1"/>
  <c r="T519" i="59" s="1"/>
  <c r="W519" i="59" s="1"/>
  <c r="Z519" i="59" s="1"/>
  <c r="AC519" i="59" s="1"/>
  <c r="AF519" i="59" s="1"/>
  <c r="AI519" i="59" s="1"/>
  <c r="AL519" i="59" s="1"/>
  <c r="AO519" i="59" s="1"/>
  <c r="AR519" i="59" s="1"/>
  <c r="AU519" i="59" s="1"/>
  <c r="J519" i="59" s="1"/>
  <c r="AV519" i="59"/>
  <c r="AX519" i="59"/>
  <c r="AY519" i="59"/>
  <c r="AZ519" i="59"/>
  <c r="N624" i="59"/>
  <c r="Q624" i="59" s="1"/>
  <c r="T624" i="59" s="1"/>
  <c r="W624" i="59" s="1"/>
  <c r="Z624" i="59" s="1"/>
  <c r="AC624" i="59" s="1"/>
  <c r="AF624" i="59" s="1"/>
  <c r="AI624" i="59" s="1"/>
  <c r="AL624" i="59" s="1"/>
  <c r="AO624" i="59" s="1"/>
  <c r="AR624" i="59" s="1"/>
  <c r="AU624" i="59" s="1"/>
  <c r="J624" i="59" s="1"/>
  <c r="AV624" i="59"/>
  <c r="AX624" i="59"/>
  <c r="AY624" i="59"/>
  <c r="AZ624" i="59"/>
  <c r="N721" i="59"/>
  <c r="Q721" i="59" s="1"/>
  <c r="T721" i="59" s="1"/>
  <c r="W721" i="59" s="1"/>
  <c r="Z721" i="59" s="1"/>
  <c r="AC721" i="59" s="1"/>
  <c r="AF721" i="59" s="1"/>
  <c r="AI721" i="59" s="1"/>
  <c r="AL721" i="59" s="1"/>
  <c r="AO721" i="59" s="1"/>
  <c r="AR721" i="59" s="1"/>
  <c r="AU721" i="59" s="1"/>
  <c r="J721" i="59" s="1"/>
  <c r="AV721" i="59"/>
  <c r="AX721" i="59"/>
  <c r="AY721" i="59"/>
  <c r="AZ721" i="59"/>
  <c r="N623" i="59"/>
  <c r="Q623" i="59" s="1"/>
  <c r="T623" i="59" s="1"/>
  <c r="W623" i="59" s="1"/>
  <c r="Z623" i="59" s="1"/>
  <c r="AC623" i="59" s="1"/>
  <c r="AF623" i="59" s="1"/>
  <c r="AI623" i="59" s="1"/>
  <c r="AL623" i="59" s="1"/>
  <c r="AO623" i="59" s="1"/>
  <c r="AR623" i="59" s="1"/>
  <c r="AU623" i="59" s="1"/>
  <c r="J623" i="59" s="1"/>
  <c r="AV623" i="59"/>
  <c r="AX623" i="59"/>
  <c r="AY623" i="59"/>
  <c r="AZ623" i="59"/>
  <c r="N888" i="59"/>
  <c r="Q888" i="59" s="1"/>
  <c r="T888" i="59" s="1"/>
  <c r="W888" i="59" s="1"/>
  <c r="Z888" i="59" s="1"/>
  <c r="AC888" i="59" s="1"/>
  <c r="AF888" i="59" s="1"/>
  <c r="AI888" i="59" s="1"/>
  <c r="AL888" i="59" s="1"/>
  <c r="AO888" i="59" s="1"/>
  <c r="AR888" i="59" s="1"/>
  <c r="AU888" i="59" s="1"/>
  <c r="J888" i="59" s="1"/>
  <c r="AV888" i="59"/>
  <c r="AX888" i="59"/>
  <c r="AY888" i="59"/>
  <c r="AZ888" i="59"/>
  <c r="N925" i="59"/>
  <c r="Q925" i="59" s="1"/>
  <c r="T925" i="59" s="1"/>
  <c r="W925" i="59" s="1"/>
  <c r="Z925" i="59" s="1"/>
  <c r="AC925" i="59" s="1"/>
  <c r="AF925" i="59" s="1"/>
  <c r="AI925" i="59" s="1"/>
  <c r="AL925" i="59" s="1"/>
  <c r="AO925" i="59" s="1"/>
  <c r="AR925" i="59" s="1"/>
  <c r="AU925" i="59" s="1"/>
  <c r="J925" i="59" s="1"/>
  <c r="AV925" i="59"/>
  <c r="AX925" i="59"/>
  <c r="AY925" i="59"/>
  <c r="AZ925" i="59"/>
  <c r="N717" i="59"/>
  <c r="Q717" i="59" s="1"/>
  <c r="T717" i="59" s="1"/>
  <c r="W717" i="59" s="1"/>
  <c r="Z717" i="59" s="1"/>
  <c r="AC717" i="59" s="1"/>
  <c r="AF717" i="59" s="1"/>
  <c r="AI717" i="59" s="1"/>
  <c r="AL717" i="59" s="1"/>
  <c r="AO717" i="59" s="1"/>
  <c r="AR717" i="59" s="1"/>
  <c r="AU717" i="59" s="1"/>
  <c r="J717" i="59" s="1"/>
  <c r="AV717" i="59"/>
  <c r="AX717" i="59"/>
  <c r="AY717" i="59"/>
  <c r="AZ717" i="59"/>
  <c r="N602" i="59"/>
  <c r="Q602" i="59" s="1"/>
  <c r="T602" i="59" s="1"/>
  <c r="W602" i="59" s="1"/>
  <c r="Z602" i="59" s="1"/>
  <c r="AC602" i="59" s="1"/>
  <c r="AF602" i="59" s="1"/>
  <c r="AI602" i="59" s="1"/>
  <c r="AL602" i="59" s="1"/>
  <c r="AO602" i="59" s="1"/>
  <c r="AR602" i="59" s="1"/>
  <c r="AU602" i="59" s="1"/>
  <c r="J602" i="59" s="1"/>
  <c r="AV602" i="59"/>
  <c r="AX602" i="59"/>
  <c r="AY602" i="59"/>
  <c r="AZ602" i="59"/>
  <c r="N725" i="59"/>
  <c r="Q725" i="59" s="1"/>
  <c r="T725" i="59" s="1"/>
  <c r="W725" i="59" s="1"/>
  <c r="Z725" i="59" s="1"/>
  <c r="AC725" i="59" s="1"/>
  <c r="AF725" i="59" s="1"/>
  <c r="AI725" i="59" s="1"/>
  <c r="AL725" i="59" s="1"/>
  <c r="AO725" i="59" s="1"/>
  <c r="AR725" i="59" s="1"/>
  <c r="AU725" i="59" s="1"/>
  <c r="J725" i="59" s="1"/>
  <c r="AV725" i="59"/>
  <c r="AX725" i="59"/>
  <c r="AY725" i="59"/>
  <c r="AZ725" i="59"/>
  <c r="N438" i="59"/>
  <c r="Q438" i="59" s="1"/>
  <c r="T438" i="59" s="1"/>
  <c r="W438" i="59" s="1"/>
  <c r="Z438" i="59" s="1"/>
  <c r="AC438" i="59" s="1"/>
  <c r="AF438" i="59" s="1"/>
  <c r="AI438" i="59" s="1"/>
  <c r="AL438" i="59" s="1"/>
  <c r="AO438" i="59" s="1"/>
  <c r="AR438" i="59" s="1"/>
  <c r="AU438" i="59" s="1"/>
  <c r="J438" i="59" s="1"/>
  <c r="AV438" i="59"/>
  <c r="AX438" i="59"/>
  <c r="AY438" i="59"/>
  <c r="AZ438" i="59"/>
  <c r="N426" i="59"/>
  <c r="Q426" i="59" s="1"/>
  <c r="T426" i="59" s="1"/>
  <c r="W426" i="59" s="1"/>
  <c r="Z426" i="59" s="1"/>
  <c r="AC426" i="59" s="1"/>
  <c r="AF426" i="59" s="1"/>
  <c r="AI426" i="59" s="1"/>
  <c r="AL426" i="59" s="1"/>
  <c r="AO426" i="59" s="1"/>
  <c r="AR426" i="59" s="1"/>
  <c r="AU426" i="59" s="1"/>
  <c r="J426" i="59" s="1"/>
  <c r="AV426" i="59"/>
  <c r="AX426" i="59"/>
  <c r="AY426" i="59"/>
  <c r="AZ426" i="59"/>
  <c r="N741" i="59"/>
  <c r="Q741" i="59" s="1"/>
  <c r="T741" i="59" s="1"/>
  <c r="W741" i="59" s="1"/>
  <c r="Z741" i="59" s="1"/>
  <c r="AC741" i="59" s="1"/>
  <c r="AF741" i="59" s="1"/>
  <c r="AI741" i="59" s="1"/>
  <c r="AL741" i="59" s="1"/>
  <c r="AO741" i="59" s="1"/>
  <c r="AR741" i="59" s="1"/>
  <c r="AU741" i="59" s="1"/>
  <c r="J741" i="59" s="1"/>
  <c r="AV741" i="59"/>
  <c r="AX741" i="59"/>
  <c r="AY741" i="59"/>
  <c r="AZ741" i="59"/>
  <c r="N603" i="59"/>
  <c r="Q603" i="59" s="1"/>
  <c r="T603" i="59" s="1"/>
  <c r="W603" i="59" s="1"/>
  <c r="Z603" i="59" s="1"/>
  <c r="AC603" i="59" s="1"/>
  <c r="AF603" i="59" s="1"/>
  <c r="AI603" i="59" s="1"/>
  <c r="AL603" i="59" s="1"/>
  <c r="AO603" i="59" s="1"/>
  <c r="AR603" i="59" s="1"/>
  <c r="AU603" i="59" s="1"/>
  <c r="J603" i="59" s="1"/>
  <c r="AV603" i="59"/>
  <c r="AX603" i="59"/>
  <c r="AY603" i="59"/>
  <c r="AZ603" i="59"/>
  <c r="N30" i="59"/>
  <c r="Q30" i="59" s="1"/>
  <c r="T30" i="59" s="1"/>
  <c r="W30" i="59" s="1"/>
  <c r="Z30" i="59" s="1"/>
  <c r="AC30" i="59" s="1"/>
  <c r="AF30" i="59" s="1"/>
  <c r="AI30" i="59" s="1"/>
  <c r="AL30" i="59" s="1"/>
  <c r="AO30" i="59" s="1"/>
  <c r="AR30" i="59" s="1"/>
  <c r="AU30" i="59" s="1"/>
  <c r="AV30" i="59"/>
  <c r="AW30" i="59"/>
  <c r="AX30" i="59"/>
  <c r="AY30" i="59"/>
  <c r="AZ30" i="59"/>
  <c r="N922" i="59"/>
  <c r="Q922" i="59" s="1"/>
  <c r="T922" i="59" s="1"/>
  <c r="W922" i="59" s="1"/>
  <c r="Z922" i="59" s="1"/>
  <c r="AC922" i="59" s="1"/>
  <c r="AF922" i="59" s="1"/>
  <c r="AI922" i="59" s="1"/>
  <c r="AL922" i="59" s="1"/>
  <c r="AO922" i="59" s="1"/>
  <c r="AR922" i="59" s="1"/>
  <c r="AU922" i="59" s="1"/>
  <c r="J922" i="59" s="1"/>
  <c r="AV922" i="59"/>
  <c r="AX922" i="59"/>
  <c r="AY922" i="59"/>
  <c r="AZ922" i="59"/>
  <c r="N723" i="59"/>
  <c r="Q723" i="59" s="1"/>
  <c r="T723" i="59" s="1"/>
  <c r="W723" i="59" s="1"/>
  <c r="Z723" i="59" s="1"/>
  <c r="AC723" i="59" s="1"/>
  <c r="AF723" i="59" s="1"/>
  <c r="AI723" i="59" s="1"/>
  <c r="AL723" i="59" s="1"/>
  <c r="AO723" i="59" s="1"/>
  <c r="AR723" i="59" s="1"/>
  <c r="AU723" i="59" s="1"/>
  <c r="J723" i="59" s="1"/>
  <c r="AV723" i="59"/>
  <c r="AX723" i="59"/>
  <c r="AY723" i="59"/>
  <c r="AZ723" i="59"/>
  <c r="N724" i="59"/>
  <c r="Q724" i="59" s="1"/>
  <c r="T724" i="59" s="1"/>
  <c r="W724" i="59" s="1"/>
  <c r="Z724" i="59" s="1"/>
  <c r="AC724" i="59" s="1"/>
  <c r="AF724" i="59" s="1"/>
  <c r="AI724" i="59" s="1"/>
  <c r="AL724" i="59" s="1"/>
  <c r="AO724" i="59" s="1"/>
  <c r="AR724" i="59" s="1"/>
  <c r="AU724" i="59" s="1"/>
  <c r="J724" i="59" s="1"/>
  <c r="AV724" i="59"/>
  <c r="AX724" i="59"/>
  <c r="AY724" i="59"/>
  <c r="AZ724" i="59"/>
  <c r="N631" i="59"/>
  <c r="Q631" i="59" s="1"/>
  <c r="T631" i="59" s="1"/>
  <c r="W631" i="59" s="1"/>
  <c r="Z631" i="59" s="1"/>
  <c r="AC631" i="59" s="1"/>
  <c r="AF631" i="59" s="1"/>
  <c r="AI631" i="59" s="1"/>
  <c r="AL631" i="59" s="1"/>
  <c r="AO631" i="59" s="1"/>
  <c r="AR631" i="59" s="1"/>
  <c r="AU631" i="59" s="1"/>
  <c r="J631" i="59" s="1"/>
  <c r="AV631" i="59"/>
  <c r="AX631" i="59"/>
  <c r="AY631" i="59"/>
  <c r="AZ631" i="59"/>
  <c r="N839" i="59"/>
  <c r="Q839" i="59" s="1"/>
  <c r="T839" i="59" s="1"/>
  <c r="W839" i="59" s="1"/>
  <c r="Z839" i="59" s="1"/>
  <c r="AC839" i="59" s="1"/>
  <c r="AF839" i="59" s="1"/>
  <c r="AI839" i="59" s="1"/>
  <c r="AL839" i="59" s="1"/>
  <c r="AO839" i="59" s="1"/>
  <c r="AR839" i="59" s="1"/>
  <c r="AU839" i="59" s="1"/>
  <c r="J839" i="59" s="1"/>
  <c r="AV839" i="59"/>
  <c r="AX839" i="59"/>
  <c r="AY839" i="59"/>
  <c r="AZ839" i="59"/>
  <c r="N650" i="59"/>
  <c r="Q650" i="59" s="1"/>
  <c r="T650" i="59" s="1"/>
  <c r="W650" i="59" s="1"/>
  <c r="Z650" i="59" s="1"/>
  <c r="AC650" i="59" s="1"/>
  <c r="AF650" i="59" s="1"/>
  <c r="AI650" i="59" s="1"/>
  <c r="AL650" i="59" s="1"/>
  <c r="AO650" i="59" s="1"/>
  <c r="AR650" i="59" s="1"/>
  <c r="AU650" i="59" s="1"/>
  <c r="AV650" i="59"/>
  <c r="AX650" i="59"/>
  <c r="AY650" i="59"/>
  <c r="AZ650" i="59"/>
  <c r="N716" i="59"/>
  <c r="Q716" i="59" s="1"/>
  <c r="T716" i="59" s="1"/>
  <c r="W716" i="59" s="1"/>
  <c r="Z716" i="59" s="1"/>
  <c r="AC716" i="59" s="1"/>
  <c r="AF716" i="59" s="1"/>
  <c r="AI716" i="59" s="1"/>
  <c r="AL716" i="59" s="1"/>
  <c r="AO716" i="59" s="1"/>
  <c r="AR716" i="59" s="1"/>
  <c r="AU716" i="59" s="1"/>
  <c r="J716" i="59" s="1"/>
  <c r="AV716" i="59"/>
  <c r="AX716" i="59"/>
  <c r="AY716" i="59"/>
  <c r="AZ716" i="59"/>
  <c r="N691" i="59"/>
  <c r="Q691" i="59" s="1"/>
  <c r="T691" i="59" s="1"/>
  <c r="W691" i="59" s="1"/>
  <c r="Z691" i="59" s="1"/>
  <c r="AC691" i="59" s="1"/>
  <c r="AF691" i="59" s="1"/>
  <c r="AI691" i="59" s="1"/>
  <c r="AL691" i="59" s="1"/>
  <c r="AO691" i="59" s="1"/>
  <c r="AR691" i="59" s="1"/>
  <c r="AU691" i="59" s="1"/>
  <c r="J691" i="59" s="1"/>
  <c r="AV691" i="59"/>
  <c r="AX691" i="59"/>
  <c r="AY691" i="59"/>
  <c r="AZ691" i="59"/>
  <c r="N310" i="59"/>
  <c r="Q310" i="59" s="1"/>
  <c r="T310" i="59" s="1"/>
  <c r="W310" i="59" s="1"/>
  <c r="Z310" i="59" s="1"/>
  <c r="AC310" i="59" s="1"/>
  <c r="AF310" i="59" s="1"/>
  <c r="AI310" i="59" s="1"/>
  <c r="AL310" i="59" s="1"/>
  <c r="AO310" i="59" s="1"/>
  <c r="AR310" i="59" s="1"/>
  <c r="AU310" i="59" s="1"/>
  <c r="J310" i="59" s="1"/>
  <c r="AV310" i="59"/>
  <c r="AX310" i="59"/>
  <c r="AY310" i="59"/>
  <c r="AZ310" i="59"/>
  <c r="N917" i="59"/>
  <c r="Q917" i="59" s="1"/>
  <c r="T917" i="59" s="1"/>
  <c r="W917" i="59" s="1"/>
  <c r="Z917" i="59" s="1"/>
  <c r="AC917" i="59" s="1"/>
  <c r="AF917" i="59" s="1"/>
  <c r="AI917" i="59" s="1"/>
  <c r="AL917" i="59" s="1"/>
  <c r="AO917" i="59" s="1"/>
  <c r="AR917" i="59" s="1"/>
  <c r="AU917" i="59" s="1"/>
  <c r="J917" i="59" s="1"/>
  <c r="AV917" i="59"/>
  <c r="AX917" i="59"/>
  <c r="AY917" i="59"/>
  <c r="AZ917" i="59"/>
  <c r="N672" i="59"/>
  <c r="Q672" i="59" s="1"/>
  <c r="T672" i="59" s="1"/>
  <c r="W672" i="59" s="1"/>
  <c r="Z672" i="59" s="1"/>
  <c r="AC672" i="59" s="1"/>
  <c r="AF672" i="59" s="1"/>
  <c r="AI672" i="59" s="1"/>
  <c r="AL672" i="59" s="1"/>
  <c r="AO672" i="59" s="1"/>
  <c r="AR672" i="59" s="1"/>
  <c r="AU672" i="59" s="1"/>
  <c r="J672" i="59" s="1"/>
  <c r="AV672" i="59"/>
  <c r="AX672" i="59"/>
  <c r="AY672" i="59"/>
  <c r="AZ672" i="59"/>
  <c r="N641" i="59"/>
  <c r="Q641" i="59" s="1"/>
  <c r="T641" i="59" s="1"/>
  <c r="W641" i="59" s="1"/>
  <c r="Z641" i="59" s="1"/>
  <c r="AC641" i="59" s="1"/>
  <c r="AF641" i="59" s="1"/>
  <c r="AI641" i="59" s="1"/>
  <c r="AL641" i="59" s="1"/>
  <c r="AO641" i="59" s="1"/>
  <c r="AR641" i="59" s="1"/>
  <c r="AU641" i="59" s="1"/>
  <c r="J641" i="59" s="1"/>
  <c r="AV641" i="59"/>
  <c r="AX641" i="59"/>
  <c r="AY641" i="59"/>
  <c r="AZ641" i="59"/>
  <c r="N247" i="59"/>
  <c r="Q247" i="59" s="1"/>
  <c r="T247" i="59" s="1"/>
  <c r="W247" i="59" s="1"/>
  <c r="Z247" i="59" s="1"/>
  <c r="AC247" i="59" s="1"/>
  <c r="AF247" i="59" s="1"/>
  <c r="AI247" i="59" s="1"/>
  <c r="AL247" i="59" s="1"/>
  <c r="AO247" i="59" s="1"/>
  <c r="AR247" i="59" s="1"/>
  <c r="AU247" i="59" s="1"/>
  <c r="J247" i="59" s="1"/>
  <c r="AV247" i="59"/>
  <c r="AW247" i="59"/>
  <c r="AX247" i="59"/>
  <c r="AZ247" i="59"/>
  <c r="N606" i="59"/>
  <c r="Q606" i="59" s="1"/>
  <c r="T606" i="59" s="1"/>
  <c r="W606" i="59" s="1"/>
  <c r="Z606" i="59" s="1"/>
  <c r="AC606" i="59" s="1"/>
  <c r="AF606" i="59" s="1"/>
  <c r="AI606" i="59" s="1"/>
  <c r="AL606" i="59" s="1"/>
  <c r="AO606" i="59" s="1"/>
  <c r="AR606" i="59" s="1"/>
  <c r="AU606" i="59" s="1"/>
  <c r="AV606" i="59"/>
  <c r="AX606" i="59"/>
  <c r="AY606" i="59"/>
  <c r="AZ606" i="59"/>
  <c r="N301" i="59"/>
  <c r="Q301" i="59" s="1"/>
  <c r="T301" i="59" s="1"/>
  <c r="W301" i="59" s="1"/>
  <c r="Z301" i="59" s="1"/>
  <c r="AC301" i="59" s="1"/>
  <c r="AF301" i="59" s="1"/>
  <c r="AI301" i="59" s="1"/>
  <c r="AL301" i="59" s="1"/>
  <c r="AO301" i="59" s="1"/>
  <c r="AR301" i="59" s="1"/>
  <c r="AU301" i="59" s="1"/>
  <c r="J301" i="59" s="1"/>
  <c r="AV301" i="59"/>
  <c r="AX301" i="59"/>
  <c r="AY301" i="59"/>
  <c r="AZ301" i="59"/>
  <c r="N300" i="59"/>
  <c r="Q300" i="59" s="1"/>
  <c r="T300" i="59" s="1"/>
  <c r="W300" i="59" s="1"/>
  <c r="Z300" i="59" s="1"/>
  <c r="AC300" i="59" s="1"/>
  <c r="AF300" i="59" s="1"/>
  <c r="AI300" i="59" s="1"/>
  <c r="AL300" i="59" s="1"/>
  <c r="AO300" i="59" s="1"/>
  <c r="AR300" i="59" s="1"/>
  <c r="AU300" i="59" s="1"/>
  <c r="J300" i="59" s="1"/>
  <c r="AV300" i="59"/>
  <c r="AX300" i="59"/>
  <c r="AY300" i="59"/>
  <c r="AZ300" i="59"/>
  <c r="N119" i="59"/>
  <c r="Q119" i="59" s="1"/>
  <c r="T119" i="59" s="1"/>
  <c r="W119" i="59" s="1"/>
  <c r="Z119" i="59" s="1"/>
  <c r="AC119" i="59" s="1"/>
  <c r="AF119" i="59" s="1"/>
  <c r="AI119" i="59" s="1"/>
  <c r="AL119" i="59" s="1"/>
  <c r="AO119" i="59" s="1"/>
  <c r="AR119" i="59" s="1"/>
  <c r="AU119" i="59" s="1"/>
  <c r="J119" i="59" s="1"/>
  <c r="AV119" i="59"/>
  <c r="AW119" i="59"/>
  <c r="AX119" i="59"/>
  <c r="AY119" i="59"/>
  <c r="AZ119" i="59"/>
  <c r="N490" i="59"/>
  <c r="Q490" i="59" s="1"/>
  <c r="T490" i="59" s="1"/>
  <c r="W490" i="59" s="1"/>
  <c r="Z490" i="59" s="1"/>
  <c r="AC490" i="59" s="1"/>
  <c r="AF490" i="59" s="1"/>
  <c r="AI490" i="59" s="1"/>
  <c r="AL490" i="59" s="1"/>
  <c r="AO490" i="59" s="1"/>
  <c r="AR490" i="59" s="1"/>
  <c r="AU490" i="59" s="1"/>
  <c r="J490" i="59" s="1"/>
  <c r="AV490" i="59"/>
  <c r="AX490" i="59"/>
  <c r="AY490" i="59"/>
  <c r="AZ490" i="59"/>
  <c r="N907" i="59"/>
  <c r="Q907" i="59" s="1"/>
  <c r="T907" i="59" s="1"/>
  <c r="W907" i="59" s="1"/>
  <c r="Z907" i="59" s="1"/>
  <c r="AC907" i="59" s="1"/>
  <c r="AF907" i="59" s="1"/>
  <c r="AI907" i="59" s="1"/>
  <c r="AL907" i="59" s="1"/>
  <c r="AO907" i="59" s="1"/>
  <c r="AR907" i="59" s="1"/>
  <c r="AU907" i="59" s="1"/>
  <c r="J907" i="59" s="1"/>
  <c r="AV907" i="59"/>
  <c r="AX907" i="59"/>
  <c r="AY907" i="59"/>
  <c r="AZ907" i="59"/>
  <c r="N653" i="59"/>
  <c r="Q653" i="59" s="1"/>
  <c r="T653" i="59" s="1"/>
  <c r="W653" i="59" s="1"/>
  <c r="Z653" i="59" s="1"/>
  <c r="AC653" i="59" s="1"/>
  <c r="AF653" i="59" s="1"/>
  <c r="AI653" i="59" s="1"/>
  <c r="AL653" i="59" s="1"/>
  <c r="AO653" i="59" s="1"/>
  <c r="AR653" i="59" s="1"/>
  <c r="AU653" i="59" s="1"/>
  <c r="J653" i="59" s="1"/>
  <c r="AV653" i="59"/>
  <c r="AX653" i="59"/>
  <c r="AY653" i="59"/>
  <c r="AZ653" i="59"/>
  <c r="N471" i="59"/>
  <c r="Q471" i="59" s="1"/>
  <c r="T471" i="59" s="1"/>
  <c r="W471" i="59" s="1"/>
  <c r="Z471" i="59" s="1"/>
  <c r="AC471" i="59" s="1"/>
  <c r="AF471" i="59" s="1"/>
  <c r="AI471" i="59" s="1"/>
  <c r="AL471" i="59" s="1"/>
  <c r="AO471" i="59" s="1"/>
  <c r="AR471" i="59" s="1"/>
  <c r="AU471" i="59" s="1"/>
  <c r="J471" i="59" s="1"/>
  <c r="AV471" i="59"/>
  <c r="AX471" i="59"/>
  <c r="AY471" i="59"/>
  <c r="AZ471" i="59"/>
  <c r="N474" i="59"/>
  <c r="Q474" i="59" s="1"/>
  <c r="T474" i="59" s="1"/>
  <c r="W474" i="59" s="1"/>
  <c r="Z474" i="59" s="1"/>
  <c r="AC474" i="59" s="1"/>
  <c r="AF474" i="59" s="1"/>
  <c r="AI474" i="59" s="1"/>
  <c r="AL474" i="59" s="1"/>
  <c r="AO474" i="59" s="1"/>
  <c r="AR474" i="59" s="1"/>
  <c r="AU474" i="59" s="1"/>
  <c r="J474" i="59" s="1"/>
  <c r="AV474" i="59"/>
  <c r="AX474" i="59"/>
  <c r="AY474" i="59"/>
  <c r="AZ474" i="59"/>
  <c r="N667" i="59"/>
  <c r="Q667" i="59" s="1"/>
  <c r="T667" i="59" s="1"/>
  <c r="W667" i="59" s="1"/>
  <c r="Z667" i="59" s="1"/>
  <c r="AC667" i="59" s="1"/>
  <c r="AF667" i="59" s="1"/>
  <c r="AI667" i="59" s="1"/>
  <c r="AL667" i="59" s="1"/>
  <c r="AO667" i="59" s="1"/>
  <c r="AR667" i="59" s="1"/>
  <c r="AU667" i="59" s="1"/>
  <c r="J667" i="59" s="1"/>
  <c r="AV667" i="59"/>
  <c r="AX667" i="59"/>
  <c r="AY667" i="59"/>
  <c r="AZ667" i="59"/>
  <c r="N657" i="59"/>
  <c r="Q657" i="59" s="1"/>
  <c r="T657" i="59" s="1"/>
  <c r="W657" i="59" s="1"/>
  <c r="Z657" i="59" s="1"/>
  <c r="AC657" i="59" s="1"/>
  <c r="AF657" i="59" s="1"/>
  <c r="AI657" i="59" s="1"/>
  <c r="AL657" i="59" s="1"/>
  <c r="AO657" i="59" s="1"/>
  <c r="AR657" i="59" s="1"/>
  <c r="AU657" i="59" s="1"/>
  <c r="J657" i="59" s="1"/>
  <c r="AV657" i="59"/>
  <c r="AX657" i="59"/>
  <c r="AY657" i="59"/>
  <c r="AZ657" i="59"/>
  <c r="N369" i="59"/>
  <c r="Q369" i="59" s="1"/>
  <c r="T369" i="59" s="1"/>
  <c r="W369" i="59" s="1"/>
  <c r="Z369" i="59" s="1"/>
  <c r="AC369" i="59" s="1"/>
  <c r="AF369" i="59" s="1"/>
  <c r="AI369" i="59" s="1"/>
  <c r="AL369" i="59" s="1"/>
  <c r="AO369" i="59" s="1"/>
  <c r="AR369" i="59" s="1"/>
  <c r="AU369" i="59" s="1"/>
  <c r="J369" i="59" s="1"/>
  <c r="AV369" i="59"/>
  <c r="AX369" i="59"/>
  <c r="AY369" i="59"/>
  <c r="AZ369" i="59"/>
  <c r="N512" i="59"/>
  <c r="Q512" i="59" s="1"/>
  <c r="T512" i="59" s="1"/>
  <c r="W512" i="59" s="1"/>
  <c r="Z512" i="59" s="1"/>
  <c r="AC512" i="59" s="1"/>
  <c r="AF512" i="59" s="1"/>
  <c r="AI512" i="59" s="1"/>
  <c r="AL512" i="59" s="1"/>
  <c r="AO512" i="59" s="1"/>
  <c r="AR512" i="59" s="1"/>
  <c r="AU512" i="59" s="1"/>
  <c r="J512" i="59" s="1"/>
  <c r="AV512" i="59"/>
  <c r="AX512" i="59"/>
  <c r="AY512" i="59"/>
  <c r="AZ512" i="59"/>
  <c r="N937" i="59"/>
  <c r="Q937" i="59" s="1"/>
  <c r="T937" i="59" s="1"/>
  <c r="W937" i="59" s="1"/>
  <c r="Z937" i="59" s="1"/>
  <c r="AC937" i="59" s="1"/>
  <c r="AF937" i="59" s="1"/>
  <c r="AI937" i="59" s="1"/>
  <c r="AL937" i="59" s="1"/>
  <c r="AO937" i="59" s="1"/>
  <c r="AR937" i="59" s="1"/>
  <c r="AU937" i="59" s="1"/>
  <c r="J937" i="59" s="1"/>
  <c r="AV937" i="59"/>
  <c r="AX937" i="59"/>
  <c r="AY937" i="59"/>
  <c r="AZ937" i="59"/>
  <c r="N938" i="59"/>
  <c r="Q938" i="59" s="1"/>
  <c r="T938" i="59" s="1"/>
  <c r="W938" i="59" s="1"/>
  <c r="Z938" i="59" s="1"/>
  <c r="AC938" i="59" s="1"/>
  <c r="AF938" i="59" s="1"/>
  <c r="AI938" i="59" s="1"/>
  <c r="AL938" i="59" s="1"/>
  <c r="AO938" i="59" s="1"/>
  <c r="AR938" i="59" s="1"/>
  <c r="AU938" i="59" s="1"/>
  <c r="J938" i="59" s="1"/>
  <c r="AV938" i="59"/>
  <c r="AX938" i="59"/>
  <c r="AY938" i="59"/>
  <c r="AZ938" i="59"/>
  <c r="N441" i="59"/>
  <c r="Q441" i="59" s="1"/>
  <c r="T441" i="59" s="1"/>
  <c r="W441" i="59" s="1"/>
  <c r="Z441" i="59" s="1"/>
  <c r="AC441" i="59" s="1"/>
  <c r="AF441" i="59" s="1"/>
  <c r="AI441" i="59" s="1"/>
  <c r="AL441" i="59" s="1"/>
  <c r="AO441" i="59" s="1"/>
  <c r="AR441" i="59" s="1"/>
  <c r="AU441" i="59" s="1"/>
  <c r="J441" i="59" s="1"/>
  <c r="AV441" i="59"/>
  <c r="AX441" i="59"/>
  <c r="AY441" i="59"/>
  <c r="AZ441" i="59"/>
  <c r="N660" i="59"/>
  <c r="Q660" i="59" s="1"/>
  <c r="T660" i="59" s="1"/>
  <c r="W660" i="59" s="1"/>
  <c r="Z660" i="59" s="1"/>
  <c r="AC660" i="59" s="1"/>
  <c r="AF660" i="59" s="1"/>
  <c r="AI660" i="59" s="1"/>
  <c r="AL660" i="59" s="1"/>
  <c r="AO660" i="59" s="1"/>
  <c r="AR660" i="59" s="1"/>
  <c r="AU660" i="59" s="1"/>
  <c r="J660" i="59" s="1"/>
  <c r="AV660" i="59"/>
  <c r="AX660" i="59"/>
  <c r="AY660" i="59"/>
  <c r="AZ660" i="59"/>
  <c r="N321" i="59"/>
  <c r="Q321" i="59" s="1"/>
  <c r="T321" i="59" s="1"/>
  <c r="W321" i="59" s="1"/>
  <c r="Z321" i="59" s="1"/>
  <c r="AC321" i="59" s="1"/>
  <c r="AF321" i="59" s="1"/>
  <c r="AI321" i="59" s="1"/>
  <c r="AL321" i="59" s="1"/>
  <c r="AO321" i="59" s="1"/>
  <c r="AR321" i="59" s="1"/>
  <c r="AU321" i="59" s="1"/>
  <c r="J321" i="59" s="1"/>
  <c r="AV321" i="59"/>
  <c r="AX321" i="59"/>
  <c r="AY321" i="59"/>
  <c r="AZ321" i="59"/>
  <c r="N833" i="59"/>
  <c r="Q833" i="59" s="1"/>
  <c r="T833" i="59" s="1"/>
  <c r="W833" i="59" s="1"/>
  <c r="Z833" i="59" s="1"/>
  <c r="AC833" i="59" s="1"/>
  <c r="AF833" i="59" s="1"/>
  <c r="AI833" i="59" s="1"/>
  <c r="AL833" i="59" s="1"/>
  <c r="AO833" i="59" s="1"/>
  <c r="AR833" i="59" s="1"/>
  <c r="AU833" i="59" s="1"/>
  <c r="J833" i="59" s="1"/>
  <c r="AV833" i="59"/>
  <c r="AX833" i="59"/>
  <c r="AY833" i="59"/>
  <c r="AZ833" i="59"/>
  <c r="N117" i="59"/>
  <c r="Q117" i="59" s="1"/>
  <c r="T117" i="59" s="1"/>
  <c r="W117" i="59" s="1"/>
  <c r="Z117" i="59" s="1"/>
  <c r="AC117" i="59" s="1"/>
  <c r="AF117" i="59" s="1"/>
  <c r="AI117" i="59" s="1"/>
  <c r="AL117" i="59" s="1"/>
  <c r="AO117" i="59" s="1"/>
  <c r="AR117" i="59" s="1"/>
  <c r="AU117" i="59" s="1"/>
  <c r="J117" i="59" s="1"/>
  <c r="AV117" i="59"/>
  <c r="AW117" i="59"/>
  <c r="AX117" i="59"/>
  <c r="AY117" i="59"/>
  <c r="AZ117" i="59"/>
  <c r="N651" i="59"/>
  <c r="Q651" i="59" s="1"/>
  <c r="T651" i="59" s="1"/>
  <c r="W651" i="59" s="1"/>
  <c r="Z651" i="59" s="1"/>
  <c r="AC651" i="59" s="1"/>
  <c r="AF651" i="59" s="1"/>
  <c r="AI651" i="59" s="1"/>
  <c r="AL651" i="59" s="1"/>
  <c r="AO651" i="59" s="1"/>
  <c r="AR651" i="59" s="1"/>
  <c r="AU651" i="59" s="1"/>
  <c r="J651" i="59" s="1"/>
  <c r="AV651" i="59"/>
  <c r="AX651" i="59"/>
  <c r="AY651" i="59"/>
  <c r="AZ651" i="59"/>
  <c r="N670" i="59"/>
  <c r="Q670" i="59" s="1"/>
  <c r="T670" i="59" s="1"/>
  <c r="W670" i="59" s="1"/>
  <c r="Z670" i="59" s="1"/>
  <c r="AC670" i="59" s="1"/>
  <c r="AF670" i="59" s="1"/>
  <c r="AI670" i="59" s="1"/>
  <c r="AL670" i="59" s="1"/>
  <c r="AO670" i="59" s="1"/>
  <c r="AR670" i="59" s="1"/>
  <c r="AU670" i="59" s="1"/>
  <c r="J670" i="59" s="1"/>
  <c r="AV670" i="59"/>
  <c r="AX670" i="59"/>
  <c r="AY670" i="59"/>
  <c r="AZ670" i="59"/>
  <c r="N575" i="59"/>
  <c r="Q575" i="59" s="1"/>
  <c r="T575" i="59" s="1"/>
  <c r="W575" i="59" s="1"/>
  <c r="Z575" i="59" s="1"/>
  <c r="AC575" i="59" s="1"/>
  <c r="AF575" i="59" s="1"/>
  <c r="AI575" i="59" s="1"/>
  <c r="AL575" i="59" s="1"/>
  <c r="AO575" i="59" s="1"/>
  <c r="AR575" i="59" s="1"/>
  <c r="AU575" i="59" s="1"/>
  <c r="J575" i="59" s="1"/>
  <c r="AV575" i="59"/>
  <c r="AX575" i="59"/>
  <c r="AY575" i="59"/>
  <c r="AZ575" i="59"/>
  <c r="N625" i="59"/>
  <c r="Q625" i="59" s="1"/>
  <c r="T625" i="59" s="1"/>
  <c r="W625" i="59" s="1"/>
  <c r="Z625" i="59" s="1"/>
  <c r="AC625" i="59" s="1"/>
  <c r="AF625" i="59" s="1"/>
  <c r="AI625" i="59" s="1"/>
  <c r="AL625" i="59" s="1"/>
  <c r="AO625" i="59" s="1"/>
  <c r="AR625" i="59" s="1"/>
  <c r="AU625" i="59" s="1"/>
  <c r="AV625" i="59"/>
  <c r="AX625" i="59"/>
  <c r="AY625" i="59"/>
  <c r="AZ625" i="59"/>
  <c r="N837" i="59"/>
  <c r="Q837" i="59" s="1"/>
  <c r="T837" i="59" s="1"/>
  <c r="W837" i="59" s="1"/>
  <c r="Z837" i="59" s="1"/>
  <c r="AC837" i="59" s="1"/>
  <c r="AF837" i="59" s="1"/>
  <c r="AI837" i="59" s="1"/>
  <c r="AL837" i="59" s="1"/>
  <c r="AO837" i="59" s="1"/>
  <c r="AR837" i="59" s="1"/>
  <c r="AU837" i="59" s="1"/>
  <c r="J837" i="59" s="1"/>
  <c r="AV837" i="59"/>
  <c r="AX837" i="59"/>
  <c r="AY837" i="59"/>
  <c r="AZ837" i="59"/>
  <c r="N840" i="59"/>
  <c r="Q840" i="59" s="1"/>
  <c r="T840" i="59" s="1"/>
  <c r="W840" i="59" s="1"/>
  <c r="Z840" i="59" s="1"/>
  <c r="AC840" i="59" s="1"/>
  <c r="AF840" i="59" s="1"/>
  <c r="AI840" i="59" s="1"/>
  <c r="AL840" i="59" s="1"/>
  <c r="AO840" i="59" s="1"/>
  <c r="AR840" i="59" s="1"/>
  <c r="AU840" i="59" s="1"/>
  <c r="J840" i="59" s="1"/>
  <c r="AV840" i="59"/>
  <c r="AX840" i="59"/>
  <c r="AY840" i="59"/>
  <c r="AZ840" i="59"/>
  <c r="N841" i="59"/>
  <c r="Q841" i="59" s="1"/>
  <c r="T841" i="59" s="1"/>
  <c r="W841" i="59" s="1"/>
  <c r="Z841" i="59" s="1"/>
  <c r="AC841" i="59" s="1"/>
  <c r="AF841" i="59" s="1"/>
  <c r="AI841" i="59" s="1"/>
  <c r="AL841" i="59" s="1"/>
  <c r="AO841" i="59" s="1"/>
  <c r="AR841" i="59" s="1"/>
  <c r="AU841" i="59" s="1"/>
  <c r="J841" i="59" s="1"/>
  <c r="AV841" i="59"/>
  <c r="AX841" i="59"/>
  <c r="AY841" i="59"/>
  <c r="AZ841" i="59"/>
  <c r="N27" i="59"/>
  <c r="Q27" i="59" s="1"/>
  <c r="T27" i="59" s="1"/>
  <c r="W27" i="59" s="1"/>
  <c r="Z27" i="59" s="1"/>
  <c r="AC27" i="59" s="1"/>
  <c r="AF27" i="59" s="1"/>
  <c r="AI27" i="59" s="1"/>
  <c r="AL27" i="59" s="1"/>
  <c r="AO27" i="59" s="1"/>
  <c r="AR27" i="59" s="1"/>
  <c r="AU27" i="59" s="1"/>
  <c r="AV27" i="59"/>
  <c r="AW27" i="59"/>
  <c r="AX27" i="59"/>
  <c r="AY27" i="59"/>
  <c r="AZ27" i="59"/>
  <c r="N305" i="59"/>
  <c r="Q305" i="59" s="1"/>
  <c r="T305" i="59" s="1"/>
  <c r="W305" i="59" s="1"/>
  <c r="Z305" i="59" s="1"/>
  <c r="AC305" i="59" s="1"/>
  <c r="AF305" i="59" s="1"/>
  <c r="AI305" i="59" s="1"/>
  <c r="AL305" i="59" s="1"/>
  <c r="AO305" i="59" s="1"/>
  <c r="AR305" i="59" s="1"/>
  <c r="AU305" i="59" s="1"/>
  <c r="J305" i="59" s="1"/>
  <c r="AV305" i="59"/>
  <c r="AX305" i="59"/>
  <c r="AY305" i="59"/>
  <c r="AZ305" i="59"/>
  <c r="N302" i="59"/>
  <c r="Q302" i="59" s="1"/>
  <c r="T302" i="59" s="1"/>
  <c r="W302" i="59" s="1"/>
  <c r="Z302" i="59" s="1"/>
  <c r="AC302" i="59" s="1"/>
  <c r="AF302" i="59" s="1"/>
  <c r="AI302" i="59" s="1"/>
  <c r="AL302" i="59" s="1"/>
  <c r="AO302" i="59" s="1"/>
  <c r="AR302" i="59" s="1"/>
  <c r="AU302" i="59" s="1"/>
  <c r="J302" i="59" s="1"/>
  <c r="AV302" i="59"/>
  <c r="AX302" i="59"/>
  <c r="AY302" i="59"/>
  <c r="AZ302" i="59"/>
  <c r="N639" i="59"/>
  <c r="Q639" i="59" s="1"/>
  <c r="T639" i="59" s="1"/>
  <c r="W639" i="59" s="1"/>
  <c r="Z639" i="59" s="1"/>
  <c r="AC639" i="59" s="1"/>
  <c r="AF639" i="59" s="1"/>
  <c r="AI639" i="59" s="1"/>
  <c r="AL639" i="59" s="1"/>
  <c r="AO639" i="59" s="1"/>
  <c r="AR639" i="59" s="1"/>
  <c r="AU639" i="59" s="1"/>
  <c r="J639" i="59" s="1"/>
  <c r="AV639" i="59"/>
  <c r="AX639" i="59"/>
  <c r="AY639" i="59"/>
  <c r="AZ639" i="59"/>
  <c r="N838" i="59"/>
  <c r="Q838" i="59" s="1"/>
  <c r="T838" i="59" s="1"/>
  <c r="W838" i="59" s="1"/>
  <c r="Z838" i="59" s="1"/>
  <c r="AC838" i="59" s="1"/>
  <c r="AF838" i="59" s="1"/>
  <c r="AI838" i="59" s="1"/>
  <c r="AL838" i="59" s="1"/>
  <c r="AO838" i="59" s="1"/>
  <c r="AR838" i="59" s="1"/>
  <c r="AU838" i="59" s="1"/>
  <c r="J838" i="59" s="1"/>
  <c r="AV838" i="59"/>
  <c r="AX838" i="59"/>
  <c r="AY838" i="59"/>
  <c r="AZ838" i="59"/>
  <c r="N939" i="59"/>
  <c r="Q939" i="59" s="1"/>
  <c r="T939" i="59" s="1"/>
  <c r="W939" i="59" s="1"/>
  <c r="Z939" i="59" s="1"/>
  <c r="AC939" i="59" s="1"/>
  <c r="AF939" i="59" s="1"/>
  <c r="AI939" i="59" s="1"/>
  <c r="AL939" i="59" s="1"/>
  <c r="AO939" i="59" s="1"/>
  <c r="AR939" i="59" s="1"/>
  <c r="AU939" i="59" s="1"/>
  <c r="J939" i="59" s="1"/>
  <c r="AV939" i="59"/>
  <c r="AX939" i="59"/>
  <c r="AY939" i="59"/>
  <c r="AZ939" i="59"/>
  <c r="N669" i="59"/>
  <c r="Q669" i="59" s="1"/>
  <c r="T669" i="59" s="1"/>
  <c r="W669" i="59" s="1"/>
  <c r="Z669" i="59" s="1"/>
  <c r="AC669" i="59" s="1"/>
  <c r="AF669" i="59" s="1"/>
  <c r="AI669" i="59" s="1"/>
  <c r="AL669" i="59" s="1"/>
  <c r="AO669" i="59" s="1"/>
  <c r="AR669" i="59" s="1"/>
  <c r="AU669" i="59" s="1"/>
  <c r="J669" i="59" s="1"/>
  <c r="AV669" i="59"/>
  <c r="AX669" i="59"/>
  <c r="AY669" i="59"/>
  <c r="AZ669" i="59"/>
  <c r="N659" i="59"/>
  <c r="Q659" i="59" s="1"/>
  <c r="T659" i="59" s="1"/>
  <c r="W659" i="59" s="1"/>
  <c r="Z659" i="59" s="1"/>
  <c r="AC659" i="59" s="1"/>
  <c r="AF659" i="59" s="1"/>
  <c r="AI659" i="59" s="1"/>
  <c r="AL659" i="59" s="1"/>
  <c r="AO659" i="59" s="1"/>
  <c r="AR659" i="59" s="1"/>
  <c r="AU659" i="59" s="1"/>
  <c r="J659" i="59" s="1"/>
  <c r="AV659" i="59"/>
  <c r="AX659" i="59"/>
  <c r="AY659" i="59"/>
  <c r="AZ659" i="59"/>
  <c r="N675" i="59"/>
  <c r="Q675" i="59" s="1"/>
  <c r="T675" i="59" s="1"/>
  <c r="W675" i="59" s="1"/>
  <c r="Z675" i="59" s="1"/>
  <c r="AC675" i="59" s="1"/>
  <c r="AF675" i="59" s="1"/>
  <c r="AI675" i="59" s="1"/>
  <c r="AL675" i="59" s="1"/>
  <c r="AO675" i="59" s="1"/>
  <c r="AR675" i="59" s="1"/>
  <c r="AU675" i="59" s="1"/>
  <c r="J675" i="59" s="1"/>
  <c r="AV675" i="59"/>
  <c r="AX675" i="59"/>
  <c r="AY675" i="59"/>
  <c r="AZ675" i="59"/>
  <c r="N442" i="59"/>
  <c r="Q442" i="59" s="1"/>
  <c r="T442" i="59" s="1"/>
  <c r="W442" i="59" s="1"/>
  <c r="Z442" i="59" s="1"/>
  <c r="AC442" i="59" s="1"/>
  <c r="AF442" i="59" s="1"/>
  <c r="AI442" i="59" s="1"/>
  <c r="AL442" i="59" s="1"/>
  <c r="AO442" i="59" s="1"/>
  <c r="AR442" i="59" s="1"/>
  <c r="AU442" i="59" s="1"/>
  <c r="J442" i="59" s="1"/>
  <c r="AV442" i="59"/>
  <c r="AX442" i="59"/>
  <c r="AY442" i="59"/>
  <c r="AZ442" i="59"/>
  <c r="N945" i="59"/>
  <c r="Q945" i="59" s="1"/>
  <c r="T945" i="59" s="1"/>
  <c r="W945" i="59" s="1"/>
  <c r="Z945" i="59" s="1"/>
  <c r="AC945" i="59" s="1"/>
  <c r="AF945" i="59" s="1"/>
  <c r="AI945" i="59" s="1"/>
  <c r="AL945" i="59" s="1"/>
  <c r="AO945" i="59" s="1"/>
  <c r="AR945" i="59" s="1"/>
  <c r="AU945" i="59" s="1"/>
  <c r="J945" i="59" s="1"/>
  <c r="AV945" i="59"/>
  <c r="AX945" i="59"/>
  <c r="AY945" i="59"/>
  <c r="AZ945" i="59"/>
  <c r="N946" i="59"/>
  <c r="Q946" i="59" s="1"/>
  <c r="T946" i="59" s="1"/>
  <c r="W946" i="59" s="1"/>
  <c r="Z946" i="59" s="1"/>
  <c r="AC946" i="59" s="1"/>
  <c r="AF946" i="59" s="1"/>
  <c r="AI946" i="59" s="1"/>
  <c r="AL946" i="59" s="1"/>
  <c r="AO946" i="59" s="1"/>
  <c r="AR946" i="59" s="1"/>
  <c r="AU946" i="59" s="1"/>
  <c r="J946" i="59" s="1"/>
  <c r="AV946" i="59"/>
  <c r="AX946" i="59"/>
  <c r="AY946" i="59"/>
  <c r="AZ946" i="59"/>
  <c r="N876" i="59"/>
  <c r="Q876" i="59" s="1"/>
  <c r="T876" i="59" s="1"/>
  <c r="W876" i="59" s="1"/>
  <c r="Z876" i="59" s="1"/>
  <c r="AC876" i="59" s="1"/>
  <c r="AF876" i="59" s="1"/>
  <c r="AI876" i="59" s="1"/>
  <c r="AL876" i="59" s="1"/>
  <c r="AO876" i="59" s="1"/>
  <c r="AR876" i="59" s="1"/>
  <c r="AU876" i="59" s="1"/>
  <c r="J876" i="59" s="1"/>
  <c r="AV876" i="59"/>
  <c r="AX876" i="59"/>
  <c r="AY876" i="59"/>
  <c r="AZ876" i="59"/>
  <c r="N688" i="59"/>
  <c r="Q688" i="59" s="1"/>
  <c r="T688" i="59" s="1"/>
  <c r="W688" i="59" s="1"/>
  <c r="Z688" i="59" s="1"/>
  <c r="AC688" i="59" s="1"/>
  <c r="AF688" i="59" s="1"/>
  <c r="AI688" i="59" s="1"/>
  <c r="AL688" i="59" s="1"/>
  <c r="AO688" i="59" s="1"/>
  <c r="AR688" i="59" s="1"/>
  <c r="AU688" i="59" s="1"/>
  <c r="J688" i="59" s="1"/>
  <c r="AV688" i="59"/>
  <c r="AX688" i="59"/>
  <c r="AY688" i="59"/>
  <c r="AZ688" i="59"/>
  <c r="N627" i="59"/>
  <c r="Q627" i="59" s="1"/>
  <c r="T627" i="59" s="1"/>
  <c r="W627" i="59" s="1"/>
  <c r="Z627" i="59" s="1"/>
  <c r="AC627" i="59" s="1"/>
  <c r="AF627" i="59" s="1"/>
  <c r="AI627" i="59" s="1"/>
  <c r="AL627" i="59" s="1"/>
  <c r="AO627" i="59" s="1"/>
  <c r="AR627" i="59" s="1"/>
  <c r="AU627" i="59" s="1"/>
  <c r="J627" i="59" s="1"/>
  <c r="AV627" i="59"/>
  <c r="AX627" i="59"/>
  <c r="AY627" i="59"/>
  <c r="AZ627" i="59"/>
  <c r="N784" i="59"/>
  <c r="Q784" i="59" s="1"/>
  <c r="T784" i="59" s="1"/>
  <c r="W784" i="59" s="1"/>
  <c r="Z784" i="59" s="1"/>
  <c r="AC784" i="59" s="1"/>
  <c r="AF784" i="59" s="1"/>
  <c r="AI784" i="59" s="1"/>
  <c r="AL784" i="59" s="1"/>
  <c r="AO784" i="59" s="1"/>
  <c r="AR784" i="59" s="1"/>
  <c r="AU784" i="59" s="1"/>
  <c r="J784" i="59" s="1"/>
  <c r="AV784" i="59"/>
  <c r="AX784" i="59"/>
  <c r="AY784" i="59"/>
  <c r="AZ784" i="59"/>
  <c r="N785" i="59"/>
  <c r="Q785" i="59" s="1"/>
  <c r="T785" i="59" s="1"/>
  <c r="W785" i="59" s="1"/>
  <c r="Z785" i="59" s="1"/>
  <c r="AC785" i="59" s="1"/>
  <c r="AF785" i="59" s="1"/>
  <c r="AI785" i="59" s="1"/>
  <c r="AL785" i="59" s="1"/>
  <c r="AO785" i="59" s="1"/>
  <c r="AR785" i="59" s="1"/>
  <c r="AU785" i="59" s="1"/>
  <c r="J785" i="59" s="1"/>
  <c r="AV785" i="59"/>
  <c r="AX785" i="59"/>
  <c r="AY785" i="59"/>
  <c r="AZ785" i="59"/>
  <c r="N786" i="59"/>
  <c r="Q786" i="59" s="1"/>
  <c r="T786" i="59" s="1"/>
  <c r="W786" i="59" s="1"/>
  <c r="Z786" i="59" s="1"/>
  <c r="AC786" i="59" s="1"/>
  <c r="AF786" i="59" s="1"/>
  <c r="AI786" i="59" s="1"/>
  <c r="AL786" i="59" s="1"/>
  <c r="AO786" i="59" s="1"/>
  <c r="AR786" i="59" s="1"/>
  <c r="AU786" i="59" s="1"/>
  <c r="J786" i="59" s="1"/>
  <c r="AV786" i="59"/>
  <c r="AX786" i="59"/>
  <c r="AY786" i="59"/>
  <c r="AZ786" i="59"/>
  <c r="N787" i="59"/>
  <c r="Q787" i="59" s="1"/>
  <c r="T787" i="59" s="1"/>
  <c r="W787" i="59" s="1"/>
  <c r="Z787" i="59" s="1"/>
  <c r="AC787" i="59" s="1"/>
  <c r="AF787" i="59" s="1"/>
  <c r="AI787" i="59" s="1"/>
  <c r="AL787" i="59" s="1"/>
  <c r="AO787" i="59" s="1"/>
  <c r="AR787" i="59" s="1"/>
  <c r="AU787" i="59" s="1"/>
  <c r="J787" i="59" s="1"/>
  <c r="AV787" i="59"/>
  <c r="AX787" i="59"/>
  <c r="AY787" i="59"/>
  <c r="AZ787" i="59"/>
  <c r="N788" i="59"/>
  <c r="Q788" i="59" s="1"/>
  <c r="T788" i="59" s="1"/>
  <c r="W788" i="59" s="1"/>
  <c r="Z788" i="59" s="1"/>
  <c r="AC788" i="59" s="1"/>
  <c r="AF788" i="59" s="1"/>
  <c r="AI788" i="59" s="1"/>
  <c r="AL788" i="59" s="1"/>
  <c r="AO788" i="59" s="1"/>
  <c r="AR788" i="59" s="1"/>
  <c r="AU788" i="59" s="1"/>
  <c r="J788" i="59" s="1"/>
  <c r="AV788" i="59"/>
  <c r="AX788" i="59"/>
  <c r="AY788" i="59"/>
  <c r="AZ788" i="59"/>
  <c r="N752" i="59"/>
  <c r="Q752" i="59" s="1"/>
  <c r="T752" i="59" s="1"/>
  <c r="W752" i="59" s="1"/>
  <c r="Z752" i="59" s="1"/>
  <c r="AC752" i="59" s="1"/>
  <c r="AF752" i="59" s="1"/>
  <c r="AI752" i="59" s="1"/>
  <c r="AL752" i="59" s="1"/>
  <c r="AO752" i="59" s="1"/>
  <c r="AR752" i="59" s="1"/>
  <c r="AU752" i="59" s="1"/>
  <c r="J752" i="59" s="1"/>
  <c r="AV752" i="59"/>
  <c r="AX752" i="59"/>
  <c r="AY752" i="59"/>
  <c r="AZ752" i="59"/>
  <c r="N753" i="59"/>
  <c r="Q753" i="59" s="1"/>
  <c r="T753" i="59" s="1"/>
  <c r="W753" i="59" s="1"/>
  <c r="Z753" i="59" s="1"/>
  <c r="AC753" i="59" s="1"/>
  <c r="AF753" i="59" s="1"/>
  <c r="AI753" i="59" s="1"/>
  <c r="AL753" i="59" s="1"/>
  <c r="AO753" i="59" s="1"/>
  <c r="AR753" i="59" s="1"/>
  <c r="AU753" i="59" s="1"/>
  <c r="J753" i="59" s="1"/>
  <c r="AV753" i="59"/>
  <c r="AX753" i="59"/>
  <c r="AY753" i="59"/>
  <c r="AZ753" i="59"/>
  <c r="N754" i="59"/>
  <c r="Q754" i="59" s="1"/>
  <c r="T754" i="59" s="1"/>
  <c r="W754" i="59" s="1"/>
  <c r="Z754" i="59" s="1"/>
  <c r="AC754" i="59" s="1"/>
  <c r="AF754" i="59" s="1"/>
  <c r="AI754" i="59" s="1"/>
  <c r="AL754" i="59" s="1"/>
  <c r="AO754" i="59" s="1"/>
  <c r="AR754" i="59" s="1"/>
  <c r="AU754" i="59" s="1"/>
  <c r="J754" i="59" s="1"/>
  <c r="AV754" i="59"/>
  <c r="AX754" i="59"/>
  <c r="AY754" i="59"/>
  <c r="AZ754" i="59"/>
  <c r="N755" i="59"/>
  <c r="Q755" i="59" s="1"/>
  <c r="T755" i="59" s="1"/>
  <c r="W755" i="59" s="1"/>
  <c r="Z755" i="59" s="1"/>
  <c r="AC755" i="59" s="1"/>
  <c r="AF755" i="59" s="1"/>
  <c r="AI755" i="59" s="1"/>
  <c r="AL755" i="59" s="1"/>
  <c r="AO755" i="59" s="1"/>
  <c r="AR755" i="59" s="1"/>
  <c r="AU755" i="59" s="1"/>
  <c r="J755" i="59" s="1"/>
  <c r="AV755" i="59"/>
  <c r="AX755" i="59"/>
  <c r="AY755" i="59"/>
  <c r="AZ755" i="59"/>
  <c r="N756" i="59"/>
  <c r="Q756" i="59" s="1"/>
  <c r="T756" i="59" s="1"/>
  <c r="W756" i="59" s="1"/>
  <c r="Z756" i="59" s="1"/>
  <c r="AC756" i="59" s="1"/>
  <c r="AF756" i="59" s="1"/>
  <c r="AI756" i="59" s="1"/>
  <c r="AL756" i="59" s="1"/>
  <c r="AO756" i="59" s="1"/>
  <c r="AR756" i="59" s="1"/>
  <c r="AU756" i="59" s="1"/>
  <c r="J756" i="59" s="1"/>
  <c r="AV756" i="59"/>
  <c r="AX756" i="59"/>
  <c r="AY756" i="59"/>
  <c r="AZ756" i="59"/>
  <c r="N757" i="59"/>
  <c r="Q757" i="59" s="1"/>
  <c r="T757" i="59" s="1"/>
  <c r="W757" i="59" s="1"/>
  <c r="Z757" i="59" s="1"/>
  <c r="AC757" i="59" s="1"/>
  <c r="AF757" i="59" s="1"/>
  <c r="AI757" i="59" s="1"/>
  <c r="AL757" i="59" s="1"/>
  <c r="AO757" i="59" s="1"/>
  <c r="AR757" i="59" s="1"/>
  <c r="AU757" i="59" s="1"/>
  <c r="J757" i="59" s="1"/>
  <c r="AV757" i="59"/>
  <c r="AX757" i="59"/>
  <c r="AY757" i="59"/>
  <c r="AZ757" i="59"/>
  <c r="N758" i="59"/>
  <c r="Q758" i="59" s="1"/>
  <c r="T758" i="59" s="1"/>
  <c r="W758" i="59" s="1"/>
  <c r="Z758" i="59" s="1"/>
  <c r="AC758" i="59" s="1"/>
  <c r="AF758" i="59" s="1"/>
  <c r="AI758" i="59" s="1"/>
  <c r="AL758" i="59" s="1"/>
  <c r="AO758" i="59" s="1"/>
  <c r="AR758" i="59" s="1"/>
  <c r="AU758" i="59" s="1"/>
  <c r="J758" i="59" s="1"/>
  <c r="AV758" i="59"/>
  <c r="AX758" i="59"/>
  <c r="AY758" i="59"/>
  <c r="AZ758" i="59"/>
  <c r="N759" i="59"/>
  <c r="Q759" i="59" s="1"/>
  <c r="T759" i="59" s="1"/>
  <c r="W759" i="59" s="1"/>
  <c r="Z759" i="59" s="1"/>
  <c r="AC759" i="59" s="1"/>
  <c r="AF759" i="59" s="1"/>
  <c r="AI759" i="59" s="1"/>
  <c r="AL759" i="59" s="1"/>
  <c r="AO759" i="59" s="1"/>
  <c r="AR759" i="59" s="1"/>
  <c r="AU759" i="59" s="1"/>
  <c r="J759" i="59" s="1"/>
  <c r="AV759" i="59"/>
  <c r="AX759" i="59"/>
  <c r="AY759" i="59"/>
  <c r="AZ759" i="59"/>
  <c r="N760" i="59"/>
  <c r="Q760" i="59" s="1"/>
  <c r="T760" i="59" s="1"/>
  <c r="W760" i="59" s="1"/>
  <c r="Z760" i="59" s="1"/>
  <c r="AC760" i="59" s="1"/>
  <c r="AF760" i="59" s="1"/>
  <c r="AI760" i="59" s="1"/>
  <c r="AL760" i="59" s="1"/>
  <c r="AO760" i="59" s="1"/>
  <c r="AR760" i="59" s="1"/>
  <c r="AU760" i="59" s="1"/>
  <c r="J760" i="59" s="1"/>
  <c r="AV760" i="59"/>
  <c r="AX760" i="59"/>
  <c r="AY760" i="59"/>
  <c r="AZ760" i="59"/>
  <c r="N761" i="59"/>
  <c r="Q761" i="59" s="1"/>
  <c r="T761" i="59" s="1"/>
  <c r="W761" i="59" s="1"/>
  <c r="Z761" i="59" s="1"/>
  <c r="AC761" i="59" s="1"/>
  <c r="AF761" i="59" s="1"/>
  <c r="AI761" i="59" s="1"/>
  <c r="AL761" i="59" s="1"/>
  <c r="AO761" i="59" s="1"/>
  <c r="AR761" i="59" s="1"/>
  <c r="AU761" i="59" s="1"/>
  <c r="J761" i="59" s="1"/>
  <c r="AV761" i="59"/>
  <c r="AX761" i="59"/>
  <c r="AY761" i="59"/>
  <c r="AZ761" i="59"/>
  <c r="N762" i="59"/>
  <c r="Q762" i="59" s="1"/>
  <c r="T762" i="59" s="1"/>
  <c r="W762" i="59" s="1"/>
  <c r="Z762" i="59" s="1"/>
  <c r="AC762" i="59" s="1"/>
  <c r="AF762" i="59" s="1"/>
  <c r="AI762" i="59" s="1"/>
  <c r="AL762" i="59" s="1"/>
  <c r="AO762" i="59" s="1"/>
  <c r="AR762" i="59" s="1"/>
  <c r="AU762" i="59" s="1"/>
  <c r="J762" i="59" s="1"/>
  <c r="AV762" i="59"/>
  <c r="AX762" i="59"/>
  <c r="AY762" i="59"/>
  <c r="AZ762" i="59"/>
  <c r="N763" i="59"/>
  <c r="Q763" i="59" s="1"/>
  <c r="T763" i="59" s="1"/>
  <c r="W763" i="59" s="1"/>
  <c r="Z763" i="59" s="1"/>
  <c r="AC763" i="59" s="1"/>
  <c r="AF763" i="59" s="1"/>
  <c r="AI763" i="59" s="1"/>
  <c r="AL763" i="59" s="1"/>
  <c r="AO763" i="59" s="1"/>
  <c r="AR763" i="59" s="1"/>
  <c r="AU763" i="59" s="1"/>
  <c r="J763" i="59" s="1"/>
  <c r="AV763" i="59"/>
  <c r="AX763" i="59"/>
  <c r="AY763" i="59"/>
  <c r="AZ763" i="59"/>
  <c r="N764" i="59"/>
  <c r="Q764" i="59" s="1"/>
  <c r="T764" i="59" s="1"/>
  <c r="W764" i="59" s="1"/>
  <c r="Z764" i="59" s="1"/>
  <c r="AC764" i="59" s="1"/>
  <c r="AF764" i="59" s="1"/>
  <c r="AI764" i="59" s="1"/>
  <c r="AL764" i="59" s="1"/>
  <c r="AO764" i="59" s="1"/>
  <c r="AR764" i="59" s="1"/>
  <c r="AU764" i="59" s="1"/>
  <c r="J764" i="59" s="1"/>
  <c r="AV764" i="59"/>
  <c r="AX764" i="59"/>
  <c r="AY764" i="59"/>
  <c r="AZ764" i="59"/>
  <c r="N765" i="59"/>
  <c r="Q765" i="59" s="1"/>
  <c r="T765" i="59" s="1"/>
  <c r="W765" i="59" s="1"/>
  <c r="Z765" i="59" s="1"/>
  <c r="AC765" i="59" s="1"/>
  <c r="AF765" i="59" s="1"/>
  <c r="AI765" i="59" s="1"/>
  <c r="AL765" i="59" s="1"/>
  <c r="AO765" i="59" s="1"/>
  <c r="AR765" i="59" s="1"/>
  <c r="AU765" i="59" s="1"/>
  <c r="J765" i="59" s="1"/>
  <c r="AV765" i="59"/>
  <c r="AX765" i="59"/>
  <c r="AY765" i="59"/>
  <c r="AZ765" i="59"/>
  <c r="N766" i="59"/>
  <c r="Q766" i="59" s="1"/>
  <c r="T766" i="59" s="1"/>
  <c r="W766" i="59" s="1"/>
  <c r="Z766" i="59" s="1"/>
  <c r="AC766" i="59" s="1"/>
  <c r="AF766" i="59" s="1"/>
  <c r="AI766" i="59" s="1"/>
  <c r="AL766" i="59" s="1"/>
  <c r="AO766" i="59" s="1"/>
  <c r="AR766" i="59" s="1"/>
  <c r="AU766" i="59" s="1"/>
  <c r="J766" i="59" s="1"/>
  <c r="AV766" i="59"/>
  <c r="AX766" i="59"/>
  <c r="AY766" i="59"/>
  <c r="AZ766" i="59"/>
  <c r="N767" i="59"/>
  <c r="Q767" i="59" s="1"/>
  <c r="T767" i="59" s="1"/>
  <c r="W767" i="59" s="1"/>
  <c r="Z767" i="59" s="1"/>
  <c r="AC767" i="59" s="1"/>
  <c r="AF767" i="59" s="1"/>
  <c r="AI767" i="59" s="1"/>
  <c r="AL767" i="59" s="1"/>
  <c r="AO767" i="59" s="1"/>
  <c r="AR767" i="59" s="1"/>
  <c r="AU767" i="59" s="1"/>
  <c r="J767" i="59" s="1"/>
  <c r="AV767" i="59"/>
  <c r="AX767" i="59"/>
  <c r="AY767" i="59"/>
  <c r="AZ767" i="59"/>
  <c r="N768" i="59"/>
  <c r="Q768" i="59" s="1"/>
  <c r="T768" i="59" s="1"/>
  <c r="W768" i="59" s="1"/>
  <c r="Z768" i="59" s="1"/>
  <c r="AC768" i="59" s="1"/>
  <c r="AF768" i="59" s="1"/>
  <c r="AI768" i="59" s="1"/>
  <c r="AL768" i="59" s="1"/>
  <c r="AO768" i="59" s="1"/>
  <c r="AR768" i="59" s="1"/>
  <c r="AU768" i="59" s="1"/>
  <c r="J768" i="59" s="1"/>
  <c r="AV768" i="59"/>
  <c r="AX768" i="59"/>
  <c r="AY768" i="59"/>
  <c r="AZ768" i="59"/>
  <c r="N769" i="59"/>
  <c r="Q769" i="59" s="1"/>
  <c r="T769" i="59" s="1"/>
  <c r="W769" i="59" s="1"/>
  <c r="Z769" i="59" s="1"/>
  <c r="AC769" i="59" s="1"/>
  <c r="AF769" i="59" s="1"/>
  <c r="AI769" i="59" s="1"/>
  <c r="AL769" i="59" s="1"/>
  <c r="AO769" i="59" s="1"/>
  <c r="AR769" i="59" s="1"/>
  <c r="AU769" i="59" s="1"/>
  <c r="J769" i="59" s="1"/>
  <c r="AV769" i="59"/>
  <c r="AX769" i="59"/>
  <c r="AY769" i="59"/>
  <c r="AZ769" i="59"/>
  <c r="N770" i="59"/>
  <c r="Q770" i="59" s="1"/>
  <c r="T770" i="59" s="1"/>
  <c r="W770" i="59" s="1"/>
  <c r="Z770" i="59" s="1"/>
  <c r="AC770" i="59" s="1"/>
  <c r="AF770" i="59" s="1"/>
  <c r="AI770" i="59" s="1"/>
  <c r="AL770" i="59" s="1"/>
  <c r="AO770" i="59" s="1"/>
  <c r="AR770" i="59" s="1"/>
  <c r="AU770" i="59" s="1"/>
  <c r="J770" i="59" s="1"/>
  <c r="AV770" i="59"/>
  <c r="AX770" i="59"/>
  <c r="AY770" i="59"/>
  <c r="AZ770" i="59"/>
  <c r="N771" i="59"/>
  <c r="Q771" i="59" s="1"/>
  <c r="T771" i="59" s="1"/>
  <c r="W771" i="59" s="1"/>
  <c r="Z771" i="59" s="1"/>
  <c r="AC771" i="59" s="1"/>
  <c r="AF771" i="59" s="1"/>
  <c r="AI771" i="59" s="1"/>
  <c r="AL771" i="59" s="1"/>
  <c r="AO771" i="59" s="1"/>
  <c r="AR771" i="59" s="1"/>
  <c r="AU771" i="59" s="1"/>
  <c r="J771" i="59" s="1"/>
  <c r="AV771" i="59"/>
  <c r="AX771" i="59"/>
  <c r="AY771" i="59"/>
  <c r="AZ771" i="59"/>
  <c r="N772" i="59"/>
  <c r="Q772" i="59" s="1"/>
  <c r="T772" i="59" s="1"/>
  <c r="W772" i="59" s="1"/>
  <c r="Z772" i="59" s="1"/>
  <c r="AC772" i="59" s="1"/>
  <c r="AF772" i="59" s="1"/>
  <c r="AI772" i="59" s="1"/>
  <c r="AL772" i="59" s="1"/>
  <c r="AO772" i="59" s="1"/>
  <c r="AR772" i="59" s="1"/>
  <c r="AU772" i="59" s="1"/>
  <c r="J772" i="59" s="1"/>
  <c r="AV772" i="59"/>
  <c r="AX772" i="59"/>
  <c r="AY772" i="59"/>
  <c r="AZ772" i="59"/>
  <c r="N773" i="59"/>
  <c r="Q773" i="59" s="1"/>
  <c r="T773" i="59" s="1"/>
  <c r="W773" i="59" s="1"/>
  <c r="Z773" i="59" s="1"/>
  <c r="AC773" i="59" s="1"/>
  <c r="AF773" i="59" s="1"/>
  <c r="AI773" i="59" s="1"/>
  <c r="AL773" i="59" s="1"/>
  <c r="AO773" i="59" s="1"/>
  <c r="AR773" i="59" s="1"/>
  <c r="AU773" i="59" s="1"/>
  <c r="J773" i="59" s="1"/>
  <c r="AV773" i="59"/>
  <c r="AX773" i="59"/>
  <c r="AY773" i="59"/>
  <c r="AZ773" i="59"/>
  <c r="N774" i="59"/>
  <c r="Q774" i="59" s="1"/>
  <c r="T774" i="59" s="1"/>
  <c r="W774" i="59" s="1"/>
  <c r="Z774" i="59" s="1"/>
  <c r="AC774" i="59" s="1"/>
  <c r="AF774" i="59" s="1"/>
  <c r="AI774" i="59" s="1"/>
  <c r="AL774" i="59" s="1"/>
  <c r="AO774" i="59" s="1"/>
  <c r="AR774" i="59" s="1"/>
  <c r="AU774" i="59" s="1"/>
  <c r="J774" i="59" s="1"/>
  <c r="AV774" i="59"/>
  <c r="AX774" i="59"/>
  <c r="AY774" i="59"/>
  <c r="AZ774" i="59"/>
  <c r="N775" i="59"/>
  <c r="Q775" i="59" s="1"/>
  <c r="T775" i="59" s="1"/>
  <c r="W775" i="59" s="1"/>
  <c r="Z775" i="59" s="1"/>
  <c r="AC775" i="59" s="1"/>
  <c r="AF775" i="59" s="1"/>
  <c r="AI775" i="59" s="1"/>
  <c r="AL775" i="59" s="1"/>
  <c r="AO775" i="59" s="1"/>
  <c r="AR775" i="59" s="1"/>
  <c r="AU775" i="59" s="1"/>
  <c r="J775" i="59" s="1"/>
  <c r="AV775" i="59"/>
  <c r="AX775" i="59"/>
  <c r="AY775" i="59"/>
  <c r="AZ775" i="59"/>
  <c r="N776" i="59"/>
  <c r="Q776" i="59" s="1"/>
  <c r="T776" i="59" s="1"/>
  <c r="W776" i="59" s="1"/>
  <c r="Z776" i="59" s="1"/>
  <c r="AC776" i="59" s="1"/>
  <c r="AF776" i="59" s="1"/>
  <c r="AI776" i="59" s="1"/>
  <c r="AL776" i="59" s="1"/>
  <c r="AO776" i="59" s="1"/>
  <c r="AR776" i="59" s="1"/>
  <c r="AU776" i="59" s="1"/>
  <c r="J776" i="59" s="1"/>
  <c r="AV776" i="59"/>
  <c r="AX776" i="59"/>
  <c r="AY776" i="59"/>
  <c r="AZ776" i="59"/>
  <c r="N491" i="59"/>
  <c r="Q491" i="59" s="1"/>
  <c r="T491" i="59" s="1"/>
  <c r="W491" i="59" s="1"/>
  <c r="Z491" i="59" s="1"/>
  <c r="AC491" i="59" s="1"/>
  <c r="AF491" i="59" s="1"/>
  <c r="AI491" i="59" s="1"/>
  <c r="AL491" i="59" s="1"/>
  <c r="AO491" i="59" s="1"/>
  <c r="AR491" i="59" s="1"/>
  <c r="AU491" i="59" s="1"/>
  <c r="J491" i="59" s="1"/>
  <c r="AV491" i="59"/>
  <c r="AX491" i="59"/>
  <c r="AY491" i="59"/>
  <c r="AZ491" i="59"/>
  <c r="N492" i="59"/>
  <c r="Q492" i="59" s="1"/>
  <c r="T492" i="59" s="1"/>
  <c r="W492" i="59" s="1"/>
  <c r="Z492" i="59" s="1"/>
  <c r="AC492" i="59" s="1"/>
  <c r="AF492" i="59" s="1"/>
  <c r="AI492" i="59" s="1"/>
  <c r="AL492" i="59" s="1"/>
  <c r="AO492" i="59" s="1"/>
  <c r="AR492" i="59" s="1"/>
  <c r="AU492" i="59" s="1"/>
  <c r="J492" i="59" s="1"/>
  <c r="AV492" i="59"/>
  <c r="AX492" i="59"/>
  <c r="AY492" i="59"/>
  <c r="AZ492" i="59"/>
  <c r="N493" i="59"/>
  <c r="Q493" i="59" s="1"/>
  <c r="T493" i="59" s="1"/>
  <c r="W493" i="59" s="1"/>
  <c r="Z493" i="59" s="1"/>
  <c r="AC493" i="59" s="1"/>
  <c r="AF493" i="59" s="1"/>
  <c r="AI493" i="59" s="1"/>
  <c r="AL493" i="59" s="1"/>
  <c r="AO493" i="59" s="1"/>
  <c r="AR493" i="59" s="1"/>
  <c r="AU493" i="59" s="1"/>
  <c r="J493" i="59" s="1"/>
  <c r="AV493" i="59"/>
  <c r="AX493" i="59"/>
  <c r="AY493" i="59"/>
  <c r="AZ493" i="59"/>
  <c r="N514" i="59"/>
  <c r="Q514" i="59" s="1"/>
  <c r="T514" i="59" s="1"/>
  <c r="W514" i="59" s="1"/>
  <c r="Z514" i="59" s="1"/>
  <c r="AC514" i="59" s="1"/>
  <c r="AF514" i="59" s="1"/>
  <c r="AI514" i="59" s="1"/>
  <c r="AL514" i="59" s="1"/>
  <c r="AO514" i="59" s="1"/>
  <c r="AR514" i="59" s="1"/>
  <c r="AU514" i="59" s="1"/>
  <c r="J514" i="59" s="1"/>
  <c r="AV514" i="59"/>
  <c r="AX514" i="59"/>
  <c r="AY514" i="59"/>
  <c r="AZ514" i="59"/>
  <c r="N515" i="59"/>
  <c r="Q515" i="59" s="1"/>
  <c r="T515" i="59" s="1"/>
  <c r="W515" i="59" s="1"/>
  <c r="Z515" i="59" s="1"/>
  <c r="AC515" i="59" s="1"/>
  <c r="AF515" i="59" s="1"/>
  <c r="AI515" i="59" s="1"/>
  <c r="AL515" i="59" s="1"/>
  <c r="AO515" i="59" s="1"/>
  <c r="AR515" i="59" s="1"/>
  <c r="AU515" i="59" s="1"/>
  <c r="J515" i="59" s="1"/>
  <c r="AV515" i="59"/>
  <c r="AX515" i="59"/>
  <c r="AY515" i="59"/>
  <c r="AZ515" i="59"/>
  <c r="N652" i="59"/>
  <c r="Q652" i="59" s="1"/>
  <c r="T652" i="59" s="1"/>
  <c r="W652" i="59" s="1"/>
  <c r="Z652" i="59" s="1"/>
  <c r="AC652" i="59" s="1"/>
  <c r="AF652" i="59" s="1"/>
  <c r="AI652" i="59" s="1"/>
  <c r="AL652" i="59" s="1"/>
  <c r="AO652" i="59" s="1"/>
  <c r="AR652" i="59" s="1"/>
  <c r="AU652" i="59" s="1"/>
  <c r="J652" i="59" s="1"/>
  <c r="AV652" i="59"/>
  <c r="AX652" i="59"/>
  <c r="AY652" i="59"/>
  <c r="AZ652" i="59"/>
  <c r="N230" i="59"/>
  <c r="Q230" i="59" s="1"/>
  <c r="T230" i="59" s="1"/>
  <c r="W230" i="59" s="1"/>
  <c r="Z230" i="59" s="1"/>
  <c r="AC230" i="59" s="1"/>
  <c r="AF230" i="59" s="1"/>
  <c r="AI230" i="59" s="1"/>
  <c r="AL230" i="59" s="1"/>
  <c r="AO230" i="59" s="1"/>
  <c r="AR230" i="59" s="1"/>
  <c r="AU230" i="59" s="1"/>
  <c r="J230" i="59" s="1"/>
  <c r="AV230" i="59"/>
  <c r="AW230" i="59"/>
  <c r="AX230" i="59"/>
  <c r="AY230" i="59"/>
  <c r="AZ230" i="59"/>
  <c r="N487" i="59"/>
  <c r="Q487" i="59" s="1"/>
  <c r="T487" i="59" s="1"/>
  <c r="W487" i="59" s="1"/>
  <c r="Z487" i="59" s="1"/>
  <c r="AC487" i="59" s="1"/>
  <c r="AF487" i="59" s="1"/>
  <c r="AI487" i="59" s="1"/>
  <c r="AL487" i="59" s="1"/>
  <c r="AO487" i="59" s="1"/>
  <c r="AR487" i="59" s="1"/>
  <c r="AU487" i="59" s="1"/>
  <c r="J487" i="59" s="1"/>
  <c r="AV487" i="59"/>
  <c r="AX487" i="59"/>
  <c r="AY487" i="59"/>
  <c r="AZ487" i="59"/>
  <c r="N665" i="59"/>
  <c r="Q665" i="59" s="1"/>
  <c r="T665" i="59" s="1"/>
  <c r="W665" i="59" s="1"/>
  <c r="Z665" i="59" s="1"/>
  <c r="AC665" i="59" s="1"/>
  <c r="AF665" i="59" s="1"/>
  <c r="AI665" i="59" s="1"/>
  <c r="AL665" i="59" s="1"/>
  <c r="AO665" i="59" s="1"/>
  <c r="AR665" i="59" s="1"/>
  <c r="AU665" i="59" s="1"/>
  <c r="J665" i="59" s="1"/>
  <c r="AV665" i="59"/>
  <c r="AX665" i="59"/>
  <c r="AY665" i="59"/>
  <c r="AZ665" i="59"/>
  <c r="N690" i="59"/>
  <c r="Q690" i="59" s="1"/>
  <c r="T690" i="59" s="1"/>
  <c r="W690" i="59" s="1"/>
  <c r="Z690" i="59" s="1"/>
  <c r="AC690" i="59" s="1"/>
  <c r="AF690" i="59" s="1"/>
  <c r="AI690" i="59" s="1"/>
  <c r="AL690" i="59" s="1"/>
  <c r="AO690" i="59" s="1"/>
  <c r="AR690" i="59" s="1"/>
  <c r="AU690" i="59" s="1"/>
  <c r="J690" i="59" s="1"/>
  <c r="AV690" i="59"/>
  <c r="AX690" i="59"/>
  <c r="AY690" i="59"/>
  <c r="AZ690" i="59"/>
  <c r="N834" i="59"/>
  <c r="Q834" i="59" s="1"/>
  <c r="T834" i="59" s="1"/>
  <c r="W834" i="59" s="1"/>
  <c r="Z834" i="59" s="1"/>
  <c r="AC834" i="59" s="1"/>
  <c r="AF834" i="59" s="1"/>
  <c r="AI834" i="59" s="1"/>
  <c r="AL834" i="59" s="1"/>
  <c r="AO834" i="59" s="1"/>
  <c r="AR834" i="59" s="1"/>
  <c r="AU834" i="59" s="1"/>
  <c r="J834" i="59" s="1"/>
  <c r="AV834" i="59"/>
  <c r="AX834" i="59"/>
  <c r="AY834" i="59"/>
  <c r="AZ834" i="59"/>
  <c r="N835" i="59"/>
  <c r="Q835" i="59" s="1"/>
  <c r="T835" i="59" s="1"/>
  <c r="W835" i="59" s="1"/>
  <c r="Z835" i="59" s="1"/>
  <c r="AC835" i="59" s="1"/>
  <c r="AF835" i="59" s="1"/>
  <c r="AI835" i="59" s="1"/>
  <c r="AL835" i="59" s="1"/>
  <c r="AO835" i="59" s="1"/>
  <c r="AR835" i="59" s="1"/>
  <c r="AU835" i="59" s="1"/>
  <c r="AV835" i="59"/>
  <c r="AX835" i="59"/>
  <c r="AY835" i="59"/>
  <c r="AZ835" i="59"/>
  <c r="N707" i="59"/>
  <c r="Q707" i="59" s="1"/>
  <c r="T707" i="59" s="1"/>
  <c r="W707" i="59" s="1"/>
  <c r="Z707" i="59" s="1"/>
  <c r="AC707" i="59" s="1"/>
  <c r="AF707" i="59" s="1"/>
  <c r="AI707" i="59" s="1"/>
  <c r="AL707" i="59" s="1"/>
  <c r="AO707" i="59" s="1"/>
  <c r="AR707" i="59" s="1"/>
  <c r="AU707" i="59" s="1"/>
  <c r="AV707" i="59"/>
  <c r="AX707" i="59"/>
  <c r="AY707" i="59"/>
  <c r="AZ707" i="59"/>
  <c r="N278" i="59"/>
  <c r="Q278" i="59" s="1"/>
  <c r="T278" i="59" s="1"/>
  <c r="W278" i="59" s="1"/>
  <c r="Z278" i="59" s="1"/>
  <c r="AC278" i="59" s="1"/>
  <c r="AF278" i="59" s="1"/>
  <c r="AI278" i="59" s="1"/>
  <c r="AL278" i="59" s="1"/>
  <c r="AO278" i="59" s="1"/>
  <c r="AR278" i="59" s="1"/>
  <c r="AU278" i="59" s="1"/>
  <c r="AV278" i="59"/>
  <c r="AW278" i="59"/>
  <c r="AX278" i="59"/>
  <c r="AY278" i="59"/>
  <c r="AZ278" i="59"/>
  <c r="N694" i="59"/>
  <c r="Q694" i="59" s="1"/>
  <c r="T694" i="59" s="1"/>
  <c r="W694" i="59" s="1"/>
  <c r="Z694" i="59" s="1"/>
  <c r="AC694" i="59" s="1"/>
  <c r="AF694" i="59" s="1"/>
  <c r="AI694" i="59" s="1"/>
  <c r="AL694" i="59" s="1"/>
  <c r="AO694" i="59" s="1"/>
  <c r="AR694" i="59" s="1"/>
  <c r="AU694" i="59" s="1"/>
  <c r="AV694" i="59"/>
  <c r="AX694" i="59"/>
  <c r="AY694" i="59"/>
  <c r="AZ694" i="59"/>
  <c r="N429" i="59"/>
  <c r="Q429" i="59" s="1"/>
  <c r="T429" i="59" s="1"/>
  <c r="W429" i="59" s="1"/>
  <c r="Z429" i="59" s="1"/>
  <c r="AC429" i="59" s="1"/>
  <c r="AF429" i="59" s="1"/>
  <c r="AI429" i="59" s="1"/>
  <c r="AL429" i="59" s="1"/>
  <c r="AO429" i="59" s="1"/>
  <c r="AR429" i="59" s="1"/>
  <c r="AU429" i="59" s="1"/>
  <c r="AV429" i="59"/>
  <c r="AX429" i="59"/>
  <c r="AY429" i="59"/>
  <c r="AZ429" i="59"/>
  <c r="N13" i="59"/>
  <c r="Q13" i="59" s="1"/>
  <c r="T13" i="59" s="1"/>
  <c r="W13" i="59" s="1"/>
  <c r="Z13" i="59" s="1"/>
  <c r="AC13" i="59" s="1"/>
  <c r="AF13" i="59" s="1"/>
  <c r="AI13" i="59" s="1"/>
  <c r="AL13" i="59" s="1"/>
  <c r="AO13" i="59" s="1"/>
  <c r="AR13" i="59" s="1"/>
  <c r="AU13" i="59" s="1"/>
  <c r="AV13" i="59"/>
  <c r="AW13" i="59"/>
  <c r="AX13" i="59"/>
  <c r="AY13" i="59"/>
  <c r="AZ13" i="59"/>
  <c r="N597" i="59"/>
  <c r="Q597" i="59" s="1"/>
  <c r="T597" i="59" s="1"/>
  <c r="W597" i="59" s="1"/>
  <c r="Z597" i="59" s="1"/>
  <c r="AC597" i="59" s="1"/>
  <c r="AF597" i="59" s="1"/>
  <c r="AI597" i="59" s="1"/>
  <c r="AL597" i="59" s="1"/>
  <c r="AO597" i="59" s="1"/>
  <c r="AR597" i="59" s="1"/>
  <c r="AU597" i="59" s="1"/>
  <c r="J597" i="59" s="1"/>
  <c r="AV597" i="59"/>
  <c r="AX597" i="59"/>
  <c r="AY597" i="59"/>
  <c r="AZ597" i="59"/>
  <c r="N41" i="59"/>
  <c r="Q41" i="59" s="1"/>
  <c r="T41" i="59" s="1"/>
  <c r="W41" i="59" s="1"/>
  <c r="Z41" i="59" s="1"/>
  <c r="AC41" i="59" s="1"/>
  <c r="AF41" i="59" s="1"/>
  <c r="AI41" i="59" s="1"/>
  <c r="AL41" i="59" s="1"/>
  <c r="AO41" i="59" s="1"/>
  <c r="AR41" i="59" s="1"/>
  <c r="AU41" i="59" s="1"/>
  <c r="AV41" i="59"/>
  <c r="AW41" i="59"/>
  <c r="AX41" i="59"/>
  <c r="AY41" i="59"/>
  <c r="AZ41" i="59"/>
  <c r="N699" i="59"/>
  <c r="Q699" i="59" s="1"/>
  <c r="T699" i="59" s="1"/>
  <c r="W699" i="59" s="1"/>
  <c r="Z699" i="59" s="1"/>
  <c r="AC699" i="59" s="1"/>
  <c r="AF699" i="59" s="1"/>
  <c r="AI699" i="59" s="1"/>
  <c r="AL699" i="59" s="1"/>
  <c r="AO699" i="59" s="1"/>
  <c r="AR699" i="59" s="1"/>
  <c r="AU699" i="59" s="1"/>
  <c r="AV699" i="59"/>
  <c r="AX699" i="59"/>
  <c r="AY699" i="59"/>
  <c r="AZ699" i="59"/>
  <c r="N86" i="59"/>
  <c r="Q86" i="59" s="1"/>
  <c r="T86" i="59" s="1"/>
  <c r="W86" i="59" s="1"/>
  <c r="Z86" i="59" s="1"/>
  <c r="AC86" i="59" s="1"/>
  <c r="AF86" i="59" s="1"/>
  <c r="AI86" i="59" s="1"/>
  <c r="AL86" i="59" s="1"/>
  <c r="AO86" i="59" s="1"/>
  <c r="AR86" i="59" s="1"/>
  <c r="AU86" i="59" s="1"/>
  <c r="AV86" i="59"/>
  <c r="AW86" i="59"/>
  <c r="AX86" i="59"/>
  <c r="AY86" i="59"/>
  <c r="AZ86" i="59"/>
  <c r="N221" i="59"/>
  <c r="Q221" i="59" s="1"/>
  <c r="T221" i="59" s="1"/>
  <c r="W221" i="59" s="1"/>
  <c r="Z221" i="59" s="1"/>
  <c r="AC221" i="59" s="1"/>
  <c r="AF221" i="59" s="1"/>
  <c r="AI221" i="59" s="1"/>
  <c r="AL221" i="59" s="1"/>
  <c r="AO221" i="59" s="1"/>
  <c r="AR221" i="59" s="1"/>
  <c r="AU221" i="59" s="1"/>
  <c r="J221" i="59" s="1"/>
  <c r="AV221" i="59"/>
  <c r="AW221" i="59"/>
  <c r="AX221" i="59"/>
  <c r="AY221" i="59"/>
  <c r="AZ221" i="59"/>
  <c r="N220" i="59"/>
  <c r="Q220" i="59" s="1"/>
  <c r="T220" i="59" s="1"/>
  <c r="W220" i="59" s="1"/>
  <c r="Z220" i="59" s="1"/>
  <c r="AC220" i="59" s="1"/>
  <c r="AF220" i="59" s="1"/>
  <c r="AI220" i="59" s="1"/>
  <c r="AL220" i="59" s="1"/>
  <c r="AO220" i="59" s="1"/>
  <c r="AR220" i="59" s="1"/>
  <c r="AU220" i="59" s="1"/>
  <c r="J220" i="59" s="1"/>
  <c r="AV220" i="59"/>
  <c r="AW220" i="59"/>
  <c r="AX220" i="59"/>
  <c r="AY220" i="59"/>
  <c r="AZ220" i="59"/>
  <c r="N950" i="59"/>
  <c r="Q950" i="59" s="1"/>
  <c r="T950" i="59" s="1"/>
  <c r="W950" i="59" s="1"/>
  <c r="Z950" i="59" s="1"/>
  <c r="AC950" i="59" s="1"/>
  <c r="AF950" i="59" s="1"/>
  <c r="AI950" i="59" s="1"/>
  <c r="AL950" i="59" s="1"/>
  <c r="AO950" i="59" s="1"/>
  <c r="AR950" i="59" s="1"/>
  <c r="AU950" i="59" s="1"/>
  <c r="J950" i="59" s="1"/>
  <c r="AV950" i="59"/>
  <c r="AX950" i="59"/>
  <c r="AY950" i="59"/>
  <c r="AZ950" i="59"/>
  <c r="N246" i="59"/>
  <c r="Q246" i="59" s="1"/>
  <c r="T246" i="59" s="1"/>
  <c r="W246" i="59" s="1"/>
  <c r="Z246" i="59" s="1"/>
  <c r="AC246" i="59" s="1"/>
  <c r="AF246" i="59" s="1"/>
  <c r="AI246" i="59" s="1"/>
  <c r="AL246" i="59" s="1"/>
  <c r="AO246" i="59" s="1"/>
  <c r="AR246" i="59" s="1"/>
  <c r="AU246" i="59" s="1"/>
  <c r="J246" i="59" s="1"/>
  <c r="AV246" i="59"/>
  <c r="AW246" i="59"/>
  <c r="AX246" i="59"/>
  <c r="AY246" i="59"/>
  <c r="AZ246" i="59"/>
  <c r="N684" i="59"/>
  <c r="Q684" i="59" s="1"/>
  <c r="T684" i="59" s="1"/>
  <c r="W684" i="59" s="1"/>
  <c r="Z684" i="59" s="1"/>
  <c r="AC684" i="59" s="1"/>
  <c r="AF684" i="59" s="1"/>
  <c r="AI684" i="59" s="1"/>
  <c r="AL684" i="59" s="1"/>
  <c r="AO684" i="59" s="1"/>
  <c r="AR684" i="59" s="1"/>
  <c r="AU684" i="59" s="1"/>
  <c r="J684" i="59" s="1"/>
  <c r="AV684" i="59"/>
  <c r="AX684" i="59"/>
  <c r="AY684" i="59"/>
  <c r="AZ684" i="59"/>
  <c r="N685" i="59"/>
  <c r="Q685" i="59" s="1"/>
  <c r="T685" i="59" s="1"/>
  <c r="W685" i="59" s="1"/>
  <c r="Z685" i="59" s="1"/>
  <c r="AC685" i="59" s="1"/>
  <c r="AF685" i="59" s="1"/>
  <c r="AI685" i="59" s="1"/>
  <c r="AL685" i="59" s="1"/>
  <c r="AO685" i="59" s="1"/>
  <c r="AR685" i="59" s="1"/>
  <c r="AU685" i="59" s="1"/>
  <c r="J685" i="59" s="1"/>
  <c r="AV685" i="59"/>
  <c r="AX685" i="59"/>
  <c r="AY685" i="59"/>
  <c r="AZ685" i="59"/>
  <c r="N338" i="59"/>
  <c r="Q338" i="59" s="1"/>
  <c r="T338" i="59" s="1"/>
  <c r="W338" i="59" s="1"/>
  <c r="Z338" i="59" s="1"/>
  <c r="AC338" i="59" s="1"/>
  <c r="AF338" i="59" s="1"/>
  <c r="AI338" i="59" s="1"/>
  <c r="AL338" i="59" s="1"/>
  <c r="AO338" i="59" s="1"/>
  <c r="AR338" i="59" s="1"/>
  <c r="AU338" i="59" s="1"/>
  <c r="AV338" i="59"/>
  <c r="AX338" i="59"/>
  <c r="AY338" i="59"/>
  <c r="AZ338" i="59"/>
  <c r="N733" i="59"/>
  <c r="Q733" i="59" s="1"/>
  <c r="T733" i="59" s="1"/>
  <c r="W733" i="59" s="1"/>
  <c r="Z733" i="59" s="1"/>
  <c r="AC733" i="59" s="1"/>
  <c r="AF733" i="59" s="1"/>
  <c r="AI733" i="59" s="1"/>
  <c r="AL733" i="59" s="1"/>
  <c r="AO733" i="59" s="1"/>
  <c r="AR733" i="59" s="1"/>
  <c r="AU733" i="59" s="1"/>
  <c r="J733" i="59" s="1"/>
  <c r="AV733" i="59"/>
  <c r="AX733" i="59"/>
  <c r="AY733" i="59"/>
  <c r="AZ733" i="59"/>
  <c r="N734" i="59"/>
  <c r="Q734" i="59" s="1"/>
  <c r="T734" i="59" s="1"/>
  <c r="W734" i="59" s="1"/>
  <c r="Z734" i="59" s="1"/>
  <c r="AC734" i="59" s="1"/>
  <c r="AF734" i="59" s="1"/>
  <c r="AI734" i="59" s="1"/>
  <c r="AL734" i="59" s="1"/>
  <c r="AO734" i="59" s="1"/>
  <c r="AR734" i="59" s="1"/>
  <c r="AU734" i="59" s="1"/>
  <c r="J734" i="59" s="1"/>
  <c r="AV734" i="59"/>
  <c r="AX734" i="59"/>
  <c r="AY734" i="59"/>
  <c r="AZ734" i="59"/>
  <c r="N746" i="59"/>
  <c r="Q746" i="59" s="1"/>
  <c r="T746" i="59" s="1"/>
  <c r="W746" i="59" s="1"/>
  <c r="Z746" i="59" s="1"/>
  <c r="AC746" i="59" s="1"/>
  <c r="AF746" i="59" s="1"/>
  <c r="AI746" i="59" s="1"/>
  <c r="AL746" i="59" s="1"/>
  <c r="AO746" i="59" s="1"/>
  <c r="AR746" i="59" s="1"/>
  <c r="AU746" i="59" s="1"/>
  <c r="J746" i="59" s="1"/>
  <c r="AV746" i="59"/>
  <c r="AX746" i="59"/>
  <c r="AY746" i="59"/>
  <c r="AZ746" i="59"/>
  <c r="N749" i="59"/>
  <c r="Q749" i="59" s="1"/>
  <c r="T749" i="59" s="1"/>
  <c r="W749" i="59" s="1"/>
  <c r="Z749" i="59" s="1"/>
  <c r="AC749" i="59" s="1"/>
  <c r="AF749" i="59" s="1"/>
  <c r="AI749" i="59" s="1"/>
  <c r="AL749" i="59" s="1"/>
  <c r="AO749" i="59" s="1"/>
  <c r="AR749" i="59" s="1"/>
  <c r="AU749" i="59" s="1"/>
  <c r="J749" i="59" s="1"/>
  <c r="AV749" i="59"/>
  <c r="AX749" i="59"/>
  <c r="AY749" i="59"/>
  <c r="AZ749" i="59"/>
  <c r="N705" i="59"/>
  <c r="Q705" i="59" s="1"/>
  <c r="T705" i="59" s="1"/>
  <c r="W705" i="59" s="1"/>
  <c r="Z705" i="59" s="1"/>
  <c r="AC705" i="59" s="1"/>
  <c r="AF705" i="59" s="1"/>
  <c r="AI705" i="59" s="1"/>
  <c r="AL705" i="59" s="1"/>
  <c r="AO705" i="59" s="1"/>
  <c r="AR705" i="59" s="1"/>
  <c r="AU705" i="59" s="1"/>
  <c r="J705" i="59" s="1"/>
  <c r="AV705" i="59"/>
  <c r="AX705" i="59"/>
  <c r="AY705" i="59"/>
  <c r="AZ705" i="59"/>
  <c r="N750" i="59"/>
  <c r="Q750" i="59" s="1"/>
  <c r="T750" i="59" s="1"/>
  <c r="W750" i="59" s="1"/>
  <c r="Z750" i="59" s="1"/>
  <c r="AC750" i="59" s="1"/>
  <c r="AF750" i="59" s="1"/>
  <c r="AI750" i="59" s="1"/>
  <c r="AL750" i="59" s="1"/>
  <c r="AO750" i="59" s="1"/>
  <c r="AR750" i="59" s="1"/>
  <c r="AU750" i="59" s="1"/>
  <c r="J750" i="59" s="1"/>
  <c r="AV750" i="59"/>
  <c r="AX750" i="59"/>
  <c r="AY750" i="59"/>
  <c r="AZ750" i="59"/>
  <c r="N706" i="59"/>
  <c r="Q706" i="59" s="1"/>
  <c r="T706" i="59" s="1"/>
  <c r="W706" i="59" s="1"/>
  <c r="Z706" i="59" s="1"/>
  <c r="AC706" i="59" s="1"/>
  <c r="AF706" i="59" s="1"/>
  <c r="AI706" i="59" s="1"/>
  <c r="AL706" i="59" s="1"/>
  <c r="AO706" i="59" s="1"/>
  <c r="AR706" i="59" s="1"/>
  <c r="AU706" i="59" s="1"/>
  <c r="J706" i="59" s="1"/>
  <c r="AV706" i="59"/>
  <c r="AX706" i="59"/>
  <c r="AY706" i="59"/>
  <c r="AZ706" i="59"/>
  <c r="N875" i="59"/>
  <c r="Q875" i="59" s="1"/>
  <c r="T875" i="59" s="1"/>
  <c r="W875" i="59" s="1"/>
  <c r="Z875" i="59" s="1"/>
  <c r="AC875" i="59" s="1"/>
  <c r="AF875" i="59" s="1"/>
  <c r="AI875" i="59" s="1"/>
  <c r="AL875" i="59" s="1"/>
  <c r="AO875" i="59" s="1"/>
  <c r="AR875" i="59" s="1"/>
  <c r="AU875" i="59" s="1"/>
  <c r="J875" i="59" s="1"/>
  <c r="AV875" i="59"/>
  <c r="AX875" i="59"/>
  <c r="AY875" i="59"/>
  <c r="AZ875" i="59"/>
  <c r="N889" i="59"/>
  <c r="Q889" i="59" s="1"/>
  <c r="T889" i="59" s="1"/>
  <c r="W889" i="59" s="1"/>
  <c r="Z889" i="59" s="1"/>
  <c r="AC889" i="59" s="1"/>
  <c r="AF889" i="59" s="1"/>
  <c r="AI889" i="59" s="1"/>
  <c r="AL889" i="59" s="1"/>
  <c r="AO889" i="59" s="1"/>
  <c r="AR889" i="59" s="1"/>
  <c r="AU889" i="59" s="1"/>
  <c r="J889" i="59" s="1"/>
  <c r="AV889" i="59"/>
  <c r="AX889" i="59"/>
  <c r="AY889" i="59"/>
  <c r="AZ889" i="59"/>
  <c r="N731" i="59"/>
  <c r="Q731" i="59" s="1"/>
  <c r="T731" i="59" s="1"/>
  <c r="W731" i="59" s="1"/>
  <c r="Z731" i="59" s="1"/>
  <c r="AC731" i="59" s="1"/>
  <c r="AF731" i="59" s="1"/>
  <c r="AI731" i="59" s="1"/>
  <c r="AL731" i="59" s="1"/>
  <c r="AO731" i="59" s="1"/>
  <c r="AR731" i="59" s="1"/>
  <c r="AU731" i="59" s="1"/>
  <c r="J731" i="59" s="1"/>
  <c r="AV731" i="59"/>
  <c r="AX731" i="59"/>
  <c r="AY731" i="59"/>
  <c r="AZ731" i="59"/>
  <c r="N843" i="59"/>
  <c r="Q843" i="59" s="1"/>
  <c r="T843" i="59" s="1"/>
  <c r="W843" i="59" s="1"/>
  <c r="Z843" i="59" s="1"/>
  <c r="AC843" i="59" s="1"/>
  <c r="AF843" i="59" s="1"/>
  <c r="AI843" i="59" s="1"/>
  <c r="AL843" i="59" s="1"/>
  <c r="AO843" i="59" s="1"/>
  <c r="AR843" i="59" s="1"/>
  <c r="AU843" i="59" s="1"/>
  <c r="J843" i="59" s="1"/>
  <c r="AV843" i="59"/>
  <c r="AX843" i="59"/>
  <c r="AY843" i="59"/>
  <c r="AZ843" i="59"/>
  <c r="N654" i="59"/>
  <c r="Q654" i="59" s="1"/>
  <c r="T654" i="59" s="1"/>
  <c r="W654" i="59" s="1"/>
  <c r="Z654" i="59" s="1"/>
  <c r="AC654" i="59" s="1"/>
  <c r="AF654" i="59" s="1"/>
  <c r="AI654" i="59" s="1"/>
  <c r="AL654" i="59" s="1"/>
  <c r="AO654" i="59" s="1"/>
  <c r="AR654" i="59" s="1"/>
  <c r="AU654" i="59" s="1"/>
  <c r="J654" i="59" s="1"/>
  <c r="AV654" i="59"/>
  <c r="AX654" i="59"/>
  <c r="AY654" i="59"/>
  <c r="AZ654" i="59"/>
  <c r="N924" i="59"/>
  <c r="Q924" i="59" s="1"/>
  <c r="T924" i="59" s="1"/>
  <c r="W924" i="59" s="1"/>
  <c r="Z924" i="59" s="1"/>
  <c r="AC924" i="59" s="1"/>
  <c r="AF924" i="59" s="1"/>
  <c r="AI924" i="59" s="1"/>
  <c r="AL924" i="59" s="1"/>
  <c r="AO924" i="59" s="1"/>
  <c r="AR924" i="59" s="1"/>
  <c r="AU924" i="59" s="1"/>
  <c r="J924" i="59" s="1"/>
  <c r="AV924" i="59"/>
  <c r="AX924" i="59"/>
  <c r="AY924" i="59"/>
  <c r="AZ924" i="59"/>
  <c r="N210" i="59"/>
  <c r="Q210" i="59" s="1"/>
  <c r="T210" i="59" s="1"/>
  <c r="W210" i="59" s="1"/>
  <c r="Z210" i="59" s="1"/>
  <c r="AC210" i="59" s="1"/>
  <c r="AF210" i="59" s="1"/>
  <c r="AI210" i="59" s="1"/>
  <c r="AL210" i="59" s="1"/>
  <c r="AO210" i="59" s="1"/>
  <c r="AR210" i="59" s="1"/>
  <c r="AU210" i="59" s="1"/>
  <c r="J210" i="59" s="1"/>
  <c r="AV210" i="59"/>
  <c r="AW210" i="59"/>
  <c r="AX210" i="59"/>
  <c r="AY210" i="59"/>
  <c r="AZ210" i="59"/>
  <c r="N500" i="59"/>
  <c r="Q500" i="59" s="1"/>
  <c r="T500" i="59" s="1"/>
  <c r="W500" i="59" s="1"/>
  <c r="Z500" i="59" s="1"/>
  <c r="AC500" i="59" s="1"/>
  <c r="AF500" i="59" s="1"/>
  <c r="AI500" i="59" s="1"/>
  <c r="AL500" i="59" s="1"/>
  <c r="AO500" i="59" s="1"/>
  <c r="AR500" i="59" s="1"/>
  <c r="AU500" i="59" s="1"/>
  <c r="J500" i="59" s="1"/>
  <c r="AV500" i="59"/>
  <c r="AX500" i="59"/>
  <c r="AY500" i="59"/>
  <c r="AZ500" i="59"/>
  <c r="N224" i="59"/>
  <c r="Q224" i="59" s="1"/>
  <c r="T224" i="59" s="1"/>
  <c r="W224" i="59" s="1"/>
  <c r="Z224" i="59" s="1"/>
  <c r="AC224" i="59" s="1"/>
  <c r="AF224" i="59" s="1"/>
  <c r="AI224" i="59" s="1"/>
  <c r="AL224" i="59" s="1"/>
  <c r="AO224" i="59" s="1"/>
  <c r="AR224" i="59" s="1"/>
  <c r="AU224" i="59" s="1"/>
  <c r="J224" i="59" s="1"/>
  <c r="AV224" i="59"/>
  <c r="AX224" i="59"/>
  <c r="AY224" i="59"/>
  <c r="AZ224" i="59"/>
  <c r="N679" i="59"/>
  <c r="Q679" i="59" s="1"/>
  <c r="T679" i="59" s="1"/>
  <c r="W679" i="59" s="1"/>
  <c r="Z679" i="59" s="1"/>
  <c r="AC679" i="59" s="1"/>
  <c r="AF679" i="59" s="1"/>
  <c r="AI679" i="59" s="1"/>
  <c r="AL679" i="59" s="1"/>
  <c r="AO679" i="59" s="1"/>
  <c r="AR679" i="59" s="1"/>
  <c r="AU679" i="59" s="1"/>
  <c r="J679" i="59" s="1"/>
  <c r="AV679" i="59"/>
  <c r="AX679" i="59"/>
  <c r="AY679" i="59"/>
  <c r="AZ679" i="59"/>
  <c r="N612" i="59"/>
  <c r="Q612" i="59" s="1"/>
  <c r="T612" i="59" s="1"/>
  <c r="W612" i="59" s="1"/>
  <c r="Z612" i="59" s="1"/>
  <c r="AC612" i="59" s="1"/>
  <c r="AF612" i="59" s="1"/>
  <c r="AI612" i="59" s="1"/>
  <c r="AL612" i="59" s="1"/>
  <c r="AO612" i="59" s="1"/>
  <c r="AR612" i="59" s="1"/>
  <c r="AU612" i="59" s="1"/>
  <c r="J612" i="59" s="1"/>
  <c r="AV612" i="59"/>
  <c r="AX612" i="59"/>
  <c r="AY612" i="59"/>
  <c r="AZ612" i="59"/>
  <c r="N613" i="59"/>
  <c r="Q613" i="59" s="1"/>
  <c r="T613" i="59" s="1"/>
  <c r="W613" i="59" s="1"/>
  <c r="Z613" i="59" s="1"/>
  <c r="AC613" i="59" s="1"/>
  <c r="AF613" i="59" s="1"/>
  <c r="AI613" i="59" s="1"/>
  <c r="AL613" i="59" s="1"/>
  <c r="AO613" i="59" s="1"/>
  <c r="AR613" i="59" s="1"/>
  <c r="AU613" i="59" s="1"/>
  <c r="J613" i="59" s="1"/>
  <c r="AV613" i="59"/>
  <c r="AX613" i="59"/>
  <c r="AY613" i="59"/>
  <c r="AZ613" i="59"/>
  <c r="N614" i="59"/>
  <c r="Q614" i="59" s="1"/>
  <c r="T614" i="59" s="1"/>
  <c r="W614" i="59" s="1"/>
  <c r="Z614" i="59" s="1"/>
  <c r="AC614" i="59" s="1"/>
  <c r="AF614" i="59" s="1"/>
  <c r="AI614" i="59" s="1"/>
  <c r="AL614" i="59" s="1"/>
  <c r="AO614" i="59" s="1"/>
  <c r="AR614" i="59" s="1"/>
  <c r="AU614" i="59" s="1"/>
  <c r="J614" i="59" s="1"/>
  <c r="AV614" i="59"/>
  <c r="AX614" i="59"/>
  <c r="AY614" i="59"/>
  <c r="AZ614" i="59"/>
  <c r="N615" i="59"/>
  <c r="Q615" i="59" s="1"/>
  <c r="T615" i="59" s="1"/>
  <c r="W615" i="59" s="1"/>
  <c r="Z615" i="59" s="1"/>
  <c r="AC615" i="59" s="1"/>
  <c r="AF615" i="59" s="1"/>
  <c r="AI615" i="59" s="1"/>
  <c r="AL615" i="59" s="1"/>
  <c r="AO615" i="59" s="1"/>
  <c r="AR615" i="59" s="1"/>
  <c r="AU615" i="59" s="1"/>
  <c r="J615" i="59" s="1"/>
  <c r="AV615" i="59"/>
  <c r="AX615" i="59"/>
  <c r="AY615" i="59"/>
  <c r="AZ615" i="59"/>
  <c r="N616" i="59"/>
  <c r="Q616" i="59" s="1"/>
  <c r="T616" i="59" s="1"/>
  <c r="W616" i="59" s="1"/>
  <c r="Z616" i="59" s="1"/>
  <c r="AC616" i="59" s="1"/>
  <c r="AF616" i="59" s="1"/>
  <c r="AI616" i="59" s="1"/>
  <c r="AL616" i="59" s="1"/>
  <c r="AO616" i="59" s="1"/>
  <c r="AR616" i="59" s="1"/>
  <c r="AU616" i="59" s="1"/>
  <c r="J616" i="59" s="1"/>
  <c r="AV616" i="59"/>
  <c r="AX616" i="59"/>
  <c r="AY616" i="59"/>
  <c r="AZ616" i="59"/>
  <c r="N617" i="59"/>
  <c r="Q617" i="59" s="1"/>
  <c r="T617" i="59" s="1"/>
  <c r="W617" i="59" s="1"/>
  <c r="Z617" i="59" s="1"/>
  <c r="AC617" i="59" s="1"/>
  <c r="AF617" i="59" s="1"/>
  <c r="AI617" i="59" s="1"/>
  <c r="AL617" i="59" s="1"/>
  <c r="AO617" i="59" s="1"/>
  <c r="AR617" i="59" s="1"/>
  <c r="AU617" i="59" s="1"/>
  <c r="J617" i="59" s="1"/>
  <c r="AV617" i="59"/>
  <c r="AX617" i="59"/>
  <c r="AY617" i="59"/>
  <c r="AZ617" i="59"/>
  <c r="N618" i="59"/>
  <c r="Q618" i="59" s="1"/>
  <c r="T618" i="59" s="1"/>
  <c r="W618" i="59" s="1"/>
  <c r="Z618" i="59" s="1"/>
  <c r="AC618" i="59" s="1"/>
  <c r="AF618" i="59" s="1"/>
  <c r="AI618" i="59" s="1"/>
  <c r="AL618" i="59" s="1"/>
  <c r="AO618" i="59" s="1"/>
  <c r="AR618" i="59" s="1"/>
  <c r="AU618" i="59" s="1"/>
  <c r="J618" i="59" s="1"/>
  <c r="AV618" i="59"/>
  <c r="AX618" i="59"/>
  <c r="AY618" i="59"/>
  <c r="AZ618" i="59"/>
  <c r="N619" i="59"/>
  <c r="Q619" i="59" s="1"/>
  <c r="T619" i="59" s="1"/>
  <c r="W619" i="59" s="1"/>
  <c r="Z619" i="59" s="1"/>
  <c r="AC619" i="59" s="1"/>
  <c r="AF619" i="59" s="1"/>
  <c r="AI619" i="59" s="1"/>
  <c r="AL619" i="59" s="1"/>
  <c r="AO619" i="59" s="1"/>
  <c r="AR619" i="59" s="1"/>
  <c r="AU619" i="59" s="1"/>
  <c r="J619" i="59" s="1"/>
  <c r="AV619" i="59"/>
  <c r="AX619" i="59"/>
  <c r="AY619" i="59"/>
  <c r="AZ619" i="59"/>
  <c r="N620" i="59"/>
  <c r="Q620" i="59" s="1"/>
  <c r="T620" i="59" s="1"/>
  <c r="W620" i="59" s="1"/>
  <c r="Z620" i="59" s="1"/>
  <c r="AC620" i="59" s="1"/>
  <c r="AF620" i="59" s="1"/>
  <c r="AI620" i="59" s="1"/>
  <c r="AL620" i="59" s="1"/>
  <c r="AO620" i="59" s="1"/>
  <c r="AR620" i="59" s="1"/>
  <c r="AU620" i="59" s="1"/>
  <c r="J620" i="59" s="1"/>
  <c r="AV620" i="59"/>
  <c r="AX620" i="59"/>
  <c r="AY620" i="59"/>
  <c r="AZ620" i="59"/>
  <c r="N621" i="59"/>
  <c r="Q621" i="59" s="1"/>
  <c r="T621" i="59" s="1"/>
  <c r="W621" i="59" s="1"/>
  <c r="Z621" i="59" s="1"/>
  <c r="AC621" i="59" s="1"/>
  <c r="AF621" i="59" s="1"/>
  <c r="AI621" i="59" s="1"/>
  <c r="AL621" i="59" s="1"/>
  <c r="AO621" i="59" s="1"/>
  <c r="AR621" i="59" s="1"/>
  <c r="AU621" i="59" s="1"/>
  <c r="J621" i="59" s="1"/>
  <c r="AV621" i="59"/>
  <c r="AX621" i="59"/>
  <c r="AY621" i="59"/>
  <c r="AZ621" i="59"/>
  <c r="N622" i="59"/>
  <c r="Q622" i="59" s="1"/>
  <c r="T622" i="59" s="1"/>
  <c r="W622" i="59" s="1"/>
  <c r="Z622" i="59" s="1"/>
  <c r="AC622" i="59" s="1"/>
  <c r="AF622" i="59" s="1"/>
  <c r="AI622" i="59" s="1"/>
  <c r="AL622" i="59" s="1"/>
  <c r="AO622" i="59" s="1"/>
  <c r="AR622" i="59" s="1"/>
  <c r="AU622" i="59" s="1"/>
  <c r="J622" i="59" s="1"/>
  <c r="AV622" i="59"/>
  <c r="AX622" i="59"/>
  <c r="AY622" i="59"/>
  <c r="AZ622" i="59"/>
  <c r="N842" i="59"/>
  <c r="Q842" i="59" s="1"/>
  <c r="T842" i="59" s="1"/>
  <c r="W842" i="59" s="1"/>
  <c r="Z842" i="59" s="1"/>
  <c r="AC842" i="59" s="1"/>
  <c r="AF842" i="59" s="1"/>
  <c r="AI842" i="59" s="1"/>
  <c r="AL842" i="59" s="1"/>
  <c r="AO842" i="59" s="1"/>
  <c r="AR842" i="59" s="1"/>
  <c r="AU842" i="59" s="1"/>
  <c r="J842" i="59" s="1"/>
  <c r="AV842" i="59"/>
  <c r="AX842" i="59"/>
  <c r="AY842" i="59"/>
  <c r="AZ842" i="59"/>
  <c r="N932" i="59"/>
  <c r="Q932" i="59" s="1"/>
  <c r="T932" i="59" s="1"/>
  <c r="W932" i="59" s="1"/>
  <c r="Z932" i="59" s="1"/>
  <c r="AC932" i="59" s="1"/>
  <c r="AF932" i="59" s="1"/>
  <c r="AI932" i="59" s="1"/>
  <c r="AL932" i="59" s="1"/>
  <c r="AO932" i="59" s="1"/>
  <c r="AR932" i="59" s="1"/>
  <c r="AU932" i="59" s="1"/>
  <c r="J932" i="59" s="1"/>
  <c r="AV932" i="59"/>
  <c r="AX932" i="59"/>
  <c r="AY932" i="59"/>
  <c r="AZ932" i="59"/>
  <c r="N719" i="59"/>
  <c r="Q719" i="59" s="1"/>
  <c r="T719" i="59" s="1"/>
  <c r="W719" i="59" s="1"/>
  <c r="Z719" i="59" s="1"/>
  <c r="AC719" i="59" s="1"/>
  <c r="AF719" i="59" s="1"/>
  <c r="AI719" i="59" s="1"/>
  <c r="AL719" i="59" s="1"/>
  <c r="AO719" i="59" s="1"/>
  <c r="AR719" i="59" s="1"/>
  <c r="AU719" i="59" s="1"/>
  <c r="J719" i="59" s="1"/>
  <c r="AV719" i="59"/>
  <c r="AX719" i="59"/>
  <c r="AY719" i="59"/>
  <c r="AZ719" i="59"/>
  <c r="N926" i="59"/>
  <c r="Q926" i="59" s="1"/>
  <c r="T926" i="59" s="1"/>
  <c r="W926" i="59" s="1"/>
  <c r="Z926" i="59" s="1"/>
  <c r="AC926" i="59" s="1"/>
  <c r="AF926" i="59" s="1"/>
  <c r="AI926" i="59" s="1"/>
  <c r="AL926" i="59" s="1"/>
  <c r="AO926" i="59" s="1"/>
  <c r="AR926" i="59" s="1"/>
  <c r="AU926" i="59" s="1"/>
  <c r="J926" i="59" s="1"/>
  <c r="AV926" i="59"/>
  <c r="AX926" i="59"/>
  <c r="AY926" i="59"/>
  <c r="AZ926" i="59"/>
  <c r="N375" i="59"/>
  <c r="Q375" i="59" s="1"/>
  <c r="T375" i="59" s="1"/>
  <c r="W375" i="59" s="1"/>
  <c r="Z375" i="59" s="1"/>
  <c r="AC375" i="59" s="1"/>
  <c r="AF375" i="59" s="1"/>
  <c r="AI375" i="59" s="1"/>
  <c r="AL375" i="59" s="1"/>
  <c r="AO375" i="59" s="1"/>
  <c r="AR375" i="59" s="1"/>
  <c r="AU375" i="59" s="1"/>
  <c r="J375" i="59" s="1"/>
  <c r="AV375" i="59"/>
  <c r="AX375" i="59"/>
  <c r="AY375" i="59"/>
  <c r="AZ375" i="59"/>
  <c r="N423" i="59"/>
  <c r="Q423" i="59" s="1"/>
  <c r="T423" i="59" s="1"/>
  <c r="W423" i="59" s="1"/>
  <c r="Z423" i="59" s="1"/>
  <c r="AC423" i="59" s="1"/>
  <c r="AF423" i="59" s="1"/>
  <c r="AI423" i="59" s="1"/>
  <c r="AL423" i="59" s="1"/>
  <c r="AO423" i="59" s="1"/>
  <c r="AR423" i="59" s="1"/>
  <c r="AU423" i="59" s="1"/>
  <c r="J423" i="59" s="1"/>
  <c r="AV423" i="59"/>
  <c r="AX423" i="59"/>
  <c r="AY423" i="59"/>
  <c r="AZ423" i="59"/>
  <c r="N809" i="59"/>
  <c r="Q809" i="59" s="1"/>
  <c r="T809" i="59" s="1"/>
  <c r="W809" i="59" s="1"/>
  <c r="Z809" i="59" s="1"/>
  <c r="AC809" i="59" s="1"/>
  <c r="AF809" i="59" s="1"/>
  <c r="AI809" i="59" s="1"/>
  <c r="AL809" i="59" s="1"/>
  <c r="AO809" i="59" s="1"/>
  <c r="AR809" i="59" s="1"/>
  <c r="AU809" i="59" s="1"/>
  <c r="J809" i="59" s="1"/>
  <c r="AV809" i="59"/>
  <c r="AX809" i="59"/>
  <c r="AY809" i="59"/>
  <c r="AZ809" i="59"/>
  <c r="N810" i="59"/>
  <c r="Q810" i="59" s="1"/>
  <c r="T810" i="59" s="1"/>
  <c r="W810" i="59" s="1"/>
  <c r="Z810" i="59" s="1"/>
  <c r="AC810" i="59" s="1"/>
  <c r="AF810" i="59" s="1"/>
  <c r="AI810" i="59" s="1"/>
  <c r="AL810" i="59" s="1"/>
  <c r="AO810" i="59" s="1"/>
  <c r="AR810" i="59" s="1"/>
  <c r="AU810" i="59" s="1"/>
  <c r="J810" i="59" s="1"/>
  <c r="AV810" i="59"/>
  <c r="AX810" i="59"/>
  <c r="AY810" i="59"/>
  <c r="AZ810" i="59"/>
  <c r="N811" i="59"/>
  <c r="Q811" i="59" s="1"/>
  <c r="T811" i="59" s="1"/>
  <c r="W811" i="59" s="1"/>
  <c r="Z811" i="59" s="1"/>
  <c r="AC811" i="59" s="1"/>
  <c r="AF811" i="59" s="1"/>
  <c r="AI811" i="59" s="1"/>
  <c r="AL811" i="59" s="1"/>
  <c r="AO811" i="59" s="1"/>
  <c r="AR811" i="59" s="1"/>
  <c r="AU811" i="59" s="1"/>
  <c r="J811" i="59" s="1"/>
  <c r="AV811" i="59"/>
  <c r="AX811" i="59"/>
  <c r="AY811" i="59"/>
  <c r="AZ811" i="59"/>
  <c r="N812" i="59"/>
  <c r="Q812" i="59" s="1"/>
  <c r="T812" i="59" s="1"/>
  <c r="W812" i="59" s="1"/>
  <c r="Z812" i="59" s="1"/>
  <c r="AC812" i="59" s="1"/>
  <c r="AF812" i="59" s="1"/>
  <c r="AI812" i="59" s="1"/>
  <c r="AL812" i="59" s="1"/>
  <c r="AO812" i="59" s="1"/>
  <c r="AR812" i="59" s="1"/>
  <c r="AU812" i="59" s="1"/>
  <c r="J812" i="59" s="1"/>
  <c r="AV812" i="59"/>
  <c r="AX812" i="59"/>
  <c r="AY812" i="59"/>
  <c r="AZ812" i="59"/>
  <c r="N813" i="59"/>
  <c r="Q813" i="59" s="1"/>
  <c r="T813" i="59" s="1"/>
  <c r="W813" i="59" s="1"/>
  <c r="Z813" i="59" s="1"/>
  <c r="AC813" i="59" s="1"/>
  <c r="AF813" i="59" s="1"/>
  <c r="AI813" i="59" s="1"/>
  <c r="AL813" i="59" s="1"/>
  <c r="AO813" i="59" s="1"/>
  <c r="AR813" i="59" s="1"/>
  <c r="AU813" i="59" s="1"/>
  <c r="J813" i="59" s="1"/>
  <c r="AV813" i="59"/>
  <c r="AX813" i="59"/>
  <c r="AY813" i="59"/>
  <c r="AZ813" i="59"/>
  <c r="N814" i="59"/>
  <c r="Q814" i="59" s="1"/>
  <c r="T814" i="59" s="1"/>
  <c r="W814" i="59" s="1"/>
  <c r="Z814" i="59" s="1"/>
  <c r="AC814" i="59" s="1"/>
  <c r="AF814" i="59" s="1"/>
  <c r="AI814" i="59" s="1"/>
  <c r="AL814" i="59" s="1"/>
  <c r="AO814" i="59" s="1"/>
  <c r="AR814" i="59" s="1"/>
  <c r="AU814" i="59" s="1"/>
  <c r="J814" i="59" s="1"/>
  <c r="AV814" i="59"/>
  <c r="AX814" i="59"/>
  <c r="AY814" i="59"/>
  <c r="AZ814" i="59"/>
  <c r="N815" i="59"/>
  <c r="Q815" i="59" s="1"/>
  <c r="T815" i="59" s="1"/>
  <c r="W815" i="59" s="1"/>
  <c r="Z815" i="59" s="1"/>
  <c r="AC815" i="59" s="1"/>
  <c r="AF815" i="59" s="1"/>
  <c r="AI815" i="59" s="1"/>
  <c r="AL815" i="59" s="1"/>
  <c r="AO815" i="59" s="1"/>
  <c r="AR815" i="59" s="1"/>
  <c r="AU815" i="59" s="1"/>
  <c r="J815" i="59" s="1"/>
  <c r="AV815" i="59"/>
  <c r="AX815" i="59"/>
  <c r="AY815" i="59"/>
  <c r="AZ815" i="59"/>
  <c r="N816" i="59"/>
  <c r="Q816" i="59" s="1"/>
  <c r="T816" i="59" s="1"/>
  <c r="W816" i="59" s="1"/>
  <c r="Z816" i="59" s="1"/>
  <c r="AC816" i="59" s="1"/>
  <c r="AF816" i="59" s="1"/>
  <c r="AI816" i="59" s="1"/>
  <c r="AL816" i="59" s="1"/>
  <c r="AO816" i="59" s="1"/>
  <c r="AR816" i="59" s="1"/>
  <c r="AU816" i="59" s="1"/>
  <c r="J816" i="59" s="1"/>
  <c r="AV816" i="59"/>
  <c r="AX816" i="59"/>
  <c r="AY816" i="59"/>
  <c r="AZ816" i="59"/>
  <c r="N817" i="59"/>
  <c r="Q817" i="59" s="1"/>
  <c r="T817" i="59" s="1"/>
  <c r="W817" i="59" s="1"/>
  <c r="Z817" i="59" s="1"/>
  <c r="AC817" i="59" s="1"/>
  <c r="AF817" i="59" s="1"/>
  <c r="AI817" i="59" s="1"/>
  <c r="AL817" i="59" s="1"/>
  <c r="AO817" i="59" s="1"/>
  <c r="AR817" i="59" s="1"/>
  <c r="AU817" i="59" s="1"/>
  <c r="J817" i="59" s="1"/>
  <c r="AV817" i="59"/>
  <c r="AX817" i="59"/>
  <c r="AY817" i="59"/>
  <c r="AZ817" i="59"/>
  <c r="N818" i="59"/>
  <c r="Q818" i="59" s="1"/>
  <c r="T818" i="59" s="1"/>
  <c r="W818" i="59" s="1"/>
  <c r="Z818" i="59" s="1"/>
  <c r="AC818" i="59" s="1"/>
  <c r="AF818" i="59" s="1"/>
  <c r="AI818" i="59" s="1"/>
  <c r="AL818" i="59" s="1"/>
  <c r="AO818" i="59" s="1"/>
  <c r="AR818" i="59" s="1"/>
  <c r="AU818" i="59" s="1"/>
  <c r="J818" i="59" s="1"/>
  <c r="AV818" i="59"/>
  <c r="AX818" i="59"/>
  <c r="AY818" i="59"/>
  <c r="AZ818" i="59"/>
  <c r="N819" i="59"/>
  <c r="Q819" i="59" s="1"/>
  <c r="T819" i="59" s="1"/>
  <c r="W819" i="59" s="1"/>
  <c r="Z819" i="59" s="1"/>
  <c r="AC819" i="59" s="1"/>
  <c r="AF819" i="59" s="1"/>
  <c r="AI819" i="59" s="1"/>
  <c r="AL819" i="59" s="1"/>
  <c r="AO819" i="59" s="1"/>
  <c r="AR819" i="59" s="1"/>
  <c r="AU819" i="59" s="1"/>
  <c r="J819" i="59" s="1"/>
  <c r="AV819" i="59"/>
  <c r="AX819" i="59"/>
  <c r="AY819" i="59"/>
  <c r="AZ819" i="59"/>
  <c r="N820" i="59"/>
  <c r="Q820" i="59" s="1"/>
  <c r="T820" i="59" s="1"/>
  <c r="W820" i="59" s="1"/>
  <c r="Z820" i="59" s="1"/>
  <c r="AC820" i="59" s="1"/>
  <c r="AF820" i="59" s="1"/>
  <c r="AI820" i="59" s="1"/>
  <c r="AL820" i="59" s="1"/>
  <c r="AO820" i="59" s="1"/>
  <c r="AR820" i="59" s="1"/>
  <c r="AU820" i="59" s="1"/>
  <c r="J820" i="59" s="1"/>
  <c r="AV820" i="59"/>
  <c r="AX820" i="59"/>
  <c r="AY820" i="59"/>
  <c r="AZ820" i="59"/>
  <c r="N821" i="59"/>
  <c r="Q821" i="59" s="1"/>
  <c r="T821" i="59" s="1"/>
  <c r="W821" i="59" s="1"/>
  <c r="Z821" i="59" s="1"/>
  <c r="AC821" i="59" s="1"/>
  <c r="AF821" i="59" s="1"/>
  <c r="AI821" i="59" s="1"/>
  <c r="AL821" i="59" s="1"/>
  <c r="AO821" i="59" s="1"/>
  <c r="AR821" i="59" s="1"/>
  <c r="AU821" i="59" s="1"/>
  <c r="J821" i="59" s="1"/>
  <c r="AV821" i="59"/>
  <c r="AX821" i="59"/>
  <c r="AY821" i="59"/>
  <c r="AZ821" i="59"/>
  <c r="N822" i="59"/>
  <c r="Q822" i="59" s="1"/>
  <c r="T822" i="59" s="1"/>
  <c r="W822" i="59" s="1"/>
  <c r="Z822" i="59" s="1"/>
  <c r="AC822" i="59" s="1"/>
  <c r="AF822" i="59" s="1"/>
  <c r="AI822" i="59" s="1"/>
  <c r="AL822" i="59" s="1"/>
  <c r="AO822" i="59" s="1"/>
  <c r="AR822" i="59" s="1"/>
  <c r="AU822" i="59" s="1"/>
  <c r="J822" i="59" s="1"/>
  <c r="AV822" i="59"/>
  <c r="AX822" i="59"/>
  <c r="AY822" i="59"/>
  <c r="AZ822" i="59"/>
  <c r="N823" i="59"/>
  <c r="Q823" i="59" s="1"/>
  <c r="T823" i="59" s="1"/>
  <c r="W823" i="59" s="1"/>
  <c r="Z823" i="59" s="1"/>
  <c r="AC823" i="59" s="1"/>
  <c r="AF823" i="59" s="1"/>
  <c r="AI823" i="59" s="1"/>
  <c r="AL823" i="59" s="1"/>
  <c r="AO823" i="59" s="1"/>
  <c r="AR823" i="59" s="1"/>
  <c r="AU823" i="59" s="1"/>
  <c r="J823" i="59" s="1"/>
  <c r="AV823" i="59"/>
  <c r="AX823" i="59"/>
  <c r="AY823" i="59"/>
  <c r="AZ823" i="59"/>
  <c r="N824" i="59"/>
  <c r="Q824" i="59" s="1"/>
  <c r="T824" i="59" s="1"/>
  <c r="W824" i="59" s="1"/>
  <c r="Z824" i="59" s="1"/>
  <c r="AC824" i="59" s="1"/>
  <c r="AF824" i="59" s="1"/>
  <c r="AI824" i="59" s="1"/>
  <c r="AL824" i="59" s="1"/>
  <c r="AO824" i="59" s="1"/>
  <c r="AR824" i="59" s="1"/>
  <c r="AU824" i="59" s="1"/>
  <c r="J824" i="59" s="1"/>
  <c r="AV824" i="59"/>
  <c r="AX824" i="59"/>
  <c r="AY824" i="59"/>
  <c r="AZ824" i="59"/>
  <c r="N825" i="59"/>
  <c r="Q825" i="59" s="1"/>
  <c r="T825" i="59" s="1"/>
  <c r="W825" i="59" s="1"/>
  <c r="Z825" i="59" s="1"/>
  <c r="AC825" i="59" s="1"/>
  <c r="AF825" i="59" s="1"/>
  <c r="AI825" i="59" s="1"/>
  <c r="AL825" i="59" s="1"/>
  <c r="AO825" i="59" s="1"/>
  <c r="AR825" i="59" s="1"/>
  <c r="AU825" i="59" s="1"/>
  <c r="J825" i="59" s="1"/>
  <c r="AV825" i="59"/>
  <c r="AX825" i="59"/>
  <c r="AY825" i="59"/>
  <c r="AZ825" i="59"/>
  <c r="N826" i="59"/>
  <c r="Q826" i="59" s="1"/>
  <c r="T826" i="59" s="1"/>
  <c r="W826" i="59" s="1"/>
  <c r="Z826" i="59" s="1"/>
  <c r="AC826" i="59" s="1"/>
  <c r="AF826" i="59" s="1"/>
  <c r="AI826" i="59" s="1"/>
  <c r="AL826" i="59" s="1"/>
  <c r="AO826" i="59" s="1"/>
  <c r="AR826" i="59" s="1"/>
  <c r="AU826" i="59" s="1"/>
  <c r="J826" i="59" s="1"/>
  <c r="AV826" i="59"/>
  <c r="AX826" i="59"/>
  <c r="AY826" i="59"/>
  <c r="AZ826" i="59"/>
  <c r="N120" i="59"/>
  <c r="Q120" i="59" s="1"/>
  <c r="T120" i="59" s="1"/>
  <c r="W120" i="59" s="1"/>
  <c r="Z120" i="59" s="1"/>
  <c r="AC120" i="59" s="1"/>
  <c r="AF120" i="59" s="1"/>
  <c r="AI120" i="59" s="1"/>
  <c r="AL120" i="59" s="1"/>
  <c r="AO120" i="59" s="1"/>
  <c r="AR120" i="59" s="1"/>
  <c r="AU120" i="59" s="1"/>
  <c r="J120" i="59" s="1"/>
  <c r="AV120" i="59"/>
  <c r="AW120" i="59"/>
  <c r="AX120" i="59"/>
  <c r="AY120" i="59"/>
  <c r="AZ120" i="59"/>
  <c r="N789" i="59"/>
  <c r="Q789" i="59" s="1"/>
  <c r="T789" i="59" s="1"/>
  <c r="W789" i="59" s="1"/>
  <c r="Z789" i="59" s="1"/>
  <c r="AC789" i="59" s="1"/>
  <c r="AF789" i="59" s="1"/>
  <c r="AI789" i="59" s="1"/>
  <c r="AL789" i="59" s="1"/>
  <c r="AO789" i="59" s="1"/>
  <c r="AR789" i="59" s="1"/>
  <c r="AU789" i="59" s="1"/>
  <c r="J789" i="59" s="1"/>
  <c r="AV789" i="59"/>
  <c r="AX789" i="59"/>
  <c r="AY789" i="59"/>
  <c r="AZ789" i="59"/>
  <c r="N790" i="59"/>
  <c r="Q790" i="59" s="1"/>
  <c r="T790" i="59" s="1"/>
  <c r="W790" i="59" s="1"/>
  <c r="Z790" i="59" s="1"/>
  <c r="AC790" i="59" s="1"/>
  <c r="AF790" i="59" s="1"/>
  <c r="AI790" i="59" s="1"/>
  <c r="AL790" i="59" s="1"/>
  <c r="AO790" i="59" s="1"/>
  <c r="AR790" i="59" s="1"/>
  <c r="AU790" i="59" s="1"/>
  <c r="J790" i="59" s="1"/>
  <c r="AV790" i="59"/>
  <c r="AX790" i="59"/>
  <c r="AY790" i="59"/>
  <c r="AZ790" i="59"/>
  <c r="N791" i="59"/>
  <c r="Q791" i="59" s="1"/>
  <c r="T791" i="59" s="1"/>
  <c r="W791" i="59" s="1"/>
  <c r="Z791" i="59" s="1"/>
  <c r="AC791" i="59" s="1"/>
  <c r="AF791" i="59" s="1"/>
  <c r="AI791" i="59" s="1"/>
  <c r="AL791" i="59" s="1"/>
  <c r="AO791" i="59" s="1"/>
  <c r="AR791" i="59" s="1"/>
  <c r="AU791" i="59" s="1"/>
  <c r="J791" i="59" s="1"/>
  <c r="AV791" i="59"/>
  <c r="AX791" i="59"/>
  <c r="AY791" i="59"/>
  <c r="AZ791" i="59"/>
  <c r="N792" i="59"/>
  <c r="Q792" i="59" s="1"/>
  <c r="T792" i="59" s="1"/>
  <c r="W792" i="59" s="1"/>
  <c r="Z792" i="59" s="1"/>
  <c r="AC792" i="59" s="1"/>
  <c r="AF792" i="59" s="1"/>
  <c r="AI792" i="59" s="1"/>
  <c r="AL792" i="59" s="1"/>
  <c r="AO792" i="59" s="1"/>
  <c r="AR792" i="59" s="1"/>
  <c r="AU792" i="59" s="1"/>
  <c r="J792" i="59" s="1"/>
  <c r="AV792" i="59"/>
  <c r="AX792" i="59"/>
  <c r="AY792" i="59"/>
  <c r="AZ792" i="59"/>
  <c r="N793" i="59"/>
  <c r="Q793" i="59" s="1"/>
  <c r="T793" i="59" s="1"/>
  <c r="W793" i="59" s="1"/>
  <c r="Z793" i="59" s="1"/>
  <c r="AC793" i="59" s="1"/>
  <c r="AF793" i="59" s="1"/>
  <c r="AI793" i="59" s="1"/>
  <c r="AL793" i="59" s="1"/>
  <c r="AO793" i="59" s="1"/>
  <c r="AR793" i="59" s="1"/>
  <c r="AU793" i="59" s="1"/>
  <c r="J793" i="59" s="1"/>
  <c r="AV793" i="59"/>
  <c r="AX793" i="59"/>
  <c r="AY793" i="59"/>
  <c r="AZ793" i="59"/>
  <c r="N794" i="59"/>
  <c r="Q794" i="59" s="1"/>
  <c r="T794" i="59" s="1"/>
  <c r="W794" i="59" s="1"/>
  <c r="Z794" i="59" s="1"/>
  <c r="AC794" i="59" s="1"/>
  <c r="AF794" i="59" s="1"/>
  <c r="AI794" i="59" s="1"/>
  <c r="AL794" i="59" s="1"/>
  <c r="AO794" i="59" s="1"/>
  <c r="AR794" i="59" s="1"/>
  <c r="AU794" i="59" s="1"/>
  <c r="J794" i="59" s="1"/>
  <c r="AV794" i="59"/>
  <c r="AX794" i="59"/>
  <c r="AY794" i="59"/>
  <c r="AZ794" i="59"/>
  <c r="N795" i="59"/>
  <c r="Q795" i="59" s="1"/>
  <c r="T795" i="59" s="1"/>
  <c r="W795" i="59" s="1"/>
  <c r="Z795" i="59" s="1"/>
  <c r="AC795" i="59" s="1"/>
  <c r="AF795" i="59" s="1"/>
  <c r="AI795" i="59" s="1"/>
  <c r="AL795" i="59" s="1"/>
  <c r="AO795" i="59" s="1"/>
  <c r="AR795" i="59" s="1"/>
  <c r="AU795" i="59" s="1"/>
  <c r="J795" i="59" s="1"/>
  <c r="AV795" i="59"/>
  <c r="AX795" i="59"/>
  <c r="AY795" i="59"/>
  <c r="AZ795" i="59"/>
  <c r="N796" i="59"/>
  <c r="Q796" i="59" s="1"/>
  <c r="T796" i="59" s="1"/>
  <c r="W796" i="59" s="1"/>
  <c r="Z796" i="59" s="1"/>
  <c r="AC796" i="59" s="1"/>
  <c r="AF796" i="59" s="1"/>
  <c r="AI796" i="59" s="1"/>
  <c r="AL796" i="59" s="1"/>
  <c r="AO796" i="59" s="1"/>
  <c r="AR796" i="59" s="1"/>
  <c r="AU796" i="59" s="1"/>
  <c r="J796" i="59" s="1"/>
  <c r="AV796" i="59"/>
  <c r="AX796" i="59"/>
  <c r="AY796" i="59"/>
  <c r="AZ796" i="59"/>
  <c r="N797" i="59"/>
  <c r="Q797" i="59" s="1"/>
  <c r="T797" i="59" s="1"/>
  <c r="W797" i="59" s="1"/>
  <c r="Z797" i="59" s="1"/>
  <c r="AC797" i="59" s="1"/>
  <c r="AF797" i="59" s="1"/>
  <c r="AI797" i="59" s="1"/>
  <c r="AL797" i="59" s="1"/>
  <c r="AO797" i="59" s="1"/>
  <c r="AR797" i="59" s="1"/>
  <c r="AU797" i="59" s="1"/>
  <c r="J797" i="59" s="1"/>
  <c r="AV797" i="59"/>
  <c r="AX797" i="59"/>
  <c r="AY797" i="59"/>
  <c r="AZ797" i="59"/>
  <c r="N798" i="59"/>
  <c r="Q798" i="59" s="1"/>
  <c r="T798" i="59" s="1"/>
  <c r="W798" i="59" s="1"/>
  <c r="Z798" i="59" s="1"/>
  <c r="AC798" i="59" s="1"/>
  <c r="AF798" i="59" s="1"/>
  <c r="AI798" i="59" s="1"/>
  <c r="AL798" i="59" s="1"/>
  <c r="AO798" i="59" s="1"/>
  <c r="AR798" i="59" s="1"/>
  <c r="AU798" i="59" s="1"/>
  <c r="J798" i="59" s="1"/>
  <c r="AV798" i="59"/>
  <c r="AX798" i="59"/>
  <c r="AY798" i="59"/>
  <c r="AZ798" i="59"/>
  <c r="N799" i="59"/>
  <c r="Q799" i="59" s="1"/>
  <c r="T799" i="59" s="1"/>
  <c r="W799" i="59" s="1"/>
  <c r="Z799" i="59" s="1"/>
  <c r="AC799" i="59" s="1"/>
  <c r="AF799" i="59" s="1"/>
  <c r="AI799" i="59" s="1"/>
  <c r="AL799" i="59" s="1"/>
  <c r="AO799" i="59" s="1"/>
  <c r="AR799" i="59" s="1"/>
  <c r="AU799" i="59" s="1"/>
  <c r="J799" i="59" s="1"/>
  <c r="AV799" i="59"/>
  <c r="AX799" i="59"/>
  <c r="AY799" i="59"/>
  <c r="AZ799" i="59"/>
  <c r="N800" i="59"/>
  <c r="Q800" i="59" s="1"/>
  <c r="T800" i="59" s="1"/>
  <c r="W800" i="59" s="1"/>
  <c r="Z800" i="59" s="1"/>
  <c r="AC800" i="59" s="1"/>
  <c r="AF800" i="59" s="1"/>
  <c r="AI800" i="59" s="1"/>
  <c r="AL800" i="59" s="1"/>
  <c r="AO800" i="59" s="1"/>
  <c r="AR800" i="59" s="1"/>
  <c r="AU800" i="59" s="1"/>
  <c r="J800" i="59" s="1"/>
  <c r="AV800" i="59"/>
  <c r="AX800" i="59"/>
  <c r="AY800" i="59"/>
  <c r="AZ800" i="59"/>
  <c r="N801" i="59"/>
  <c r="Q801" i="59" s="1"/>
  <c r="T801" i="59" s="1"/>
  <c r="W801" i="59" s="1"/>
  <c r="Z801" i="59" s="1"/>
  <c r="AC801" i="59" s="1"/>
  <c r="AF801" i="59" s="1"/>
  <c r="AI801" i="59" s="1"/>
  <c r="AL801" i="59" s="1"/>
  <c r="AO801" i="59" s="1"/>
  <c r="AR801" i="59" s="1"/>
  <c r="AU801" i="59" s="1"/>
  <c r="J801" i="59" s="1"/>
  <c r="AV801" i="59"/>
  <c r="AX801" i="59"/>
  <c r="AY801" i="59"/>
  <c r="AZ801" i="59"/>
  <c r="N802" i="59"/>
  <c r="Q802" i="59" s="1"/>
  <c r="T802" i="59" s="1"/>
  <c r="W802" i="59" s="1"/>
  <c r="Z802" i="59" s="1"/>
  <c r="AC802" i="59" s="1"/>
  <c r="AF802" i="59" s="1"/>
  <c r="AI802" i="59" s="1"/>
  <c r="AL802" i="59" s="1"/>
  <c r="AO802" i="59" s="1"/>
  <c r="AR802" i="59" s="1"/>
  <c r="AU802" i="59" s="1"/>
  <c r="J802" i="59" s="1"/>
  <c r="AV802" i="59"/>
  <c r="AX802" i="59"/>
  <c r="AY802" i="59"/>
  <c r="AZ802" i="59"/>
  <c r="N803" i="59"/>
  <c r="Q803" i="59" s="1"/>
  <c r="T803" i="59" s="1"/>
  <c r="W803" i="59" s="1"/>
  <c r="Z803" i="59" s="1"/>
  <c r="AC803" i="59" s="1"/>
  <c r="AF803" i="59" s="1"/>
  <c r="AI803" i="59" s="1"/>
  <c r="AL803" i="59" s="1"/>
  <c r="AO803" i="59" s="1"/>
  <c r="AR803" i="59" s="1"/>
  <c r="AU803" i="59" s="1"/>
  <c r="J803" i="59" s="1"/>
  <c r="AV803" i="59"/>
  <c r="AX803" i="59"/>
  <c r="AY803" i="59"/>
  <c r="AZ803" i="59"/>
  <c r="N804" i="59"/>
  <c r="Q804" i="59" s="1"/>
  <c r="T804" i="59" s="1"/>
  <c r="W804" i="59" s="1"/>
  <c r="Z804" i="59" s="1"/>
  <c r="AC804" i="59" s="1"/>
  <c r="AF804" i="59" s="1"/>
  <c r="AI804" i="59" s="1"/>
  <c r="AL804" i="59" s="1"/>
  <c r="AO804" i="59" s="1"/>
  <c r="AR804" i="59" s="1"/>
  <c r="AU804" i="59" s="1"/>
  <c r="J804" i="59" s="1"/>
  <c r="AV804" i="59"/>
  <c r="AX804" i="59"/>
  <c r="AY804" i="59"/>
  <c r="AZ804" i="59"/>
  <c r="N805" i="59"/>
  <c r="Q805" i="59" s="1"/>
  <c r="T805" i="59" s="1"/>
  <c r="W805" i="59" s="1"/>
  <c r="Z805" i="59" s="1"/>
  <c r="AC805" i="59" s="1"/>
  <c r="AF805" i="59" s="1"/>
  <c r="AI805" i="59" s="1"/>
  <c r="AL805" i="59" s="1"/>
  <c r="AO805" i="59" s="1"/>
  <c r="AR805" i="59" s="1"/>
  <c r="AU805" i="59" s="1"/>
  <c r="J805" i="59" s="1"/>
  <c r="AV805" i="59"/>
  <c r="AX805" i="59"/>
  <c r="AY805" i="59"/>
  <c r="AZ805" i="59"/>
  <c r="N806" i="59"/>
  <c r="Q806" i="59" s="1"/>
  <c r="T806" i="59" s="1"/>
  <c r="W806" i="59" s="1"/>
  <c r="Z806" i="59" s="1"/>
  <c r="AC806" i="59" s="1"/>
  <c r="AF806" i="59" s="1"/>
  <c r="AI806" i="59" s="1"/>
  <c r="AL806" i="59" s="1"/>
  <c r="AO806" i="59" s="1"/>
  <c r="AR806" i="59" s="1"/>
  <c r="AU806" i="59" s="1"/>
  <c r="J806" i="59" s="1"/>
  <c r="AV806" i="59"/>
  <c r="AX806" i="59"/>
  <c r="AY806" i="59"/>
  <c r="AZ806" i="59"/>
  <c r="N807" i="59"/>
  <c r="Q807" i="59" s="1"/>
  <c r="T807" i="59" s="1"/>
  <c r="W807" i="59" s="1"/>
  <c r="Z807" i="59" s="1"/>
  <c r="AC807" i="59" s="1"/>
  <c r="AF807" i="59" s="1"/>
  <c r="AI807" i="59" s="1"/>
  <c r="AL807" i="59" s="1"/>
  <c r="AO807" i="59" s="1"/>
  <c r="AR807" i="59" s="1"/>
  <c r="AU807" i="59" s="1"/>
  <c r="J807" i="59" s="1"/>
  <c r="AV807" i="59"/>
  <c r="AX807" i="59"/>
  <c r="AY807" i="59"/>
  <c r="AZ807" i="59"/>
  <c r="N808" i="59"/>
  <c r="Q808" i="59" s="1"/>
  <c r="T808" i="59" s="1"/>
  <c r="W808" i="59" s="1"/>
  <c r="Z808" i="59" s="1"/>
  <c r="AC808" i="59" s="1"/>
  <c r="AF808" i="59" s="1"/>
  <c r="AI808" i="59" s="1"/>
  <c r="AL808" i="59" s="1"/>
  <c r="AO808" i="59" s="1"/>
  <c r="AR808" i="59" s="1"/>
  <c r="AU808" i="59" s="1"/>
  <c r="J808" i="59" s="1"/>
  <c r="AV808" i="59"/>
  <c r="AX808" i="59"/>
  <c r="AY808" i="59"/>
  <c r="AZ808" i="59"/>
  <c r="N931" i="59"/>
  <c r="Q931" i="59" s="1"/>
  <c r="T931" i="59" s="1"/>
  <c r="W931" i="59" s="1"/>
  <c r="Z931" i="59" s="1"/>
  <c r="AC931" i="59" s="1"/>
  <c r="AF931" i="59" s="1"/>
  <c r="AI931" i="59" s="1"/>
  <c r="AL931" i="59" s="1"/>
  <c r="AO931" i="59" s="1"/>
  <c r="AR931" i="59" s="1"/>
  <c r="AU931" i="59" s="1"/>
  <c r="J931" i="59" s="1"/>
  <c r="AV931" i="59"/>
  <c r="AX931" i="59"/>
  <c r="AY931" i="59"/>
  <c r="AZ931" i="59"/>
  <c r="N513" i="59"/>
  <c r="Q513" i="59" s="1"/>
  <c r="T513" i="59" s="1"/>
  <c r="W513" i="59" s="1"/>
  <c r="Z513" i="59" s="1"/>
  <c r="AC513" i="59" s="1"/>
  <c r="AF513" i="59" s="1"/>
  <c r="AI513" i="59" s="1"/>
  <c r="AL513" i="59" s="1"/>
  <c r="AO513" i="59" s="1"/>
  <c r="AR513" i="59" s="1"/>
  <c r="AU513" i="59" s="1"/>
  <c r="J513" i="59" s="1"/>
  <c r="AV513" i="59"/>
  <c r="AX513" i="59"/>
  <c r="AY513" i="59"/>
  <c r="AZ513" i="59"/>
  <c r="N656" i="59"/>
  <c r="Q656" i="59" s="1"/>
  <c r="T656" i="59" s="1"/>
  <c r="W656" i="59" s="1"/>
  <c r="Z656" i="59" s="1"/>
  <c r="AC656" i="59" s="1"/>
  <c r="AF656" i="59" s="1"/>
  <c r="AI656" i="59" s="1"/>
  <c r="AL656" i="59" s="1"/>
  <c r="AO656" i="59" s="1"/>
  <c r="AR656" i="59" s="1"/>
  <c r="AU656" i="59" s="1"/>
  <c r="J656" i="59" s="1"/>
  <c r="AV656" i="59"/>
  <c r="AX656" i="59"/>
  <c r="AY656" i="59"/>
  <c r="AZ656" i="59"/>
  <c r="N486" i="59"/>
  <c r="Q486" i="59" s="1"/>
  <c r="T486" i="59" s="1"/>
  <c r="W486" i="59" s="1"/>
  <c r="Z486" i="59" s="1"/>
  <c r="AC486" i="59" s="1"/>
  <c r="AF486" i="59" s="1"/>
  <c r="AI486" i="59" s="1"/>
  <c r="AL486" i="59" s="1"/>
  <c r="AO486" i="59" s="1"/>
  <c r="AR486" i="59" s="1"/>
  <c r="AU486" i="59" s="1"/>
  <c r="J486" i="59" s="1"/>
  <c r="AV486" i="59"/>
  <c r="AX486" i="59"/>
  <c r="AY486" i="59"/>
  <c r="AZ486" i="59"/>
  <c r="N485" i="59"/>
  <c r="Q485" i="59" s="1"/>
  <c r="T485" i="59" s="1"/>
  <c r="W485" i="59" s="1"/>
  <c r="Z485" i="59" s="1"/>
  <c r="AC485" i="59" s="1"/>
  <c r="AF485" i="59" s="1"/>
  <c r="AI485" i="59" s="1"/>
  <c r="AL485" i="59" s="1"/>
  <c r="AO485" i="59" s="1"/>
  <c r="AR485" i="59" s="1"/>
  <c r="AU485" i="59" s="1"/>
  <c r="J485" i="59" s="1"/>
  <c r="AV485" i="59"/>
  <c r="AX485" i="59"/>
  <c r="AY485" i="59"/>
  <c r="AZ485" i="59"/>
  <c r="N732" i="59"/>
  <c r="Q732" i="59" s="1"/>
  <c r="T732" i="59" s="1"/>
  <c r="W732" i="59" s="1"/>
  <c r="Z732" i="59" s="1"/>
  <c r="AC732" i="59" s="1"/>
  <c r="AF732" i="59" s="1"/>
  <c r="AI732" i="59" s="1"/>
  <c r="AL732" i="59" s="1"/>
  <c r="AO732" i="59" s="1"/>
  <c r="AR732" i="59" s="1"/>
  <c r="AU732" i="59" s="1"/>
  <c r="J732" i="59" s="1"/>
  <c r="AV732" i="59"/>
  <c r="AX732" i="59"/>
  <c r="AY732" i="59"/>
  <c r="AZ732" i="59"/>
  <c r="N128" i="59"/>
  <c r="Q128" i="59" s="1"/>
  <c r="T128" i="59" s="1"/>
  <c r="W128" i="59" s="1"/>
  <c r="Z128" i="59" s="1"/>
  <c r="AC128" i="59" s="1"/>
  <c r="AF128" i="59" s="1"/>
  <c r="AI128" i="59" s="1"/>
  <c r="AL128" i="59" s="1"/>
  <c r="AO128" i="59" s="1"/>
  <c r="AR128" i="59" s="1"/>
  <c r="AU128" i="59" s="1"/>
  <c r="J128" i="59" s="1"/>
  <c r="AV128" i="59"/>
  <c r="AW128" i="59"/>
  <c r="AX128" i="59"/>
  <c r="AY128" i="59"/>
  <c r="AZ128" i="59"/>
  <c r="N503" i="59"/>
  <c r="Q503" i="59" s="1"/>
  <c r="T503" i="59" s="1"/>
  <c r="W503" i="59" s="1"/>
  <c r="Z503" i="59" s="1"/>
  <c r="AC503" i="59" s="1"/>
  <c r="AF503" i="59" s="1"/>
  <c r="AI503" i="59" s="1"/>
  <c r="AL503" i="59" s="1"/>
  <c r="AO503" i="59" s="1"/>
  <c r="AR503" i="59" s="1"/>
  <c r="AU503" i="59" s="1"/>
  <c r="J503" i="59" s="1"/>
  <c r="AV503" i="59"/>
  <c r="AX503" i="59"/>
  <c r="AY503" i="59"/>
  <c r="AZ503" i="59"/>
  <c r="N504" i="59"/>
  <c r="Q504" i="59" s="1"/>
  <c r="T504" i="59" s="1"/>
  <c r="W504" i="59" s="1"/>
  <c r="Z504" i="59" s="1"/>
  <c r="AC504" i="59" s="1"/>
  <c r="AF504" i="59" s="1"/>
  <c r="AI504" i="59" s="1"/>
  <c r="AL504" i="59" s="1"/>
  <c r="AO504" i="59" s="1"/>
  <c r="AR504" i="59" s="1"/>
  <c r="AU504" i="59" s="1"/>
  <c r="J504" i="59" s="1"/>
  <c r="AV504" i="59"/>
  <c r="AX504" i="59"/>
  <c r="AY504" i="59"/>
  <c r="AZ504" i="59"/>
  <c r="N507" i="59"/>
  <c r="Q507" i="59" s="1"/>
  <c r="T507" i="59" s="1"/>
  <c r="W507" i="59" s="1"/>
  <c r="Z507" i="59" s="1"/>
  <c r="AC507" i="59" s="1"/>
  <c r="AF507" i="59" s="1"/>
  <c r="AI507" i="59" s="1"/>
  <c r="AL507" i="59" s="1"/>
  <c r="AO507" i="59" s="1"/>
  <c r="AR507" i="59" s="1"/>
  <c r="AU507" i="59" s="1"/>
  <c r="J507" i="59" s="1"/>
  <c r="AV507" i="59"/>
  <c r="AX507" i="59"/>
  <c r="AY507" i="59"/>
  <c r="AZ507" i="59"/>
  <c r="N711" i="59"/>
  <c r="Q711" i="59" s="1"/>
  <c r="T711" i="59" s="1"/>
  <c r="W711" i="59" s="1"/>
  <c r="Z711" i="59" s="1"/>
  <c r="AC711" i="59" s="1"/>
  <c r="AF711" i="59" s="1"/>
  <c r="AI711" i="59" s="1"/>
  <c r="AL711" i="59" s="1"/>
  <c r="AO711" i="59" s="1"/>
  <c r="AR711" i="59" s="1"/>
  <c r="AU711" i="59" s="1"/>
  <c r="J711" i="59" s="1"/>
  <c r="AV711" i="59"/>
  <c r="AX711" i="59"/>
  <c r="AY711" i="59"/>
  <c r="AZ711" i="59"/>
  <c r="N712" i="59"/>
  <c r="Q712" i="59" s="1"/>
  <c r="T712" i="59" s="1"/>
  <c r="W712" i="59" s="1"/>
  <c r="Z712" i="59" s="1"/>
  <c r="AC712" i="59" s="1"/>
  <c r="AF712" i="59" s="1"/>
  <c r="AI712" i="59" s="1"/>
  <c r="AL712" i="59" s="1"/>
  <c r="AO712" i="59" s="1"/>
  <c r="AR712" i="59" s="1"/>
  <c r="AU712" i="59" s="1"/>
  <c r="J712" i="59" s="1"/>
  <c r="AV712" i="59"/>
  <c r="AX712" i="59"/>
  <c r="AY712" i="59"/>
  <c r="AZ712" i="59"/>
  <c r="N708" i="59"/>
  <c r="Q708" i="59" s="1"/>
  <c r="T708" i="59" s="1"/>
  <c r="W708" i="59" s="1"/>
  <c r="Z708" i="59" s="1"/>
  <c r="AC708" i="59" s="1"/>
  <c r="AF708" i="59" s="1"/>
  <c r="AI708" i="59" s="1"/>
  <c r="AL708" i="59" s="1"/>
  <c r="AO708" i="59" s="1"/>
  <c r="AR708" i="59" s="1"/>
  <c r="AU708" i="59" s="1"/>
  <c r="J708" i="59" s="1"/>
  <c r="AV708" i="59"/>
  <c r="AX708" i="59"/>
  <c r="AY708" i="59"/>
  <c r="AZ708" i="59"/>
  <c r="N709" i="59"/>
  <c r="Q709" i="59" s="1"/>
  <c r="T709" i="59" s="1"/>
  <c r="W709" i="59" s="1"/>
  <c r="Z709" i="59" s="1"/>
  <c r="AC709" i="59" s="1"/>
  <c r="AF709" i="59" s="1"/>
  <c r="AI709" i="59" s="1"/>
  <c r="AL709" i="59" s="1"/>
  <c r="AO709" i="59" s="1"/>
  <c r="AR709" i="59" s="1"/>
  <c r="AU709" i="59" s="1"/>
  <c r="J709" i="59" s="1"/>
  <c r="AV709" i="59"/>
  <c r="AX709" i="59"/>
  <c r="AY709" i="59"/>
  <c r="AZ709" i="59"/>
  <c r="N469" i="59"/>
  <c r="Q469" i="59" s="1"/>
  <c r="T469" i="59" s="1"/>
  <c r="W469" i="59" s="1"/>
  <c r="Z469" i="59" s="1"/>
  <c r="AC469" i="59" s="1"/>
  <c r="AF469" i="59" s="1"/>
  <c r="AI469" i="59" s="1"/>
  <c r="AL469" i="59" s="1"/>
  <c r="AO469" i="59" s="1"/>
  <c r="AR469" i="59" s="1"/>
  <c r="AU469" i="59" s="1"/>
  <c r="J469" i="59" s="1"/>
  <c r="AV469" i="59"/>
  <c r="AX469" i="59"/>
  <c r="AY469" i="59"/>
  <c r="AZ469" i="59"/>
  <c r="N640" i="59"/>
  <c r="Q640" i="59" s="1"/>
  <c r="T640" i="59" s="1"/>
  <c r="W640" i="59" s="1"/>
  <c r="Z640" i="59" s="1"/>
  <c r="AC640" i="59" s="1"/>
  <c r="AF640" i="59" s="1"/>
  <c r="AI640" i="59" s="1"/>
  <c r="AL640" i="59" s="1"/>
  <c r="AO640" i="59" s="1"/>
  <c r="AR640" i="59" s="1"/>
  <c r="AU640" i="59" s="1"/>
  <c r="J640" i="59" s="1"/>
  <c r="AV640" i="59"/>
  <c r="AX640" i="59"/>
  <c r="AY640" i="59"/>
  <c r="AZ640" i="59"/>
  <c r="N710" i="59"/>
  <c r="Q710" i="59" s="1"/>
  <c r="T710" i="59" s="1"/>
  <c r="W710" i="59" s="1"/>
  <c r="Z710" i="59" s="1"/>
  <c r="AC710" i="59" s="1"/>
  <c r="AF710" i="59" s="1"/>
  <c r="AI710" i="59" s="1"/>
  <c r="AL710" i="59" s="1"/>
  <c r="AO710" i="59" s="1"/>
  <c r="AR710" i="59" s="1"/>
  <c r="AU710" i="59" s="1"/>
  <c r="J710" i="59" s="1"/>
  <c r="AV710" i="59"/>
  <c r="AX710" i="59"/>
  <c r="AY710" i="59"/>
  <c r="AZ710" i="59"/>
  <c r="N713" i="59"/>
  <c r="Q713" i="59" s="1"/>
  <c r="T713" i="59" s="1"/>
  <c r="W713" i="59" s="1"/>
  <c r="Z713" i="59" s="1"/>
  <c r="AC713" i="59" s="1"/>
  <c r="AF713" i="59" s="1"/>
  <c r="AI713" i="59" s="1"/>
  <c r="AL713" i="59" s="1"/>
  <c r="AO713" i="59" s="1"/>
  <c r="AR713" i="59" s="1"/>
  <c r="AU713" i="59" s="1"/>
  <c r="J713" i="59" s="1"/>
  <c r="AV713" i="59"/>
  <c r="AX713" i="59"/>
  <c r="AY713" i="59"/>
  <c r="AZ713" i="59"/>
  <c r="N209" i="59"/>
  <c r="Q209" i="59" s="1"/>
  <c r="T209" i="59" s="1"/>
  <c r="W209" i="59" s="1"/>
  <c r="Z209" i="59" s="1"/>
  <c r="AC209" i="59" s="1"/>
  <c r="AF209" i="59" s="1"/>
  <c r="AI209" i="59" s="1"/>
  <c r="AL209" i="59" s="1"/>
  <c r="AO209" i="59" s="1"/>
  <c r="AR209" i="59" s="1"/>
  <c r="AU209" i="59" s="1"/>
  <c r="J209" i="59" s="1"/>
  <c r="AV209" i="59"/>
  <c r="AW209" i="59"/>
  <c r="AX209" i="59"/>
  <c r="AY209" i="59"/>
  <c r="AZ209" i="59"/>
  <c r="N488" i="59"/>
  <c r="Q488" i="59" s="1"/>
  <c r="T488" i="59" s="1"/>
  <c r="W488" i="59" s="1"/>
  <c r="Z488" i="59" s="1"/>
  <c r="AC488" i="59" s="1"/>
  <c r="AF488" i="59" s="1"/>
  <c r="AI488" i="59" s="1"/>
  <c r="AL488" i="59" s="1"/>
  <c r="AO488" i="59" s="1"/>
  <c r="AR488" i="59" s="1"/>
  <c r="AU488" i="59" s="1"/>
  <c r="J488" i="59" s="1"/>
  <c r="AV488" i="59"/>
  <c r="AX488" i="59"/>
  <c r="AY488" i="59"/>
  <c r="AZ488" i="59"/>
  <c r="N505" i="59"/>
  <c r="Q505" i="59" s="1"/>
  <c r="T505" i="59" s="1"/>
  <c r="W505" i="59" s="1"/>
  <c r="Z505" i="59" s="1"/>
  <c r="AC505" i="59" s="1"/>
  <c r="AF505" i="59" s="1"/>
  <c r="AI505" i="59" s="1"/>
  <c r="AL505" i="59" s="1"/>
  <c r="AO505" i="59" s="1"/>
  <c r="AR505" i="59" s="1"/>
  <c r="AU505" i="59" s="1"/>
  <c r="J505" i="59" s="1"/>
  <c r="AV505" i="59"/>
  <c r="AX505" i="59"/>
  <c r="AY505" i="59"/>
  <c r="AZ505" i="59"/>
  <c r="N129" i="59"/>
  <c r="Q129" i="59" s="1"/>
  <c r="T129" i="59" s="1"/>
  <c r="W129" i="59" s="1"/>
  <c r="Z129" i="59" s="1"/>
  <c r="AC129" i="59" s="1"/>
  <c r="AF129" i="59" s="1"/>
  <c r="AI129" i="59" s="1"/>
  <c r="AL129" i="59" s="1"/>
  <c r="AO129" i="59" s="1"/>
  <c r="AR129" i="59" s="1"/>
  <c r="AU129" i="59" s="1"/>
  <c r="J129" i="59" s="1"/>
  <c r="AV129" i="59"/>
  <c r="AW129" i="59"/>
  <c r="AX129" i="59"/>
  <c r="AY129" i="59"/>
  <c r="AZ129" i="59"/>
  <c r="N26" i="59"/>
  <c r="Q26" i="59" s="1"/>
  <c r="T26" i="59" s="1"/>
  <c r="W26" i="59" s="1"/>
  <c r="Z26" i="59" s="1"/>
  <c r="AC26" i="59" s="1"/>
  <c r="AF26" i="59" s="1"/>
  <c r="AI26" i="59" s="1"/>
  <c r="AL26" i="59" s="1"/>
  <c r="AO26" i="59" s="1"/>
  <c r="AR26" i="59" s="1"/>
  <c r="AU26" i="59" s="1"/>
  <c r="AV26" i="59"/>
  <c r="AW26" i="59"/>
  <c r="AX26" i="59"/>
  <c r="AY26" i="59"/>
  <c r="AZ26" i="59"/>
  <c r="N211" i="59"/>
  <c r="Q211" i="59" s="1"/>
  <c r="T211" i="59" s="1"/>
  <c r="W211" i="59" s="1"/>
  <c r="Z211" i="59" s="1"/>
  <c r="AC211" i="59" s="1"/>
  <c r="AF211" i="59" s="1"/>
  <c r="AI211" i="59" s="1"/>
  <c r="AL211" i="59" s="1"/>
  <c r="AO211" i="59" s="1"/>
  <c r="AR211" i="59" s="1"/>
  <c r="AU211" i="59" s="1"/>
  <c r="J211" i="59" s="1"/>
  <c r="AV211" i="59"/>
  <c r="AW211" i="59"/>
  <c r="AX211" i="59"/>
  <c r="AY211" i="59"/>
  <c r="AZ211" i="59"/>
  <c r="N232" i="59"/>
  <c r="Q232" i="59" s="1"/>
  <c r="T232" i="59" s="1"/>
  <c r="W232" i="59" s="1"/>
  <c r="Z232" i="59" s="1"/>
  <c r="AC232" i="59" s="1"/>
  <c r="AF232" i="59" s="1"/>
  <c r="AI232" i="59" s="1"/>
  <c r="AL232" i="59" s="1"/>
  <c r="AO232" i="59" s="1"/>
  <c r="AR232" i="59" s="1"/>
  <c r="AU232" i="59" s="1"/>
  <c r="J232" i="59" s="1"/>
  <c r="AV232" i="59"/>
  <c r="AW232" i="59"/>
  <c r="AX232" i="59"/>
  <c r="AY232" i="59"/>
  <c r="AZ232" i="59"/>
  <c r="N680" i="59"/>
  <c r="Q680" i="59" s="1"/>
  <c r="T680" i="59" s="1"/>
  <c r="W680" i="59" s="1"/>
  <c r="Z680" i="59" s="1"/>
  <c r="AC680" i="59" s="1"/>
  <c r="AF680" i="59" s="1"/>
  <c r="AI680" i="59" s="1"/>
  <c r="AL680" i="59" s="1"/>
  <c r="AO680" i="59" s="1"/>
  <c r="AR680" i="59" s="1"/>
  <c r="AU680" i="59" s="1"/>
  <c r="J680" i="59" s="1"/>
  <c r="AV680" i="59"/>
  <c r="AX680" i="59"/>
  <c r="AY680" i="59"/>
  <c r="AZ680" i="59"/>
  <c r="N525" i="59"/>
  <c r="Q525" i="59" s="1"/>
  <c r="T525" i="59" s="1"/>
  <c r="W525" i="59" s="1"/>
  <c r="Z525" i="59" s="1"/>
  <c r="AC525" i="59" s="1"/>
  <c r="AF525" i="59" s="1"/>
  <c r="AI525" i="59" s="1"/>
  <c r="AL525" i="59" s="1"/>
  <c r="AO525" i="59" s="1"/>
  <c r="AR525" i="59" s="1"/>
  <c r="AU525" i="59" s="1"/>
  <c r="AX525" i="59"/>
  <c r="AY525" i="59"/>
  <c r="AZ525" i="59"/>
  <c r="BC750" i="59" l="1"/>
  <c r="BD750" i="59" s="1"/>
  <c r="BC474" i="59"/>
  <c r="BD474" i="59" s="1"/>
  <c r="BC711" i="59"/>
  <c r="BD711" i="59" s="1"/>
  <c r="BC823" i="59"/>
  <c r="BD823" i="59" s="1"/>
  <c r="BC652" i="59"/>
  <c r="BD652" i="59" s="1"/>
  <c r="BC768" i="59"/>
  <c r="BD768" i="59" s="1"/>
  <c r="BC675" i="59"/>
  <c r="BD675" i="59" s="1"/>
  <c r="BC837" i="59"/>
  <c r="BD837" i="59" s="1"/>
  <c r="BC673" i="59"/>
  <c r="BD673" i="59" s="1"/>
  <c r="BC926" i="59"/>
  <c r="BD926" i="59" s="1"/>
  <c r="BC706" i="59"/>
  <c r="BD706" i="59" s="1"/>
  <c r="BC950" i="59"/>
  <c r="BD950" i="59" s="1"/>
  <c r="BC485" i="59"/>
  <c r="BD485" i="59" s="1"/>
  <c r="BC492" i="59"/>
  <c r="BD492" i="59" s="1"/>
  <c r="BC623" i="59"/>
  <c r="BD623" i="59" s="1"/>
  <c r="BC220" i="59"/>
  <c r="BD220" i="59" s="1"/>
  <c r="BC129" i="59"/>
  <c r="BD129" i="59" s="1"/>
  <c r="BC931" i="59"/>
  <c r="BD931" i="59" s="1"/>
  <c r="BC795" i="59"/>
  <c r="BD795" i="59" s="1"/>
  <c r="BC809" i="59"/>
  <c r="BD809" i="59" s="1"/>
  <c r="BC615" i="59"/>
  <c r="BD615" i="59" s="1"/>
  <c r="BC754" i="59"/>
  <c r="BD754" i="59" s="1"/>
  <c r="BC839" i="59"/>
  <c r="BD839" i="59" s="1"/>
  <c r="BC602" i="59"/>
  <c r="BD602" i="59" s="1"/>
  <c r="BC530" i="59"/>
  <c r="BD530" i="59" s="1"/>
  <c r="BC503" i="59"/>
  <c r="BD503" i="59" s="1"/>
  <c r="BC806" i="59"/>
  <c r="BD806" i="59" s="1"/>
  <c r="BC792" i="59"/>
  <c r="BD792" i="59" s="1"/>
  <c r="BC820" i="59"/>
  <c r="BD820" i="59" s="1"/>
  <c r="BC612" i="59"/>
  <c r="BD612" i="59" s="1"/>
  <c r="BC493" i="59"/>
  <c r="BD493" i="59" s="1"/>
  <c r="BC765" i="59"/>
  <c r="BD765" i="59" s="1"/>
  <c r="BC788" i="59"/>
  <c r="BD788" i="59" s="1"/>
  <c r="BC939" i="59"/>
  <c r="BD939" i="59" s="1"/>
  <c r="BC670" i="59"/>
  <c r="BD670" i="59" s="1"/>
  <c r="BC512" i="59"/>
  <c r="BD512" i="59" s="1"/>
  <c r="BC301" i="59"/>
  <c r="BD301" i="59" s="1"/>
  <c r="BC723" i="59"/>
  <c r="BD723" i="59" s="1"/>
  <c r="BC888" i="59"/>
  <c r="BD888" i="59" s="1"/>
  <c r="BC529" i="59"/>
  <c r="BD529" i="59" s="1"/>
  <c r="BC211" i="59"/>
  <c r="BD211" i="59" s="1"/>
  <c r="BC209" i="59"/>
  <c r="BD209" i="59" s="1"/>
  <c r="BC803" i="59"/>
  <c r="BD803" i="59" s="1"/>
  <c r="BC789" i="59"/>
  <c r="BD789" i="59" s="1"/>
  <c r="BC817" i="59"/>
  <c r="BD817" i="59" s="1"/>
  <c r="BC842" i="59"/>
  <c r="BD842" i="59" s="1"/>
  <c r="BC500" i="59"/>
  <c r="BD500" i="59" s="1"/>
  <c r="BC749" i="59"/>
  <c r="BD749" i="59" s="1"/>
  <c r="BC834" i="59"/>
  <c r="BD834" i="59" s="1"/>
  <c r="BC776" i="59"/>
  <c r="BD776" i="59" s="1"/>
  <c r="BC762" i="59"/>
  <c r="BD762" i="59" s="1"/>
  <c r="BC785" i="59"/>
  <c r="BD785" i="59" s="1"/>
  <c r="BC302" i="59"/>
  <c r="BD302" i="59" s="1"/>
  <c r="BC667" i="59"/>
  <c r="BD667" i="59" s="1"/>
  <c r="BC624" i="59"/>
  <c r="BD624" i="59" s="1"/>
  <c r="BC361" i="59"/>
  <c r="BD361" i="59" s="1"/>
  <c r="BC535" i="59"/>
  <c r="BD535" i="59" s="1"/>
  <c r="BC620" i="59"/>
  <c r="BD620" i="59" s="1"/>
  <c r="BC733" i="59"/>
  <c r="BD733" i="59" s="1"/>
  <c r="BC487" i="59"/>
  <c r="BD487" i="59" s="1"/>
  <c r="BC773" i="59"/>
  <c r="BD773" i="59" s="1"/>
  <c r="BC759" i="59"/>
  <c r="BD759" i="59" s="1"/>
  <c r="BC688" i="59"/>
  <c r="BD688" i="59" s="1"/>
  <c r="BC653" i="59"/>
  <c r="BD653" i="59" s="1"/>
  <c r="BC917" i="59"/>
  <c r="BD917" i="59" s="1"/>
  <c r="BC603" i="59"/>
  <c r="BD603" i="59" s="1"/>
  <c r="BC714" i="59"/>
  <c r="BD714" i="59" s="1"/>
  <c r="BC680" i="59"/>
  <c r="BD680" i="59" s="1"/>
  <c r="BC708" i="59"/>
  <c r="BD708" i="59" s="1"/>
  <c r="BC656" i="59"/>
  <c r="BD656" i="59" s="1"/>
  <c r="BC797" i="59"/>
  <c r="BD797" i="59" s="1"/>
  <c r="BC825" i="59"/>
  <c r="BD825" i="59" s="1"/>
  <c r="BC811" i="59"/>
  <c r="BD811" i="59" s="1"/>
  <c r="BC617" i="59"/>
  <c r="BD617" i="59" s="1"/>
  <c r="BC654" i="59"/>
  <c r="BD654" i="59" s="1"/>
  <c r="BC684" i="59"/>
  <c r="BD684" i="59" s="1"/>
  <c r="BC770" i="59"/>
  <c r="BD770" i="59" s="1"/>
  <c r="BC756" i="59"/>
  <c r="BD756" i="59" s="1"/>
  <c r="BC945" i="59"/>
  <c r="BD945" i="59" s="1"/>
  <c r="BC841" i="59"/>
  <c r="BD841" i="59" s="1"/>
  <c r="BC660" i="59"/>
  <c r="BD660" i="59" s="1"/>
  <c r="BC716" i="59"/>
  <c r="BD716" i="59" s="1"/>
  <c r="BC438" i="59"/>
  <c r="BD438" i="59" s="1"/>
  <c r="BC658" i="59"/>
  <c r="BD658" i="59" s="1"/>
  <c r="BC538" i="59"/>
  <c r="BD538" i="59" s="1"/>
  <c r="BC505" i="59"/>
  <c r="BD505" i="59" s="1"/>
  <c r="BC507" i="59"/>
  <c r="BD507" i="59" s="1"/>
  <c r="BC808" i="59"/>
  <c r="BD808" i="59" s="1"/>
  <c r="BC794" i="59"/>
  <c r="BD794" i="59" s="1"/>
  <c r="BC822" i="59"/>
  <c r="BD822" i="59" s="1"/>
  <c r="BC423" i="59"/>
  <c r="BD423" i="59" s="1"/>
  <c r="BC614" i="59"/>
  <c r="BD614" i="59" s="1"/>
  <c r="BC731" i="59"/>
  <c r="BD731" i="59" s="1"/>
  <c r="BC515" i="59"/>
  <c r="BD515" i="59" s="1"/>
  <c r="BC767" i="59"/>
  <c r="BD767" i="59" s="1"/>
  <c r="BC753" i="59"/>
  <c r="BD753" i="59" s="1"/>
  <c r="BC659" i="59"/>
  <c r="BD659" i="59" s="1"/>
  <c r="BC938" i="59"/>
  <c r="BD938" i="59" s="1"/>
  <c r="BC119" i="59"/>
  <c r="BD119" i="59" s="1"/>
  <c r="BC631" i="59"/>
  <c r="BD631" i="59" s="1"/>
  <c r="BC717" i="59"/>
  <c r="BD717" i="59" s="1"/>
  <c r="BC722" i="59"/>
  <c r="BD722" i="59" s="1"/>
  <c r="BC537" i="59"/>
  <c r="BD537" i="59" s="1"/>
  <c r="BC640" i="59"/>
  <c r="BD640" i="59" s="1"/>
  <c r="BC819" i="59"/>
  <c r="BD819" i="59" s="1"/>
  <c r="BC369" i="59"/>
  <c r="BD369" i="59" s="1"/>
  <c r="BC713" i="59"/>
  <c r="BD713" i="59" s="1"/>
  <c r="BC622" i="59"/>
  <c r="BD622" i="59" s="1"/>
  <c r="BC305" i="59"/>
  <c r="BD305" i="59" s="1"/>
  <c r="BC519" i="59"/>
  <c r="BD519" i="59" s="1"/>
  <c r="BC210" i="59"/>
  <c r="BD210" i="59" s="1"/>
  <c r="BC833" i="59"/>
  <c r="BD833" i="59" s="1"/>
  <c r="BC907" i="59"/>
  <c r="BD907" i="59" s="1"/>
  <c r="BC310" i="59"/>
  <c r="BD310" i="59" s="1"/>
  <c r="BC741" i="59"/>
  <c r="BD741" i="59" s="1"/>
  <c r="BC668" i="59"/>
  <c r="BD668" i="59" s="1"/>
  <c r="BC531" i="59"/>
  <c r="BD531" i="59" s="1"/>
  <c r="BC814" i="59"/>
  <c r="BD814" i="59" s="1"/>
  <c r="BC805" i="59"/>
  <c r="BD805" i="59" s="1"/>
  <c r="BC764" i="59"/>
  <c r="BD764" i="59" s="1"/>
  <c r="BC922" i="59"/>
  <c r="BD922" i="59" s="1"/>
  <c r="BC923" i="59"/>
  <c r="BD923" i="59" s="1"/>
  <c r="BC597" i="59"/>
  <c r="BD597" i="59" s="1"/>
  <c r="BC784" i="59"/>
  <c r="BD784" i="59" s="1"/>
  <c r="BC799" i="59"/>
  <c r="BD799" i="59" s="1"/>
  <c r="BC813" i="59"/>
  <c r="BD813" i="59" s="1"/>
  <c r="BC772" i="59"/>
  <c r="BD772" i="59" s="1"/>
  <c r="BC758" i="59"/>
  <c r="BD758" i="59" s="1"/>
  <c r="BC616" i="59"/>
  <c r="BD616" i="59" s="1"/>
  <c r="BC230" i="59"/>
  <c r="BD230" i="59" s="1"/>
  <c r="BC755" i="59"/>
  <c r="BD755" i="59" s="1"/>
  <c r="BC840" i="59"/>
  <c r="BD840" i="59" s="1"/>
  <c r="BC725" i="59"/>
  <c r="BD725" i="59" s="1"/>
  <c r="BC666" i="59"/>
  <c r="BD666" i="59" s="1"/>
  <c r="BC534" i="59"/>
  <c r="BD534" i="59" s="1"/>
  <c r="BC679" i="59"/>
  <c r="BD679" i="59" s="1"/>
  <c r="BC802" i="59"/>
  <c r="BD802" i="59" s="1"/>
  <c r="BC690" i="59"/>
  <c r="BD690" i="59" s="1"/>
  <c r="BC120" i="59"/>
  <c r="BD120" i="59" s="1"/>
  <c r="BC810" i="59"/>
  <c r="BD810" i="59" s="1"/>
  <c r="BC769" i="59"/>
  <c r="BD769" i="59" s="1"/>
  <c r="BC232" i="59"/>
  <c r="BD232" i="59" s="1"/>
  <c r="BC375" i="59"/>
  <c r="BD375" i="59" s="1"/>
  <c r="BC766" i="59"/>
  <c r="BD766" i="59" s="1"/>
  <c r="BC925" i="59"/>
  <c r="BD925" i="59" s="1"/>
  <c r="BC373" i="59"/>
  <c r="BD373" i="59" s="1"/>
  <c r="BC533" i="59"/>
  <c r="BD533" i="59" s="1"/>
  <c r="BC800" i="59"/>
  <c r="BD800" i="59" s="1"/>
  <c r="BC791" i="59"/>
  <c r="BD791" i="59" s="1"/>
  <c r="BC651" i="59"/>
  <c r="BD651" i="59" s="1"/>
  <c r="BC816" i="59"/>
  <c r="BD816" i="59" s="1"/>
  <c r="BC641" i="59"/>
  <c r="BD641" i="59" s="1"/>
  <c r="BC528" i="59"/>
  <c r="BD528" i="59" s="1"/>
  <c r="BC712" i="59"/>
  <c r="BD712" i="59" s="1"/>
  <c r="BC807" i="59"/>
  <c r="BD807" i="59" s="1"/>
  <c r="BC889" i="59"/>
  <c r="BD889" i="59" s="1"/>
  <c r="BC937" i="59"/>
  <c r="BD937" i="59" s="1"/>
  <c r="BC724" i="59"/>
  <c r="BD724" i="59" s="1"/>
  <c r="BC818" i="59"/>
  <c r="BD818" i="59" s="1"/>
  <c r="BC932" i="59"/>
  <c r="BD932" i="59" s="1"/>
  <c r="BC787" i="59"/>
  <c r="BD787" i="59" s="1"/>
  <c r="BC128" i="59"/>
  <c r="BD128" i="59" s="1"/>
  <c r="BC746" i="59"/>
  <c r="BD746" i="59" s="1"/>
  <c r="BC775" i="59"/>
  <c r="BD775" i="59" s="1"/>
  <c r="BC619" i="59"/>
  <c r="BD619" i="59" s="1"/>
  <c r="BC796" i="59"/>
  <c r="BD796" i="59" s="1"/>
  <c r="BC843" i="59"/>
  <c r="BD843" i="59" s="1"/>
  <c r="BC442" i="59"/>
  <c r="BD442" i="59" s="1"/>
  <c r="BC441" i="59"/>
  <c r="BD441" i="59" s="1"/>
  <c r="BC504" i="59"/>
  <c r="BD504" i="59" s="1"/>
  <c r="BC821" i="59"/>
  <c r="BD821" i="59" s="1"/>
  <c r="BC875" i="59"/>
  <c r="BD875" i="59" s="1"/>
  <c r="BC514" i="59"/>
  <c r="BD514" i="59" s="1"/>
  <c r="BC575" i="59"/>
  <c r="BD575" i="59" s="1"/>
  <c r="BC804" i="59"/>
  <c r="BD804" i="59" s="1"/>
  <c r="BC790" i="59"/>
  <c r="BD790" i="59" s="1"/>
  <c r="BC224" i="59"/>
  <c r="BD224" i="59" s="1"/>
  <c r="BC705" i="59"/>
  <c r="BD705" i="59" s="1"/>
  <c r="BC491" i="59"/>
  <c r="BD491" i="59" s="1"/>
  <c r="BC763" i="59"/>
  <c r="BD763" i="59" s="1"/>
  <c r="BC786" i="59"/>
  <c r="BD786" i="59" s="1"/>
  <c r="BC657" i="59"/>
  <c r="BD657" i="59" s="1"/>
  <c r="BC710" i="59"/>
  <c r="BD710" i="59" s="1"/>
  <c r="BC732" i="59"/>
  <c r="BD732" i="59" s="1"/>
  <c r="BC801" i="59"/>
  <c r="BD801" i="59" s="1"/>
  <c r="BC815" i="59"/>
  <c r="BD815" i="59" s="1"/>
  <c r="BC621" i="59"/>
  <c r="BD621" i="59" s="1"/>
  <c r="BC734" i="59"/>
  <c r="BD734" i="59" s="1"/>
  <c r="BC665" i="59"/>
  <c r="BD665" i="59" s="1"/>
  <c r="BC774" i="59"/>
  <c r="BD774" i="59" s="1"/>
  <c r="BC760" i="59"/>
  <c r="BD760" i="59" s="1"/>
  <c r="BC627" i="59"/>
  <c r="BD627" i="59" s="1"/>
  <c r="BC117" i="59"/>
  <c r="BD117" i="59" s="1"/>
  <c r="BC471" i="59"/>
  <c r="BD471" i="59" s="1"/>
  <c r="BC672" i="59"/>
  <c r="BD672" i="59" s="1"/>
  <c r="BC715" i="59"/>
  <c r="BD715" i="59" s="1"/>
  <c r="BC719" i="59"/>
  <c r="BD719" i="59" s="1"/>
  <c r="BC838" i="59"/>
  <c r="BD838" i="59" s="1"/>
  <c r="BC536" i="59"/>
  <c r="BD536" i="59" s="1"/>
  <c r="BC761" i="59"/>
  <c r="BD761" i="59" s="1"/>
  <c r="BC469" i="59"/>
  <c r="BD469" i="59" s="1"/>
  <c r="BC876" i="59"/>
  <c r="BD876" i="59" s="1"/>
  <c r="BC513" i="59"/>
  <c r="BD513" i="59" s="1"/>
  <c r="BC824" i="59"/>
  <c r="BD824" i="59" s="1"/>
  <c r="BC488" i="59"/>
  <c r="BD488" i="59" s="1"/>
  <c r="BC793" i="59"/>
  <c r="BD793" i="59" s="1"/>
  <c r="BC613" i="59"/>
  <c r="BD613" i="59" s="1"/>
  <c r="BC246" i="59"/>
  <c r="BD246" i="59" s="1"/>
  <c r="BC752" i="59"/>
  <c r="BD752" i="59" s="1"/>
  <c r="BC669" i="59"/>
  <c r="BD669" i="59" s="1"/>
  <c r="BC300" i="59"/>
  <c r="BD300" i="59" s="1"/>
  <c r="BC639" i="59"/>
  <c r="BD639" i="59" s="1"/>
  <c r="BC247" i="59"/>
  <c r="BD247" i="59" s="1"/>
  <c r="BC721" i="59"/>
  <c r="BD721" i="59" s="1"/>
  <c r="BC532" i="59"/>
  <c r="BD532" i="59" s="1"/>
  <c r="BC709" i="59"/>
  <c r="BD709" i="59" s="1"/>
  <c r="BC486" i="59"/>
  <c r="BD486" i="59" s="1"/>
  <c r="BC798" i="59"/>
  <c r="BD798" i="59" s="1"/>
  <c r="BC826" i="59"/>
  <c r="BD826" i="59" s="1"/>
  <c r="BC812" i="59"/>
  <c r="BD812" i="59" s="1"/>
  <c r="BC618" i="59"/>
  <c r="BD618" i="59" s="1"/>
  <c r="BC924" i="59"/>
  <c r="BD924" i="59" s="1"/>
  <c r="BC685" i="59"/>
  <c r="BD685" i="59" s="1"/>
  <c r="BC221" i="59"/>
  <c r="BD221" i="59" s="1"/>
  <c r="BC771" i="59"/>
  <c r="BD771" i="59" s="1"/>
  <c r="BC757" i="59"/>
  <c r="BD757" i="59" s="1"/>
  <c r="BC946" i="59"/>
  <c r="BD946" i="59" s="1"/>
  <c r="BC321" i="59"/>
  <c r="BD321" i="59" s="1"/>
  <c r="BC490" i="59"/>
  <c r="BD490" i="59" s="1"/>
  <c r="BC691" i="59"/>
  <c r="BD691" i="59" s="1"/>
  <c r="BC426" i="59"/>
  <c r="BD426" i="59" s="1"/>
  <c r="BC520" i="59"/>
  <c r="BD520" i="59" s="1"/>
  <c r="J338" i="59"/>
  <c r="J26" i="59"/>
  <c r="J27" i="59"/>
  <c r="J30" i="59"/>
  <c r="BI30" i="59" s="1"/>
  <c r="J526" i="59"/>
  <c r="J525" i="59"/>
  <c r="J527" i="59"/>
  <c r="J625" i="59"/>
  <c r="J650" i="59"/>
  <c r="J606" i="59"/>
  <c r="J86" i="59"/>
  <c r="J694" i="59"/>
  <c r="J41" i="59"/>
  <c r="J429" i="59"/>
  <c r="J699" i="59"/>
  <c r="J13" i="59"/>
  <c r="J278" i="59"/>
  <c r="J707" i="59"/>
  <c r="J835" i="59"/>
  <c r="J849" i="59"/>
  <c r="J480" i="59"/>
  <c r="J251" i="59"/>
  <c r="J479" i="59"/>
  <c r="J472" i="59"/>
  <c r="J845" i="59"/>
  <c r="J847" i="59"/>
  <c r="J427" i="59"/>
  <c r="J478" i="59"/>
  <c r="J846" i="59"/>
  <c r="J692" i="59"/>
  <c r="J848" i="59"/>
  <c r="BC527" i="59" l="1"/>
  <c r="BD527" i="59" s="1"/>
  <c r="BC625" i="59"/>
  <c r="BD625" i="59" s="1"/>
  <c r="BC472" i="59"/>
  <c r="BD472" i="59" s="1"/>
  <c r="BC525" i="59"/>
  <c r="BD525" i="59" s="1"/>
  <c r="BC27" i="59"/>
  <c r="BD27" i="59" s="1"/>
  <c r="BC427" i="59"/>
  <c r="BD427" i="59" s="1"/>
  <c r="BC526" i="59"/>
  <c r="BD526" i="59" s="1"/>
  <c r="BC30" i="59"/>
  <c r="BD30" i="59" s="1"/>
  <c r="BC278" i="59"/>
  <c r="BD278" i="59" s="1"/>
  <c r="BC26" i="59"/>
  <c r="BD26" i="59" s="1"/>
  <c r="BC849" i="59"/>
  <c r="BD849" i="59" s="1"/>
  <c r="BC13" i="59"/>
  <c r="BD13" i="59" s="1"/>
  <c r="BC848" i="59"/>
  <c r="BD848" i="59" s="1"/>
  <c r="BC479" i="59"/>
  <c r="BD479" i="59" s="1"/>
  <c r="BC699" i="59"/>
  <c r="BD699" i="59" s="1"/>
  <c r="BC835" i="59"/>
  <c r="BD835" i="59" s="1"/>
  <c r="BC251" i="59"/>
  <c r="BD251" i="59" s="1"/>
  <c r="BC692" i="59"/>
  <c r="BD692" i="59" s="1"/>
  <c r="BC845" i="59"/>
  <c r="BD845" i="59" s="1"/>
  <c r="BC429" i="59"/>
  <c r="BD429" i="59" s="1"/>
  <c r="BC41" i="59"/>
  <c r="BD41" i="59" s="1"/>
  <c r="BC478" i="59"/>
  <c r="BD478" i="59" s="1"/>
  <c r="BC707" i="59"/>
  <c r="BD707" i="59" s="1"/>
  <c r="BC694" i="59"/>
  <c r="BD694" i="59" s="1"/>
  <c r="BC86" i="59"/>
  <c r="BD86" i="59" s="1"/>
  <c r="BC606" i="59"/>
  <c r="BD606" i="59" s="1"/>
  <c r="BC338" i="59"/>
  <c r="BD338" i="59" s="1"/>
  <c r="BC847" i="59"/>
  <c r="BD847" i="59" s="1"/>
  <c r="BC846" i="59"/>
  <c r="BD846" i="59" s="1"/>
  <c r="BC480" i="59"/>
  <c r="BD480" i="59" s="1"/>
  <c r="BC650" i="59"/>
  <c r="BD650" i="59" s="1"/>
  <c r="BH6" i="59" l="1"/>
  <c r="BH5" i="59"/>
  <c r="BH22" i="59" l="1"/>
  <c r="BH20" i="59" l="1"/>
  <c r="BH7" i="59" l="1"/>
  <c r="BH8" i="59" l="1"/>
  <c r="BH9" i="59" l="1"/>
  <c r="BH11" i="59" l="1"/>
  <c r="BH12" i="59" l="1"/>
  <c r="BH10" i="59" l="1"/>
  <c r="BH14" i="59" l="1"/>
  <c r="BH34" i="59" l="1"/>
  <c r="BH15" i="59" l="1"/>
  <c r="BH17" i="59" l="1"/>
  <c r="BH31" i="59" l="1"/>
  <c r="BH23" i="59" l="1"/>
  <c r="BH33" i="59" l="1"/>
  <c r="BH32" i="59" l="1"/>
  <c r="BH29" i="59" l="1"/>
  <c r="BH133" i="59" l="1"/>
  <c r="BH19" i="59" l="1"/>
  <c r="BH24" i="59" l="1"/>
  <c r="BH21" i="59" l="1"/>
  <c r="BH16" i="59" l="1"/>
  <c r="BH25" i="59" l="1"/>
  <c r="BH18" i="59" l="1"/>
  <c r="N198" i="59" l="1"/>
  <c r="Q198" i="59" s="1"/>
  <c r="T198" i="59" s="1"/>
  <c r="W198" i="59" s="1"/>
  <c r="Z198" i="59" s="1"/>
  <c r="AC198" i="59" s="1"/>
  <c r="AF198" i="59" s="1"/>
  <c r="AI198" i="59" s="1"/>
  <c r="AL198" i="59" s="1"/>
  <c r="AO198" i="59" s="1"/>
  <c r="AR198" i="59" s="1"/>
  <c r="AU198" i="59" s="1"/>
  <c r="J198" i="59" s="1"/>
  <c r="AV198" i="59"/>
  <c r="AW198" i="59"/>
  <c r="AX198" i="59"/>
  <c r="AY198" i="59"/>
  <c r="AZ198" i="59"/>
  <c r="N190" i="59"/>
  <c r="Q190" i="59" s="1"/>
  <c r="T190" i="59" s="1"/>
  <c r="W190" i="59" s="1"/>
  <c r="Z190" i="59" s="1"/>
  <c r="AC190" i="59" s="1"/>
  <c r="AF190" i="59" s="1"/>
  <c r="AI190" i="59" s="1"/>
  <c r="AL190" i="59" s="1"/>
  <c r="AO190" i="59" s="1"/>
  <c r="AR190" i="59" s="1"/>
  <c r="AU190" i="59" s="1"/>
  <c r="J190" i="59" s="1"/>
  <c r="AV190" i="59"/>
  <c r="AW190" i="59"/>
  <c r="AX190" i="59"/>
  <c r="AY190" i="59"/>
  <c r="AZ190" i="59"/>
  <c r="N191" i="59"/>
  <c r="Q191" i="59" s="1"/>
  <c r="T191" i="59" s="1"/>
  <c r="W191" i="59" s="1"/>
  <c r="Z191" i="59" s="1"/>
  <c r="AC191" i="59" s="1"/>
  <c r="AF191" i="59" s="1"/>
  <c r="AI191" i="59" s="1"/>
  <c r="AL191" i="59" s="1"/>
  <c r="AO191" i="59" s="1"/>
  <c r="AR191" i="59" s="1"/>
  <c r="AU191" i="59" s="1"/>
  <c r="J191" i="59" s="1"/>
  <c r="AV191" i="59"/>
  <c r="AW191" i="59"/>
  <c r="AX191" i="59"/>
  <c r="AY191" i="59"/>
  <c r="AZ191" i="59"/>
  <c r="N84" i="59"/>
  <c r="Q84" i="59" s="1"/>
  <c r="T84" i="59" s="1"/>
  <c r="W84" i="59" s="1"/>
  <c r="Z84" i="59" s="1"/>
  <c r="AC84" i="59" s="1"/>
  <c r="AF84" i="59" s="1"/>
  <c r="AI84" i="59" s="1"/>
  <c r="AL84" i="59" s="1"/>
  <c r="AO84" i="59" s="1"/>
  <c r="AR84" i="59" s="1"/>
  <c r="AU84" i="59" s="1"/>
  <c r="J84" i="59" s="1"/>
  <c r="AV84" i="59"/>
  <c r="AW84" i="59"/>
  <c r="AX84" i="59"/>
  <c r="AY84" i="59"/>
  <c r="AZ84" i="59"/>
  <c r="BA191" i="59" l="1"/>
  <c r="BC191" i="59"/>
  <c r="BD191" i="59" s="1"/>
  <c r="BA190" i="59"/>
  <c r="BC190" i="59"/>
  <c r="BD190" i="59" s="1"/>
  <c r="BA198" i="59"/>
  <c r="BC198" i="59"/>
  <c r="BD198" i="59" s="1"/>
  <c r="BA84" i="59"/>
  <c r="BC84" i="59"/>
  <c r="BD84" i="59" s="1"/>
  <c r="N368" i="59" l="1"/>
  <c r="Q368" i="59" s="1"/>
  <c r="T368" i="59" s="1"/>
  <c r="W368" i="59" s="1"/>
  <c r="Z368" i="59" s="1"/>
  <c r="AC368" i="59" s="1"/>
  <c r="AF368" i="59" s="1"/>
  <c r="AI368" i="59" s="1"/>
  <c r="AL368" i="59" s="1"/>
  <c r="AO368" i="59" s="1"/>
  <c r="AR368" i="59" s="1"/>
  <c r="AU368" i="59" s="1"/>
  <c r="J368" i="59" s="1"/>
  <c r="AV368" i="59"/>
  <c r="AX368" i="59"/>
  <c r="AY368" i="59"/>
  <c r="AZ368" i="59"/>
  <c r="N635" i="59"/>
  <c r="Q635" i="59" s="1"/>
  <c r="T635" i="59" s="1"/>
  <c r="W635" i="59" s="1"/>
  <c r="Z635" i="59" s="1"/>
  <c r="AC635" i="59" s="1"/>
  <c r="AF635" i="59" s="1"/>
  <c r="AI635" i="59" s="1"/>
  <c r="AL635" i="59" s="1"/>
  <c r="AO635" i="59" s="1"/>
  <c r="AR635" i="59" s="1"/>
  <c r="AU635" i="59" s="1"/>
  <c r="AV635" i="59"/>
  <c r="AX635" i="59"/>
  <c r="AY635" i="59"/>
  <c r="AZ635" i="59"/>
  <c r="BA368" i="59" l="1"/>
  <c r="BC368" i="59"/>
  <c r="BD368" i="59" s="1"/>
  <c r="J635" i="59"/>
  <c r="BA635" i="59" l="1"/>
  <c r="BC635" i="59"/>
  <c r="BD635" i="59" s="1"/>
  <c r="BH13" i="59" l="1"/>
  <c r="BI13" i="59" s="1"/>
  <c r="N298" i="59" l="1"/>
  <c r="Q298" i="59" s="1"/>
  <c r="T298" i="59" s="1"/>
  <c r="W298" i="59" s="1"/>
  <c r="Z298" i="59" s="1"/>
  <c r="AC298" i="59" s="1"/>
  <c r="AF298" i="59" s="1"/>
  <c r="AI298" i="59" s="1"/>
  <c r="AL298" i="59" s="1"/>
  <c r="AO298" i="59" s="1"/>
  <c r="AR298" i="59" s="1"/>
  <c r="AU298" i="59" s="1"/>
  <c r="J298" i="59" s="1"/>
  <c r="AV298" i="59"/>
  <c r="AX298" i="59"/>
  <c r="AY298" i="59"/>
  <c r="AZ298" i="59"/>
  <c r="N267" i="59"/>
  <c r="Q267" i="59" s="1"/>
  <c r="T267" i="59" s="1"/>
  <c r="W267" i="59" s="1"/>
  <c r="Z267" i="59" s="1"/>
  <c r="AC267" i="59" s="1"/>
  <c r="AF267" i="59" s="1"/>
  <c r="AI267" i="59" s="1"/>
  <c r="AL267" i="59" s="1"/>
  <c r="AO267" i="59" s="1"/>
  <c r="AR267" i="59" s="1"/>
  <c r="AU267" i="59" s="1"/>
  <c r="J267" i="59" s="1"/>
  <c r="AV267" i="59"/>
  <c r="AW267" i="59"/>
  <c r="AX267" i="59"/>
  <c r="AY267" i="59"/>
  <c r="AZ267" i="59"/>
  <c r="N308" i="59"/>
  <c r="Q308" i="59" s="1"/>
  <c r="T308" i="59" s="1"/>
  <c r="W308" i="59" s="1"/>
  <c r="Z308" i="59" s="1"/>
  <c r="AC308" i="59" s="1"/>
  <c r="AF308" i="59" s="1"/>
  <c r="AI308" i="59" s="1"/>
  <c r="AL308" i="59" s="1"/>
  <c r="AO308" i="59" s="1"/>
  <c r="AR308" i="59" s="1"/>
  <c r="AU308" i="59" s="1"/>
  <c r="J308" i="59" s="1"/>
  <c r="AV308" i="59"/>
  <c r="AX308" i="59"/>
  <c r="AY308" i="59"/>
  <c r="AZ308" i="59"/>
  <c r="BC308" i="59" l="1"/>
  <c r="BD308" i="59" s="1"/>
  <c r="BC267" i="59"/>
  <c r="BD267" i="59" s="1"/>
  <c r="BC298" i="59"/>
  <c r="BD298" i="59" s="1"/>
  <c r="AV124" i="59" l="1"/>
  <c r="AW124" i="59"/>
  <c r="AX124" i="59"/>
  <c r="AY124" i="59"/>
  <c r="AZ124" i="59"/>
  <c r="N124" i="59"/>
  <c r="Q124" i="59" s="1"/>
  <c r="T124" i="59" s="1"/>
  <c r="W124" i="59" s="1"/>
  <c r="Z124" i="59" s="1"/>
  <c r="AC124" i="59" s="1"/>
  <c r="AF124" i="59" s="1"/>
  <c r="N861" i="59" l="1"/>
  <c r="Q861" i="59" s="1"/>
  <c r="T861" i="59" s="1"/>
  <c r="W861" i="59" s="1"/>
  <c r="Z861" i="59" s="1"/>
  <c r="AC861" i="59" s="1"/>
  <c r="AF861" i="59" s="1"/>
  <c r="AI861" i="59" s="1"/>
  <c r="AL861" i="59" s="1"/>
  <c r="AO861" i="59" s="1"/>
  <c r="AR861" i="59" s="1"/>
  <c r="AU861" i="59" s="1"/>
  <c r="J861" i="59" s="1"/>
  <c r="AV861" i="59"/>
  <c r="AX861" i="59"/>
  <c r="AY861" i="59"/>
  <c r="AZ861" i="59"/>
  <c r="N114" i="59"/>
  <c r="Q114" i="59" s="1"/>
  <c r="T114" i="59" s="1"/>
  <c r="W114" i="59" s="1"/>
  <c r="Z114" i="59" s="1"/>
  <c r="AC114" i="59" s="1"/>
  <c r="AF114" i="59" s="1"/>
  <c r="AI114" i="59" s="1"/>
  <c r="AL114" i="59" s="1"/>
  <c r="AO114" i="59" s="1"/>
  <c r="AR114" i="59" s="1"/>
  <c r="AU114" i="59" s="1"/>
  <c r="J114" i="59" s="1"/>
  <c r="AV114" i="59"/>
  <c r="AW114" i="59"/>
  <c r="AX114" i="59"/>
  <c r="AY114" i="59"/>
  <c r="AZ114" i="59"/>
  <c r="BC861" i="59" l="1"/>
  <c r="BD861" i="59" s="1"/>
  <c r="BC114" i="59"/>
  <c r="BD114" i="59" s="1"/>
  <c r="N695" i="59" l="1"/>
  <c r="Q695" i="59" s="1"/>
  <c r="T695" i="59" s="1"/>
  <c r="W695" i="59" s="1"/>
  <c r="Z695" i="59" s="1"/>
  <c r="AC695" i="59" s="1"/>
  <c r="AF695" i="59" s="1"/>
  <c r="AI695" i="59" s="1"/>
  <c r="AL695" i="59" s="1"/>
  <c r="AO695" i="59" s="1"/>
  <c r="AR695" i="59" s="1"/>
  <c r="AU695" i="59" s="1"/>
  <c r="J695" i="59" s="1"/>
  <c r="AV695" i="59"/>
  <c r="AX695" i="59"/>
  <c r="AY695" i="59"/>
  <c r="AZ695" i="59"/>
  <c r="N510" i="59"/>
  <c r="Q510" i="59" s="1"/>
  <c r="T510" i="59" s="1"/>
  <c r="W510" i="59" s="1"/>
  <c r="Z510" i="59" s="1"/>
  <c r="AC510" i="59" s="1"/>
  <c r="AF510" i="59" s="1"/>
  <c r="AI510" i="59" s="1"/>
  <c r="AL510" i="59" s="1"/>
  <c r="AO510" i="59" s="1"/>
  <c r="AR510" i="59" s="1"/>
  <c r="AU510" i="59" s="1"/>
  <c r="J510" i="59" s="1"/>
  <c r="AV510" i="59"/>
  <c r="AX510" i="59"/>
  <c r="AY510" i="59"/>
  <c r="AZ510" i="59"/>
  <c r="BA510" i="59" l="1"/>
  <c r="BC510" i="59"/>
  <c r="BD510" i="59" s="1"/>
  <c r="BA695" i="59"/>
  <c r="BC695" i="59"/>
  <c r="BD695" i="59" s="1"/>
  <c r="N632" i="59" l="1"/>
  <c r="Q632" i="59" s="1"/>
  <c r="T632" i="59" s="1"/>
  <c r="W632" i="59" s="1"/>
  <c r="Z632" i="59" s="1"/>
  <c r="AC632" i="59" s="1"/>
  <c r="AF632" i="59" s="1"/>
  <c r="AI632" i="59" s="1"/>
  <c r="AL632" i="59" s="1"/>
  <c r="AO632" i="59" s="1"/>
  <c r="AR632" i="59" s="1"/>
  <c r="AU632" i="59" s="1"/>
  <c r="J632" i="59" s="1"/>
  <c r="AV632" i="59"/>
  <c r="AX632" i="59"/>
  <c r="AY632" i="59"/>
  <c r="AZ632" i="59"/>
  <c r="BC632" i="59" l="1"/>
  <c r="BD632" i="59" s="1"/>
  <c r="N626" i="59" l="1"/>
  <c r="Q626" i="59" s="1"/>
  <c r="T626" i="59" s="1"/>
  <c r="W626" i="59" s="1"/>
  <c r="Z626" i="59" s="1"/>
  <c r="AC626" i="59" s="1"/>
  <c r="AF626" i="59" s="1"/>
  <c r="AI626" i="59" s="1"/>
  <c r="AL626" i="59" s="1"/>
  <c r="AO626" i="59" s="1"/>
  <c r="AR626" i="59" s="1"/>
  <c r="AU626" i="59" s="1"/>
  <c r="J626" i="59" s="1"/>
  <c r="AV626" i="59"/>
  <c r="AX626" i="59"/>
  <c r="AY626" i="59"/>
  <c r="AZ626" i="59"/>
  <c r="BC626" i="59" l="1"/>
  <c r="BD626" i="59" s="1"/>
  <c r="N299" i="59"/>
  <c r="Q299" i="59" s="1"/>
  <c r="T299" i="59" s="1"/>
  <c r="W299" i="59" s="1"/>
  <c r="Z299" i="59" s="1"/>
  <c r="AC299" i="59" s="1"/>
  <c r="AF299" i="59" s="1"/>
  <c r="AI299" i="59" s="1"/>
  <c r="AL299" i="59" s="1"/>
  <c r="AO299" i="59" s="1"/>
  <c r="AR299" i="59" s="1"/>
  <c r="AU299" i="59" s="1"/>
  <c r="J299" i="59" s="1"/>
  <c r="AV299" i="59"/>
  <c r="AX299" i="59"/>
  <c r="AY299" i="59"/>
  <c r="AZ299" i="59"/>
  <c r="BC299" i="59" l="1"/>
  <c r="BD299" i="59" s="1"/>
  <c r="N392" i="59"/>
  <c r="Q392" i="59" s="1"/>
  <c r="T392" i="59" s="1"/>
  <c r="W392" i="59" s="1"/>
  <c r="Z392" i="59" s="1"/>
  <c r="AC392" i="59" s="1"/>
  <c r="AF392" i="59" s="1"/>
  <c r="AI392" i="59" s="1"/>
  <c r="AL392" i="59" s="1"/>
  <c r="AO392" i="59" s="1"/>
  <c r="AR392" i="59" s="1"/>
  <c r="AU392" i="59" s="1"/>
  <c r="J392" i="59" s="1"/>
  <c r="AV392" i="59"/>
  <c r="AX392" i="59"/>
  <c r="AY392" i="59"/>
  <c r="AZ392" i="59"/>
  <c r="BC392" i="59" l="1"/>
  <c r="BD392" i="59" s="1"/>
  <c r="N853" i="59" l="1"/>
  <c r="Q853" i="59" s="1"/>
  <c r="T853" i="59" s="1"/>
  <c r="W853" i="59" s="1"/>
  <c r="Z853" i="59" s="1"/>
  <c r="AC853" i="59" s="1"/>
  <c r="AF853" i="59" s="1"/>
  <c r="AI853" i="59" s="1"/>
  <c r="AL853" i="59" s="1"/>
  <c r="AO853" i="59" s="1"/>
  <c r="AR853" i="59" s="1"/>
  <c r="AU853" i="59" s="1"/>
  <c r="J853" i="59" s="1"/>
  <c r="AV853" i="59"/>
  <c r="AX853" i="59"/>
  <c r="AY853" i="59"/>
  <c r="AZ853" i="59"/>
  <c r="BC853" i="59" l="1"/>
  <c r="BD853" i="59" s="1"/>
  <c r="N873" i="59" l="1"/>
  <c r="Q873" i="59" s="1"/>
  <c r="T873" i="59" s="1"/>
  <c r="W873" i="59" s="1"/>
  <c r="Z873" i="59" s="1"/>
  <c r="AC873" i="59" s="1"/>
  <c r="AF873" i="59" s="1"/>
  <c r="AI873" i="59" s="1"/>
  <c r="AL873" i="59" s="1"/>
  <c r="AO873" i="59" s="1"/>
  <c r="AR873" i="59" s="1"/>
  <c r="AU873" i="59" s="1"/>
  <c r="J873" i="59" s="1"/>
  <c r="AV873" i="59"/>
  <c r="AX873" i="59"/>
  <c r="AY873" i="59"/>
  <c r="AZ873" i="59"/>
  <c r="BC873" i="59" l="1"/>
  <c r="BD873" i="59" s="1"/>
  <c r="N452" i="59" l="1"/>
  <c r="Q452" i="59" s="1"/>
  <c r="T452" i="59" s="1"/>
  <c r="W452" i="59" s="1"/>
  <c r="Z452" i="59" s="1"/>
  <c r="AC452" i="59" s="1"/>
  <c r="AF452" i="59" s="1"/>
  <c r="AI452" i="59" s="1"/>
  <c r="AL452" i="59" s="1"/>
  <c r="AO452" i="59" s="1"/>
  <c r="AR452" i="59" s="1"/>
  <c r="AU452" i="59" s="1"/>
  <c r="J452" i="59" s="1"/>
  <c r="AV452" i="59"/>
  <c r="AX452" i="59"/>
  <c r="AY452" i="59"/>
  <c r="AZ452" i="59"/>
  <c r="N886" i="59"/>
  <c r="Q886" i="59" s="1"/>
  <c r="T886" i="59" s="1"/>
  <c r="W886" i="59" s="1"/>
  <c r="Z886" i="59" s="1"/>
  <c r="AC886" i="59" s="1"/>
  <c r="AF886" i="59" s="1"/>
  <c r="AI886" i="59" s="1"/>
  <c r="AL886" i="59" s="1"/>
  <c r="AO886" i="59" s="1"/>
  <c r="AR886" i="59" s="1"/>
  <c r="AU886" i="59" s="1"/>
  <c r="J886" i="59" s="1"/>
  <c r="AV886" i="59"/>
  <c r="AX886" i="59"/>
  <c r="AY886" i="59"/>
  <c r="AZ886" i="59"/>
  <c r="BC886" i="59" l="1"/>
  <c r="BD886" i="59" s="1"/>
  <c r="BC452" i="59"/>
  <c r="BD452" i="59" s="1"/>
  <c r="N428" i="59" l="1"/>
  <c r="Q428" i="59" s="1"/>
  <c r="T428" i="59" s="1"/>
  <c r="W428" i="59" s="1"/>
  <c r="Z428" i="59" s="1"/>
  <c r="AC428" i="59" s="1"/>
  <c r="AF428" i="59" s="1"/>
  <c r="AI428" i="59" s="1"/>
  <c r="AL428" i="59" s="1"/>
  <c r="AO428" i="59" s="1"/>
  <c r="AR428" i="59" s="1"/>
  <c r="AU428" i="59" s="1"/>
  <c r="J428" i="59" s="1"/>
  <c r="AV428" i="59"/>
  <c r="AX428" i="59"/>
  <c r="AY428" i="59"/>
  <c r="AZ428" i="59"/>
  <c r="BC428" i="59" l="1"/>
  <c r="BD428" i="59" s="1"/>
  <c r="N918" i="59"/>
  <c r="Q918" i="59" s="1"/>
  <c r="AV918" i="59"/>
  <c r="AX918" i="59"/>
  <c r="AY918" i="59"/>
  <c r="AZ918" i="59"/>
  <c r="T918" i="59" l="1"/>
  <c r="W918" i="59" s="1"/>
  <c r="Z918" i="59" s="1"/>
  <c r="AC918" i="59" s="1"/>
  <c r="AF918" i="59" s="1"/>
  <c r="AI918" i="59" s="1"/>
  <c r="AL918" i="59" s="1"/>
  <c r="AO918" i="59" s="1"/>
  <c r="AR918" i="59" s="1"/>
  <c r="AU918" i="59" s="1"/>
  <c r="J918" i="59" s="1"/>
  <c r="AZ919" i="59"/>
  <c r="AY919" i="59"/>
  <c r="AX919" i="59"/>
  <c r="AV919" i="59"/>
  <c r="N919" i="59"/>
  <c r="Q919" i="59" s="1"/>
  <c r="T919" i="59" s="1"/>
  <c r="W919" i="59" s="1"/>
  <c r="Z919" i="59" s="1"/>
  <c r="AC919" i="59" s="1"/>
  <c r="AF919" i="59" s="1"/>
  <c r="AI919" i="59" s="1"/>
  <c r="AL919" i="59" s="1"/>
  <c r="AO919" i="59" s="1"/>
  <c r="AR919" i="59" s="1"/>
  <c r="AU919" i="59" s="1"/>
  <c r="J919" i="59" s="1"/>
  <c r="AZ402" i="59"/>
  <c r="AY402" i="59"/>
  <c r="AX402" i="59"/>
  <c r="AV402" i="59"/>
  <c r="N402" i="59"/>
  <c r="Q402" i="59" s="1"/>
  <c r="T402" i="59" s="1"/>
  <c r="W402" i="59" s="1"/>
  <c r="Z402" i="59" s="1"/>
  <c r="AC402" i="59" s="1"/>
  <c r="AF402" i="59" s="1"/>
  <c r="AI402" i="59" s="1"/>
  <c r="AL402" i="59" s="1"/>
  <c r="AO402" i="59" s="1"/>
  <c r="AR402" i="59" s="1"/>
  <c r="AU402" i="59" s="1"/>
  <c r="J402" i="59" s="1"/>
  <c r="AZ403" i="59"/>
  <c r="AY403" i="59"/>
  <c r="AX403" i="59"/>
  <c r="AV403" i="59"/>
  <c r="N403" i="59"/>
  <c r="Q403" i="59" s="1"/>
  <c r="T403" i="59" s="1"/>
  <c r="W403" i="59" s="1"/>
  <c r="Z403" i="59" s="1"/>
  <c r="AC403" i="59" s="1"/>
  <c r="AF403" i="59" s="1"/>
  <c r="AI403" i="59" s="1"/>
  <c r="AL403" i="59" s="1"/>
  <c r="AO403" i="59" s="1"/>
  <c r="AR403" i="59" s="1"/>
  <c r="AU403" i="59" s="1"/>
  <c r="J403" i="59" s="1"/>
  <c r="BC402" i="59" l="1"/>
  <c r="BD402" i="59" s="1"/>
  <c r="BC919" i="59"/>
  <c r="BD919" i="59" s="1"/>
  <c r="BC403" i="59"/>
  <c r="BD403" i="59" s="1"/>
  <c r="BC918" i="59"/>
  <c r="BD918" i="59" s="1"/>
  <c r="N23" i="59" l="1"/>
  <c r="Q23" i="59" s="1"/>
  <c r="T23" i="59" s="1"/>
  <c r="W23" i="59" s="1"/>
  <c r="Z23" i="59" s="1"/>
  <c r="AC23" i="59" s="1"/>
  <c r="AF23" i="59" s="1"/>
  <c r="AI23" i="59" s="1"/>
  <c r="AL23" i="59" s="1"/>
  <c r="AO23" i="59" s="1"/>
  <c r="AR23" i="59" s="1"/>
  <c r="AU23" i="59" s="1"/>
  <c r="J23" i="59" s="1"/>
  <c r="AV23" i="59"/>
  <c r="AW23" i="59"/>
  <c r="AX23" i="59"/>
  <c r="AY23" i="59"/>
  <c r="AZ23" i="59"/>
  <c r="BC23" i="59" l="1"/>
  <c r="BD23" i="59" s="1"/>
  <c r="BI23" i="59"/>
  <c r="N311" i="59"/>
  <c r="Q311" i="59" s="1"/>
  <c r="T311" i="59" s="1"/>
  <c r="W311" i="59" s="1"/>
  <c r="Z311" i="59" s="1"/>
  <c r="AC311" i="59" s="1"/>
  <c r="AF311" i="59" s="1"/>
  <c r="AI311" i="59" s="1"/>
  <c r="AL311" i="59" s="1"/>
  <c r="AO311" i="59" s="1"/>
  <c r="AR311" i="59" s="1"/>
  <c r="AU311" i="59" s="1"/>
  <c r="J311" i="59" s="1"/>
  <c r="AV311" i="59"/>
  <c r="AX311" i="59"/>
  <c r="AY311" i="59"/>
  <c r="AZ311" i="59"/>
  <c r="N473" i="59"/>
  <c r="Q473" i="59" s="1"/>
  <c r="T473" i="59" s="1"/>
  <c r="W473" i="59" s="1"/>
  <c r="Z473" i="59" s="1"/>
  <c r="AC473" i="59" s="1"/>
  <c r="AF473" i="59" s="1"/>
  <c r="AI473" i="59" s="1"/>
  <c r="AL473" i="59" s="1"/>
  <c r="AO473" i="59" s="1"/>
  <c r="AR473" i="59" s="1"/>
  <c r="AU473" i="59" s="1"/>
  <c r="J473" i="59" s="1"/>
  <c r="AV473" i="59"/>
  <c r="AX473" i="59"/>
  <c r="AY473" i="59"/>
  <c r="AZ473" i="59"/>
  <c r="BC473" i="59" l="1"/>
  <c r="BD473" i="59" s="1"/>
  <c r="BC311" i="59"/>
  <c r="BD311" i="59" s="1"/>
  <c r="N376" i="59"/>
  <c r="Q376" i="59" s="1"/>
  <c r="T376" i="59" s="1"/>
  <c r="W376" i="59" s="1"/>
  <c r="Z376" i="59" s="1"/>
  <c r="AC376" i="59" s="1"/>
  <c r="AF376" i="59" s="1"/>
  <c r="AI376" i="59" s="1"/>
  <c r="AL376" i="59" s="1"/>
  <c r="AO376" i="59" s="1"/>
  <c r="AR376" i="59" s="1"/>
  <c r="AU376" i="59" s="1"/>
  <c r="J376" i="59" s="1"/>
  <c r="AV376" i="59"/>
  <c r="AX376" i="59"/>
  <c r="AY376" i="59"/>
  <c r="AZ376" i="59"/>
  <c r="BC376" i="59" l="1"/>
  <c r="BD376" i="59" s="1"/>
  <c r="N74" i="59" l="1"/>
  <c r="Q74" i="59" s="1"/>
  <c r="T74" i="59" s="1"/>
  <c r="W74" i="59" s="1"/>
  <c r="Z74" i="59" s="1"/>
  <c r="AC74" i="59" s="1"/>
  <c r="AF74" i="59" s="1"/>
  <c r="AI74" i="59" s="1"/>
  <c r="AL74" i="59" s="1"/>
  <c r="AO74" i="59" s="1"/>
  <c r="AR74" i="59" s="1"/>
  <c r="AU74" i="59" s="1"/>
  <c r="J74" i="59" s="1"/>
  <c r="AV74" i="59"/>
  <c r="AW74" i="59"/>
  <c r="AX74" i="59"/>
  <c r="AY74" i="59"/>
  <c r="AZ74" i="59"/>
  <c r="BC74" i="59" l="1"/>
  <c r="BD74" i="59" s="1"/>
  <c r="BA74" i="59"/>
  <c r="N859" i="59" l="1"/>
  <c r="Q859" i="59" s="1"/>
  <c r="T859" i="59" s="1"/>
  <c r="W859" i="59" s="1"/>
  <c r="Z859" i="59" s="1"/>
  <c r="AC859" i="59" s="1"/>
  <c r="AF859" i="59" s="1"/>
  <c r="AI859" i="59" s="1"/>
  <c r="AL859" i="59" s="1"/>
  <c r="AO859" i="59" s="1"/>
  <c r="AR859" i="59" s="1"/>
  <c r="AU859" i="59" s="1"/>
  <c r="J859" i="59" s="1"/>
  <c r="AV859" i="59"/>
  <c r="AX859" i="59"/>
  <c r="AY859" i="59"/>
  <c r="AZ859" i="59"/>
  <c r="BA859" i="59" l="1"/>
  <c r="BC859" i="59"/>
  <c r="BD859" i="59" s="1"/>
  <c r="N483" i="59" l="1"/>
  <c r="Q483" i="59" s="1"/>
  <c r="T483" i="59" s="1"/>
  <c r="W483" i="59" s="1"/>
  <c r="Z483" i="59" s="1"/>
  <c r="AC483" i="59" s="1"/>
  <c r="AF483" i="59" s="1"/>
  <c r="AI483" i="59" s="1"/>
  <c r="AL483" i="59" s="1"/>
  <c r="AO483" i="59" s="1"/>
  <c r="AR483" i="59" s="1"/>
  <c r="AU483" i="59" s="1"/>
  <c r="J483" i="59" s="1"/>
  <c r="AV483" i="59"/>
  <c r="AX483" i="59"/>
  <c r="AY483" i="59"/>
  <c r="AZ483" i="59"/>
  <c r="BC483" i="59" l="1"/>
  <c r="BD483" i="59" s="1"/>
  <c r="AV643" i="59"/>
  <c r="AX643" i="59"/>
  <c r="AY643" i="59"/>
  <c r="AZ643" i="59"/>
  <c r="AV745" i="59"/>
  <c r="AX745" i="59"/>
  <c r="AY745" i="59"/>
  <c r="AZ745" i="59"/>
  <c r="AV743" i="59"/>
  <c r="AX743" i="59"/>
  <c r="AY743" i="59"/>
  <c r="AZ743" i="59"/>
  <c r="AV740" i="59"/>
  <c r="AX740" i="59"/>
  <c r="AY740" i="59"/>
  <c r="AZ740" i="59"/>
  <c r="AV727" i="59"/>
  <c r="AX727" i="59"/>
  <c r="AY727" i="59"/>
  <c r="AZ727" i="59"/>
  <c r="AV633" i="59"/>
  <c r="AX633" i="59"/>
  <c r="AY633" i="59"/>
  <c r="AZ633" i="59"/>
  <c r="AV353" i="59"/>
  <c r="AX353" i="59"/>
  <c r="AY353" i="59"/>
  <c r="AZ353" i="59"/>
  <c r="AV948" i="59"/>
  <c r="AX948" i="59"/>
  <c r="AY948" i="59"/>
  <c r="AZ948" i="59"/>
  <c r="N75" i="59" l="1"/>
  <c r="Q75" i="59" s="1"/>
  <c r="T75" i="59" s="1"/>
  <c r="W75" i="59" s="1"/>
  <c r="Z75" i="59" s="1"/>
  <c r="AC75" i="59" s="1"/>
  <c r="AF75" i="59" s="1"/>
  <c r="AI75" i="59" s="1"/>
  <c r="AL75" i="59" s="1"/>
  <c r="AO75" i="59" s="1"/>
  <c r="AR75" i="59" s="1"/>
  <c r="AU75" i="59" s="1"/>
  <c r="J75" i="59" s="1"/>
  <c r="AV75" i="59"/>
  <c r="AW75" i="59"/>
  <c r="AX75" i="59"/>
  <c r="AY75" i="59"/>
  <c r="AZ75" i="59"/>
  <c r="BA75" i="59" l="1"/>
  <c r="BC75" i="59"/>
  <c r="BD75" i="59" s="1"/>
  <c r="N930" i="59" l="1"/>
  <c r="Q930" i="59" s="1"/>
  <c r="T930" i="59" s="1"/>
  <c r="W930" i="59" s="1"/>
  <c r="Z930" i="59" s="1"/>
  <c r="AC930" i="59" s="1"/>
  <c r="AF930" i="59" s="1"/>
  <c r="AI930" i="59" s="1"/>
  <c r="AL930" i="59" s="1"/>
  <c r="AO930" i="59" s="1"/>
  <c r="AR930" i="59" s="1"/>
  <c r="AU930" i="59" s="1"/>
  <c r="J930" i="59" s="1"/>
  <c r="AV930" i="59"/>
  <c r="AX930" i="59"/>
  <c r="AY930" i="59"/>
  <c r="AZ930" i="59"/>
  <c r="BA930" i="59" l="1"/>
  <c r="BC930" i="59"/>
  <c r="BD930" i="59" s="1"/>
  <c r="N693" i="59" l="1"/>
  <c r="Q693" i="59" s="1"/>
  <c r="T693" i="59" s="1"/>
  <c r="W693" i="59" s="1"/>
  <c r="Z693" i="59" s="1"/>
  <c r="AC693" i="59" s="1"/>
  <c r="AF693" i="59" s="1"/>
  <c r="AI693" i="59" s="1"/>
  <c r="AL693" i="59" s="1"/>
  <c r="AO693" i="59" s="1"/>
  <c r="AR693" i="59" s="1"/>
  <c r="AU693" i="59" s="1"/>
  <c r="J693" i="59" s="1"/>
  <c r="AV693" i="59"/>
  <c r="AX693" i="59"/>
  <c r="AY693" i="59"/>
  <c r="AZ693" i="59"/>
  <c r="BA693" i="59" l="1"/>
  <c r="BC693" i="59"/>
  <c r="BD693" i="59" s="1"/>
  <c r="N477" i="59" l="1"/>
  <c r="Q477" i="59" s="1"/>
  <c r="T477" i="59" s="1"/>
  <c r="W477" i="59" s="1"/>
  <c r="Z477" i="59" s="1"/>
  <c r="AC477" i="59" s="1"/>
  <c r="AF477" i="59" s="1"/>
  <c r="AI477" i="59" s="1"/>
  <c r="AL477" i="59" s="1"/>
  <c r="AO477" i="59" s="1"/>
  <c r="AR477" i="59" s="1"/>
  <c r="AU477" i="59" s="1"/>
  <c r="J477" i="59" s="1"/>
  <c r="AV477" i="59"/>
  <c r="AX477" i="59"/>
  <c r="AY477" i="59"/>
  <c r="AZ477" i="59"/>
  <c r="N920" i="59"/>
  <c r="Q920" i="59" s="1"/>
  <c r="T920" i="59" s="1"/>
  <c r="W920" i="59" s="1"/>
  <c r="Z920" i="59" s="1"/>
  <c r="AC920" i="59" s="1"/>
  <c r="AF920" i="59" s="1"/>
  <c r="AI920" i="59" s="1"/>
  <c r="AL920" i="59" s="1"/>
  <c r="AO920" i="59" s="1"/>
  <c r="AR920" i="59" s="1"/>
  <c r="AU920" i="59" s="1"/>
  <c r="J920" i="59" s="1"/>
  <c r="AV920" i="59"/>
  <c r="AX920" i="59"/>
  <c r="AY920" i="59"/>
  <c r="AZ920" i="59"/>
  <c r="N264" i="59"/>
  <c r="Q264" i="59" s="1"/>
  <c r="T264" i="59" s="1"/>
  <c r="W264" i="59" s="1"/>
  <c r="Z264" i="59" s="1"/>
  <c r="AC264" i="59" s="1"/>
  <c r="AF264" i="59" s="1"/>
  <c r="AI264" i="59" s="1"/>
  <c r="AL264" i="59" s="1"/>
  <c r="AO264" i="59" s="1"/>
  <c r="AR264" i="59" s="1"/>
  <c r="AU264" i="59" s="1"/>
  <c r="J264" i="59" s="1"/>
  <c r="AV264" i="59"/>
  <c r="AW264" i="59"/>
  <c r="AX264" i="59"/>
  <c r="AY264" i="59"/>
  <c r="AZ264" i="59"/>
  <c r="N686" i="59"/>
  <c r="Q686" i="59" s="1"/>
  <c r="T686" i="59" s="1"/>
  <c r="W686" i="59" s="1"/>
  <c r="Z686" i="59" s="1"/>
  <c r="AC686" i="59" s="1"/>
  <c r="AF686" i="59" s="1"/>
  <c r="AI686" i="59" s="1"/>
  <c r="AL686" i="59" s="1"/>
  <c r="AO686" i="59" s="1"/>
  <c r="AR686" i="59" s="1"/>
  <c r="AU686" i="59" s="1"/>
  <c r="J686" i="59" s="1"/>
  <c r="AV686" i="59"/>
  <c r="AX686" i="59"/>
  <c r="AY686" i="59"/>
  <c r="AZ686" i="59"/>
  <c r="N947" i="59"/>
  <c r="Q947" i="59" s="1"/>
  <c r="T947" i="59" s="1"/>
  <c r="W947" i="59" s="1"/>
  <c r="Z947" i="59" s="1"/>
  <c r="AC947" i="59" s="1"/>
  <c r="AF947" i="59" s="1"/>
  <c r="AI947" i="59" s="1"/>
  <c r="AL947" i="59" s="1"/>
  <c r="AO947" i="59" s="1"/>
  <c r="AR947" i="59" s="1"/>
  <c r="AU947" i="59" s="1"/>
  <c r="J947" i="59" s="1"/>
  <c r="AV947" i="59"/>
  <c r="AX947" i="59"/>
  <c r="AY947" i="59"/>
  <c r="AZ947" i="59"/>
  <c r="N638" i="59"/>
  <c r="Q638" i="59" s="1"/>
  <c r="T638" i="59" s="1"/>
  <c r="W638" i="59" s="1"/>
  <c r="Z638" i="59" s="1"/>
  <c r="AC638" i="59" s="1"/>
  <c r="AF638" i="59" s="1"/>
  <c r="AI638" i="59" s="1"/>
  <c r="AL638" i="59" s="1"/>
  <c r="AO638" i="59" s="1"/>
  <c r="AR638" i="59" s="1"/>
  <c r="AU638" i="59" s="1"/>
  <c r="J638" i="59" s="1"/>
  <c r="AX638" i="59"/>
  <c r="AY638" i="59"/>
  <c r="AZ638" i="59"/>
  <c r="BA264" i="59" l="1"/>
  <c r="BC264" i="59"/>
  <c r="BD264" i="59" s="1"/>
  <c r="BA686" i="59"/>
  <c r="BC686" i="59"/>
  <c r="BD686" i="59" s="1"/>
  <c r="BA947" i="59"/>
  <c r="BC947" i="59"/>
  <c r="BD947" i="59" s="1"/>
  <c r="BA477" i="59"/>
  <c r="BC477" i="59"/>
  <c r="BD477" i="59" s="1"/>
  <c r="BA920" i="59"/>
  <c r="BC920" i="59"/>
  <c r="BD920" i="59" s="1"/>
  <c r="BA638" i="59"/>
  <c r="BC638" i="59"/>
  <c r="BD638" i="59" s="1"/>
  <c r="N921" i="59" l="1"/>
  <c r="Q921" i="59" s="1"/>
  <c r="T921" i="59" s="1"/>
  <c r="W921" i="59" s="1"/>
  <c r="AV921" i="59"/>
  <c r="AX921" i="59"/>
  <c r="AY921" i="59"/>
  <c r="AZ921" i="59"/>
  <c r="Z921" i="59" l="1"/>
  <c r="AC921" i="59" s="1"/>
  <c r="AF921" i="59" s="1"/>
  <c r="AI921" i="59" s="1"/>
  <c r="AL921" i="59" s="1"/>
  <c r="AO921" i="59" s="1"/>
  <c r="AR921" i="59" s="1"/>
  <c r="AU921" i="59" s="1"/>
  <c r="J921" i="59" s="1"/>
  <c r="BC921" i="59" l="1"/>
  <c r="BD921" i="59" s="1"/>
  <c r="N358" i="59" l="1"/>
  <c r="Q358" i="59" s="1"/>
  <c r="T358" i="59" s="1"/>
  <c r="W358" i="59" s="1"/>
  <c r="AV358" i="59"/>
  <c r="AX358" i="59"/>
  <c r="AY358" i="59"/>
  <c r="AZ358" i="59"/>
  <c r="Z358" i="59" l="1"/>
  <c r="AC358" i="59" s="1"/>
  <c r="AF358" i="59" s="1"/>
  <c r="AI358" i="59" s="1"/>
  <c r="AL358" i="59" s="1"/>
  <c r="AO358" i="59" s="1"/>
  <c r="AR358" i="59" l="1"/>
  <c r="AU358" i="59" s="1"/>
  <c r="J358" i="59" s="1"/>
  <c r="BA358" i="59" l="1"/>
  <c r="BC358" i="59"/>
  <c r="BD358" i="59" s="1"/>
  <c r="AX516" i="59" l="1"/>
  <c r="AY516" i="59"/>
  <c r="AZ516" i="59"/>
  <c r="N883" i="59" l="1"/>
  <c r="Q883" i="59" s="1"/>
  <c r="T883" i="59" s="1"/>
  <c r="W883" i="59" s="1"/>
  <c r="Z883" i="59" s="1"/>
  <c r="AC883" i="59" s="1"/>
  <c r="AF883" i="59" s="1"/>
  <c r="AI883" i="59" s="1"/>
  <c r="AL883" i="59" s="1"/>
  <c r="AO883" i="59" s="1"/>
  <c r="AR883" i="59" s="1"/>
  <c r="AU883" i="59" s="1"/>
  <c r="J883" i="59" s="1"/>
  <c r="AV883" i="59"/>
  <c r="AX883" i="59"/>
  <c r="AY883" i="59"/>
  <c r="AZ883" i="59"/>
  <c r="BA883" i="59" l="1"/>
  <c r="BC883" i="59"/>
  <c r="BD883" i="59" s="1"/>
  <c r="N882" i="59" l="1"/>
  <c r="Q882" i="59" s="1"/>
  <c r="T882" i="59" s="1"/>
  <c r="W882" i="59" s="1"/>
  <c r="Z882" i="59" s="1"/>
  <c r="AC882" i="59" s="1"/>
  <c r="AF882" i="59" s="1"/>
  <c r="AI882" i="59" s="1"/>
  <c r="AL882" i="59" s="1"/>
  <c r="AO882" i="59" s="1"/>
  <c r="AR882" i="59" s="1"/>
  <c r="AU882" i="59" s="1"/>
  <c r="J882" i="59" s="1"/>
  <c r="AV882" i="59"/>
  <c r="AX882" i="59"/>
  <c r="AY882" i="59"/>
  <c r="AZ882" i="59"/>
  <c r="BA882" i="59" l="1"/>
  <c r="BC882" i="59"/>
  <c r="BD882" i="59" s="1"/>
  <c r="N948" i="59" l="1"/>
  <c r="Q948" i="59" s="1"/>
  <c r="T948" i="59" s="1"/>
  <c r="W948" i="59" s="1"/>
  <c r="Z948" i="59" l="1"/>
  <c r="AC948" i="59" l="1"/>
  <c r="AF948" i="59" s="1"/>
  <c r="AI948" i="59" l="1"/>
  <c r="AL948" i="59" s="1"/>
  <c r="AO948" i="59" s="1"/>
  <c r="AR948" i="59" s="1"/>
  <c r="AU948" i="59" l="1"/>
  <c r="J948" i="59" s="1"/>
  <c r="N524" i="59"/>
  <c r="Q524" i="59" s="1"/>
  <c r="T524" i="59" s="1"/>
  <c r="W524" i="59" s="1"/>
  <c r="Z524" i="59" s="1"/>
  <c r="AC524" i="59" s="1"/>
  <c r="AF524" i="59" s="1"/>
  <c r="AI524" i="59" s="1"/>
  <c r="AL524" i="59" s="1"/>
  <c r="AO524" i="59" s="1"/>
  <c r="AR524" i="59" s="1"/>
  <c r="AU524" i="59" s="1"/>
  <c r="J524" i="59" s="1"/>
  <c r="AV524" i="59"/>
  <c r="AX524" i="59"/>
  <c r="AY524" i="59"/>
  <c r="AZ524" i="59"/>
  <c r="BA948" i="59" l="1"/>
  <c r="BC948" i="59"/>
  <c r="BD948" i="59" s="1"/>
  <c r="BA524" i="59"/>
  <c r="BC524" i="59"/>
  <c r="BD524" i="59" s="1"/>
  <c r="N163" i="59" l="1"/>
  <c r="Q163" i="59" s="1"/>
  <c r="T163" i="59" s="1"/>
  <c r="W163" i="59" s="1"/>
  <c r="Z163" i="59" s="1"/>
  <c r="AC163" i="59" s="1"/>
  <c r="AF163" i="59" s="1"/>
  <c r="AI163" i="59" s="1"/>
  <c r="AL163" i="59" s="1"/>
  <c r="AO163" i="59" s="1"/>
  <c r="AR163" i="59" s="1"/>
  <c r="AU163" i="59" s="1"/>
  <c r="J163" i="59" s="1"/>
  <c r="AV163" i="59"/>
  <c r="AW163" i="59"/>
  <c r="AX163" i="59"/>
  <c r="AY163" i="59"/>
  <c r="AZ163" i="59"/>
  <c r="N172" i="59"/>
  <c r="Q172" i="59" s="1"/>
  <c r="T172" i="59" s="1"/>
  <c r="W172" i="59" s="1"/>
  <c r="Z172" i="59" s="1"/>
  <c r="AC172" i="59" s="1"/>
  <c r="AF172" i="59" s="1"/>
  <c r="AI172" i="59" s="1"/>
  <c r="AL172" i="59" s="1"/>
  <c r="AO172" i="59" s="1"/>
  <c r="AR172" i="59" s="1"/>
  <c r="AU172" i="59" s="1"/>
  <c r="J172" i="59" s="1"/>
  <c r="AV172" i="59"/>
  <c r="AW172" i="59"/>
  <c r="AX172" i="59"/>
  <c r="AY172" i="59"/>
  <c r="AZ172" i="59"/>
  <c r="BC172" i="59" l="1"/>
  <c r="BD172" i="59" s="1"/>
  <c r="BA163" i="59"/>
  <c r="BC163" i="59"/>
  <c r="BD163" i="59" s="1"/>
  <c r="N233" i="59" l="1"/>
  <c r="Q233" i="59" s="1"/>
  <c r="T233" i="59" s="1"/>
  <c r="W233" i="59" s="1"/>
  <c r="Z233" i="59" s="1"/>
  <c r="AC233" i="59" s="1"/>
  <c r="AF233" i="59" s="1"/>
  <c r="AI233" i="59" s="1"/>
  <c r="AL233" i="59" s="1"/>
  <c r="AO233" i="59" s="1"/>
  <c r="AR233" i="59" s="1"/>
  <c r="AU233" i="59" s="1"/>
  <c r="J233" i="59" s="1"/>
  <c r="AV233" i="59"/>
  <c r="AW233" i="59"/>
  <c r="AX233" i="59"/>
  <c r="AY233" i="59"/>
  <c r="AZ233" i="59"/>
  <c r="N261" i="59"/>
  <c r="Q261" i="59" s="1"/>
  <c r="T261" i="59" s="1"/>
  <c r="W261" i="59" s="1"/>
  <c r="Z261" i="59" s="1"/>
  <c r="AC261" i="59" s="1"/>
  <c r="AF261" i="59" s="1"/>
  <c r="AI261" i="59" s="1"/>
  <c r="AL261" i="59" s="1"/>
  <c r="AO261" i="59" s="1"/>
  <c r="AR261" i="59" s="1"/>
  <c r="AU261" i="59" s="1"/>
  <c r="J261" i="59" s="1"/>
  <c r="AV261" i="59"/>
  <c r="AW261" i="59"/>
  <c r="AX261" i="59"/>
  <c r="AY261" i="59"/>
  <c r="AZ261" i="59"/>
  <c r="BA261" i="59" l="1"/>
  <c r="BC261" i="59"/>
  <c r="BD261" i="59" s="1"/>
  <c r="BA233" i="59"/>
  <c r="BC233" i="59"/>
  <c r="BD233" i="59" s="1"/>
  <c r="N511" i="59"/>
  <c r="Q511" i="59" s="1"/>
  <c r="T511" i="59" s="1"/>
  <c r="W511" i="59" s="1"/>
  <c r="Z511" i="59" s="1"/>
  <c r="AC511" i="59" s="1"/>
  <c r="AF511" i="59" s="1"/>
  <c r="AI511" i="59" s="1"/>
  <c r="AL511" i="59" s="1"/>
  <c r="AO511" i="59" s="1"/>
  <c r="AR511" i="59" s="1"/>
  <c r="AU511" i="59" s="1"/>
  <c r="J511" i="59" s="1"/>
  <c r="AV511" i="59"/>
  <c r="AX511" i="59"/>
  <c r="AY511" i="59"/>
  <c r="AZ511" i="59"/>
  <c r="BA511" i="59" l="1"/>
  <c r="BC511" i="59"/>
  <c r="BD511" i="59" s="1"/>
  <c r="AI124" i="59" l="1"/>
  <c r="AL124" i="59" s="1"/>
  <c r="AO124" i="59" s="1"/>
  <c r="AR124" i="59" s="1"/>
  <c r="AU124" i="59" s="1"/>
  <c r="J124" i="59" s="1"/>
  <c r="BA124" i="59" l="1"/>
  <c r="BC124" i="59"/>
  <c r="BD124" i="59" s="1"/>
  <c r="N516" i="59" l="1"/>
  <c r="Q516" i="59" l="1"/>
  <c r="T516" i="59" s="1"/>
  <c r="W516" i="59" s="1"/>
  <c r="Z516" i="59" s="1"/>
  <c r="AC516" i="59" s="1"/>
  <c r="AF516" i="59" s="1"/>
  <c r="AI516" i="59" l="1"/>
  <c r="AL516" i="59" s="1"/>
  <c r="AO516" i="59" s="1"/>
  <c r="AR516" i="59" s="1"/>
  <c r="AU516" i="59" s="1"/>
  <c r="J516" i="59" s="1"/>
  <c r="BC516" i="59" l="1"/>
  <c r="BD516" i="59" s="1"/>
  <c r="BA516" i="59"/>
  <c r="N353" i="59"/>
  <c r="Q353" i="59" s="1"/>
  <c r="T353" i="59" s="1"/>
  <c r="W353" i="59" s="1"/>
  <c r="Z353" i="59" l="1"/>
  <c r="AC353" i="59" l="1"/>
  <c r="AF353" i="59" s="1"/>
  <c r="AI353" i="59" l="1"/>
  <c r="AL353" i="59" s="1"/>
  <c r="AO353" i="59" s="1"/>
  <c r="AR353" i="59" s="1"/>
  <c r="N633" i="59"/>
  <c r="Q633" i="59" s="1"/>
  <c r="T633" i="59" s="1"/>
  <c r="W633" i="59" s="1"/>
  <c r="AU353" i="59" l="1"/>
  <c r="J353" i="59" s="1"/>
  <c r="Z633" i="59"/>
  <c r="AC633" i="59" s="1"/>
  <c r="AF633" i="59" s="1"/>
  <c r="AI633" i="59" s="1"/>
  <c r="AL633" i="59" s="1"/>
  <c r="AO633" i="59" s="1"/>
  <c r="AR633" i="59" s="1"/>
  <c r="BA353" i="59" l="1"/>
  <c r="BC353" i="59"/>
  <c r="BD353" i="59" s="1"/>
  <c r="AU633" i="59"/>
  <c r="J633" i="59" s="1"/>
  <c r="N727" i="59"/>
  <c r="Q727" i="59" s="1"/>
  <c r="T727" i="59" s="1"/>
  <c r="W727" i="59" s="1"/>
  <c r="BA633" i="59" l="1"/>
  <c r="BC633" i="59"/>
  <c r="BD633" i="59" s="1"/>
  <c r="Z727" i="59"/>
  <c r="AC727" i="59" s="1"/>
  <c r="AF727" i="59" s="1"/>
  <c r="AI727" i="59" s="1"/>
  <c r="AL727" i="59" s="1"/>
  <c r="AO727" i="59" s="1"/>
  <c r="AR727" i="59" s="1"/>
  <c r="AU727" i="59" l="1"/>
  <c r="J727" i="59" s="1"/>
  <c r="N475" i="59"/>
  <c r="Q475" i="59" s="1"/>
  <c r="T475" i="59" s="1"/>
  <c r="W475" i="59" s="1"/>
  <c r="Z475" i="59" s="1"/>
  <c r="AC475" i="59" s="1"/>
  <c r="AF475" i="59" s="1"/>
  <c r="AI475" i="59" s="1"/>
  <c r="AL475" i="59" s="1"/>
  <c r="AO475" i="59" s="1"/>
  <c r="AR475" i="59" s="1"/>
  <c r="AU475" i="59" s="1"/>
  <c r="J475" i="59" s="1"/>
  <c r="AV475" i="59"/>
  <c r="AX475" i="59"/>
  <c r="AY475" i="59"/>
  <c r="AZ475" i="59"/>
  <c r="BC475" i="59" l="1"/>
  <c r="BD475" i="59" s="1"/>
  <c r="BA727" i="59"/>
  <c r="BC727" i="59"/>
  <c r="BD727" i="59" s="1"/>
  <c r="N539" i="59" l="1"/>
  <c r="Q539" i="59" s="1"/>
  <c r="T539" i="59" s="1"/>
  <c r="W539" i="59" s="1"/>
  <c r="Z539" i="59" s="1"/>
  <c r="AC539" i="59" s="1"/>
  <c r="AF539" i="59" s="1"/>
  <c r="AI539" i="59" s="1"/>
  <c r="AL539" i="59" s="1"/>
  <c r="AO539" i="59" s="1"/>
  <c r="AR539" i="59" s="1"/>
  <c r="AU539" i="59" s="1"/>
  <c r="J539" i="59" s="1"/>
  <c r="AV539" i="59"/>
  <c r="AX539" i="59"/>
  <c r="AY539" i="59"/>
  <c r="AZ539" i="59"/>
  <c r="BC539" i="59" l="1"/>
  <c r="BD539" i="59" s="1"/>
  <c r="AV744" i="59"/>
  <c r="AV742" i="59"/>
  <c r="AV781" i="59"/>
  <c r="AV777" i="59"/>
  <c r="N542" i="59"/>
  <c r="Q542" i="59" s="1"/>
  <c r="T542" i="59" s="1"/>
  <c r="W542" i="59" s="1"/>
  <c r="Z542" i="59" s="1"/>
  <c r="AC542" i="59" s="1"/>
  <c r="AF542" i="59" s="1"/>
  <c r="AI542" i="59" s="1"/>
  <c r="AL542" i="59" s="1"/>
  <c r="AO542" i="59" s="1"/>
  <c r="AR542" i="59" s="1"/>
  <c r="AU542" i="59" s="1"/>
  <c r="J542" i="59" s="1"/>
  <c r="AV542" i="59"/>
  <c r="AX542" i="59"/>
  <c r="AY542" i="59"/>
  <c r="AZ542" i="59"/>
  <c r="N854" i="59"/>
  <c r="Q854" i="59" s="1"/>
  <c r="T854" i="59" s="1"/>
  <c r="W854" i="59" s="1"/>
  <c r="Z854" i="59" s="1"/>
  <c r="AC854" i="59" s="1"/>
  <c r="AF854" i="59" s="1"/>
  <c r="AI854" i="59" s="1"/>
  <c r="AL854" i="59" s="1"/>
  <c r="AO854" i="59" s="1"/>
  <c r="AR854" i="59" s="1"/>
  <c r="AU854" i="59" s="1"/>
  <c r="J854" i="59" s="1"/>
  <c r="AV854" i="59"/>
  <c r="AX854" i="59"/>
  <c r="AY854" i="59"/>
  <c r="AZ854" i="59"/>
  <c r="N681" i="59"/>
  <c r="Q681" i="59" s="1"/>
  <c r="T681" i="59" s="1"/>
  <c r="W681" i="59" s="1"/>
  <c r="Z681" i="59" s="1"/>
  <c r="AC681" i="59" s="1"/>
  <c r="AF681" i="59" s="1"/>
  <c r="AI681" i="59" s="1"/>
  <c r="AL681" i="59" s="1"/>
  <c r="AO681" i="59" s="1"/>
  <c r="AR681" i="59" s="1"/>
  <c r="AU681" i="59" s="1"/>
  <c r="J681" i="59" s="1"/>
  <c r="AV681" i="59"/>
  <c r="AX681" i="59"/>
  <c r="AY681" i="59"/>
  <c r="AZ681" i="59"/>
  <c r="N892" i="59"/>
  <c r="Q892" i="59" s="1"/>
  <c r="T892" i="59" s="1"/>
  <c r="W892" i="59" s="1"/>
  <c r="Z892" i="59" s="1"/>
  <c r="AC892" i="59" s="1"/>
  <c r="AF892" i="59" s="1"/>
  <c r="AI892" i="59" s="1"/>
  <c r="AL892" i="59" s="1"/>
  <c r="AO892" i="59" s="1"/>
  <c r="AR892" i="59" s="1"/>
  <c r="AU892" i="59" s="1"/>
  <c r="J892" i="59" s="1"/>
  <c r="AV892" i="59"/>
  <c r="AX892" i="59"/>
  <c r="AY892" i="59"/>
  <c r="AZ892" i="59"/>
  <c r="N739" i="59"/>
  <c r="Q739" i="59" s="1"/>
  <c r="T739" i="59" s="1"/>
  <c r="W739" i="59" s="1"/>
  <c r="Z739" i="59" s="1"/>
  <c r="AC739" i="59" s="1"/>
  <c r="AF739" i="59" s="1"/>
  <c r="AI739" i="59" s="1"/>
  <c r="AL739" i="59" s="1"/>
  <c r="AO739" i="59" s="1"/>
  <c r="AR739" i="59" s="1"/>
  <c r="AU739" i="59" s="1"/>
  <c r="J739" i="59" s="1"/>
  <c r="AV739" i="59"/>
  <c r="AX739" i="59"/>
  <c r="AY739" i="59"/>
  <c r="AZ739" i="59"/>
  <c r="N748" i="59"/>
  <c r="Q748" i="59" s="1"/>
  <c r="T748" i="59" s="1"/>
  <c r="W748" i="59" s="1"/>
  <c r="Z748" i="59" s="1"/>
  <c r="AC748" i="59" s="1"/>
  <c r="AF748" i="59" s="1"/>
  <c r="AI748" i="59" s="1"/>
  <c r="AL748" i="59" s="1"/>
  <c r="AO748" i="59" s="1"/>
  <c r="AR748" i="59" s="1"/>
  <c r="AU748" i="59" s="1"/>
  <c r="J748" i="59" s="1"/>
  <c r="AV748" i="59"/>
  <c r="AX748" i="59"/>
  <c r="AY748" i="59"/>
  <c r="AZ748" i="59"/>
  <c r="N730" i="59"/>
  <c r="Q730" i="59" s="1"/>
  <c r="T730" i="59" s="1"/>
  <c r="W730" i="59" s="1"/>
  <c r="Z730" i="59" s="1"/>
  <c r="AC730" i="59" s="1"/>
  <c r="AF730" i="59" s="1"/>
  <c r="AI730" i="59" s="1"/>
  <c r="AL730" i="59" s="1"/>
  <c r="AO730" i="59" s="1"/>
  <c r="AR730" i="59" s="1"/>
  <c r="AU730" i="59" s="1"/>
  <c r="J730" i="59" s="1"/>
  <c r="AV730" i="59"/>
  <c r="AX730" i="59"/>
  <c r="AY730" i="59"/>
  <c r="AZ730" i="59"/>
  <c r="N737" i="59"/>
  <c r="Q737" i="59" s="1"/>
  <c r="T737" i="59" s="1"/>
  <c r="W737" i="59" s="1"/>
  <c r="Z737" i="59" s="1"/>
  <c r="AC737" i="59" s="1"/>
  <c r="AF737" i="59" s="1"/>
  <c r="AI737" i="59" s="1"/>
  <c r="AL737" i="59" s="1"/>
  <c r="AO737" i="59" s="1"/>
  <c r="AR737" i="59" s="1"/>
  <c r="AU737" i="59" s="1"/>
  <c r="J737" i="59" s="1"/>
  <c r="AV737" i="59"/>
  <c r="AX737" i="59"/>
  <c r="AY737" i="59"/>
  <c r="AZ737" i="59"/>
  <c r="N751" i="59"/>
  <c r="Q751" i="59" s="1"/>
  <c r="T751" i="59" s="1"/>
  <c r="W751" i="59" s="1"/>
  <c r="Z751" i="59" s="1"/>
  <c r="AC751" i="59" s="1"/>
  <c r="AF751" i="59" s="1"/>
  <c r="AI751" i="59" s="1"/>
  <c r="AL751" i="59" s="1"/>
  <c r="AO751" i="59" s="1"/>
  <c r="AR751" i="59" s="1"/>
  <c r="AU751" i="59" s="1"/>
  <c r="J751" i="59" s="1"/>
  <c r="AV751" i="59"/>
  <c r="AX751" i="59"/>
  <c r="AY751" i="59"/>
  <c r="AZ751" i="59"/>
  <c r="N728" i="59"/>
  <c r="Q728" i="59" s="1"/>
  <c r="T728" i="59" s="1"/>
  <c r="AV728" i="59"/>
  <c r="AX728" i="59"/>
  <c r="AY728" i="59"/>
  <c r="AZ728" i="59"/>
  <c r="N735" i="59"/>
  <c r="Q735" i="59" s="1"/>
  <c r="T735" i="59" s="1"/>
  <c r="W735" i="59" s="1"/>
  <c r="Z735" i="59" s="1"/>
  <c r="AC735" i="59" s="1"/>
  <c r="AF735" i="59" s="1"/>
  <c r="AI735" i="59" s="1"/>
  <c r="AL735" i="59" s="1"/>
  <c r="AO735" i="59" s="1"/>
  <c r="AR735" i="59" s="1"/>
  <c r="AU735" i="59" s="1"/>
  <c r="J735" i="59" s="1"/>
  <c r="AV735" i="59"/>
  <c r="AX735" i="59"/>
  <c r="AY735" i="59"/>
  <c r="AZ735" i="59"/>
  <c r="N729" i="59"/>
  <c r="Q729" i="59" s="1"/>
  <c r="T729" i="59" s="1"/>
  <c r="W729" i="59" s="1"/>
  <c r="Z729" i="59" s="1"/>
  <c r="AC729" i="59" s="1"/>
  <c r="AF729" i="59" s="1"/>
  <c r="AI729" i="59" s="1"/>
  <c r="AL729" i="59" s="1"/>
  <c r="AO729" i="59" s="1"/>
  <c r="AR729" i="59" s="1"/>
  <c r="AU729" i="59" s="1"/>
  <c r="J729" i="59" s="1"/>
  <c r="AV729" i="59"/>
  <c r="AX729" i="59"/>
  <c r="AY729" i="59"/>
  <c r="AZ729" i="59"/>
  <c r="N736" i="59"/>
  <c r="Q736" i="59" s="1"/>
  <c r="T736" i="59" s="1"/>
  <c r="W736" i="59" s="1"/>
  <c r="Z736" i="59" s="1"/>
  <c r="AC736" i="59" s="1"/>
  <c r="AF736" i="59" s="1"/>
  <c r="AI736" i="59" s="1"/>
  <c r="AL736" i="59" s="1"/>
  <c r="AO736" i="59" s="1"/>
  <c r="AR736" i="59" s="1"/>
  <c r="AU736" i="59" s="1"/>
  <c r="J736" i="59" s="1"/>
  <c r="AV736" i="59"/>
  <c r="AX736" i="59"/>
  <c r="AY736" i="59"/>
  <c r="AZ736" i="59"/>
  <c r="N738" i="59"/>
  <c r="Q738" i="59" s="1"/>
  <c r="T738" i="59" s="1"/>
  <c r="W738" i="59" s="1"/>
  <c r="Z738" i="59" s="1"/>
  <c r="AC738" i="59" s="1"/>
  <c r="AF738" i="59" s="1"/>
  <c r="AI738" i="59" s="1"/>
  <c r="AL738" i="59" s="1"/>
  <c r="AO738" i="59" s="1"/>
  <c r="AR738" i="59" s="1"/>
  <c r="AU738" i="59" s="1"/>
  <c r="J738" i="59" s="1"/>
  <c r="AV738" i="59"/>
  <c r="AX738" i="59"/>
  <c r="AY738" i="59"/>
  <c r="AZ738" i="59"/>
  <c r="N747" i="59"/>
  <c r="Q747" i="59" s="1"/>
  <c r="T747" i="59" s="1"/>
  <c r="W747" i="59" s="1"/>
  <c r="Z747" i="59" s="1"/>
  <c r="AC747" i="59" s="1"/>
  <c r="AF747" i="59" s="1"/>
  <c r="AI747" i="59" s="1"/>
  <c r="AL747" i="59" s="1"/>
  <c r="AO747" i="59" s="1"/>
  <c r="AR747" i="59" s="1"/>
  <c r="AU747" i="59" s="1"/>
  <c r="J747" i="59" s="1"/>
  <c r="AV747" i="59"/>
  <c r="AX747" i="59"/>
  <c r="AY747" i="59"/>
  <c r="AZ747" i="59"/>
  <c r="N744" i="59"/>
  <c r="Q744" i="59" s="1"/>
  <c r="T744" i="59" s="1"/>
  <c r="W744" i="59" s="1"/>
  <c r="Z744" i="59" s="1"/>
  <c r="AC744" i="59" s="1"/>
  <c r="AF744" i="59" s="1"/>
  <c r="AI744" i="59" s="1"/>
  <c r="AL744" i="59" s="1"/>
  <c r="AO744" i="59" s="1"/>
  <c r="AR744" i="59" s="1"/>
  <c r="AU744" i="59" s="1"/>
  <c r="J744" i="59" s="1"/>
  <c r="AX744" i="59"/>
  <c r="AY744" i="59"/>
  <c r="AZ744" i="59"/>
  <c r="N742" i="59"/>
  <c r="Q742" i="59" s="1"/>
  <c r="T742" i="59" s="1"/>
  <c r="W742" i="59" s="1"/>
  <c r="Z742" i="59" s="1"/>
  <c r="AC742" i="59" s="1"/>
  <c r="AF742" i="59" s="1"/>
  <c r="AI742" i="59" s="1"/>
  <c r="AL742" i="59" s="1"/>
  <c r="AO742" i="59" s="1"/>
  <c r="AR742" i="59" s="1"/>
  <c r="AU742" i="59" s="1"/>
  <c r="J742" i="59" s="1"/>
  <c r="AX742" i="59"/>
  <c r="AY742" i="59"/>
  <c r="AZ742" i="59"/>
  <c r="N781" i="59"/>
  <c r="Q781" i="59" s="1"/>
  <c r="T781" i="59" s="1"/>
  <c r="W781" i="59" s="1"/>
  <c r="Z781" i="59" s="1"/>
  <c r="AC781" i="59" s="1"/>
  <c r="AF781" i="59" s="1"/>
  <c r="AI781" i="59" s="1"/>
  <c r="AL781" i="59" s="1"/>
  <c r="AO781" i="59" s="1"/>
  <c r="AX781" i="59"/>
  <c r="AY781" i="59"/>
  <c r="AZ781" i="59"/>
  <c r="N777" i="59"/>
  <c r="Q777" i="59" s="1"/>
  <c r="T777" i="59" s="1"/>
  <c r="W777" i="59" s="1"/>
  <c r="Z777" i="59" s="1"/>
  <c r="AC777" i="59" s="1"/>
  <c r="AF777" i="59" s="1"/>
  <c r="AI777" i="59" s="1"/>
  <c r="AL777" i="59" s="1"/>
  <c r="AO777" i="59" s="1"/>
  <c r="AX777" i="59"/>
  <c r="AY777" i="59"/>
  <c r="AZ777" i="59"/>
  <c r="N780" i="59"/>
  <c r="Q780" i="59" s="1"/>
  <c r="T780" i="59" s="1"/>
  <c r="W780" i="59" s="1"/>
  <c r="Z780" i="59" s="1"/>
  <c r="AC780" i="59" s="1"/>
  <c r="AF780" i="59" s="1"/>
  <c r="AI780" i="59" s="1"/>
  <c r="AL780" i="59" s="1"/>
  <c r="AO780" i="59" s="1"/>
  <c r="AV780" i="59"/>
  <c r="AX780" i="59"/>
  <c r="AY780" i="59"/>
  <c r="AZ780" i="59"/>
  <c r="N782" i="59"/>
  <c r="Q782" i="59" s="1"/>
  <c r="T782" i="59" s="1"/>
  <c r="W782" i="59" s="1"/>
  <c r="Z782" i="59" s="1"/>
  <c r="AC782" i="59" s="1"/>
  <c r="AF782" i="59" s="1"/>
  <c r="AI782" i="59" s="1"/>
  <c r="AL782" i="59" s="1"/>
  <c r="AO782" i="59" s="1"/>
  <c r="AV782" i="59"/>
  <c r="AX782" i="59"/>
  <c r="AY782" i="59"/>
  <c r="AZ782" i="59"/>
  <c r="N862" i="59"/>
  <c r="Q862" i="59" s="1"/>
  <c r="T862" i="59" s="1"/>
  <c r="W862" i="59" s="1"/>
  <c r="Z862" i="59" s="1"/>
  <c r="AC862" i="59" s="1"/>
  <c r="AF862" i="59" s="1"/>
  <c r="AI862" i="59" s="1"/>
  <c r="AL862" i="59" s="1"/>
  <c r="AO862" i="59" s="1"/>
  <c r="AR862" i="59" s="1"/>
  <c r="AU862" i="59" s="1"/>
  <c r="J862" i="59" s="1"/>
  <c r="AV862" i="59"/>
  <c r="AX862" i="59"/>
  <c r="AY862" i="59"/>
  <c r="AZ862" i="59"/>
  <c r="N630" i="59"/>
  <c r="Q630" i="59" s="1"/>
  <c r="T630" i="59" s="1"/>
  <c r="W630" i="59" s="1"/>
  <c r="Z630" i="59" s="1"/>
  <c r="AC630" i="59" s="1"/>
  <c r="AF630" i="59" s="1"/>
  <c r="AI630" i="59" s="1"/>
  <c r="AL630" i="59" s="1"/>
  <c r="AO630" i="59" s="1"/>
  <c r="AR630" i="59" s="1"/>
  <c r="AU630" i="59" s="1"/>
  <c r="J630" i="59" s="1"/>
  <c r="AV630" i="59"/>
  <c r="AX630" i="59"/>
  <c r="AY630" i="59"/>
  <c r="AZ630" i="59"/>
  <c r="N891" i="59"/>
  <c r="Q891" i="59" s="1"/>
  <c r="T891" i="59" s="1"/>
  <c r="W891" i="59" s="1"/>
  <c r="Z891" i="59" s="1"/>
  <c r="AC891" i="59" s="1"/>
  <c r="AF891" i="59" s="1"/>
  <c r="AI891" i="59" s="1"/>
  <c r="AL891" i="59" s="1"/>
  <c r="AO891" i="59" s="1"/>
  <c r="AR891" i="59" s="1"/>
  <c r="AU891" i="59" s="1"/>
  <c r="J891" i="59" s="1"/>
  <c r="AV891" i="59"/>
  <c r="AX891" i="59"/>
  <c r="AY891" i="59"/>
  <c r="AZ891" i="59"/>
  <c r="N643" i="59"/>
  <c r="Q643" i="59" s="1"/>
  <c r="T643" i="59" s="1"/>
  <c r="W643" i="59" s="1"/>
  <c r="N778" i="59"/>
  <c r="Q778" i="59" s="1"/>
  <c r="T778" i="59" s="1"/>
  <c r="W778" i="59" s="1"/>
  <c r="Z778" i="59" s="1"/>
  <c r="AC778" i="59" s="1"/>
  <c r="AF778" i="59" s="1"/>
  <c r="AI778" i="59" s="1"/>
  <c r="AL778" i="59" s="1"/>
  <c r="AO778" i="59" s="1"/>
  <c r="AV778" i="59"/>
  <c r="AX778" i="59"/>
  <c r="AY778" i="59"/>
  <c r="AZ778" i="59"/>
  <c r="N779" i="59"/>
  <c r="Q779" i="59" s="1"/>
  <c r="T779" i="59" s="1"/>
  <c r="W779" i="59" s="1"/>
  <c r="Z779" i="59" s="1"/>
  <c r="AC779" i="59" s="1"/>
  <c r="AF779" i="59" s="1"/>
  <c r="AI779" i="59" s="1"/>
  <c r="AL779" i="59" s="1"/>
  <c r="AO779" i="59" s="1"/>
  <c r="AV779" i="59"/>
  <c r="AX779" i="59"/>
  <c r="AY779" i="59"/>
  <c r="AZ779" i="59"/>
  <c r="N783" i="59"/>
  <c r="Q783" i="59" s="1"/>
  <c r="T783" i="59" s="1"/>
  <c r="W783" i="59" s="1"/>
  <c r="Z783" i="59" s="1"/>
  <c r="AC783" i="59" s="1"/>
  <c r="AF783" i="59" s="1"/>
  <c r="AI783" i="59" s="1"/>
  <c r="AL783" i="59" s="1"/>
  <c r="AO783" i="59" s="1"/>
  <c r="AV783" i="59"/>
  <c r="AX783" i="59"/>
  <c r="AY783" i="59"/>
  <c r="AZ783" i="59"/>
  <c r="N855" i="59"/>
  <c r="Q855" i="59" s="1"/>
  <c r="T855" i="59" s="1"/>
  <c r="W855" i="59" s="1"/>
  <c r="AV855" i="59"/>
  <c r="AX855" i="59"/>
  <c r="AY855" i="59"/>
  <c r="AZ855" i="59"/>
  <c r="N206" i="59"/>
  <c r="Q206" i="59" s="1"/>
  <c r="T206" i="59" s="1"/>
  <c r="W206" i="59" s="1"/>
  <c r="Z206" i="59" s="1"/>
  <c r="AC206" i="59" s="1"/>
  <c r="AF206" i="59" s="1"/>
  <c r="AI206" i="59" s="1"/>
  <c r="AL206" i="59" s="1"/>
  <c r="AO206" i="59" s="1"/>
  <c r="AR206" i="59" s="1"/>
  <c r="AU206" i="59" s="1"/>
  <c r="J206" i="59" s="1"/>
  <c r="AV206" i="59"/>
  <c r="AW206" i="59"/>
  <c r="AX206" i="59"/>
  <c r="AY206" i="59"/>
  <c r="AZ206" i="59"/>
  <c r="N745" i="59"/>
  <c r="Q745" i="59" s="1"/>
  <c r="T745" i="59" s="1"/>
  <c r="W745" i="59" s="1"/>
  <c r="Z745" i="59" s="1"/>
  <c r="AC745" i="59" s="1"/>
  <c r="AF745" i="59" s="1"/>
  <c r="AI745" i="59" s="1"/>
  <c r="AL745" i="59" s="1"/>
  <c r="AO745" i="59" s="1"/>
  <c r="N743" i="59"/>
  <c r="Q743" i="59" s="1"/>
  <c r="T743" i="59" s="1"/>
  <c r="W743" i="59" s="1"/>
  <c r="N740" i="59"/>
  <c r="Q740" i="59" s="1"/>
  <c r="T740" i="59" s="1"/>
  <c r="W740" i="59" s="1"/>
  <c r="BC542" i="59" l="1"/>
  <c r="BD542" i="59" s="1"/>
  <c r="BA738" i="59"/>
  <c r="BC738" i="59"/>
  <c r="BD738" i="59" s="1"/>
  <c r="BA739" i="59"/>
  <c r="BC739" i="59"/>
  <c r="BD739" i="59" s="1"/>
  <c r="BA747" i="59"/>
  <c r="BC747" i="59"/>
  <c r="BD747" i="59" s="1"/>
  <c r="BA854" i="59"/>
  <c r="BC854" i="59"/>
  <c r="BD854" i="59" s="1"/>
  <c r="BA729" i="59"/>
  <c r="BC729" i="59"/>
  <c r="BD729" i="59" s="1"/>
  <c r="BA748" i="59"/>
  <c r="BC748" i="59"/>
  <c r="BD748" i="59" s="1"/>
  <c r="BC892" i="59"/>
  <c r="BD892" i="59" s="1"/>
  <c r="BA862" i="59"/>
  <c r="BC862" i="59"/>
  <c r="BD862" i="59" s="1"/>
  <c r="BA206" i="59"/>
  <c r="BC206" i="59"/>
  <c r="BD206" i="59" s="1"/>
  <c r="BC742" i="59"/>
  <c r="BD742" i="59" s="1"/>
  <c r="BA737" i="59"/>
  <c r="BC737" i="59"/>
  <c r="BD737" i="59" s="1"/>
  <c r="BA744" i="59"/>
  <c r="BC744" i="59"/>
  <c r="BD744" i="59" s="1"/>
  <c r="BA681" i="59"/>
  <c r="BC681" i="59"/>
  <c r="BD681" i="59" s="1"/>
  <c r="BA630" i="59"/>
  <c r="BC630" i="59"/>
  <c r="BD630" i="59" s="1"/>
  <c r="BA736" i="59"/>
  <c r="BC736" i="59"/>
  <c r="BD736" i="59" s="1"/>
  <c r="BA751" i="59"/>
  <c r="BC751" i="59"/>
  <c r="BD751" i="59" s="1"/>
  <c r="BC891" i="59"/>
  <c r="BD891" i="59" s="1"/>
  <c r="BA735" i="59"/>
  <c r="BC735" i="59"/>
  <c r="BD735" i="59" s="1"/>
  <c r="BA730" i="59"/>
  <c r="BC730" i="59"/>
  <c r="BD730" i="59" s="1"/>
  <c r="AR778" i="59"/>
  <c r="AU778" i="59" s="1"/>
  <c r="J778" i="59" s="1"/>
  <c r="AR782" i="59"/>
  <c r="AU782" i="59" s="1"/>
  <c r="J782" i="59" s="1"/>
  <c r="AR777" i="59"/>
  <c r="AU777" i="59" s="1"/>
  <c r="J777" i="59" s="1"/>
  <c r="AR783" i="59"/>
  <c r="AU783" i="59" s="1"/>
  <c r="J783" i="59" s="1"/>
  <c r="AR779" i="59"/>
  <c r="AU779" i="59" s="1"/>
  <c r="J779" i="59" s="1"/>
  <c r="AR780" i="59"/>
  <c r="AU780" i="59" s="1"/>
  <c r="J780" i="59" s="1"/>
  <c r="AR781" i="59"/>
  <c r="AU781" i="59" s="1"/>
  <c r="J781" i="59" s="1"/>
  <c r="AR745" i="59"/>
  <c r="AU745" i="59" s="1"/>
  <c r="J745" i="59" s="1"/>
  <c r="Z643" i="59"/>
  <c r="AC643" i="59" s="1"/>
  <c r="AF643" i="59" s="1"/>
  <c r="AI643" i="59" s="1"/>
  <c r="AL643" i="59" s="1"/>
  <c r="AO643" i="59" s="1"/>
  <c r="AR643" i="59" s="1"/>
  <c r="AU643" i="59" s="1"/>
  <c r="J643" i="59" s="1"/>
  <c r="Z743" i="59"/>
  <c r="AC743" i="59" s="1"/>
  <c r="AF743" i="59" s="1"/>
  <c r="AI743" i="59" s="1"/>
  <c r="AL743" i="59" s="1"/>
  <c r="AO743" i="59" s="1"/>
  <c r="AR743" i="59" s="1"/>
  <c r="Z740" i="59"/>
  <c r="AC740" i="59" s="1"/>
  <c r="AF740" i="59" s="1"/>
  <c r="AI740" i="59" s="1"/>
  <c r="AL740" i="59" s="1"/>
  <c r="AO740" i="59" s="1"/>
  <c r="AR740" i="59" s="1"/>
  <c r="Z855" i="59"/>
  <c r="AC855" i="59" s="1"/>
  <c r="AF855" i="59" s="1"/>
  <c r="AI855" i="59" s="1"/>
  <c r="AL855" i="59" s="1"/>
  <c r="W728" i="59"/>
  <c r="Z728" i="59" s="1"/>
  <c r="AC728" i="59" s="1"/>
  <c r="AF728" i="59" s="1"/>
  <c r="AI728" i="59" s="1"/>
  <c r="AL728" i="59" s="1"/>
  <c r="AO728" i="59" s="1"/>
  <c r="AR728" i="59" s="1"/>
  <c r="AU728" i="59" s="1"/>
  <c r="J728" i="59" s="1"/>
  <c r="BC777" i="59" l="1"/>
  <c r="BD777" i="59" s="1"/>
  <c r="BC643" i="59"/>
  <c r="BD643" i="59" s="1"/>
  <c r="BC778" i="59"/>
  <c r="BD778" i="59" s="1"/>
  <c r="BA779" i="59"/>
  <c r="BC779" i="59"/>
  <c r="BD779" i="59" s="1"/>
  <c r="BA745" i="59"/>
  <c r="BC745" i="59"/>
  <c r="BD745" i="59" s="1"/>
  <c r="BA780" i="59"/>
  <c r="BC780" i="59"/>
  <c r="BD780" i="59" s="1"/>
  <c r="BA782" i="59"/>
  <c r="BC782" i="59"/>
  <c r="BD782" i="59" s="1"/>
  <c r="BA781" i="59"/>
  <c r="BC781" i="59"/>
  <c r="BD781" i="59" s="1"/>
  <c r="BC783" i="59"/>
  <c r="BD783" i="59" s="1"/>
  <c r="BA728" i="59"/>
  <c r="BC728" i="59"/>
  <c r="BD728" i="59" s="1"/>
  <c r="AO855" i="59"/>
  <c r="AR855" i="59" s="1"/>
  <c r="AU855" i="59" s="1"/>
  <c r="J855" i="59" s="1"/>
  <c r="AU740" i="59"/>
  <c r="J740" i="59" s="1"/>
  <c r="AU743" i="59"/>
  <c r="J743" i="59" s="1"/>
  <c r="N295" i="59"/>
  <c r="Q295" i="59" s="1"/>
  <c r="T295" i="59" s="1"/>
  <c r="W295" i="59" s="1"/>
  <c r="Z295" i="59" s="1"/>
  <c r="AC295" i="59" s="1"/>
  <c r="AF295" i="59" s="1"/>
  <c r="AI295" i="59" s="1"/>
  <c r="AL295" i="59" s="1"/>
  <c r="AO295" i="59" s="1"/>
  <c r="AR295" i="59" s="1"/>
  <c r="AU295" i="59" s="1"/>
  <c r="J295" i="59" s="1"/>
  <c r="AX295" i="59"/>
  <c r="AY295" i="59"/>
  <c r="AZ295" i="59"/>
  <c r="BA855" i="59" l="1"/>
  <c r="BC855" i="59"/>
  <c r="BD855" i="59" s="1"/>
  <c r="BA295" i="59"/>
  <c r="BC295" i="59"/>
  <c r="BD295" i="59" s="1"/>
  <c r="BA743" i="59"/>
  <c r="BC743" i="59"/>
  <c r="BD743" i="59" s="1"/>
  <c r="BA740" i="59"/>
  <c r="BC740" i="59"/>
  <c r="BD740" i="59" s="1"/>
  <c r="N584" i="59" l="1"/>
  <c r="Q584" i="59" s="1"/>
  <c r="T584" i="59" s="1"/>
  <c r="W584" i="59" s="1"/>
  <c r="Z584" i="59" s="1"/>
  <c r="AC584" i="59" s="1"/>
  <c r="AF584" i="59" s="1"/>
  <c r="AI584" i="59" s="1"/>
  <c r="AL584" i="59" s="1"/>
  <c r="AO584" i="59" s="1"/>
  <c r="AR584" i="59" s="1"/>
  <c r="AU584" i="59" s="1"/>
  <c r="J584" i="59" s="1"/>
  <c r="AV584" i="59"/>
  <c r="AX584" i="59"/>
  <c r="AY584" i="59"/>
  <c r="AZ584" i="59"/>
  <c r="BA584" i="59" l="1"/>
  <c r="BC584" i="59"/>
  <c r="BD584" i="59" s="1"/>
  <c r="N887" i="59" l="1"/>
  <c r="Q887" i="59" s="1"/>
  <c r="T887" i="59" s="1"/>
  <c r="W887" i="59" s="1"/>
  <c r="Z887" i="59" s="1"/>
  <c r="AC887" i="59" s="1"/>
  <c r="AF887" i="59" s="1"/>
  <c r="AI887" i="59" s="1"/>
  <c r="AL887" i="59" s="1"/>
  <c r="AO887" i="59" s="1"/>
  <c r="AR887" i="59" s="1"/>
  <c r="AU887" i="59" s="1"/>
  <c r="J887" i="59" s="1"/>
  <c r="AV887" i="59"/>
  <c r="AX887" i="59"/>
  <c r="AY887" i="59"/>
  <c r="AZ887" i="59"/>
  <c r="N648" i="59"/>
  <c r="Q648" i="59" s="1"/>
  <c r="T648" i="59" s="1"/>
  <c r="W648" i="59" s="1"/>
  <c r="Z648" i="59" s="1"/>
  <c r="AC648" i="59" s="1"/>
  <c r="AF648" i="59" s="1"/>
  <c r="AI648" i="59" s="1"/>
  <c r="AL648" i="59" s="1"/>
  <c r="AO648" i="59" s="1"/>
  <c r="AR648" i="59" s="1"/>
  <c r="AU648" i="59" s="1"/>
  <c r="J648" i="59" s="1"/>
  <c r="AV648" i="59"/>
  <c r="AX648" i="59"/>
  <c r="AY648" i="59"/>
  <c r="AZ648" i="59"/>
  <c r="N647" i="59"/>
  <c r="Q647" i="59" s="1"/>
  <c r="T647" i="59" s="1"/>
  <c r="W647" i="59" s="1"/>
  <c r="Z647" i="59" s="1"/>
  <c r="AC647" i="59" s="1"/>
  <c r="AF647" i="59" s="1"/>
  <c r="AI647" i="59" s="1"/>
  <c r="AL647" i="59" s="1"/>
  <c r="AO647" i="59" s="1"/>
  <c r="AR647" i="59" s="1"/>
  <c r="AU647" i="59" s="1"/>
  <c r="J647" i="59" s="1"/>
  <c r="AV647" i="59"/>
  <c r="AX647" i="59"/>
  <c r="AY647" i="59"/>
  <c r="AZ647" i="59"/>
  <c r="N646" i="59"/>
  <c r="Q646" i="59" s="1"/>
  <c r="T646" i="59" s="1"/>
  <c r="W646" i="59" s="1"/>
  <c r="Z646" i="59" s="1"/>
  <c r="AC646" i="59" s="1"/>
  <c r="AF646" i="59" s="1"/>
  <c r="AI646" i="59" s="1"/>
  <c r="AL646" i="59" s="1"/>
  <c r="AO646" i="59" s="1"/>
  <c r="AR646" i="59" s="1"/>
  <c r="N309" i="59"/>
  <c r="Q309" i="59" s="1"/>
  <c r="T309" i="59" s="1"/>
  <c r="W309" i="59" s="1"/>
  <c r="Z309" i="59" s="1"/>
  <c r="AC309" i="59" s="1"/>
  <c r="AF309" i="59" s="1"/>
  <c r="AI309" i="59" s="1"/>
  <c r="AL309" i="59" s="1"/>
  <c r="AO309" i="59" s="1"/>
  <c r="AR309" i="59" s="1"/>
  <c r="AU309" i="59" s="1"/>
  <c r="J309" i="59" s="1"/>
  <c r="AV309" i="59"/>
  <c r="AX309" i="59"/>
  <c r="AY309" i="59"/>
  <c r="AZ309" i="59"/>
  <c r="N649" i="59"/>
  <c r="Q649" i="59" s="1"/>
  <c r="T649" i="59" s="1"/>
  <c r="W649" i="59" s="1"/>
  <c r="Z649" i="59" s="1"/>
  <c r="AC649" i="59" s="1"/>
  <c r="AF649" i="59" s="1"/>
  <c r="AI649" i="59" s="1"/>
  <c r="AL649" i="59" s="1"/>
  <c r="AO649" i="59" s="1"/>
  <c r="AR649" i="59" s="1"/>
  <c r="AU649" i="59" s="1"/>
  <c r="J649" i="59" s="1"/>
  <c r="AV649" i="59"/>
  <c r="AX649" i="59"/>
  <c r="AY649" i="59"/>
  <c r="AZ649" i="59"/>
  <c r="N370" i="59"/>
  <c r="Q370" i="59" s="1"/>
  <c r="T370" i="59" s="1"/>
  <c r="W370" i="59" s="1"/>
  <c r="Z370" i="59" s="1"/>
  <c r="AC370" i="59" s="1"/>
  <c r="AF370" i="59" s="1"/>
  <c r="AI370" i="59" s="1"/>
  <c r="AL370" i="59" s="1"/>
  <c r="AO370" i="59" s="1"/>
  <c r="AR370" i="59" s="1"/>
  <c r="AU370" i="59" s="1"/>
  <c r="J370" i="59" s="1"/>
  <c r="AV370" i="59"/>
  <c r="AX370" i="59"/>
  <c r="AY370" i="59"/>
  <c r="AZ370" i="59"/>
  <c r="N29" i="59"/>
  <c r="Q29" i="59" s="1"/>
  <c r="T29" i="59" s="1"/>
  <c r="W29" i="59" s="1"/>
  <c r="Z29" i="59" s="1"/>
  <c r="AC29" i="59" s="1"/>
  <c r="AF29" i="59" s="1"/>
  <c r="AI29" i="59" s="1"/>
  <c r="AL29" i="59" s="1"/>
  <c r="AO29" i="59" s="1"/>
  <c r="AR29" i="59" s="1"/>
  <c r="AU29" i="59" s="1"/>
  <c r="AV29" i="59"/>
  <c r="AW29" i="59"/>
  <c r="AX29" i="59"/>
  <c r="AY29" i="59"/>
  <c r="AZ29" i="59"/>
  <c r="BC649" i="59" l="1"/>
  <c r="BD649" i="59" s="1"/>
  <c r="BC370" i="59"/>
  <c r="BD370" i="59" s="1"/>
  <c r="BC648" i="59"/>
  <c r="BD648" i="59" s="1"/>
  <c r="BC647" i="59"/>
  <c r="BD647" i="59" s="1"/>
  <c r="BC887" i="59"/>
  <c r="BD887" i="59" s="1"/>
  <c r="BA309" i="59"/>
  <c r="BC309" i="59"/>
  <c r="BD309" i="59" s="1"/>
  <c r="J29" i="59"/>
  <c r="BI29" i="59" s="1"/>
  <c r="BA29" i="59" l="1"/>
  <c r="BC29" i="59"/>
  <c r="BD29" i="59" s="1"/>
  <c r="N933" i="59"/>
  <c r="Q933" i="59" s="1"/>
  <c r="T933" i="59" s="1"/>
  <c r="W933" i="59" s="1"/>
  <c r="Z933" i="59" s="1"/>
  <c r="AC933" i="59" s="1"/>
  <c r="AF933" i="59" s="1"/>
  <c r="AI933" i="59" s="1"/>
  <c r="AL933" i="59" s="1"/>
  <c r="AO933" i="59" s="1"/>
  <c r="AR933" i="59" s="1"/>
  <c r="AU933" i="59" s="1"/>
  <c r="J933" i="59" s="1"/>
  <c r="AX933" i="59"/>
  <c r="AY933" i="59"/>
  <c r="AZ933" i="59"/>
  <c r="N434" i="59"/>
  <c r="Q434" i="59" s="1"/>
  <c r="T434" i="59" s="1"/>
  <c r="W434" i="59" s="1"/>
  <c r="Z434" i="59" s="1"/>
  <c r="AC434" i="59" s="1"/>
  <c r="AF434" i="59" s="1"/>
  <c r="AI434" i="59" s="1"/>
  <c r="AL434" i="59" s="1"/>
  <c r="AO434" i="59" s="1"/>
  <c r="AR434" i="59" s="1"/>
  <c r="AU434" i="59" s="1"/>
  <c r="J434" i="59" s="1"/>
  <c r="AV434" i="59"/>
  <c r="AX434" i="59"/>
  <c r="AY434" i="59"/>
  <c r="AZ434" i="59"/>
  <c r="BA933" i="59" l="1"/>
  <c r="BC933" i="59"/>
  <c r="BD933" i="59" s="1"/>
  <c r="BA434" i="59"/>
  <c r="BC434" i="59"/>
  <c r="BD434" i="59" s="1"/>
  <c r="N463" i="59" l="1"/>
  <c r="Q463" i="59" s="1"/>
  <c r="T463" i="59" s="1"/>
  <c r="W463" i="59" s="1"/>
  <c r="Z463" i="59" s="1"/>
  <c r="AC463" i="59" s="1"/>
  <c r="AF463" i="59" s="1"/>
  <c r="AI463" i="59" s="1"/>
  <c r="AL463" i="59" s="1"/>
  <c r="AO463" i="59" s="1"/>
  <c r="AR463" i="59" s="1"/>
  <c r="AU463" i="59" s="1"/>
  <c r="J463" i="59" s="1"/>
  <c r="AV463" i="59"/>
  <c r="AX463" i="59"/>
  <c r="AY463" i="59"/>
  <c r="AZ463" i="59"/>
  <c r="BA463" i="59" l="1"/>
  <c r="BC463" i="59"/>
  <c r="BD463" i="59" s="1"/>
  <c r="N293" i="59" l="1"/>
  <c r="Q293" i="59" s="1"/>
  <c r="T293" i="59" s="1"/>
  <c r="W293" i="59" s="1"/>
  <c r="Z293" i="59" s="1"/>
  <c r="AC293" i="59" s="1"/>
  <c r="AF293" i="59" s="1"/>
  <c r="AI293" i="59" s="1"/>
  <c r="AL293" i="59" s="1"/>
  <c r="AO293" i="59" s="1"/>
  <c r="AR293" i="59" s="1"/>
  <c r="AU293" i="59" s="1"/>
  <c r="J293" i="59" s="1"/>
  <c r="AX293" i="59"/>
  <c r="AY293" i="59"/>
  <c r="AZ293" i="59"/>
  <c r="N294" i="59"/>
  <c r="Q294" i="59" s="1"/>
  <c r="T294" i="59" s="1"/>
  <c r="W294" i="59" s="1"/>
  <c r="Z294" i="59" s="1"/>
  <c r="AC294" i="59" s="1"/>
  <c r="AF294" i="59" s="1"/>
  <c r="AI294" i="59" s="1"/>
  <c r="AL294" i="59" s="1"/>
  <c r="AO294" i="59" s="1"/>
  <c r="AR294" i="59" s="1"/>
  <c r="AU294" i="59" s="1"/>
  <c r="J294" i="59" s="1"/>
  <c r="AX294" i="59"/>
  <c r="AY294" i="59"/>
  <c r="AZ294" i="59"/>
  <c r="BA294" i="59" l="1"/>
  <c r="BC294" i="59"/>
  <c r="BD294" i="59" s="1"/>
  <c r="BA293" i="59"/>
  <c r="BC293" i="59"/>
  <c r="BD293" i="59" s="1"/>
  <c r="N291" i="59" l="1"/>
  <c r="Q291" i="59" s="1"/>
  <c r="T291" i="59" s="1"/>
  <c r="W291" i="59" s="1"/>
  <c r="Z291" i="59" s="1"/>
  <c r="AC291" i="59" s="1"/>
  <c r="AF291" i="59" s="1"/>
  <c r="AI291" i="59" s="1"/>
  <c r="AL291" i="59" s="1"/>
  <c r="AO291" i="59" s="1"/>
  <c r="AR291" i="59" s="1"/>
  <c r="AU291" i="59" s="1"/>
  <c r="J291" i="59" s="1"/>
  <c r="AV291" i="59"/>
  <c r="AW291" i="59"/>
  <c r="AX291" i="59"/>
  <c r="AY291" i="59"/>
  <c r="AZ291" i="59"/>
  <c r="BA291" i="59" l="1"/>
  <c r="BC291" i="59"/>
  <c r="BD291" i="59" s="1"/>
  <c r="N285" i="59" l="1"/>
  <c r="Q285" i="59" s="1"/>
  <c r="T285" i="59" s="1"/>
  <c r="W285" i="59" s="1"/>
  <c r="Z285" i="59" s="1"/>
  <c r="AC285" i="59" s="1"/>
  <c r="AF285" i="59" s="1"/>
  <c r="AI285" i="59" s="1"/>
  <c r="AL285" i="59" s="1"/>
  <c r="AO285" i="59" s="1"/>
  <c r="AR285" i="59" s="1"/>
  <c r="AU285" i="59" s="1"/>
  <c r="J285" i="59" s="1"/>
  <c r="AV285" i="59"/>
  <c r="AW285" i="59"/>
  <c r="AX285" i="59"/>
  <c r="AY285" i="59"/>
  <c r="AZ285" i="59"/>
  <c r="N450" i="59"/>
  <c r="Q450" i="59" s="1"/>
  <c r="T450" i="59" s="1"/>
  <c r="W450" i="59" s="1"/>
  <c r="Z450" i="59" s="1"/>
  <c r="AC450" i="59" s="1"/>
  <c r="AF450" i="59" s="1"/>
  <c r="AI450" i="59" s="1"/>
  <c r="AL450" i="59" s="1"/>
  <c r="AO450" i="59" s="1"/>
  <c r="AR450" i="59" s="1"/>
  <c r="AU450" i="59" s="1"/>
  <c r="J450" i="59" s="1"/>
  <c r="AV450" i="59"/>
  <c r="AX450" i="59"/>
  <c r="AY450" i="59"/>
  <c r="AZ450" i="59"/>
  <c r="N448" i="59"/>
  <c r="Q448" i="59" s="1"/>
  <c r="T448" i="59" s="1"/>
  <c r="W448" i="59" s="1"/>
  <c r="Z448" i="59" s="1"/>
  <c r="AC448" i="59" s="1"/>
  <c r="AF448" i="59" s="1"/>
  <c r="AI448" i="59" s="1"/>
  <c r="AL448" i="59" s="1"/>
  <c r="AO448" i="59" s="1"/>
  <c r="AR448" i="59" s="1"/>
  <c r="AU448" i="59" s="1"/>
  <c r="J448" i="59" s="1"/>
  <c r="AV448" i="59"/>
  <c r="AX448" i="59"/>
  <c r="AY448" i="59"/>
  <c r="AZ448" i="59"/>
  <c r="N445" i="59"/>
  <c r="Q445" i="59" s="1"/>
  <c r="T445" i="59" s="1"/>
  <c r="W445" i="59" s="1"/>
  <c r="Z445" i="59" s="1"/>
  <c r="AC445" i="59" s="1"/>
  <c r="AF445" i="59" s="1"/>
  <c r="AI445" i="59" s="1"/>
  <c r="AL445" i="59" s="1"/>
  <c r="AO445" i="59" s="1"/>
  <c r="AR445" i="59" s="1"/>
  <c r="AU445" i="59" s="1"/>
  <c r="J445" i="59" s="1"/>
  <c r="AV445" i="59"/>
  <c r="AX445" i="59"/>
  <c r="AY445" i="59"/>
  <c r="AZ445" i="59"/>
  <c r="N443" i="59"/>
  <c r="Q443" i="59" s="1"/>
  <c r="T443" i="59" s="1"/>
  <c r="W443" i="59" s="1"/>
  <c r="Z443" i="59" s="1"/>
  <c r="AC443" i="59" s="1"/>
  <c r="AF443" i="59" s="1"/>
  <c r="AI443" i="59" s="1"/>
  <c r="AL443" i="59" s="1"/>
  <c r="AO443" i="59" s="1"/>
  <c r="AR443" i="59" s="1"/>
  <c r="AU443" i="59" s="1"/>
  <c r="J443" i="59" s="1"/>
  <c r="AV443" i="59"/>
  <c r="AX443" i="59"/>
  <c r="AY443" i="59"/>
  <c r="AZ443" i="59"/>
  <c r="N449" i="59"/>
  <c r="Q449" i="59" s="1"/>
  <c r="T449" i="59" s="1"/>
  <c r="W449" i="59" s="1"/>
  <c r="Z449" i="59" s="1"/>
  <c r="AC449" i="59" s="1"/>
  <c r="AF449" i="59" s="1"/>
  <c r="AI449" i="59" s="1"/>
  <c r="AL449" i="59" s="1"/>
  <c r="AO449" i="59" s="1"/>
  <c r="AR449" i="59" s="1"/>
  <c r="AU449" i="59" s="1"/>
  <c r="J449" i="59" s="1"/>
  <c r="AV449" i="59"/>
  <c r="AX449" i="59"/>
  <c r="AY449" i="59"/>
  <c r="AZ449" i="59"/>
  <c r="N433" i="59"/>
  <c r="Q433" i="59" s="1"/>
  <c r="T433" i="59" s="1"/>
  <c r="W433" i="59" s="1"/>
  <c r="Z433" i="59" s="1"/>
  <c r="AC433" i="59" s="1"/>
  <c r="AF433" i="59" s="1"/>
  <c r="AI433" i="59" s="1"/>
  <c r="AL433" i="59" s="1"/>
  <c r="AO433" i="59" s="1"/>
  <c r="AR433" i="59" s="1"/>
  <c r="AU433" i="59" s="1"/>
  <c r="J433" i="59" s="1"/>
  <c r="AV433" i="59"/>
  <c r="AX433" i="59"/>
  <c r="AY433" i="59"/>
  <c r="AZ433" i="59"/>
  <c r="BC285" i="59" l="1"/>
  <c r="BD285" i="59" s="1"/>
  <c r="BC448" i="59"/>
  <c r="BD448" i="59" s="1"/>
  <c r="BA450" i="59"/>
  <c r="BC450" i="59"/>
  <c r="BD450" i="59" s="1"/>
  <c r="BA433" i="59"/>
  <c r="BC433" i="59"/>
  <c r="BD433" i="59" s="1"/>
  <c r="BA445" i="59"/>
  <c r="BC445" i="59"/>
  <c r="BD445" i="59" s="1"/>
  <c r="BA443" i="59"/>
  <c r="BC443" i="59"/>
  <c r="BD443" i="59" s="1"/>
  <c r="BC449" i="59"/>
  <c r="BD449" i="59" s="1"/>
  <c r="N118" i="59" l="1"/>
  <c r="Q118" i="59" s="1"/>
  <c r="T118" i="59" s="1"/>
  <c r="W118" i="59" s="1"/>
  <c r="Z118" i="59" s="1"/>
  <c r="AC118" i="59" s="1"/>
  <c r="AF118" i="59" s="1"/>
  <c r="AI118" i="59" s="1"/>
  <c r="AL118" i="59" s="1"/>
  <c r="AO118" i="59" s="1"/>
  <c r="AR118" i="59" s="1"/>
  <c r="AU118" i="59" s="1"/>
  <c r="J118" i="59" s="1"/>
  <c r="AV118" i="59"/>
  <c r="AW118" i="59"/>
  <c r="AX118" i="59"/>
  <c r="AY118" i="59"/>
  <c r="AZ118" i="59"/>
  <c r="BA118" i="59" l="1"/>
  <c r="BC118" i="59"/>
  <c r="BD118" i="59" s="1"/>
  <c r="N292" i="59"/>
  <c r="Q292" i="59" s="1"/>
  <c r="T292" i="59" s="1"/>
  <c r="W292" i="59" s="1"/>
  <c r="Z292" i="59" s="1"/>
  <c r="AC292" i="59" s="1"/>
  <c r="AF292" i="59" s="1"/>
  <c r="AI292" i="59" s="1"/>
  <c r="AL292" i="59" s="1"/>
  <c r="AO292" i="59" s="1"/>
  <c r="AR292" i="59" s="1"/>
  <c r="AU292" i="59" s="1"/>
  <c r="J292" i="59" s="1"/>
  <c r="AV292" i="59"/>
  <c r="AW292" i="59"/>
  <c r="AX292" i="59"/>
  <c r="AY292" i="59"/>
  <c r="AZ292" i="59"/>
  <c r="BA292" i="59" l="1"/>
  <c r="BC292" i="59"/>
  <c r="BD292" i="59" s="1"/>
  <c r="N58" i="59" l="1"/>
  <c r="Q58" i="59" s="1"/>
  <c r="T58" i="59" s="1"/>
  <c r="W58" i="59" s="1"/>
  <c r="Z58" i="59" s="1"/>
  <c r="AC58" i="59" s="1"/>
  <c r="AF58" i="59" s="1"/>
  <c r="AI58" i="59" s="1"/>
  <c r="AL58" i="59" s="1"/>
  <c r="AO58" i="59" s="1"/>
  <c r="AR58" i="59" s="1"/>
  <c r="AU58" i="59" s="1"/>
  <c r="J58" i="59" s="1"/>
  <c r="AV58" i="59"/>
  <c r="AW58" i="59"/>
  <c r="AX58" i="59"/>
  <c r="AY58" i="59"/>
  <c r="AZ58" i="59"/>
  <c r="N59" i="59"/>
  <c r="Q59" i="59" s="1"/>
  <c r="T59" i="59" s="1"/>
  <c r="W59" i="59" s="1"/>
  <c r="Z59" i="59" s="1"/>
  <c r="AC59" i="59" s="1"/>
  <c r="AF59" i="59" s="1"/>
  <c r="AI59" i="59" s="1"/>
  <c r="AL59" i="59" s="1"/>
  <c r="AO59" i="59" s="1"/>
  <c r="AR59" i="59" s="1"/>
  <c r="AU59" i="59" s="1"/>
  <c r="J59" i="59" s="1"/>
  <c r="AV59" i="59"/>
  <c r="AW59" i="59"/>
  <c r="AX59" i="59"/>
  <c r="AY59" i="59"/>
  <c r="AZ59" i="59"/>
  <c r="N698" i="59"/>
  <c r="Q698" i="59" s="1"/>
  <c r="T698" i="59" s="1"/>
  <c r="W698" i="59" s="1"/>
  <c r="Z698" i="59" s="1"/>
  <c r="AC698" i="59" s="1"/>
  <c r="AF698" i="59" s="1"/>
  <c r="AI698" i="59" s="1"/>
  <c r="AL698" i="59" s="1"/>
  <c r="AO698" i="59" s="1"/>
  <c r="AR698" i="59" s="1"/>
  <c r="AU698" i="59" s="1"/>
  <c r="J698" i="59" s="1"/>
  <c r="AV698" i="59"/>
  <c r="AX698" i="59"/>
  <c r="AY698" i="59"/>
  <c r="AZ698" i="59"/>
  <c r="BA59" i="59" l="1"/>
  <c r="BC59" i="59"/>
  <c r="BD59" i="59" s="1"/>
  <c r="BA58" i="59"/>
  <c r="BC58" i="59"/>
  <c r="BD58" i="59" s="1"/>
  <c r="BA698" i="59"/>
  <c r="BC698" i="59"/>
  <c r="BD698" i="59" s="1"/>
  <c r="N451" i="59" l="1"/>
  <c r="Q451" i="59" s="1"/>
  <c r="T451" i="59" s="1"/>
  <c r="W451" i="59" s="1"/>
  <c r="Z451" i="59" s="1"/>
  <c r="AC451" i="59" s="1"/>
  <c r="AF451" i="59" s="1"/>
  <c r="AI451" i="59" s="1"/>
  <c r="AL451" i="59" s="1"/>
  <c r="AO451" i="59" s="1"/>
  <c r="AR451" i="59" s="1"/>
  <c r="AU451" i="59" s="1"/>
  <c r="J451" i="59" s="1"/>
  <c r="AV451" i="59"/>
  <c r="AX451" i="59"/>
  <c r="AY451" i="59"/>
  <c r="AZ451" i="59"/>
  <c r="BA451" i="59" l="1"/>
  <c r="BC451" i="59"/>
  <c r="BD451" i="59" s="1"/>
  <c r="N270" i="59" l="1"/>
  <c r="AX270" i="59"/>
  <c r="AY270" i="59"/>
  <c r="AZ270" i="59"/>
  <c r="Q270" i="59" l="1"/>
  <c r="T270" i="59" s="1"/>
  <c r="W270" i="59" s="1"/>
  <c r="Z270" i="59" s="1"/>
  <c r="AC270" i="59" s="1"/>
  <c r="AF270" i="59" s="1"/>
  <c r="AI270" i="59" s="1"/>
  <c r="AL270" i="59" s="1"/>
  <c r="AO270" i="59" s="1"/>
  <c r="AR270" i="59" s="1"/>
  <c r="AU270" i="59" s="1"/>
  <c r="J270" i="59" s="1"/>
  <c r="N420" i="59"/>
  <c r="Q420" i="59" s="1"/>
  <c r="T420" i="59" s="1"/>
  <c r="W420" i="59" s="1"/>
  <c r="Z420" i="59" s="1"/>
  <c r="AC420" i="59" s="1"/>
  <c r="AF420" i="59" s="1"/>
  <c r="AI420" i="59" s="1"/>
  <c r="AL420" i="59" s="1"/>
  <c r="AO420" i="59" s="1"/>
  <c r="AR420" i="59" s="1"/>
  <c r="AU420" i="59" s="1"/>
  <c r="J420" i="59" s="1"/>
  <c r="AV420" i="59"/>
  <c r="AX420" i="59"/>
  <c r="AY420" i="59"/>
  <c r="AZ420" i="59"/>
  <c r="BC270" i="59" l="1"/>
  <c r="BD270" i="59" s="1"/>
  <c r="BA420" i="59"/>
  <c r="BC420" i="59"/>
  <c r="BD420" i="59" s="1"/>
  <c r="N85" i="59" l="1"/>
  <c r="Q85" i="59" s="1"/>
  <c r="T85" i="59" s="1"/>
  <c r="W85" i="59" s="1"/>
  <c r="Z85" i="59" s="1"/>
  <c r="AC85" i="59" s="1"/>
  <c r="AF85" i="59" s="1"/>
  <c r="AI85" i="59" s="1"/>
  <c r="AL85" i="59" s="1"/>
  <c r="AO85" i="59" s="1"/>
  <c r="AR85" i="59" s="1"/>
  <c r="AU85" i="59" s="1"/>
  <c r="J85" i="59" s="1"/>
  <c r="AV85" i="59"/>
  <c r="AW85" i="59"/>
  <c r="AX85" i="59"/>
  <c r="AY85" i="59"/>
  <c r="AZ85" i="59"/>
  <c r="N81" i="59"/>
  <c r="Q81" i="59" s="1"/>
  <c r="T81" i="59" s="1"/>
  <c r="W81" i="59" s="1"/>
  <c r="Z81" i="59" s="1"/>
  <c r="AC81" i="59" s="1"/>
  <c r="AF81" i="59" s="1"/>
  <c r="AI81" i="59" s="1"/>
  <c r="AL81" i="59" s="1"/>
  <c r="AO81" i="59" s="1"/>
  <c r="AR81" i="59" s="1"/>
  <c r="AU81" i="59" s="1"/>
  <c r="J81" i="59" s="1"/>
  <c r="AV81" i="59"/>
  <c r="AX81" i="59"/>
  <c r="AY81" i="59"/>
  <c r="AZ81" i="59"/>
  <c r="BA81" i="59" l="1"/>
  <c r="BC81" i="59"/>
  <c r="BD81" i="59" s="1"/>
  <c r="BA85" i="59"/>
  <c r="BC85" i="59"/>
  <c r="BD85" i="59" s="1"/>
  <c r="N296" i="59" l="1"/>
  <c r="Q296" i="59" s="1"/>
  <c r="T296" i="59" s="1"/>
  <c r="W296" i="59" s="1"/>
  <c r="Z296" i="59" s="1"/>
  <c r="AC296" i="59" s="1"/>
  <c r="AF296" i="59" s="1"/>
  <c r="AI296" i="59" s="1"/>
  <c r="AL296" i="59" s="1"/>
  <c r="AO296" i="59" s="1"/>
  <c r="AR296" i="59" s="1"/>
  <c r="AU296" i="59" s="1"/>
  <c r="J296" i="59" s="1"/>
  <c r="AX296" i="59"/>
  <c r="AY296" i="59"/>
  <c r="AZ296" i="59"/>
  <c r="BA296" i="59" l="1"/>
  <c r="BC296" i="59"/>
  <c r="BD296" i="59" s="1"/>
  <c r="N509" i="59" l="1"/>
  <c r="Q509" i="59" s="1"/>
  <c r="T509" i="59" s="1"/>
  <c r="W509" i="59" s="1"/>
  <c r="Z509" i="59" s="1"/>
  <c r="AC509" i="59" s="1"/>
  <c r="AF509" i="59" s="1"/>
  <c r="AI509" i="59" s="1"/>
  <c r="AL509" i="59" s="1"/>
  <c r="AO509" i="59" s="1"/>
  <c r="AR509" i="59" s="1"/>
  <c r="AU509" i="59" s="1"/>
  <c r="J509" i="59" s="1"/>
  <c r="AV509" i="59"/>
  <c r="AX509" i="59"/>
  <c r="AY509" i="59"/>
  <c r="AZ509" i="59"/>
  <c r="BA509" i="59" l="1"/>
  <c r="BC509" i="59"/>
  <c r="BD509" i="59" s="1"/>
  <c r="N415" i="59" l="1"/>
  <c r="Q415" i="59" s="1"/>
  <c r="T415" i="59" s="1"/>
  <c r="W415" i="59" s="1"/>
  <c r="Z415" i="59" s="1"/>
  <c r="AC415" i="59" s="1"/>
  <c r="AF415" i="59" s="1"/>
  <c r="AI415" i="59" s="1"/>
  <c r="AL415" i="59" s="1"/>
  <c r="AO415" i="59" s="1"/>
  <c r="AR415" i="59" s="1"/>
  <c r="AU415" i="59" s="1"/>
  <c r="J415" i="59" s="1"/>
  <c r="AV415" i="59"/>
  <c r="AX415" i="59"/>
  <c r="AY415" i="59"/>
  <c r="AZ415" i="59"/>
  <c r="BA415" i="59" l="1"/>
  <c r="BC415" i="59"/>
  <c r="BD415" i="59" s="1"/>
  <c r="N860" i="59" l="1"/>
  <c r="N422" i="59" l="1"/>
  <c r="Q422" i="59" s="1"/>
  <c r="T422" i="59" s="1"/>
  <c r="W422" i="59" s="1"/>
  <c r="Z422" i="59" s="1"/>
  <c r="AC422" i="59" s="1"/>
  <c r="AF422" i="59" s="1"/>
  <c r="AI422" i="59" s="1"/>
  <c r="AL422" i="59" s="1"/>
  <c r="AO422" i="59" s="1"/>
  <c r="AR422" i="59" s="1"/>
  <c r="AU422" i="59" s="1"/>
  <c r="J422" i="59" s="1"/>
  <c r="AV422" i="59"/>
  <c r="AX422" i="59"/>
  <c r="AY422" i="59"/>
  <c r="AZ422" i="59"/>
  <c r="N271" i="59"/>
  <c r="Q271" i="59" s="1"/>
  <c r="T271" i="59" s="1"/>
  <c r="W271" i="59" s="1"/>
  <c r="Z271" i="59" s="1"/>
  <c r="AC271" i="59" s="1"/>
  <c r="AF271" i="59" s="1"/>
  <c r="AI271" i="59" s="1"/>
  <c r="AL271" i="59" s="1"/>
  <c r="AO271" i="59" s="1"/>
  <c r="AR271" i="59" s="1"/>
  <c r="AU271" i="59" s="1"/>
  <c r="AV271" i="59"/>
  <c r="AW271" i="59"/>
  <c r="AX271" i="59"/>
  <c r="AY271" i="59"/>
  <c r="AZ271" i="59"/>
  <c r="BA422" i="59" l="1"/>
  <c r="BC422" i="59"/>
  <c r="BD422" i="59" s="1"/>
  <c r="J271" i="59"/>
  <c r="N33" i="59"/>
  <c r="Q33" i="59" s="1"/>
  <c r="T33" i="59" s="1"/>
  <c r="W33" i="59" s="1"/>
  <c r="Z33" i="59" s="1"/>
  <c r="AC33" i="59" s="1"/>
  <c r="AF33" i="59" s="1"/>
  <c r="AI33" i="59" s="1"/>
  <c r="AL33" i="59" s="1"/>
  <c r="AO33" i="59" s="1"/>
  <c r="AR33" i="59" s="1"/>
  <c r="AU33" i="59" s="1"/>
  <c r="AV33" i="59"/>
  <c r="AW33" i="59"/>
  <c r="AX33" i="59"/>
  <c r="AY33" i="59"/>
  <c r="AZ33" i="59"/>
  <c r="N32" i="59"/>
  <c r="Q32" i="59" s="1"/>
  <c r="T32" i="59" s="1"/>
  <c r="W32" i="59" s="1"/>
  <c r="Z32" i="59" s="1"/>
  <c r="AC32" i="59" s="1"/>
  <c r="AF32" i="59" s="1"/>
  <c r="AI32" i="59" s="1"/>
  <c r="AL32" i="59" s="1"/>
  <c r="AO32" i="59" s="1"/>
  <c r="AR32" i="59" s="1"/>
  <c r="AU32" i="59" s="1"/>
  <c r="J32" i="59" s="1"/>
  <c r="AV32" i="59"/>
  <c r="AW32" i="59"/>
  <c r="AX32" i="59"/>
  <c r="AY32" i="59"/>
  <c r="AZ32" i="59"/>
  <c r="N303" i="59"/>
  <c r="Q303" i="59" s="1"/>
  <c r="T303" i="59" s="1"/>
  <c r="W303" i="59" s="1"/>
  <c r="Z303" i="59" s="1"/>
  <c r="AC303" i="59" s="1"/>
  <c r="AF303" i="59" s="1"/>
  <c r="AI303" i="59" s="1"/>
  <c r="AL303" i="59" s="1"/>
  <c r="AO303" i="59" s="1"/>
  <c r="AR303" i="59" s="1"/>
  <c r="AU303" i="59" s="1"/>
  <c r="AV303" i="59"/>
  <c r="AX303" i="59"/>
  <c r="AY303" i="59"/>
  <c r="AZ303" i="59"/>
  <c r="BC32" i="59" l="1"/>
  <c r="BD32" i="59" s="1"/>
  <c r="BI32" i="59"/>
  <c r="BA271" i="59"/>
  <c r="BC271" i="59"/>
  <c r="BD271" i="59" s="1"/>
  <c r="J33" i="59"/>
  <c r="BI33" i="59" s="1"/>
  <c r="BA32" i="59"/>
  <c r="J303" i="59"/>
  <c r="BA33" i="59" l="1"/>
  <c r="BC33" i="59"/>
  <c r="BD33" i="59" s="1"/>
  <c r="BC303" i="59"/>
  <c r="BD303" i="59" s="1"/>
  <c r="N314" i="59" l="1"/>
  <c r="Q314" i="59" s="1"/>
  <c r="T314" i="59" s="1"/>
  <c r="W314" i="59" s="1"/>
  <c r="Z314" i="59" s="1"/>
  <c r="AC314" i="59" s="1"/>
  <c r="AF314" i="59" s="1"/>
  <c r="AI314" i="59" s="1"/>
  <c r="AL314" i="59" s="1"/>
  <c r="AO314" i="59" s="1"/>
  <c r="AR314" i="59" s="1"/>
  <c r="AU314" i="59" s="1"/>
  <c r="J314" i="59" s="1"/>
  <c r="AV314" i="59"/>
  <c r="AX314" i="59"/>
  <c r="AY314" i="59"/>
  <c r="AZ314" i="59"/>
  <c r="BA314" i="59" l="1"/>
  <c r="BC314" i="59"/>
  <c r="BD314" i="59" s="1"/>
  <c r="N676" i="59" l="1"/>
  <c r="Q676" i="59" s="1"/>
  <c r="T676" i="59" s="1"/>
  <c r="W676" i="59" s="1"/>
  <c r="Z676" i="59" s="1"/>
  <c r="AC676" i="59" s="1"/>
  <c r="AF676" i="59" s="1"/>
  <c r="AI676" i="59" s="1"/>
  <c r="AL676" i="59" s="1"/>
  <c r="AO676" i="59" s="1"/>
  <c r="AR676" i="59" s="1"/>
  <c r="AU676" i="59" s="1"/>
  <c r="J676" i="59" s="1"/>
  <c r="AV676" i="59"/>
  <c r="AX676" i="59"/>
  <c r="AY676" i="59"/>
  <c r="AZ676" i="59"/>
  <c r="BA676" i="59" l="1"/>
  <c r="BC676" i="59"/>
  <c r="BD676" i="59" s="1"/>
  <c r="N5" i="59"/>
  <c r="Q5" i="59" s="1"/>
  <c r="T5" i="59" s="1"/>
  <c r="W5" i="59" s="1"/>
  <c r="Z5" i="59" s="1"/>
  <c r="AC5" i="59" s="1"/>
  <c r="AF5" i="59" s="1"/>
  <c r="AI5" i="59" s="1"/>
  <c r="AL5" i="59" s="1"/>
  <c r="AO5" i="59" s="1"/>
  <c r="AR5" i="59" s="1"/>
  <c r="AU5" i="59" s="1"/>
  <c r="J5" i="59" s="1"/>
  <c r="BI5" i="59" s="1"/>
  <c r="AV5" i="59"/>
  <c r="AW5" i="59"/>
  <c r="AX5" i="59"/>
  <c r="AY5" i="59"/>
  <c r="AZ5" i="59"/>
  <c r="BA5" i="59" l="1"/>
  <c r="BC5" i="59"/>
  <c r="BD5" i="59" s="1"/>
  <c r="N4" i="59" l="1"/>
  <c r="Q4" i="59" s="1"/>
  <c r="T4" i="59" s="1"/>
  <c r="W4" i="59" s="1"/>
  <c r="Z4" i="59" s="1"/>
  <c r="AC4" i="59" s="1"/>
  <c r="AF4" i="59" s="1"/>
  <c r="AI4" i="59" s="1"/>
  <c r="AL4" i="59" s="1"/>
  <c r="N6" i="59"/>
  <c r="Q6" i="59" s="1"/>
  <c r="T6" i="59" s="1"/>
  <c r="W6" i="59" s="1"/>
  <c r="Z6" i="59" s="1"/>
  <c r="AC6" i="59" s="1"/>
  <c r="AF6" i="59" s="1"/>
  <c r="AI6" i="59" s="1"/>
  <c r="AL6" i="59" s="1"/>
  <c r="AO6" i="59" s="1"/>
  <c r="AR6" i="59" s="1"/>
  <c r="N121" i="59"/>
  <c r="Q121" i="59" s="1"/>
  <c r="T121" i="59" s="1"/>
  <c r="W121" i="59" s="1"/>
  <c r="Z121" i="59" s="1"/>
  <c r="AC121" i="59" s="1"/>
  <c r="AF121" i="59" s="1"/>
  <c r="AI121" i="59" s="1"/>
  <c r="AL121" i="59" s="1"/>
  <c r="AO121" i="59" s="1"/>
  <c r="AR121" i="59" s="1"/>
  <c r="N109" i="59"/>
  <c r="Q109" i="59" s="1"/>
  <c r="T109" i="59" s="1"/>
  <c r="W109" i="59" s="1"/>
  <c r="Z109" i="59" s="1"/>
  <c r="AC109" i="59" s="1"/>
  <c r="AF109" i="59" s="1"/>
  <c r="AI109" i="59" s="1"/>
  <c r="AL109" i="59" s="1"/>
  <c r="AO109" i="59" s="1"/>
  <c r="AR109" i="59" s="1"/>
  <c r="N110" i="59"/>
  <c r="Q110" i="59" s="1"/>
  <c r="T110" i="59" s="1"/>
  <c r="W110" i="59" s="1"/>
  <c r="Z110" i="59" s="1"/>
  <c r="AC110" i="59" s="1"/>
  <c r="AF110" i="59" s="1"/>
  <c r="AI110" i="59" s="1"/>
  <c r="AL110" i="59" s="1"/>
  <c r="AO110" i="59" s="1"/>
  <c r="AR110" i="59" s="1"/>
  <c r="N115" i="59"/>
  <c r="Q115" i="59" s="1"/>
  <c r="T115" i="59" s="1"/>
  <c r="W115" i="59" s="1"/>
  <c r="Z115" i="59" s="1"/>
  <c r="AC115" i="59" s="1"/>
  <c r="AF115" i="59" s="1"/>
  <c r="AI115" i="59" s="1"/>
  <c r="AL115" i="59" s="1"/>
  <c r="AO115" i="59" s="1"/>
  <c r="AR115" i="59" s="1"/>
  <c r="N106" i="59"/>
  <c r="Q106" i="59" s="1"/>
  <c r="T106" i="59" s="1"/>
  <c r="W106" i="59" s="1"/>
  <c r="Z106" i="59" s="1"/>
  <c r="AC106" i="59" s="1"/>
  <c r="AF106" i="59" s="1"/>
  <c r="AI106" i="59" s="1"/>
  <c r="AL106" i="59" s="1"/>
  <c r="AO106" i="59" s="1"/>
  <c r="AR106" i="59" s="1"/>
  <c r="N107" i="59"/>
  <c r="Q107" i="59" s="1"/>
  <c r="T107" i="59" s="1"/>
  <c r="W107" i="59" s="1"/>
  <c r="Z107" i="59" s="1"/>
  <c r="AC107" i="59" s="1"/>
  <c r="AF107" i="59" s="1"/>
  <c r="AI107" i="59" s="1"/>
  <c r="AL107" i="59" s="1"/>
  <c r="AO107" i="59" s="1"/>
  <c r="AR107" i="59" s="1"/>
  <c r="N116" i="59"/>
  <c r="Q116" i="59" s="1"/>
  <c r="T116" i="59" s="1"/>
  <c r="W116" i="59" s="1"/>
  <c r="Z116" i="59" s="1"/>
  <c r="AC116" i="59" s="1"/>
  <c r="AF116" i="59" s="1"/>
  <c r="AI116" i="59" s="1"/>
  <c r="AL116" i="59" s="1"/>
  <c r="AO116" i="59" s="1"/>
  <c r="AR116" i="59" s="1"/>
  <c r="N22" i="59"/>
  <c r="Q22" i="59" s="1"/>
  <c r="T22" i="59" s="1"/>
  <c r="W22" i="59" s="1"/>
  <c r="Z22" i="59" s="1"/>
  <c r="AC22" i="59" s="1"/>
  <c r="AF22" i="59" s="1"/>
  <c r="AI22" i="59" s="1"/>
  <c r="AL22" i="59" s="1"/>
  <c r="AO22" i="59" s="1"/>
  <c r="AR22" i="59" s="1"/>
  <c r="N111" i="59"/>
  <c r="Q111" i="59" s="1"/>
  <c r="T111" i="59" s="1"/>
  <c r="W111" i="59" s="1"/>
  <c r="Z111" i="59" s="1"/>
  <c r="AC111" i="59" s="1"/>
  <c r="AF111" i="59" s="1"/>
  <c r="AI111" i="59" s="1"/>
  <c r="AL111" i="59" s="1"/>
  <c r="AO111" i="59" s="1"/>
  <c r="AR111" i="59" s="1"/>
  <c r="N20" i="59"/>
  <c r="Q20" i="59" s="1"/>
  <c r="T20" i="59" s="1"/>
  <c r="W20" i="59" s="1"/>
  <c r="Z20" i="59" s="1"/>
  <c r="AC20" i="59" s="1"/>
  <c r="AF20" i="59" s="1"/>
  <c r="AI20" i="59" s="1"/>
  <c r="AL20" i="59" s="1"/>
  <c r="AO20" i="59" s="1"/>
  <c r="AR20" i="59" s="1"/>
  <c r="N168" i="59"/>
  <c r="Q168" i="59" s="1"/>
  <c r="T168" i="59" s="1"/>
  <c r="W168" i="59" s="1"/>
  <c r="Z168" i="59" s="1"/>
  <c r="AC168" i="59" s="1"/>
  <c r="AF168" i="59" s="1"/>
  <c r="AI168" i="59" s="1"/>
  <c r="AL168" i="59" s="1"/>
  <c r="AO168" i="59" s="1"/>
  <c r="AR168" i="59" s="1"/>
  <c r="N105" i="59"/>
  <c r="Q105" i="59" s="1"/>
  <c r="T105" i="59" s="1"/>
  <c r="W105" i="59" s="1"/>
  <c r="Z105" i="59" s="1"/>
  <c r="AC105" i="59" s="1"/>
  <c r="AF105" i="59" s="1"/>
  <c r="AI105" i="59" s="1"/>
  <c r="AL105" i="59" s="1"/>
  <c r="AO105" i="59" s="1"/>
  <c r="AR105" i="59" s="1"/>
  <c r="N7" i="59"/>
  <c r="Q7" i="59" s="1"/>
  <c r="T7" i="59" s="1"/>
  <c r="W7" i="59" s="1"/>
  <c r="Z7" i="59" s="1"/>
  <c r="AC7" i="59" s="1"/>
  <c r="AF7" i="59" s="1"/>
  <c r="AI7" i="59" s="1"/>
  <c r="AL7" i="59" s="1"/>
  <c r="AO7" i="59" s="1"/>
  <c r="AR7" i="59" s="1"/>
  <c r="N8" i="59"/>
  <c r="Q8" i="59" s="1"/>
  <c r="T8" i="59" s="1"/>
  <c r="W8" i="59" s="1"/>
  <c r="Z8" i="59" s="1"/>
  <c r="AC8" i="59" s="1"/>
  <c r="AF8" i="59" s="1"/>
  <c r="AI8" i="59" s="1"/>
  <c r="AL8" i="59" s="1"/>
  <c r="AO8" i="59" s="1"/>
  <c r="AR8" i="59" s="1"/>
  <c r="N9" i="59"/>
  <c r="Q9" i="59" s="1"/>
  <c r="T9" i="59" s="1"/>
  <c r="W9" i="59" s="1"/>
  <c r="Z9" i="59" s="1"/>
  <c r="AC9" i="59" s="1"/>
  <c r="AF9" i="59" s="1"/>
  <c r="AI9" i="59" s="1"/>
  <c r="AL9" i="59" s="1"/>
  <c r="AO9" i="59" s="1"/>
  <c r="AR9" i="59" s="1"/>
  <c r="N11" i="59"/>
  <c r="Q11" i="59" s="1"/>
  <c r="T11" i="59" s="1"/>
  <c r="W11" i="59" s="1"/>
  <c r="Z11" i="59" s="1"/>
  <c r="AC11" i="59" s="1"/>
  <c r="AF11" i="59" s="1"/>
  <c r="AI11" i="59" s="1"/>
  <c r="AL11" i="59" s="1"/>
  <c r="AO11" i="59" s="1"/>
  <c r="AR11" i="59" s="1"/>
  <c r="N12" i="59"/>
  <c r="Q12" i="59" s="1"/>
  <c r="T12" i="59" s="1"/>
  <c r="W12" i="59" s="1"/>
  <c r="Z12" i="59" s="1"/>
  <c r="AC12" i="59" s="1"/>
  <c r="AF12" i="59" s="1"/>
  <c r="AI12" i="59" s="1"/>
  <c r="AL12" i="59" s="1"/>
  <c r="AO12" i="59" s="1"/>
  <c r="AR12" i="59" s="1"/>
  <c r="N10" i="59"/>
  <c r="Q10" i="59" s="1"/>
  <c r="T10" i="59" s="1"/>
  <c r="W10" i="59" s="1"/>
  <c r="Z10" i="59" s="1"/>
  <c r="AC10" i="59" s="1"/>
  <c r="AF10" i="59" s="1"/>
  <c r="AI10" i="59" s="1"/>
  <c r="AL10" i="59" s="1"/>
  <c r="AO10" i="59" s="1"/>
  <c r="AR10" i="59" s="1"/>
  <c r="N14" i="59"/>
  <c r="Q14" i="59" s="1"/>
  <c r="T14" i="59" s="1"/>
  <c r="W14" i="59" s="1"/>
  <c r="Z14" i="59" s="1"/>
  <c r="AC14" i="59" s="1"/>
  <c r="AF14" i="59" s="1"/>
  <c r="AI14" i="59" s="1"/>
  <c r="AL14" i="59" s="1"/>
  <c r="AO14" i="59" s="1"/>
  <c r="AR14" i="59" s="1"/>
  <c r="N34" i="59"/>
  <c r="Q34" i="59" s="1"/>
  <c r="T34" i="59" s="1"/>
  <c r="W34" i="59" s="1"/>
  <c r="Z34" i="59" s="1"/>
  <c r="AC34" i="59" s="1"/>
  <c r="AF34" i="59" s="1"/>
  <c r="AI34" i="59" s="1"/>
  <c r="AL34" i="59" s="1"/>
  <c r="AO34" i="59" s="1"/>
  <c r="AR34" i="59" s="1"/>
  <c r="N15" i="59"/>
  <c r="Q15" i="59" s="1"/>
  <c r="T15" i="59" s="1"/>
  <c r="W15" i="59" s="1"/>
  <c r="Z15" i="59" s="1"/>
  <c r="AC15" i="59" s="1"/>
  <c r="AF15" i="59" s="1"/>
  <c r="AI15" i="59" s="1"/>
  <c r="AL15" i="59" s="1"/>
  <c r="AO15" i="59" s="1"/>
  <c r="AR15" i="59" s="1"/>
  <c r="N17" i="59"/>
  <c r="Q17" i="59" s="1"/>
  <c r="T17" i="59" s="1"/>
  <c r="W17" i="59" s="1"/>
  <c r="Z17" i="59" s="1"/>
  <c r="AC17" i="59" s="1"/>
  <c r="AF17" i="59" s="1"/>
  <c r="AI17" i="59" s="1"/>
  <c r="AL17" i="59" s="1"/>
  <c r="AO17" i="59" s="1"/>
  <c r="AR17" i="59" s="1"/>
  <c r="N31" i="59"/>
  <c r="Q31" i="59" s="1"/>
  <c r="T31" i="59" s="1"/>
  <c r="W31" i="59" s="1"/>
  <c r="Z31" i="59" s="1"/>
  <c r="AC31" i="59" s="1"/>
  <c r="N377" i="59"/>
  <c r="Q377" i="59" s="1"/>
  <c r="T377" i="59" s="1"/>
  <c r="W377" i="59" s="1"/>
  <c r="Z377" i="59" s="1"/>
  <c r="AC377" i="59" s="1"/>
  <c r="AF377" i="59" s="1"/>
  <c r="AI377" i="59" s="1"/>
  <c r="N100" i="59"/>
  <c r="Q100" i="59" s="1"/>
  <c r="T100" i="59" s="1"/>
  <c r="W100" i="59" s="1"/>
  <c r="Z100" i="59" s="1"/>
  <c r="AC100" i="59" s="1"/>
  <c r="AF100" i="59" s="1"/>
  <c r="AI100" i="59" s="1"/>
  <c r="AL100" i="59" s="1"/>
  <c r="AO100" i="59" s="1"/>
  <c r="AR100" i="59" s="1"/>
  <c r="N929" i="59"/>
  <c r="Q929" i="59" s="1"/>
  <c r="T929" i="59" s="1"/>
  <c r="W929" i="59" s="1"/>
  <c r="Z929" i="59" s="1"/>
  <c r="AC929" i="59" s="1"/>
  <c r="AF929" i="59" s="1"/>
  <c r="AI929" i="59" s="1"/>
  <c r="AL929" i="59" s="1"/>
  <c r="AO929" i="59" s="1"/>
  <c r="AR929" i="59" s="1"/>
  <c r="N928" i="59"/>
  <c r="Q928" i="59" s="1"/>
  <c r="T928" i="59" s="1"/>
  <c r="W928" i="59" s="1"/>
  <c r="Z928" i="59" s="1"/>
  <c r="AC928" i="59" s="1"/>
  <c r="AF928" i="59" s="1"/>
  <c r="AI928" i="59" s="1"/>
  <c r="AL928" i="59" s="1"/>
  <c r="AO928" i="59" s="1"/>
  <c r="AR928" i="59" s="1"/>
  <c r="N126" i="59"/>
  <c r="Q126" i="59" s="1"/>
  <c r="T126" i="59" s="1"/>
  <c r="W126" i="59" s="1"/>
  <c r="Z126" i="59" s="1"/>
  <c r="AC126" i="59" s="1"/>
  <c r="AF126" i="59" s="1"/>
  <c r="AI126" i="59" s="1"/>
  <c r="AL126" i="59" s="1"/>
  <c r="AO126" i="59" s="1"/>
  <c r="AR126" i="59" s="1"/>
  <c r="N634" i="59"/>
  <c r="Q634" i="59" s="1"/>
  <c r="T634" i="59" s="1"/>
  <c r="W634" i="59" s="1"/>
  <c r="Z634" i="59" s="1"/>
  <c r="AC634" i="59" s="1"/>
  <c r="AF634" i="59" s="1"/>
  <c r="AI634" i="59" s="1"/>
  <c r="AL634" i="59" s="1"/>
  <c r="AO634" i="59" s="1"/>
  <c r="AR634" i="59" s="1"/>
  <c r="N19" i="59"/>
  <c r="Q19" i="59" s="1"/>
  <c r="T19" i="59" s="1"/>
  <c r="W19" i="59" s="1"/>
  <c r="Z19" i="59" s="1"/>
  <c r="AC19" i="59" s="1"/>
  <c r="AF19" i="59" s="1"/>
  <c r="AI19" i="59" s="1"/>
  <c r="AL19" i="59" s="1"/>
  <c r="AO19" i="59" s="1"/>
  <c r="AR19" i="59" s="1"/>
  <c r="N173" i="59"/>
  <c r="Q173" i="59" s="1"/>
  <c r="T173" i="59" s="1"/>
  <c r="W173" i="59" s="1"/>
  <c r="Z173" i="59" s="1"/>
  <c r="AC173" i="59" s="1"/>
  <c r="AF173" i="59" s="1"/>
  <c r="AI173" i="59" s="1"/>
  <c r="AL173" i="59" s="1"/>
  <c r="AO173" i="59" s="1"/>
  <c r="AR173" i="59" s="1"/>
  <c r="N497" i="59"/>
  <c r="Q497" i="59" s="1"/>
  <c r="T497" i="59" s="1"/>
  <c r="W497" i="59" s="1"/>
  <c r="Z497" i="59" s="1"/>
  <c r="AC497" i="59" s="1"/>
  <c r="AF497" i="59" s="1"/>
  <c r="AI497" i="59" s="1"/>
  <c r="AL497" i="59" s="1"/>
  <c r="AO497" i="59" s="1"/>
  <c r="AR497" i="59" s="1"/>
  <c r="N495" i="59"/>
  <c r="Q495" i="59" s="1"/>
  <c r="T495" i="59" s="1"/>
  <c r="W495" i="59" s="1"/>
  <c r="Z495" i="59" s="1"/>
  <c r="AC495" i="59" s="1"/>
  <c r="AF495" i="59" s="1"/>
  <c r="AI495" i="59" s="1"/>
  <c r="AL495" i="59" s="1"/>
  <c r="AO495" i="59" s="1"/>
  <c r="AR495" i="59" s="1"/>
  <c r="N910" i="59"/>
  <c r="Q910" i="59" s="1"/>
  <c r="T910" i="59" s="1"/>
  <c r="W910" i="59" s="1"/>
  <c r="Z910" i="59" s="1"/>
  <c r="AC910" i="59" s="1"/>
  <c r="AF910" i="59" s="1"/>
  <c r="AI910" i="59" s="1"/>
  <c r="AL910" i="59" s="1"/>
  <c r="AO910" i="59" s="1"/>
  <c r="AR910" i="59" s="1"/>
  <c r="N417" i="59"/>
  <c r="Q417" i="59" s="1"/>
  <c r="T417" i="59" s="1"/>
  <c r="W417" i="59" s="1"/>
  <c r="Z417" i="59" s="1"/>
  <c r="AC417" i="59" s="1"/>
  <c r="AF417" i="59" s="1"/>
  <c r="AI417" i="59" s="1"/>
  <c r="AL417" i="59" s="1"/>
  <c r="AO417" i="59" s="1"/>
  <c r="AR417" i="59" s="1"/>
  <c r="N416" i="59"/>
  <c r="Q416" i="59" s="1"/>
  <c r="T416" i="59" s="1"/>
  <c r="W416" i="59" s="1"/>
  <c r="Z416" i="59" s="1"/>
  <c r="AC416" i="59" s="1"/>
  <c r="AF416" i="59" s="1"/>
  <c r="AI416" i="59" s="1"/>
  <c r="AL416" i="59" s="1"/>
  <c r="AO416" i="59" s="1"/>
  <c r="AR416" i="59" s="1"/>
  <c r="N425" i="59"/>
  <c r="Q425" i="59" s="1"/>
  <c r="T425" i="59" s="1"/>
  <c r="W425" i="59" s="1"/>
  <c r="Z425" i="59" s="1"/>
  <c r="AC425" i="59" s="1"/>
  <c r="AF425" i="59" s="1"/>
  <c r="AI425" i="59" s="1"/>
  <c r="AL425" i="59" s="1"/>
  <c r="AO425" i="59" s="1"/>
  <c r="AR425" i="59" s="1"/>
  <c r="N421" i="59"/>
  <c r="Q421" i="59" s="1"/>
  <c r="T421" i="59" s="1"/>
  <c r="W421" i="59" s="1"/>
  <c r="Z421" i="59" s="1"/>
  <c r="AC421" i="59" s="1"/>
  <c r="AF421" i="59" s="1"/>
  <c r="AI421" i="59" s="1"/>
  <c r="AL421" i="59" s="1"/>
  <c r="AO421" i="59" s="1"/>
  <c r="AR421" i="59" s="1"/>
  <c r="N419" i="59"/>
  <c r="Q419" i="59" s="1"/>
  <c r="T419" i="59" s="1"/>
  <c r="W419" i="59" s="1"/>
  <c r="Z419" i="59" s="1"/>
  <c r="AC419" i="59" s="1"/>
  <c r="AF419" i="59" s="1"/>
  <c r="AI419" i="59" s="1"/>
  <c r="AL419" i="59" s="1"/>
  <c r="AO419" i="59" s="1"/>
  <c r="AR419" i="59" s="1"/>
  <c r="N341" i="59"/>
  <c r="Q341" i="59" s="1"/>
  <c r="T341" i="59" s="1"/>
  <c r="W341" i="59" s="1"/>
  <c r="Z341" i="59" s="1"/>
  <c r="AC341" i="59" s="1"/>
  <c r="AF341" i="59" s="1"/>
  <c r="AI341" i="59" s="1"/>
  <c r="AL341" i="59" s="1"/>
  <c r="AO341" i="59" s="1"/>
  <c r="AR341" i="59" s="1"/>
  <c r="N414" i="59"/>
  <c r="Q414" i="59" s="1"/>
  <c r="T414" i="59" s="1"/>
  <c r="W414" i="59" s="1"/>
  <c r="Z414" i="59" s="1"/>
  <c r="AC414" i="59" s="1"/>
  <c r="AF414" i="59" s="1"/>
  <c r="AI414" i="59" s="1"/>
  <c r="AL414" i="59" s="1"/>
  <c r="AO414" i="59" s="1"/>
  <c r="N424" i="59"/>
  <c r="Q424" i="59" s="1"/>
  <c r="T424" i="59" s="1"/>
  <c r="W424" i="59" s="1"/>
  <c r="Z424" i="59" s="1"/>
  <c r="AC424" i="59" s="1"/>
  <c r="AF424" i="59" s="1"/>
  <c r="AI424" i="59" s="1"/>
  <c r="AL424" i="59" s="1"/>
  <c r="AO424" i="59" s="1"/>
  <c r="AR424" i="59" s="1"/>
  <c r="N265" i="59"/>
  <c r="Q265" i="59" s="1"/>
  <c r="T265" i="59" s="1"/>
  <c r="W265" i="59" s="1"/>
  <c r="Z265" i="59" s="1"/>
  <c r="AC265" i="59" s="1"/>
  <c r="AF265" i="59" s="1"/>
  <c r="AI265" i="59" s="1"/>
  <c r="AL265" i="59" s="1"/>
  <c r="AO265" i="59" s="1"/>
  <c r="AR265" i="59" s="1"/>
  <c r="N266" i="59"/>
  <c r="Q266" i="59" s="1"/>
  <c r="T266" i="59" s="1"/>
  <c r="W266" i="59" s="1"/>
  <c r="Z266" i="59" s="1"/>
  <c r="AC266" i="59" s="1"/>
  <c r="AF266" i="59" s="1"/>
  <c r="AI266" i="59" s="1"/>
  <c r="AL266" i="59" s="1"/>
  <c r="AO266" i="59" s="1"/>
  <c r="AR266" i="59" s="1"/>
  <c r="N307" i="59"/>
  <c r="Q307" i="59" s="1"/>
  <c r="T307" i="59" s="1"/>
  <c r="W307" i="59" s="1"/>
  <c r="Z307" i="59" s="1"/>
  <c r="AC307" i="59" s="1"/>
  <c r="AF307" i="59" s="1"/>
  <c r="AI307" i="59" s="1"/>
  <c r="AL307" i="59" s="1"/>
  <c r="AO307" i="59" s="1"/>
  <c r="AR307" i="59" s="1"/>
  <c r="N268" i="59"/>
  <c r="Q268" i="59" s="1"/>
  <c r="T268" i="59" s="1"/>
  <c r="W268" i="59" s="1"/>
  <c r="Z268" i="59" s="1"/>
  <c r="AC268" i="59" s="1"/>
  <c r="AF268" i="59" s="1"/>
  <c r="AI268" i="59" s="1"/>
  <c r="AL268" i="59" s="1"/>
  <c r="AO268" i="59" s="1"/>
  <c r="AR268" i="59" s="1"/>
  <c r="N306" i="59"/>
  <c r="Q306" i="59" s="1"/>
  <c r="T306" i="59" s="1"/>
  <c r="W306" i="59" s="1"/>
  <c r="Z306" i="59" s="1"/>
  <c r="AC306" i="59" s="1"/>
  <c r="AF306" i="59" s="1"/>
  <c r="AI306" i="59" s="1"/>
  <c r="AL306" i="59" s="1"/>
  <c r="AO306" i="59" s="1"/>
  <c r="AR306" i="59" s="1"/>
  <c r="N269" i="59"/>
  <c r="Q269" i="59" s="1"/>
  <c r="T269" i="59" s="1"/>
  <c r="W269" i="59" s="1"/>
  <c r="Z269" i="59" s="1"/>
  <c r="AC269" i="59" s="1"/>
  <c r="AF269" i="59" s="1"/>
  <c r="AI269" i="59" s="1"/>
  <c r="AL269" i="59" s="1"/>
  <c r="AO269" i="59" s="1"/>
  <c r="AR269" i="59" s="1"/>
  <c r="N297" i="59"/>
  <c r="Q297" i="59" s="1"/>
  <c r="T297" i="59" s="1"/>
  <c r="W297" i="59" s="1"/>
  <c r="Z297" i="59" s="1"/>
  <c r="AC297" i="59" s="1"/>
  <c r="AF297" i="59" s="1"/>
  <c r="AI297" i="59" s="1"/>
  <c r="AL297" i="59" s="1"/>
  <c r="AO297" i="59" s="1"/>
  <c r="AR297" i="59" s="1"/>
  <c r="N263" i="59"/>
  <c r="Q263" i="59" s="1"/>
  <c r="T263" i="59" s="1"/>
  <c r="W263" i="59" s="1"/>
  <c r="Z263" i="59" s="1"/>
  <c r="AC263" i="59" s="1"/>
  <c r="AF263" i="59" s="1"/>
  <c r="AI263" i="59" s="1"/>
  <c r="AL263" i="59" s="1"/>
  <c r="AO263" i="59" s="1"/>
  <c r="AR263" i="59" s="1"/>
  <c r="N272" i="59"/>
  <c r="Q272" i="59" s="1"/>
  <c r="T272" i="59" s="1"/>
  <c r="W272" i="59" s="1"/>
  <c r="Z272" i="59" s="1"/>
  <c r="AC272" i="59" s="1"/>
  <c r="AF272" i="59" s="1"/>
  <c r="AI272" i="59" s="1"/>
  <c r="AL272" i="59" s="1"/>
  <c r="AO272" i="59" s="1"/>
  <c r="AR272" i="59" s="1"/>
  <c r="N273" i="59"/>
  <c r="Q273" i="59" s="1"/>
  <c r="T273" i="59" s="1"/>
  <c r="W273" i="59" s="1"/>
  <c r="Z273" i="59" s="1"/>
  <c r="AC273" i="59" s="1"/>
  <c r="AF273" i="59" s="1"/>
  <c r="AI273" i="59" s="1"/>
  <c r="AL273" i="59" s="1"/>
  <c r="AO273" i="59" s="1"/>
  <c r="AR273" i="59" s="1"/>
  <c r="N275" i="59"/>
  <c r="Q275" i="59" s="1"/>
  <c r="T275" i="59" s="1"/>
  <c r="W275" i="59" s="1"/>
  <c r="Z275" i="59" s="1"/>
  <c r="AC275" i="59" s="1"/>
  <c r="AF275" i="59" s="1"/>
  <c r="AI275" i="59" s="1"/>
  <c r="AL275" i="59" s="1"/>
  <c r="AO275" i="59" s="1"/>
  <c r="AR275" i="59" s="1"/>
  <c r="N276" i="59"/>
  <c r="Q276" i="59" s="1"/>
  <c r="T276" i="59" s="1"/>
  <c r="W276" i="59" s="1"/>
  <c r="Z276" i="59" s="1"/>
  <c r="AC276" i="59" s="1"/>
  <c r="AF276" i="59" s="1"/>
  <c r="AI276" i="59" s="1"/>
  <c r="AL276" i="59" s="1"/>
  <c r="AO276" i="59" s="1"/>
  <c r="AR276" i="59" s="1"/>
  <c r="N277" i="59"/>
  <c r="Q277" i="59" s="1"/>
  <c r="T277" i="59" s="1"/>
  <c r="W277" i="59" s="1"/>
  <c r="Z277" i="59" s="1"/>
  <c r="AC277" i="59" s="1"/>
  <c r="AF277" i="59" s="1"/>
  <c r="AI277" i="59" s="1"/>
  <c r="AL277" i="59" s="1"/>
  <c r="AO277" i="59" s="1"/>
  <c r="AR277" i="59" s="1"/>
  <c r="N304" i="59"/>
  <c r="Q304" i="59" s="1"/>
  <c r="T304" i="59" s="1"/>
  <c r="W304" i="59" s="1"/>
  <c r="Z304" i="59" s="1"/>
  <c r="AC304" i="59" s="1"/>
  <c r="AF304" i="59" s="1"/>
  <c r="AI304" i="59" s="1"/>
  <c r="AL304" i="59" s="1"/>
  <c r="AO304" i="59" s="1"/>
  <c r="AR304" i="59" s="1"/>
  <c r="N274" i="59"/>
  <c r="Q274" i="59" s="1"/>
  <c r="T274" i="59" s="1"/>
  <c r="W274" i="59" s="1"/>
  <c r="Z274" i="59" s="1"/>
  <c r="AC274" i="59" s="1"/>
  <c r="AF274" i="59" s="1"/>
  <c r="AI274" i="59" s="1"/>
  <c r="AL274" i="59" s="1"/>
  <c r="AO274" i="59" s="1"/>
  <c r="AR274" i="59" s="1"/>
  <c r="N279" i="59"/>
  <c r="Q279" i="59" s="1"/>
  <c r="T279" i="59" s="1"/>
  <c r="W279" i="59" s="1"/>
  <c r="Z279" i="59" s="1"/>
  <c r="AC279" i="59" s="1"/>
  <c r="AF279" i="59" s="1"/>
  <c r="AI279" i="59" s="1"/>
  <c r="AL279" i="59" s="1"/>
  <c r="AO279" i="59" s="1"/>
  <c r="AR279" i="59" s="1"/>
  <c r="N280" i="59"/>
  <c r="Q280" i="59" s="1"/>
  <c r="T280" i="59" s="1"/>
  <c r="W280" i="59" s="1"/>
  <c r="Z280" i="59" s="1"/>
  <c r="AC280" i="59" s="1"/>
  <c r="AF280" i="59" s="1"/>
  <c r="AI280" i="59" s="1"/>
  <c r="AL280" i="59" s="1"/>
  <c r="AO280" i="59" s="1"/>
  <c r="AR280" i="59" s="1"/>
  <c r="N281" i="59"/>
  <c r="Q281" i="59" s="1"/>
  <c r="T281" i="59" s="1"/>
  <c r="W281" i="59" s="1"/>
  <c r="Z281" i="59" s="1"/>
  <c r="AC281" i="59" s="1"/>
  <c r="AF281" i="59" s="1"/>
  <c r="AI281" i="59" s="1"/>
  <c r="AL281" i="59" s="1"/>
  <c r="AO281" i="59" s="1"/>
  <c r="AR281" i="59" s="1"/>
  <c r="N282" i="59"/>
  <c r="Q282" i="59" s="1"/>
  <c r="T282" i="59" s="1"/>
  <c r="W282" i="59" s="1"/>
  <c r="Z282" i="59" s="1"/>
  <c r="AC282" i="59" s="1"/>
  <c r="AF282" i="59" s="1"/>
  <c r="AI282" i="59" s="1"/>
  <c r="AL282" i="59" s="1"/>
  <c r="AO282" i="59" s="1"/>
  <c r="AR282" i="59" s="1"/>
  <c r="N283" i="59"/>
  <c r="Q283" i="59" s="1"/>
  <c r="T283" i="59" s="1"/>
  <c r="W283" i="59" s="1"/>
  <c r="Z283" i="59" s="1"/>
  <c r="AC283" i="59" s="1"/>
  <c r="AF283" i="59" s="1"/>
  <c r="AI283" i="59" s="1"/>
  <c r="AL283" i="59" s="1"/>
  <c r="AO283" i="59" s="1"/>
  <c r="AR283" i="59" s="1"/>
  <c r="N284" i="59"/>
  <c r="Q284" i="59" s="1"/>
  <c r="T284" i="59" s="1"/>
  <c r="W284" i="59" s="1"/>
  <c r="Z284" i="59" s="1"/>
  <c r="AC284" i="59" s="1"/>
  <c r="AF284" i="59" s="1"/>
  <c r="AI284" i="59" s="1"/>
  <c r="AL284" i="59" s="1"/>
  <c r="AO284" i="59" s="1"/>
  <c r="AR284" i="59" s="1"/>
  <c r="N318" i="59"/>
  <c r="Q318" i="59" s="1"/>
  <c r="T318" i="59" s="1"/>
  <c r="W318" i="59" s="1"/>
  <c r="Z318" i="59" s="1"/>
  <c r="AC318" i="59" s="1"/>
  <c r="AF318" i="59" s="1"/>
  <c r="AI318" i="59" s="1"/>
  <c r="AL318" i="59" s="1"/>
  <c r="AO318" i="59" s="1"/>
  <c r="AR318" i="59" s="1"/>
  <c r="N316" i="59"/>
  <c r="Q316" i="59" s="1"/>
  <c r="T316" i="59" s="1"/>
  <c r="W316" i="59" s="1"/>
  <c r="Z316" i="59" s="1"/>
  <c r="AC316" i="59" s="1"/>
  <c r="AF316" i="59" s="1"/>
  <c r="AI316" i="59" s="1"/>
  <c r="AL316" i="59" s="1"/>
  <c r="AO316" i="59" s="1"/>
  <c r="AR316" i="59" s="1"/>
  <c r="N382" i="59"/>
  <c r="Q382" i="59" s="1"/>
  <c r="T382" i="59" s="1"/>
  <c r="W382" i="59" s="1"/>
  <c r="Z382" i="59" s="1"/>
  <c r="AC382" i="59" s="1"/>
  <c r="AF382" i="59" s="1"/>
  <c r="AI382" i="59" s="1"/>
  <c r="AL382" i="59" s="1"/>
  <c r="AO382" i="59" s="1"/>
  <c r="AR382" i="59" s="1"/>
  <c r="N381" i="59"/>
  <c r="Q381" i="59" s="1"/>
  <c r="T381" i="59" s="1"/>
  <c r="W381" i="59" s="1"/>
  <c r="Z381" i="59" s="1"/>
  <c r="AC381" i="59" s="1"/>
  <c r="AF381" i="59" s="1"/>
  <c r="AI381" i="59" s="1"/>
  <c r="AL381" i="59" s="1"/>
  <c r="AO381" i="59" s="1"/>
  <c r="AR381" i="59" s="1"/>
  <c r="N380" i="59"/>
  <c r="Q380" i="59" s="1"/>
  <c r="T380" i="59" s="1"/>
  <c r="W380" i="59" s="1"/>
  <c r="Z380" i="59" s="1"/>
  <c r="AC380" i="59" s="1"/>
  <c r="AF380" i="59" s="1"/>
  <c r="AI380" i="59" s="1"/>
  <c r="AL380" i="59" s="1"/>
  <c r="AO380" i="59" s="1"/>
  <c r="AR380" i="59" s="1"/>
  <c r="N383" i="59"/>
  <c r="Q383" i="59" s="1"/>
  <c r="T383" i="59" s="1"/>
  <c r="W383" i="59" s="1"/>
  <c r="Z383" i="59" s="1"/>
  <c r="AC383" i="59" s="1"/>
  <c r="AF383" i="59" s="1"/>
  <c r="AI383" i="59" s="1"/>
  <c r="AL383" i="59" s="1"/>
  <c r="AO383" i="59" s="1"/>
  <c r="AR383" i="59" s="1"/>
  <c r="N386" i="59"/>
  <c r="Q386" i="59" s="1"/>
  <c r="T386" i="59" s="1"/>
  <c r="W386" i="59" s="1"/>
  <c r="Z386" i="59" s="1"/>
  <c r="AC386" i="59" s="1"/>
  <c r="AF386" i="59" s="1"/>
  <c r="AI386" i="59" s="1"/>
  <c r="AL386" i="59" s="1"/>
  <c r="AO386" i="59" s="1"/>
  <c r="AR386" i="59" s="1"/>
  <c r="N388" i="59"/>
  <c r="Q388" i="59" s="1"/>
  <c r="T388" i="59" s="1"/>
  <c r="W388" i="59" s="1"/>
  <c r="Z388" i="59" s="1"/>
  <c r="AC388" i="59" s="1"/>
  <c r="AF388" i="59" s="1"/>
  <c r="AI388" i="59" s="1"/>
  <c r="AL388" i="59" s="1"/>
  <c r="AO388" i="59" s="1"/>
  <c r="AR388" i="59" s="1"/>
  <c r="N387" i="59"/>
  <c r="Q387" i="59" s="1"/>
  <c r="T387" i="59" s="1"/>
  <c r="W387" i="59" s="1"/>
  <c r="Z387" i="59" s="1"/>
  <c r="AC387" i="59" s="1"/>
  <c r="AF387" i="59" s="1"/>
  <c r="AI387" i="59" s="1"/>
  <c r="AL387" i="59" s="1"/>
  <c r="AO387" i="59" s="1"/>
  <c r="AR387" i="59" s="1"/>
  <c r="N389" i="59"/>
  <c r="Q389" i="59" s="1"/>
  <c r="T389" i="59" s="1"/>
  <c r="W389" i="59" s="1"/>
  <c r="Z389" i="59" s="1"/>
  <c r="AC389" i="59" s="1"/>
  <c r="AF389" i="59" s="1"/>
  <c r="AI389" i="59" s="1"/>
  <c r="AL389" i="59" s="1"/>
  <c r="AO389" i="59" s="1"/>
  <c r="AR389" i="59" s="1"/>
  <c r="N90" i="59"/>
  <c r="Q90" i="59" s="1"/>
  <c r="T90" i="59" s="1"/>
  <c r="W90" i="59" s="1"/>
  <c r="Z90" i="59" s="1"/>
  <c r="AC90" i="59" s="1"/>
  <c r="AF90" i="59" s="1"/>
  <c r="AI90" i="59" s="1"/>
  <c r="AL90" i="59" s="1"/>
  <c r="N390" i="59"/>
  <c r="Q390" i="59" s="1"/>
  <c r="T390" i="59" s="1"/>
  <c r="W390" i="59" s="1"/>
  <c r="Z390" i="59" s="1"/>
  <c r="AC390" i="59" s="1"/>
  <c r="AF390" i="59" s="1"/>
  <c r="AI390" i="59" s="1"/>
  <c r="AL390" i="59" s="1"/>
  <c r="AO390" i="59" s="1"/>
  <c r="AR390" i="59" s="1"/>
  <c r="N89" i="59"/>
  <c r="Q89" i="59" s="1"/>
  <c r="T89" i="59" s="1"/>
  <c r="W89" i="59" s="1"/>
  <c r="Z89" i="59" s="1"/>
  <c r="AC89" i="59" s="1"/>
  <c r="AF89" i="59" s="1"/>
  <c r="AI89" i="59" s="1"/>
  <c r="AL89" i="59" s="1"/>
  <c r="AO89" i="59" s="1"/>
  <c r="AR89" i="59" s="1"/>
  <c r="N125" i="59"/>
  <c r="Q125" i="59" s="1"/>
  <c r="T125" i="59" s="1"/>
  <c r="W125" i="59" s="1"/>
  <c r="Z125" i="59" s="1"/>
  <c r="AC125" i="59" s="1"/>
  <c r="AF125" i="59" s="1"/>
  <c r="AI125" i="59" s="1"/>
  <c r="AL125" i="59" s="1"/>
  <c r="N170" i="59"/>
  <c r="Q170" i="59" s="1"/>
  <c r="T170" i="59" s="1"/>
  <c r="W170" i="59" s="1"/>
  <c r="Z170" i="59" s="1"/>
  <c r="AC170" i="59" s="1"/>
  <c r="AF170" i="59" s="1"/>
  <c r="AI170" i="59" s="1"/>
  <c r="AL170" i="59" s="1"/>
  <c r="AO170" i="59" s="1"/>
  <c r="AR170" i="59" s="1"/>
  <c r="N94" i="59"/>
  <c r="Q94" i="59" s="1"/>
  <c r="T94" i="59" s="1"/>
  <c r="W94" i="59" s="1"/>
  <c r="Z94" i="59" s="1"/>
  <c r="AC94" i="59" s="1"/>
  <c r="AF94" i="59" s="1"/>
  <c r="AI94" i="59" s="1"/>
  <c r="AL94" i="59" s="1"/>
  <c r="AO94" i="59" s="1"/>
  <c r="AR94" i="59" s="1"/>
  <c r="N93" i="59"/>
  <c r="Q93" i="59" s="1"/>
  <c r="T93" i="59" s="1"/>
  <c r="W93" i="59" s="1"/>
  <c r="Z93" i="59" s="1"/>
  <c r="AC93" i="59" s="1"/>
  <c r="AF93" i="59" s="1"/>
  <c r="AI93" i="59" s="1"/>
  <c r="AL93" i="59" s="1"/>
  <c r="AO93" i="59" s="1"/>
  <c r="AR93" i="59" s="1"/>
  <c r="N122" i="59"/>
  <c r="Q122" i="59" s="1"/>
  <c r="T122" i="59" s="1"/>
  <c r="W122" i="59" s="1"/>
  <c r="Z122" i="59" s="1"/>
  <c r="AC122" i="59" s="1"/>
  <c r="AF122" i="59" s="1"/>
  <c r="AI122" i="59" s="1"/>
  <c r="AL122" i="59" s="1"/>
  <c r="AO122" i="59" s="1"/>
  <c r="AR122" i="59" s="1"/>
  <c r="N95" i="59"/>
  <c r="Q95" i="59" s="1"/>
  <c r="T95" i="59" s="1"/>
  <c r="W95" i="59" s="1"/>
  <c r="Z95" i="59" s="1"/>
  <c r="AC95" i="59" s="1"/>
  <c r="AF95" i="59" s="1"/>
  <c r="AI95" i="59" s="1"/>
  <c r="AL95" i="59" s="1"/>
  <c r="AO95" i="59" s="1"/>
  <c r="AR95" i="59" s="1"/>
  <c r="N98" i="59"/>
  <c r="Q98" i="59" s="1"/>
  <c r="T98" i="59" s="1"/>
  <c r="W98" i="59" s="1"/>
  <c r="Z98" i="59" s="1"/>
  <c r="N99" i="59"/>
  <c r="Q99" i="59" s="1"/>
  <c r="T99" i="59" s="1"/>
  <c r="W99" i="59" s="1"/>
  <c r="Z99" i="59" s="1"/>
  <c r="AC99" i="59" s="1"/>
  <c r="AF99" i="59" s="1"/>
  <c r="AI99" i="59" s="1"/>
  <c r="AL99" i="59" s="1"/>
  <c r="AO99" i="59" s="1"/>
  <c r="AR99" i="59" s="1"/>
  <c r="N934" i="59"/>
  <c r="Q934" i="59" s="1"/>
  <c r="T934" i="59" s="1"/>
  <c r="W934" i="59" s="1"/>
  <c r="Z934" i="59" s="1"/>
  <c r="AC934" i="59" s="1"/>
  <c r="AF934" i="59" s="1"/>
  <c r="AI934" i="59" s="1"/>
  <c r="AL934" i="59" s="1"/>
  <c r="AO934" i="59" s="1"/>
  <c r="AR934" i="59" s="1"/>
  <c r="N92" i="59"/>
  <c r="Q92" i="59" s="1"/>
  <c r="T92" i="59" s="1"/>
  <c r="W92" i="59" s="1"/>
  <c r="Z92" i="59" s="1"/>
  <c r="AC92" i="59" s="1"/>
  <c r="AF92" i="59" s="1"/>
  <c r="AI92" i="59" s="1"/>
  <c r="AL92" i="59" s="1"/>
  <c r="AO92" i="59" s="1"/>
  <c r="AR92" i="59" s="1"/>
  <c r="N87" i="59"/>
  <c r="Q87" i="59" s="1"/>
  <c r="T87" i="59" s="1"/>
  <c r="W87" i="59" s="1"/>
  <c r="Z87" i="59" s="1"/>
  <c r="AC87" i="59" s="1"/>
  <c r="AF87" i="59" s="1"/>
  <c r="AI87" i="59" s="1"/>
  <c r="AL87" i="59" s="1"/>
  <c r="AO87" i="59" s="1"/>
  <c r="AR87" i="59" s="1"/>
  <c r="N97" i="59"/>
  <c r="Q97" i="59" s="1"/>
  <c r="T97" i="59" s="1"/>
  <c r="W97" i="59" s="1"/>
  <c r="Z97" i="59" s="1"/>
  <c r="AC97" i="59" s="1"/>
  <c r="AF97" i="59" s="1"/>
  <c r="AI97" i="59" s="1"/>
  <c r="AL97" i="59" s="1"/>
  <c r="AO97" i="59" s="1"/>
  <c r="AR97" i="59" s="1"/>
  <c r="N108" i="59"/>
  <c r="Q108" i="59" s="1"/>
  <c r="T108" i="59" s="1"/>
  <c r="W108" i="59" s="1"/>
  <c r="Z108" i="59" s="1"/>
  <c r="AC108" i="59" s="1"/>
  <c r="AF108" i="59" s="1"/>
  <c r="AI108" i="59" s="1"/>
  <c r="AL108" i="59" s="1"/>
  <c r="AO108" i="59" s="1"/>
  <c r="AR108" i="59" s="1"/>
  <c r="N166" i="59"/>
  <c r="Q166" i="59" s="1"/>
  <c r="T166" i="59" s="1"/>
  <c r="W166" i="59" s="1"/>
  <c r="Z166" i="59" s="1"/>
  <c r="AC166" i="59" s="1"/>
  <c r="AF166" i="59" s="1"/>
  <c r="AI166" i="59" s="1"/>
  <c r="AL166" i="59" s="1"/>
  <c r="AO166" i="59" s="1"/>
  <c r="AR166" i="59" s="1"/>
  <c r="N103" i="59"/>
  <c r="Q103" i="59" s="1"/>
  <c r="T103" i="59" s="1"/>
  <c r="W103" i="59" s="1"/>
  <c r="Z103" i="59" s="1"/>
  <c r="AC103" i="59" s="1"/>
  <c r="AF103" i="59" s="1"/>
  <c r="AI103" i="59" s="1"/>
  <c r="AL103" i="59" s="1"/>
  <c r="AO103" i="59" s="1"/>
  <c r="AR103" i="59" s="1"/>
  <c r="N104" i="59"/>
  <c r="Q104" i="59" s="1"/>
  <c r="T104" i="59" s="1"/>
  <c r="W104" i="59" s="1"/>
  <c r="Z104" i="59" s="1"/>
  <c r="AC104" i="59" s="1"/>
  <c r="AF104" i="59" s="1"/>
  <c r="AI104" i="59" s="1"/>
  <c r="AL104" i="59" s="1"/>
  <c r="AO104" i="59" s="1"/>
  <c r="AR104" i="59" s="1"/>
  <c r="N165" i="59"/>
  <c r="Q165" i="59" s="1"/>
  <c r="T165" i="59" s="1"/>
  <c r="W165" i="59" s="1"/>
  <c r="Z165" i="59" s="1"/>
  <c r="AC165" i="59" s="1"/>
  <c r="AF165" i="59" s="1"/>
  <c r="AI165" i="59" s="1"/>
  <c r="AL165" i="59" s="1"/>
  <c r="AO165" i="59" s="1"/>
  <c r="AR165" i="59" s="1"/>
  <c r="N132" i="59"/>
  <c r="Q132" i="59" s="1"/>
  <c r="T132" i="59" s="1"/>
  <c r="W132" i="59" s="1"/>
  <c r="Z132" i="59" s="1"/>
  <c r="AC132" i="59" s="1"/>
  <c r="AF132" i="59" s="1"/>
  <c r="AI132" i="59" s="1"/>
  <c r="AL132" i="59" s="1"/>
  <c r="AO132" i="59" s="1"/>
  <c r="AR132" i="59" s="1"/>
  <c r="N167" i="59"/>
  <c r="Q167" i="59" s="1"/>
  <c r="T167" i="59" s="1"/>
  <c r="W167" i="59" s="1"/>
  <c r="Z167" i="59" s="1"/>
  <c r="AC167" i="59" s="1"/>
  <c r="AF167" i="59" s="1"/>
  <c r="AI167" i="59" s="1"/>
  <c r="AL167" i="59" s="1"/>
  <c r="AO167" i="59" s="1"/>
  <c r="AR167" i="59" s="1"/>
  <c r="N164" i="59"/>
  <c r="Q164" i="59" s="1"/>
  <c r="T164" i="59" s="1"/>
  <c r="W164" i="59" s="1"/>
  <c r="Z164" i="59" s="1"/>
  <c r="AC164" i="59" s="1"/>
  <c r="AF164" i="59" s="1"/>
  <c r="AI164" i="59" s="1"/>
  <c r="AL164" i="59" s="1"/>
  <c r="AO164" i="59" s="1"/>
  <c r="AR164" i="59" s="1"/>
  <c r="N112" i="59"/>
  <c r="Q112" i="59" s="1"/>
  <c r="T112" i="59" s="1"/>
  <c r="W112" i="59" s="1"/>
  <c r="Z112" i="59" s="1"/>
  <c r="AC112" i="59" s="1"/>
  <c r="AF112" i="59" s="1"/>
  <c r="AI112" i="59" s="1"/>
  <c r="AL112" i="59" s="1"/>
  <c r="AO112" i="59" s="1"/>
  <c r="AR112" i="59" s="1"/>
  <c r="N169" i="59"/>
  <c r="Q169" i="59" s="1"/>
  <c r="T169" i="59" s="1"/>
  <c r="W169" i="59" s="1"/>
  <c r="Z169" i="59" s="1"/>
  <c r="AC169" i="59" s="1"/>
  <c r="AF169" i="59" s="1"/>
  <c r="AI169" i="59" s="1"/>
  <c r="AL169" i="59" s="1"/>
  <c r="AO169" i="59" s="1"/>
  <c r="AR169" i="59" s="1"/>
  <c r="N123" i="59"/>
  <c r="Q123" i="59" s="1"/>
  <c r="T123" i="59" s="1"/>
  <c r="W123" i="59" s="1"/>
  <c r="Z123" i="59" s="1"/>
  <c r="AC123" i="59" s="1"/>
  <c r="AF123" i="59" s="1"/>
  <c r="AI123" i="59" s="1"/>
  <c r="AL123" i="59" s="1"/>
  <c r="AO123" i="59" s="1"/>
  <c r="AR123" i="59" s="1"/>
  <c r="Q860" i="59"/>
  <c r="T860" i="59" s="1"/>
  <c r="W860" i="59" s="1"/>
  <c r="Z860" i="59" s="1"/>
  <c r="AC860" i="59" s="1"/>
  <c r="AF860" i="59" s="1"/>
  <c r="AI860" i="59" s="1"/>
  <c r="AL860" i="59" s="1"/>
  <c r="AO860" i="59" s="1"/>
  <c r="AR860" i="59" s="1"/>
  <c r="N320" i="59"/>
  <c r="Q320" i="59" s="1"/>
  <c r="T320" i="59" s="1"/>
  <c r="W320" i="59" s="1"/>
  <c r="Z320" i="59" s="1"/>
  <c r="AC320" i="59" s="1"/>
  <c r="AF320" i="59" s="1"/>
  <c r="AI320" i="59" s="1"/>
  <c r="AL320" i="59" s="1"/>
  <c r="AO320" i="59" s="1"/>
  <c r="AR320" i="59" s="1"/>
  <c r="N331" i="59"/>
  <c r="Q331" i="59" s="1"/>
  <c r="T331" i="59" s="1"/>
  <c r="W331" i="59" s="1"/>
  <c r="Z331" i="59" s="1"/>
  <c r="AC331" i="59" s="1"/>
  <c r="AF331" i="59" s="1"/>
  <c r="AI331" i="59" s="1"/>
  <c r="AL331" i="59" s="1"/>
  <c r="AO331" i="59" s="1"/>
  <c r="AR331" i="59" s="1"/>
  <c r="N330" i="59"/>
  <c r="Q330" i="59" s="1"/>
  <c r="T330" i="59" s="1"/>
  <c r="W330" i="59" s="1"/>
  <c r="Z330" i="59" s="1"/>
  <c r="AC330" i="59" s="1"/>
  <c r="AF330" i="59" s="1"/>
  <c r="AI330" i="59" s="1"/>
  <c r="AL330" i="59" s="1"/>
  <c r="AO330" i="59" s="1"/>
  <c r="AR330" i="59" s="1"/>
  <c r="N317" i="59"/>
  <c r="Q317" i="59" s="1"/>
  <c r="T317" i="59" s="1"/>
  <c r="W317" i="59" s="1"/>
  <c r="Z317" i="59" s="1"/>
  <c r="AC317" i="59" s="1"/>
  <c r="AF317" i="59" s="1"/>
  <c r="AI317" i="59" s="1"/>
  <c r="AL317" i="59" s="1"/>
  <c r="AO317" i="59" s="1"/>
  <c r="AR317" i="59" s="1"/>
  <c r="N136" i="59"/>
  <c r="Q136" i="59" s="1"/>
  <c r="T136" i="59" s="1"/>
  <c r="W136" i="59" s="1"/>
  <c r="Z136" i="59" s="1"/>
  <c r="AC136" i="59" s="1"/>
  <c r="AF136" i="59" s="1"/>
  <c r="AI136" i="59" s="1"/>
  <c r="AL136" i="59" s="1"/>
  <c r="AO136" i="59" s="1"/>
  <c r="AR136" i="59" s="1"/>
  <c r="N333" i="59"/>
  <c r="Q333" i="59" s="1"/>
  <c r="T333" i="59" s="1"/>
  <c r="W333" i="59" s="1"/>
  <c r="Z333" i="59" s="1"/>
  <c r="AC333" i="59" s="1"/>
  <c r="AF333" i="59" s="1"/>
  <c r="AI333" i="59" s="1"/>
  <c r="AL333" i="59" s="1"/>
  <c r="AO333" i="59" s="1"/>
  <c r="AR333" i="59" s="1"/>
  <c r="N332" i="59"/>
  <c r="Q332" i="59" s="1"/>
  <c r="T332" i="59" s="1"/>
  <c r="W332" i="59" s="1"/>
  <c r="Z332" i="59" s="1"/>
  <c r="AC332" i="59" s="1"/>
  <c r="AF332" i="59" s="1"/>
  <c r="AI332" i="59" s="1"/>
  <c r="AL332" i="59" s="1"/>
  <c r="AO332" i="59" s="1"/>
  <c r="AR332" i="59" s="1"/>
  <c r="N322" i="59"/>
  <c r="Q322" i="59" s="1"/>
  <c r="T322" i="59" s="1"/>
  <c r="W322" i="59" s="1"/>
  <c r="Z322" i="59" s="1"/>
  <c r="AC322" i="59" s="1"/>
  <c r="AF322" i="59" s="1"/>
  <c r="AI322" i="59" s="1"/>
  <c r="AL322" i="59" s="1"/>
  <c r="AO322" i="59" s="1"/>
  <c r="AR322" i="59" s="1"/>
  <c r="N324" i="59"/>
  <c r="Q324" i="59" s="1"/>
  <c r="T324" i="59" s="1"/>
  <c r="W324" i="59" s="1"/>
  <c r="Z324" i="59" s="1"/>
  <c r="AC324" i="59" s="1"/>
  <c r="AF324" i="59" s="1"/>
  <c r="AI324" i="59" s="1"/>
  <c r="AL324" i="59" s="1"/>
  <c r="AO324" i="59" s="1"/>
  <c r="AR324" i="59" s="1"/>
  <c r="N327" i="59"/>
  <c r="Q327" i="59" s="1"/>
  <c r="T327" i="59" s="1"/>
  <c r="W327" i="59" s="1"/>
  <c r="Z327" i="59" s="1"/>
  <c r="AC327" i="59" s="1"/>
  <c r="AF327" i="59" s="1"/>
  <c r="AI327" i="59" s="1"/>
  <c r="AL327" i="59" s="1"/>
  <c r="AO327" i="59" s="1"/>
  <c r="AR327" i="59" s="1"/>
  <c r="N137" i="59"/>
  <c r="Q137" i="59" s="1"/>
  <c r="T137" i="59" s="1"/>
  <c r="W137" i="59" s="1"/>
  <c r="Z137" i="59" s="1"/>
  <c r="AC137" i="59" s="1"/>
  <c r="AF137" i="59" s="1"/>
  <c r="AI137" i="59" s="1"/>
  <c r="AL137" i="59" s="1"/>
  <c r="AO137" i="59" s="1"/>
  <c r="AR137" i="59" s="1"/>
  <c r="N138" i="59"/>
  <c r="Q138" i="59" s="1"/>
  <c r="T138" i="59" s="1"/>
  <c r="W138" i="59" s="1"/>
  <c r="Z138" i="59" s="1"/>
  <c r="AC138" i="59" s="1"/>
  <c r="AF138" i="59" s="1"/>
  <c r="AI138" i="59" s="1"/>
  <c r="AL138" i="59" s="1"/>
  <c r="AO138" i="59" s="1"/>
  <c r="AR138" i="59" s="1"/>
  <c r="N139" i="59"/>
  <c r="Q139" i="59" s="1"/>
  <c r="T139" i="59" s="1"/>
  <c r="W139" i="59" s="1"/>
  <c r="Z139" i="59" s="1"/>
  <c r="AC139" i="59" s="1"/>
  <c r="AF139" i="59" s="1"/>
  <c r="AI139" i="59" s="1"/>
  <c r="AL139" i="59" s="1"/>
  <c r="AO139" i="59" s="1"/>
  <c r="AR139" i="59" s="1"/>
  <c r="N141" i="59"/>
  <c r="Q141" i="59" s="1"/>
  <c r="T141" i="59" s="1"/>
  <c r="W141" i="59" s="1"/>
  <c r="Z141" i="59" s="1"/>
  <c r="AC141" i="59" s="1"/>
  <c r="AF141" i="59" s="1"/>
  <c r="AI141" i="59" s="1"/>
  <c r="AL141" i="59" s="1"/>
  <c r="AO141" i="59" s="1"/>
  <c r="AR141" i="59" s="1"/>
  <c r="N127" i="59"/>
  <c r="Q127" i="59" s="1"/>
  <c r="T127" i="59" s="1"/>
  <c r="W127" i="59" s="1"/>
  <c r="Z127" i="59" s="1"/>
  <c r="AC127" i="59" s="1"/>
  <c r="AF127" i="59" s="1"/>
  <c r="AI127" i="59" s="1"/>
  <c r="AL127" i="59" s="1"/>
  <c r="AO127" i="59" s="1"/>
  <c r="AR127" i="59" s="1"/>
  <c r="N142" i="59"/>
  <c r="Q142" i="59" s="1"/>
  <c r="T142" i="59" s="1"/>
  <c r="W142" i="59" s="1"/>
  <c r="Z142" i="59" s="1"/>
  <c r="AC142" i="59" s="1"/>
  <c r="AF142" i="59" s="1"/>
  <c r="AI142" i="59" s="1"/>
  <c r="AL142" i="59" s="1"/>
  <c r="AO142" i="59" s="1"/>
  <c r="AR142" i="59" s="1"/>
  <c r="N96" i="59"/>
  <c r="Q96" i="59" s="1"/>
  <c r="T96" i="59" s="1"/>
  <c r="W96" i="59" s="1"/>
  <c r="Z96" i="59" s="1"/>
  <c r="AC96" i="59" s="1"/>
  <c r="AF96" i="59" s="1"/>
  <c r="AI96" i="59" s="1"/>
  <c r="AL96" i="59" s="1"/>
  <c r="AO96" i="59" s="1"/>
  <c r="AR96" i="59" s="1"/>
  <c r="N149" i="59"/>
  <c r="Q149" i="59" s="1"/>
  <c r="T149" i="59" s="1"/>
  <c r="W149" i="59" s="1"/>
  <c r="Z149" i="59" s="1"/>
  <c r="AC149" i="59" s="1"/>
  <c r="AF149" i="59" s="1"/>
  <c r="AI149" i="59" s="1"/>
  <c r="AL149" i="59" s="1"/>
  <c r="AO149" i="59" s="1"/>
  <c r="AR149" i="59" s="1"/>
  <c r="N143" i="59"/>
  <c r="Q143" i="59" s="1"/>
  <c r="T143" i="59" s="1"/>
  <c r="W143" i="59" s="1"/>
  <c r="Z143" i="59" s="1"/>
  <c r="AC143" i="59" s="1"/>
  <c r="AF143" i="59" s="1"/>
  <c r="AI143" i="59" s="1"/>
  <c r="AL143" i="59" s="1"/>
  <c r="AO143" i="59" s="1"/>
  <c r="AR143" i="59" s="1"/>
  <c r="N144" i="59"/>
  <c r="Q144" i="59" s="1"/>
  <c r="T144" i="59" s="1"/>
  <c r="W144" i="59" s="1"/>
  <c r="Z144" i="59" s="1"/>
  <c r="AC144" i="59" s="1"/>
  <c r="AF144" i="59" s="1"/>
  <c r="AI144" i="59" s="1"/>
  <c r="AL144" i="59" s="1"/>
  <c r="AO144" i="59" s="1"/>
  <c r="AR144" i="59" s="1"/>
  <c r="N145" i="59"/>
  <c r="Q145" i="59" s="1"/>
  <c r="T145" i="59" s="1"/>
  <c r="W145" i="59" s="1"/>
  <c r="Z145" i="59" s="1"/>
  <c r="AC145" i="59" s="1"/>
  <c r="AF145" i="59" s="1"/>
  <c r="AI145" i="59" s="1"/>
  <c r="AL145" i="59" s="1"/>
  <c r="AO145" i="59" s="1"/>
  <c r="AR145" i="59" s="1"/>
  <c r="N146" i="59"/>
  <c r="Q146" i="59" s="1"/>
  <c r="T146" i="59" s="1"/>
  <c r="W146" i="59" s="1"/>
  <c r="Z146" i="59" s="1"/>
  <c r="AC146" i="59" s="1"/>
  <c r="AF146" i="59" s="1"/>
  <c r="AI146" i="59" s="1"/>
  <c r="AL146" i="59" s="1"/>
  <c r="AO146" i="59" s="1"/>
  <c r="AR146" i="59" s="1"/>
  <c r="N147" i="59"/>
  <c r="Q147" i="59" s="1"/>
  <c r="T147" i="59" s="1"/>
  <c r="W147" i="59" s="1"/>
  <c r="Z147" i="59" s="1"/>
  <c r="AC147" i="59" s="1"/>
  <c r="AF147" i="59" s="1"/>
  <c r="AI147" i="59" s="1"/>
  <c r="AL147" i="59" s="1"/>
  <c r="AO147" i="59" s="1"/>
  <c r="AR147" i="59" s="1"/>
  <c r="N148" i="59"/>
  <c r="Q148" i="59" s="1"/>
  <c r="T148" i="59" s="1"/>
  <c r="W148" i="59" s="1"/>
  <c r="Z148" i="59" s="1"/>
  <c r="AC148" i="59" s="1"/>
  <c r="AF148" i="59" s="1"/>
  <c r="AI148" i="59" s="1"/>
  <c r="AL148" i="59" s="1"/>
  <c r="AO148" i="59" s="1"/>
  <c r="AR148" i="59" s="1"/>
  <c r="N150" i="59"/>
  <c r="Q150" i="59" s="1"/>
  <c r="T150" i="59" s="1"/>
  <c r="W150" i="59" s="1"/>
  <c r="Z150" i="59" s="1"/>
  <c r="AC150" i="59" s="1"/>
  <c r="AF150" i="59" s="1"/>
  <c r="AI150" i="59" s="1"/>
  <c r="AL150" i="59" s="1"/>
  <c r="AO150" i="59" s="1"/>
  <c r="AR150" i="59" s="1"/>
  <c r="N131" i="59"/>
  <c r="Q131" i="59" s="1"/>
  <c r="T131" i="59" s="1"/>
  <c r="W131" i="59" s="1"/>
  <c r="Z131" i="59" s="1"/>
  <c r="AC131" i="59" s="1"/>
  <c r="AF131" i="59" s="1"/>
  <c r="AI131" i="59" s="1"/>
  <c r="AL131" i="59" s="1"/>
  <c r="AO131" i="59" s="1"/>
  <c r="AR131" i="59" s="1"/>
  <c r="N151" i="59"/>
  <c r="Q151" i="59" s="1"/>
  <c r="T151" i="59" s="1"/>
  <c r="W151" i="59" s="1"/>
  <c r="Z151" i="59" s="1"/>
  <c r="AC151" i="59" s="1"/>
  <c r="AF151" i="59" s="1"/>
  <c r="AI151" i="59" s="1"/>
  <c r="AL151" i="59" s="1"/>
  <c r="AO151" i="59" s="1"/>
  <c r="AR151" i="59" s="1"/>
  <c r="N152" i="59"/>
  <c r="Q152" i="59" s="1"/>
  <c r="T152" i="59" s="1"/>
  <c r="W152" i="59" s="1"/>
  <c r="Z152" i="59" s="1"/>
  <c r="AC152" i="59" s="1"/>
  <c r="AF152" i="59" s="1"/>
  <c r="AI152" i="59" s="1"/>
  <c r="AL152" i="59" s="1"/>
  <c r="AO152" i="59" s="1"/>
  <c r="AR152" i="59" s="1"/>
  <c r="N153" i="59"/>
  <c r="Q153" i="59" s="1"/>
  <c r="T153" i="59" s="1"/>
  <c r="W153" i="59" s="1"/>
  <c r="Z153" i="59" s="1"/>
  <c r="AC153" i="59" s="1"/>
  <c r="AF153" i="59" s="1"/>
  <c r="AI153" i="59" s="1"/>
  <c r="AL153" i="59" s="1"/>
  <c r="AO153" i="59" s="1"/>
  <c r="AR153" i="59" s="1"/>
  <c r="N154" i="59"/>
  <c r="Q154" i="59" s="1"/>
  <c r="T154" i="59" s="1"/>
  <c r="W154" i="59" s="1"/>
  <c r="Z154" i="59" s="1"/>
  <c r="AC154" i="59" s="1"/>
  <c r="AF154" i="59" s="1"/>
  <c r="AI154" i="59" s="1"/>
  <c r="AL154" i="59" s="1"/>
  <c r="AO154" i="59" s="1"/>
  <c r="AR154" i="59" s="1"/>
  <c r="N35" i="59"/>
  <c r="Q35" i="59" s="1"/>
  <c r="T35" i="59" s="1"/>
  <c r="W35" i="59" s="1"/>
  <c r="Z35" i="59" s="1"/>
  <c r="AC35" i="59" s="1"/>
  <c r="AF35" i="59" s="1"/>
  <c r="AI35" i="59" s="1"/>
  <c r="AL35" i="59" s="1"/>
  <c r="AO35" i="59" s="1"/>
  <c r="AR35" i="59" s="1"/>
  <c r="N943" i="59"/>
  <c r="Q943" i="59" s="1"/>
  <c r="T943" i="59" s="1"/>
  <c r="W943" i="59" s="1"/>
  <c r="Z943" i="59" s="1"/>
  <c r="AC943" i="59" s="1"/>
  <c r="AF943" i="59" s="1"/>
  <c r="AI943" i="59" s="1"/>
  <c r="AL943" i="59" s="1"/>
  <c r="AO943" i="59" s="1"/>
  <c r="AR943" i="59" s="1"/>
  <c r="N941" i="59"/>
  <c r="Q941" i="59" s="1"/>
  <c r="T941" i="59" s="1"/>
  <c r="W941" i="59" s="1"/>
  <c r="Z941" i="59" s="1"/>
  <c r="AC941" i="59" s="1"/>
  <c r="AF941" i="59" s="1"/>
  <c r="AI941" i="59" s="1"/>
  <c r="AL941" i="59" s="1"/>
  <c r="AO941" i="59" s="1"/>
  <c r="AR941" i="59" s="1"/>
  <c r="N942" i="59"/>
  <c r="Q942" i="59" s="1"/>
  <c r="T942" i="59" s="1"/>
  <c r="W942" i="59" s="1"/>
  <c r="Z942" i="59" s="1"/>
  <c r="AC942" i="59" s="1"/>
  <c r="AF942" i="59" s="1"/>
  <c r="AI942" i="59" s="1"/>
  <c r="AL942" i="59" s="1"/>
  <c r="AO942" i="59" s="1"/>
  <c r="AR942" i="59" s="1"/>
  <c r="N944" i="59"/>
  <c r="Q944" i="59" s="1"/>
  <c r="T944" i="59" s="1"/>
  <c r="W944" i="59" s="1"/>
  <c r="Z944" i="59" s="1"/>
  <c r="AC944" i="59" s="1"/>
  <c r="AF944" i="59" s="1"/>
  <c r="AI944" i="59" s="1"/>
  <c r="AL944" i="59" s="1"/>
  <c r="AO944" i="59" s="1"/>
  <c r="AR944" i="59" s="1"/>
  <c r="N140" i="59"/>
  <c r="Q140" i="59" s="1"/>
  <c r="T140" i="59" s="1"/>
  <c r="W140" i="59" s="1"/>
  <c r="Z140" i="59" s="1"/>
  <c r="AC140" i="59" s="1"/>
  <c r="AF140" i="59" s="1"/>
  <c r="AI140" i="59" s="1"/>
  <c r="AL140" i="59" s="1"/>
  <c r="AO140" i="59" s="1"/>
  <c r="AR140" i="59" s="1"/>
  <c r="N162" i="59"/>
  <c r="Q162" i="59" s="1"/>
  <c r="T162" i="59" s="1"/>
  <c r="W162" i="59" s="1"/>
  <c r="Z162" i="59" s="1"/>
  <c r="AC162" i="59" s="1"/>
  <c r="AF162" i="59" s="1"/>
  <c r="AI162" i="59" s="1"/>
  <c r="AL162" i="59" s="1"/>
  <c r="AO162" i="59" s="1"/>
  <c r="AR162" i="59" s="1"/>
  <c r="N315" i="59"/>
  <c r="Q315" i="59" s="1"/>
  <c r="T315" i="59" s="1"/>
  <c r="W315" i="59" s="1"/>
  <c r="Z315" i="59" s="1"/>
  <c r="AC315" i="59" s="1"/>
  <c r="AF315" i="59" s="1"/>
  <c r="AI315" i="59" s="1"/>
  <c r="AL315" i="59" s="1"/>
  <c r="AO315" i="59" s="1"/>
  <c r="AR315" i="59" s="1"/>
  <c r="N158" i="59"/>
  <c r="Q158" i="59" s="1"/>
  <c r="T158" i="59" s="1"/>
  <c r="W158" i="59" s="1"/>
  <c r="Z158" i="59" s="1"/>
  <c r="AC158" i="59" s="1"/>
  <c r="AF158" i="59" s="1"/>
  <c r="AI158" i="59" s="1"/>
  <c r="AL158" i="59" s="1"/>
  <c r="AO158" i="59" s="1"/>
  <c r="AR158" i="59" s="1"/>
  <c r="N159" i="59"/>
  <c r="Q159" i="59" s="1"/>
  <c r="T159" i="59" s="1"/>
  <c r="W159" i="59" s="1"/>
  <c r="Z159" i="59" s="1"/>
  <c r="AC159" i="59" s="1"/>
  <c r="AF159" i="59" s="1"/>
  <c r="AI159" i="59" s="1"/>
  <c r="AL159" i="59" s="1"/>
  <c r="AO159" i="59" s="1"/>
  <c r="AR159" i="59" s="1"/>
  <c r="N174" i="59"/>
  <c r="Q174" i="59" s="1"/>
  <c r="T174" i="59" s="1"/>
  <c r="W174" i="59" s="1"/>
  <c r="Z174" i="59" s="1"/>
  <c r="AC174" i="59" s="1"/>
  <c r="AF174" i="59" s="1"/>
  <c r="AI174" i="59" s="1"/>
  <c r="AL174" i="59" s="1"/>
  <c r="AO174" i="59" s="1"/>
  <c r="AR174" i="59" s="1"/>
  <c r="N155" i="59"/>
  <c r="Q155" i="59" s="1"/>
  <c r="T155" i="59" s="1"/>
  <c r="W155" i="59" s="1"/>
  <c r="Z155" i="59" s="1"/>
  <c r="AC155" i="59" s="1"/>
  <c r="AF155" i="59" s="1"/>
  <c r="AI155" i="59" s="1"/>
  <c r="AL155" i="59" s="1"/>
  <c r="AO155" i="59" s="1"/>
  <c r="AR155" i="59" s="1"/>
  <c r="N113" i="59"/>
  <c r="Q113" i="59" s="1"/>
  <c r="T113" i="59" s="1"/>
  <c r="W113" i="59" s="1"/>
  <c r="Z113" i="59" s="1"/>
  <c r="AC113" i="59" s="1"/>
  <c r="AF113" i="59" s="1"/>
  <c r="AI113" i="59" s="1"/>
  <c r="AL113" i="59" s="1"/>
  <c r="AO113" i="59" s="1"/>
  <c r="AR113" i="59" s="1"/>
  <c r="N133" i="59"/>
  <c r="Q133" i="59" s="1"/>
  <c r="T133" i="59" s="1"/>
  <c r="W133" i="59" s="1"/>
  <c r="Z133" i="59" s="1"/>
  <c r="AC133" i="59" s="1"/>
  <c r="AF133" i="59" s="1"/>
  <c r="AI133" i="59" s="1"/>
  <c r="AL133" i="59" s="1"/>
  <c r="AO133" i="59" s="1"/>
  <c r="AR133" i="59" s="1"/>
  <c r="N175" i="59"/>
  <c r="Q175" i="59" s="1"/>
  <c r="T175" i="59" s="1"/>
  <c r="W175" i="59" s="1"/>
  <c r="Z175" i="59" s="1"/>
  <c r="AC175" i="59" s="1"/>
  <c r="AF175" i="59" s="1"/>
  <c r="AI175" i="59" s="1"/>
  <c r="AL175" i="59" s="1"/>
  <c r="AO175" i="59" s="1"/>
  <c r="AR175" i="59" s="1"/>
  <c r="N161" i="59"/>
  <c r="Q161" i="59" s="1"/>
  <c r="T161" i="59" s="1"/>
  <c r="W161" i="59" s="1"/>
  <c r="Z161" i="59" s="1"/>
  <c r="AC161" i="59" s="1"/>
  <c r="AF161" i="59" s="1"/>
  <c r="AI161" i="59" s="1"/>
  <c r="AL161" i="59" s="1"/>
  <c r="AO161" i="59" s="1"/>
  <c r="AR161" i="59" s="1"/>
  <c r="N240" i="59"/>
  <c r="Q240" i="59" s="1"/>
  <c r="T240" i="59" s="1"/>
  <c r="W240" i="59" s="1"/>
  <c r="Z240" i="59" s="1"/>
  <c r="AC240" i="59" s="1"/>
  <c r="AF240" i="59" s="1"/>
  <c r="AI240" i="59" s="1"/>
  <c r="AL240" i="59" s="1"/>
  <c r="AO240" i="59" s="1"/>
  <c r="AR240" i="59" s="1"/>
  <c r="N157" i="59"/>
  <c r="Q157" i="59" s="1"/>
  <c r="T157" i="59" s="1"/>
  <c r="W157" i="59" s="1"/>
  <c r="Z157" i="59" s="1"/>
  <c r="AC157" i="59" s="1"/>
  <c r="AF157" i="59" s="1"/>
  <c r="AI157" i="59" s="1"/>
  <c r="AL157" i="59" s="1"/>
  <c r="AO157" i="59" s="1"/>
  <c r="AR157" i="59" s="1"/>
  <c r="N156" i="59"/>
  <c r="Q156" i="59" s="1"/>
  <c r="T156" i="59" s="1"/>
  <c r="W156" i="59" s="1"/>
  <c r="Z156" i="59" s="1"/>
  <c r="AC156" i="59" s="1"/>
  <c r="AF156" i="59" s="1"/>
  <c r="AI156" i="59" s="1"/>
  <c r="AL156" i="59" s="1"/>
  <c r="AO156" i="59" s="1"/>
  <c r="AR156" i="59" s="1"/>
  <c r="N130" i="59"/>
  <c r="Q130" i="59" s="1"/>
  <c r="T130" i="59" s="1"/>
  <c r="W130" i="59" s="1"/>
  <c r="Z130" i="59" s="1"/>
  <c r="AC130" i="59" s="1"/>
  <c r="AF130" i="59" s="1"/>
  <c r="N160" i="59"/>
  <c r="Q160" i="59" s="1"/>
  <c r="T160" i="59" s="1"/>
  <c r="W160" i="59" s="1"/>
  <c r="Z160" i="59" s="1"/>
  <c r="AC160" i="59" s="1"/>
  <c r="AF160" i="59" s="1"/>
  <c r="AI160" i="59" s="1"/>
  <c r="AL160" i="59" s="1"/>
  <c r="AO160" i="59" s="1"/>
  <c r="AR160" i="59" s="1"/>
  <c r="N134" i="59"/>
  <c r="Q134" i="59" s="1"/>
  <c r="T134" i="59" s="1"/>
  <c r="W134" i="59" s="1"/>
  <c r="Z134" i="59" s="1"/>
  <c r="AC134" i="59" s="1"/>
  <c r="AF134" i="59" s="1"/>
  <c r="AI134" i="59" s="1"/>
  <c r="AL134" i="59" s="1"/>
  <c r="AO134" i="59" s="1"/>
  <c r="AR134" i="59" s="1"/>
  <c r="N465" i="59"/>
  <c r="Q465" i="59" s="1"/>
  <c r="T465" i="59" s="1"/>
  <c r="W465" i="59" s="1"/>
  <c r="Z465" i="59" s="1"/>
  <c r="AC465" i="59" s="1"/>
  <c r="AF465" i="59" s="1"/>
  <c r="AI465" i="59" s="1"/>
  <c r="AL465" i="59" s="1"/>
  <c r="AO465" i="59" s="1"/>
  <c r="AR465" i="59" s="1"/>
  <c r="N464" i="59"/>
  <c r="Q464" i="59" s="1"/>
  <c r="T464" i="59" s="1"/>
  <c r="W464" i="59" s="1"/>
  <c r="Z464" i="59" s="1"/>
  <c r="AC464" i="59" s="1"/>
  <c r="AF464" i="59" s="1"/>
  <c r="AI464" i="59" s="1"/>
  <c r="AL464" i="59" s="1"/>
  <c r="AO464" i="59" s="1"/>
  <c r="AR464" i="59" s="1"/>
  <c r="N460" i="59"/>
  <c r="Q460" i="59" s="1"/>
  <c r="T460" i="59" s="1"/>
  <c r="W460" i="59" s="1"/>
  <c r="Z460" i="59" s="1"/>
  <c r="AC460" i="59" s="1"/>
  <c r="AF460" i="59" s="1"/>
  <c r="AI460" i="59" s="1"/>
  <c r="AL460" i="59" s="1"/>
  <c r="AO460" i="59" s="1"/>
  <c r="AR460" i="59" s="1"/>
  <c r="N458" i="59"/>
  <c r="Q458" i="59" s="1"/>
  <c r="T458" i="59" s="1"/>
  <c r="W458" i="59" s="1"/>
  <c r="Z458" i="59" s="1"/>
  <c r="AC458" i="59" s="1"/>
  <c r="AF458" i="59" s="1"/>
  <c r="AI458" i="59" s="1"/>
  <c r="AL458" i="59" s="1"/>
  <c r="AO458" i="59" s="1"/>
  <c r="AR458" i="59" s="1"/>
  <c r="N286" i="59"/>
  <c r="Q286" i="59" s="1"/>
  <c r="T286" i="59" s="1"/>
  <c r="W286" i="59" s="1"/>
  <c r="Z286" i="59" s="1"/>
  <c r="AC286" i="59" s="1"/>
  <c r="AF286" i="59" s="1"/>
  <c r="AI286" i="59" s="1"/>
  <c r="AL286" i="59" s="1"/>
  <c r="AO286" i="59" s="1"/>
  <c r="AR286" i="59" s="1"/>
  <c r="N287" i="59"/>
  <c r="Q287" i="59" s="1"/>
  <c r="T287" i="59" s="1"/>
  <c r="W287" i="59" s="1"/>
  <c r="Z287" i="59" s="1"/>
  <c r="AC287" i="59" s="1"/>
  <c r="AF287" i="59" s="1"/>
  <c r="AI287" i="59" s="1"/>
  <c r="AL287" i="59" s="1"/>
  <c r="AO287" i="59" s="1"/>
  <c r="AR287" i="59" s="1"/>
  <c r="N468" i="59"/>
  <c r="Q468" i="59" s="1"/>
  <c r="T468" i="59" s="1"/>
  <c r="W468" i="59" s="1"/>
  <c r="Z468" i="59" s="1"/>
  <c r="AC468" i="59" s="1"/>
  <c r="AF468" i="59" s="1"/>
  <c r="AI468" i="59" s="1"/>
  <c r="AL468" i="59" s="1"/>
  <c r="AO468" i="59" s="1"/>
  <c r="AR468" i="59" s="1"/>
  <c r="N476" i="59"/>
  <c r="Q476" i="59" s="1"/>
  <c r="T476" i="59" s="1"/>
  <c r="W476" i="59" s="1"/>
  <c r="Z476" i="59" s="1"/>
  <c r="AC476" i="59" s="1"/>
  <c r="AF476" i="59" s="1"/>
  <c r="AI476" i="59" s="1"/>
  <c r="AL476" i="59" s="1"/>
  <c r="AO476" i="59" s="1"/>
  <c r="AR476" i="59" s="1"/>
  <c r="N250" i="59"/>
  <c r="Q250" i="59" s="1"/>
  <c r="T250" i="59" s="1"/>
  <c r="W250" i="59" s="1"/>
  <c r="Z250" i="59" s="1"/>
  <c r="AC250" i="59" s="1"/>
  <c r="AF250" i="59" s="1"/>
  <c r="AI250" i="59" s="1"/>
  <c r="AL250" i="59" s="1"/>
  <c r="AO250" i="59" s="1"/>
  <c r="N466" i="59"/>
  <c r="Q466" i="59" s="1"/>
  <c r="T466" i="59" s="1"/>
  <c r="W466" i="59" s="1"/>
  <c r="Z466" i="59" s="1"/>
  <c r="AC466" i="59" s="1"/>
  <c r="AF466" i="59" s="1"/>
  <c r="AI466" i="59" s="1"/>
  <c r="AL466" i="59" s="1"/>
  <c r="AO466" i="59" s="1"/>
  <c r="AR466" i="59" s="1"/>
  <c r="N248" i="59"/>
  <c r="Q248" i="59" s="1"/>
  <c r="T248" i="59" s="1"/>
  <c r="W248" i="59" s="1"/>
  <c r="Z248" i="59" s="1"/>
  <c r="AC248" i="59" s="1"/>
  <c r="AF248" i="59" s="1"/>
  <c r="AI248" i="59" s="1"/>
  <c r="AL248" i="59" s="1"/>
  <c r="AO248" i="59" s="1"/>
  <c r="AR248" i="59" s="1"/>
  <c r="N241" i="59"/>
  <c r="Q241" i="59" s="1"/>
  <c r="T241" i="59" s="1"/>
  <c r="W241" i="59" s="1"/>
  <c r="Z241" i="59" s="1"/>
  <c r="AC241" i="59" s="1"/>
  <c r="AF241" i="59" s="1"/>
  <c r="AI241" i="59" s="1"/>
  <c r="AL241" i="59" s="1"/>
  <c r="AO241" i="59" s="1"/>
  <c r="AR241" i="59" s="1"/>
  <c r="N236" i="59"/>
  <c r="Q236" i="59" s="1"/>
  <c r="T236" i="59" s="1"/>
  <c r="W236" i="59" s="1"/>
  <c r="Z236" i="59" s="1"/>
  <c r="AC236" i="59" s="1"/>
  <c r="AF236" i="59" s="1"/>
  <c r="AI236" i="59" s="1"/>
  <c r="AL236" i="59" s="1"/>
  <c r="AO236" i="59" s="1"/>
  <c r="AR236" i="59" s="1"/>
  <c r="N237" i="59"/>
  <c r="Q237" i="59" s="1"/>
  <c r="T237" i="59" s="1"/>
  <c r="W237" i="59" s="1"/>
  <c r="Z237" i="59" s="1"/>
  <c r="AC237" i="59" s="1"/>
  <c r="AF237" i="59" s="1"/>
  <c r="AI237" i="59" s="1"/>
  <c r="AL237" i="59" s="1"/>
  <c r="AO237" i="59" s="1"/>
  <c r="AR237" i="59" s="1"/>
  <c r="N242" i="59"/>
  <c r="Q242" i="59" s="1"/>
  <c r="T242" i="59" s="1"/>
  <c r="W242" i="59" s="1"/>
  <c r="Z242" i="59" s="1"/>
  <c r="AC242" i="59" s="1"/>
  <c r="AF242" i="59" s="1"/>
  <c r="AI242" i="59" s="1"/>
  <c r="AL242" i="59" s="1"/>
  <c r="AO242" i="59" s="1"/>
  <c r="AR242" i="59" s="1"/>
  <c r="N245" i="59"/>
  <c r="Q245" i="59" s="1"/>
  <c r="T245" i="59" s="1"/>
  <c r="W245" i="59" s="1"/>
  <c r="Z245" i="59" s="1"/>
  <c r="AC245" i="59" s="1"/>
  <c r="AF245" i="59" s="1"/>
  <c r="AI245" i="59" s="1"/>
  <c r="AL245" i="59" s="1"/>
  <c r="AO245" i="59" s="1"/>
  <c r="AR245" i="59" s="1"/>
  <c r="N244" i="59"/>
  <c r="Q244" i="59" s="1"/>
  <c r="T244" i="59" s="1"/>
  <c r="W244" i="59" s="1"/>
  <c r="Z244" i="59" s="1"/>
  <c r="AC244" i="59" s="1"/>
  <c r="AF244" i="59" s="1"/>
  <c r="AI244" i="59" s="1"/>
  <c r="AL244" i="59" s="1"/>
  <c r="AO244" i="59" s="1"/>
  <c r="AR244" i="59" s="1"/>
  <c r="N508" i="59"/>
  <c r="Q508" i="59" s="1"/>
  <c r="T508" i="59" s="1"/>
  <c r="W508" i="59" s="1"/>
  <c r="Z508" i="59" s="1"/>
  <c r="AC508" i="59" s="1"/>
  <c r="AF508" i="59" s="1"/>
  <c r="AI508" i="59" s="1"/>
  <c r="AL508" i="59" s="1"/>
  <c r="AO508" i="59" s="1"/>
  <c r="AR508" i="59" s="1"/>
  <c r="N243" i="59"/>
  <c r="Q243" i="59" s="1"/>
  <c r="T243" i="59" s="1"/>
  <c r="W243" i="59" s="1"/>
  <c r="Z243" i="59" s="1"/>
  <c r="AC243" i="59" s="1"/>
  <c r="AF243" i="59" s="1"/>
  <c r="AI243" i="59" s="1"/>
  <c r="AL243" i="59" s="1"/>
  <c r="AO243" i="59" s="1"/>
  <c r="AR243" i="59" s="1"/>
  <c r="N238" i="59"/>
  <c r="Q238" i="59" s="1"/>
  <c r="T238" i="59" s="1"/>
  <c r="W238" i="59" s="1"/>
  <c r="Z238" i="59" s="1"/>
  <c r="AC238" i="59" s="1"/>
  <c r="AF238" i="59" s="1"/>
  <c r="AI238" i="59" s="1"/>
  <c r="AL238" i="59" s="1"/>
  <c r="AO238" i="59" s="1"/>
  <c r="AR238" i="59" s="1"/>
  <c r="N239" i="59"/>
  <c r="Q239" i="59" s="1"/>
  <c r="T239" i="59" s="1"/>
  <c r="W239" i="59" s="1"/>
  <c r="Z239" i="59" s="1"/>
  <c r="AC239" i="59" s="1"/>
  <c r="AF239" i="59" s="1"/>
  <c r="AI239" i="59" s="1"/>
  <c r="AL239" i="59" s="1"/>
  <c r="AO239" i="59" s="1"/>
  <c r="AR239" i="59" s="1"/>
  <c r="N356" i="59"/>
  <c r="Q356" i="59" s="1"/>
  <c r="T356" i="59" s="1"/>
  <c r="W356" i="59" s="1"/>
  <c r="Z356" i="59" s="1"/>
  <c r="AC356" i="59" s="1"/>
  <c r="AF356" i="59" s="1"/>
  <c r="AI356" i="59" s="1"/>
  <c r="AL356" i="59" s="1"/>
  <c r="N217" i="59"/>
  <c r="Q217" i="59" s="1"/>
  <c r="T217" i="59" s="1"/>
  <c r="W217" i="59" s="1"/>
  <c r="Z217" i="59" s="1"/>
  <c r="AC217" i="59" s="1"/>
  <c r="AF217" i="59" s="1"/>
  <c r="AI217" i="59" s="1"/>
  <c r="AL217" i="59" s="1"/>
  <c r="AO217" i="59" s="1"/>
  <c r="AR217" i="59" s="1"/>
  <c r="N219" i="59"/>
  <c r="Q219" i="59" s="1"/>
  <c r="T219" i="59" s="1"/>
  <c r="W219" i="59" s="1"/>
  <c r="Z219" i="59" s="1"/>
  <c r="AC219" i="59" s="1"/>
  <c r="AF219" i="59" s="1"/>
  <c r="AI219" i="59" s="1"/>
  <c r="AL219" i="59" s="1"/>
  <c r="AO219" i="59" s="1"/>
  <c r="AR219" i="59" s="1"/>
  <c r="N234" i="59"/>
  <c r="Q234" i="59" s="1"/>
  <c r="T234" i="59" s="1"/>
  <c r="W234" i="59" s="1"/>
  <c r="Z234" i="59" s="1"/>
  <c r="AC234" i="59" s="1"/>
  <c r="AF234" i="59" s="1"/>
  <c r="AI234" i="59" s="1"/>
  <c r="AL234" i="59" s="1"/>
  <c r="AO234" i="59" s="1"/>
  <c r="AR234" i="59" s="1"/>
  <c r="N222" i="59"/>
  <c r="Q222" i="59" s="1"/>
  <c r="T222" i="59" s="1"/>
  <c r="W222" i="59" s="1"/>
  <c r="Z222" i="59" s="1"/>
  <c r="AC222" i="59" s="1"/>
  <c r="AF222" i="59" s="1"/>
  <c r="AI222" i="59" s="1"/>
  <c r="AL222" i="59" s="1"/>
  <c r="AO222" i="59" s="1"/>
  <c r="AR222" i="59" s="1"/>
  <c r="N216" i="59"/>
  <c r="Q216" i="59" s="1"/>
  <c r="T216" i="59" s="1"/>
  <c r="W216" i="59" s="1"/>
  <c r="Z216" i="59" s="1"/>
  <c r="AC216" i="59" s="1"/>
  <c r="AF216" i="59" s="1"/>
  <c r="AI216" i="59" s="1"/>
  <c r="AL216" i="59" s="1"/>
  <c r="AO216" i="59" s="1"/>
  <c r="AR216" i="59" s="1"/>
  <c r="N215" i="59"/>
  <c r="Q215" i="59" s="1"/>
  <c r="T215" i="59" s="1"/>
  <c r="W215" i="59" s="1"/>
  <c r="Z215" i="59" s="1"/>
  <c r="AC215" i="59" s="1"/>
  <c r="AF215" i="59" s="1"/>
  <c r="AI215" i="59" s="1"/>
  <c r="AL215" i="59" s="1"/>
  <c r="AO215" i="59" s="1"/>
  <c r="AR215" i="59" s="1"/>
  <c r="N697" i="59"/>
  <c r="Q697" i="59" s="1"/>
  <c r="T697" i="59" s="1"/>
  <c r="W697" i="59" s="1"/>
  <c r="Z697" i="59" s="1"/>
  <c r="AC697" i="59" s="1"/>
  <c r="AF697" i="59" s="1"/>
  <c r="AI697" i="59" s="1"/>
  <c r="AL697" i="59" s="1"/>
  <c r="AO697" i="59" s="1"/>
  <c r="AR697" i="59" s="1"/>
  <c r="N231" i="59"/>
  <c r="Q231" i="59" s="1"/>
  <c r="T231" i="59" s="1"/>
  <c r="W231" i="59" s="1"/>
  <c r="Z231" i="59" s="1"/>
  <c r="AC231" i="59" s="1"/>
  <c r="AF231" i="59" s="1"/>
  <c r="AI231" i="59" s="1"/>
  <c r="AL231" i="59" s="1"/>
  <c r="AO231" i="59" s="1"/>
  <c r="AR231" i="59" s="1"/>
  <c r="N229" i="59"/>
  <c r="Q229" i="59" s="1"/>
  <c r="T229" i="59" s="1"/>
  <c r="W229" i="59" s="1"/>
  <c r="Z229" i="59" s="1"/>
  <c r="AC229" i="59" s="1"/>
  <c r="AF229" i="59" s="1"/>
  <c r="AI229" i="59" s="1"/>
  <c r="AL229" i="59" s="1"/>
  <c r="AO229" i="59" s="1"/>
  <c r="AR229" i="59" s="1"/>
  <c r="N455" i="59"/>
  <c r="Q455" i="59" s="1"/>
  <c r="T455" i="59" s="1"/>
  <c r="W455" i="59" s="1"/>
  <c r="Z455" i="59" s="1"/>
  <c r="AC455" i="59" s="1"/>
  <c r="AF455" i="59" s="1"/>
  <c r="AI455" i="59" s="1"/>
  <c r="AL455" i="59" s="1"/>
  <c r="AO455" i="59" s="1"/>
  <c r="AR455" i="59" s="1"/>
  <c r="N226" i="59"/>
  <c r="Q226" i="59" s="1"/>
  <c r="T226" i="59" s="1"/>
  <c r="W226" i="59" s="1"/>
  <c r="Z226" i="59" s="1"/>
  <c r="AC226" i="59" s="1"/>
  <c r="AF226" i="59" s="1"/>
  <c r="AI226" i="59" s="1"/>
  <c r="AL226" i="59" s="1"/>
  <c r="AO226" i="59" s="1"/>
  <c r="AR226" i="59" s="1"/>
  <c r="N225" i="59"/>
  <c r="Q225" i="59" s="1"/>
  <c r="T225" i="59" s="1"/>
  <c r="W225" i="59" s="1"/>
  <c r="Z225" i="59" s="1"/>
  <c r="AC225" i="59" s="1"/>
  <c r="AF225" i="59" s="1"/>
  <c r="AI225" i="59" s="1"/>
  <c r="AL225" i="59" s="1"/>
  <c r="AO225" i="59" s="1"/>
  <c r="AR225" i="59" s="1"/>
  <c r="N218" i="59"/>
  <c r="Q218" i="59" s="1"/>
  <c r="T218" i="59" s="1"/>
  <c r="W218" i="59" s="1"/>
  <c r="Z218" i="59" s="1"/>
  <c r="AC218" i="59" s="1"/>
  <c r="AF218" i="59" s="1"/>
  <c r="AI218" i="59" s="1"/>
  <c r="AL218" i="59" s="1"/>
  <c r="AO218" i="59" s="1"/>
  <c r="AR218" i="59" s="1"/>
  <c r="N288" i="59"/>
  <c r="Q288" i="59" s="1"/>
  <c r="T288" i="59" s="1"/>
  <c r="W288" i="59" s="1"/>
  <c r="Z288" i="59" s="1"/>
  <c r="AC288" i="59" s="1"/>
  <c r="AF288" i="59" s="1"/>
  <c r="AI288" i="59" s="1"/>
  <c r="AL288" i="59" s="1"/>
  <c r="AO288" i="59" s="1"/>
  <c r="AR288" i="59" s="1"/>
  <c r="N290" i="59"/>
  <c r="Q290" i="59" s="1"/>
  <c r="T290" i="59" s="1"/>
  <c r="W290" i="59" s="1"/>
  <c r="Z290" i="59" s="1"/>
  <c r="AC290" i="59" s="1"/>
  <c r="AF290" i="59" s="1"/>
  <c r="AI290" i="59" s="1"/>
  <c r="AL290" i="59" s="1"/>
  <c r="AO290" i="59" s="1"/>
  <c r="AR290" i="59" s="1"/>
  <c r="N257" i="59"/>
  <c r="Q257" i="59" s="1"/>
  <c r="T257" i="59" s="1"/>
  <c r="W257" i="59" s="1"/>
  <c r="Z257" i="59" s="1"/>
  <c r="AC257" i="59" s="1"/>
  <c r="AF257" i="59" s="1"/>
  <c r="AI257" i="59" s="1"/>
  <c r="AL257" i="59" s="1"/>
  <c r="AO257" i="59" s="1"/>
  <c r="AR257" i="59" s="1"/>
  <c r="N259" i="59"/>
  <c r="Q259" i="59" s="1"/>
  <c r="T259" i="59" s="1"/>
  <c r="W259" i="59" s="1"/>
  <c r="Z259" i="59" s="1"/>
  <c r="AC259" i="59" s="1"/>
  <c r="AF259" i="59" s="1"/>
  <c r="AI259" i="59" s="1"/>
  <c r="AL259" i="59" s="1"/>
  <c r="AO259" i="59" s="1"/>
  <c r="AR259" i="59" s="1"/>
  <c r="N260" i="59"/>
  <c r="Q260" i="59" s="1"/>
  <c r="T260" i="59" s="1"/>
  <c r="W260" i="59" s="1"/>
  <c r="Z260" i="59" s="1"/>
  <c r="AC260" i="59" s="1"/>
  <c r="AF260" i="59" s="1"/>
  <c r="AI260" i="59" s="1"/>
  <c r="AL260" i="59" s="1"/>
  <c r="AO260" i="59" s="1"/>
  <c r="AR260" i="59" s="1"/>
  <c r="N258" i="59"/>
  <c r="Q258" i="59" s="1"/>
  <c r="T258" i="59" s="1"/>
  <c r="W258" i="59" s="1"/>
  <c r="Z258" i="59" s="1"/>
  <c r="AC258" i="59" s="1"/>
  <c r="AF258" i="59" s="1"/>
  <c r="AI258" i="59" s="1"/>
  <c r="AL258" i="59" s="1"/>
  <c r="AO258" i="59" s="1"/>
  <c r="AR258" i="59" s="1"/>
  <c r="N256" i="59"/>
  <c r="Q256" i="59" s="1"/>
  <c r="T256" i="59" s="1"/>
  <c r="W256" i="59" s="1"/>
  <c r="Z256" i="59" s="1"/>
  <c r="AC256" i="59" s="1"/>
  <c r="AF256" i="59" s="1"/>
  <c r="AI256" i="59" s="1"/>
  <c r="AL256" i="59" s="1"/>
  <c r="AO256" i="59" s="1"/>
  <c r="AR256" i="59" s="1"/>
  <c r="N262" i="59"/>
  <c r="Q262" i="59" s="1"/>
  <c r="T262" i="59" s="1"/>
  <c r="W262" i="59" s="1"/>
  <c r="Z262" i="59" s="1"/>
  <c r="AC262" i="59" s="1"/>
  <c r="AF262" i="59" s="1"/>
  <c r="AI262" i="59" s="1"/>
  <c r="AL262" i="59" s="1"/>
  <c r="AO262" i="59" s="1"/>
  <c r="AR262" i="59" s="1"/>
  <c r="N18" i="59"/>
  <c r="Q18" i="59" s="1"/>
  <c r="T18" i="59" s="1"/>
  <c r="W18" i="59" s="1"/>
  <c r="Z18" i="59" s="1"/>
  <c r="AC18" i="59" s="1"/>
  <c r="AF18" i="59" s="1"/>
  <c r="AI18" i="59" s="1"/>
  <c r="AL18" i="59" s="1"/>
  <c r="AO18" i="59" s="1"/>
  <c r="AR18" i="59" s="1"/>
  <c r="N935" i="59"/>
  <c r="Q935" i="59" s="1"/>
  <c r="T935" i="59" s="1"/>
  <c r="W935" i="59" s="1"/>
  <c r="Z935" i="59" s="1"/>
  <c r="AC935" i="59" s="1"/>
  <c r="AF935" i="59" s="1"/>
  <c r="AI935" i="59" s="1"/>
  <c r="AL935" i="59" s="1"/>
  <c r="AO935" i="59" s="1"/>
  <c r="AR935" i="59" s="1"/>
  <c r="N252" i="59"/>
  <c r="Q252" i="59" s="1"/>
  <c r="T252" i="59" s="1"/>
  <c r="W252" i="59" s="1"/>
  <c r="Z252" i="59" s="1"/>
  <c r="AC252" i="59" s="1"/>
  <c r="AF252" i="59" s="1"/>
  <c r="AI252" i="59" s="1"/>
  <c r="AL252" i="59" s="1"/>
  <c r="AO252" i="59" s="1"/>
  <c r="AR252" i="59" s="1"/>
  <c r="N249" i="59"/>
  <c r="Q249" i="59" s="1"/>
  <c r="T249" i="59" s="1"/>
  <c r="W249" i="59" s="1"/>
  <c r="Z249" i="59" s="1"/>
  <c r="AC249" i="59" s="1"/>
  <c r="AF249" i="59" s="1"/>
  <c r="AI249" i="59" s="1"/>
  <c r="AL249" i="59" s="1"/>
  <c r="AO249" i="59" s="1"/>
  <c r="AR249" i="59" s="1"/>
  <c r="N470" i="59"/>
  <c r="Q470" i="59" s="1"/>
  <c r="T470" i="59" s="1"/>
  <c r="W470" i="59" s="1"/>
  <c r="Z470" i="59" s="1"/>
  <c r="AC470" i="59" s="1"/>
  <c r="AF470" i="59" s="1"/>
  <c r="AI470" i="59" s="1"/>
  <c r="AL470" i="59" s="1"/>
  <c r="AO470" i="59" s="1"/>
  <c r="AR470" i="59" s="1"/>
  <c r="N101" i="59"/>
  <c r="Q101" i="59" s="1"/>
  <c r="T101" i="59" s="1"/>
  <c r="W101" i="59" s="1"/>
  <c r="Z101" i="59" s="1"/>
  <c r="AC101" i="59" s="1"/>
  <c r="AF101" i="59" s="1"/>
  <c r="AI101" i="59" s="1"/>
  <c r="AL101" i="59" s="1"/>
  <c r="AO101" i="59" s="1"/>
  <c r="AR101" i="59" s="1"/>
  <c r="N102" i="59"/>
  <c r="Q102" i="59" s="1"/>
  <c r="T102" i="59" s="1"/>
  <c r="W102" i="59" s="1"/>
  <c r="Z102" i="59" s="1"/>
  <c r="AC102" i="59" s="1"/>
  <c r="AF102" i="59" s="1"/>
  <c r="AI102" i="59" s="1"/>
  <c r="AL102" i="59" s="1"/>
  <c r="AO102" i="59" s="1"/>
  <c r="AR102" i="59" s="1"/>
  <c r="N253" i="59"/>
  <c r="Q253" i="59" s="1"/>
  <c r="T253" i="59" s="1"/>
  <c r="W253" i="59" s="1"/>
  <c r="Z253" i="59" s="1"/>
  <c r="AC253" i="59" s="1"/>
  <c r="AF253" i="59" s="1"/>
  <c r="AI253" i="59" s="1"/>
  <c r="AL253" i="59" s="1"/>
  <c r="AO253" i="59" s="1"/>
  <c r="AR253" i="59" s="1"/>
  <c r="N254" i="59"/>
  <c r="Q254" i="59" s="1"/>
  <c r="T254" i="59" s="1"/>
  <c r="W254" i="59" s="1"/>
  <c r="Z254" i="59" s="1"/>
  <c r="AC254" i="59" s="1"/>
  <c r="AF254" i="59" s="1"/>
  <c r="AI254" i="59" s="1"/>
  <c r="AL254" i="59" s="1"/>
  <c r="AO254" i="59" s="1"/>
  <c r="AR254" i="59" s="1"/>
  <c r="N255" i="59"/>
  <c r="Q255" i="59" s="1"/>
  <c r="T255" i="59" s="1"/>
  <c r="W255" i="59" s="1"/>
  <c r="Z255" i="59" s="1"/>
  <c r="AC255" i="59" s="1"/>
  <c r="AF255" i="59" s="1"/>
  <c r="AI255" i="59" s="1"/>
  <c r="AL255" i="59" s="1"/>
  <c r="AO255" i="59" s="1"/>
  <c r="AR255" i="59" s="1"/>
  <c r="N178" i="59"/>
  <c r="Q178" i="59" s="1"/>
  <c r="T178" i="59" s="1"/>
  <c r="W178" i="59" s="1"/>
  <c r="Z178" i="59" s="1"/>
  <c r="AC178" i="59" s="1"/>
  <c r="AF178" i="59" s="1"/>
  <c r="AI178" i="59" s="1"/>
  <c r="AL178" i="59" s="1"/>
  <c r="AO178" i="59" s="1"/>
  <c r="AR178" i="59" s="1"/>
  <c r="N212" i="59"/>
  <c r="Q212" i="59" s="1"/>
  <c r="T212" i="59" s="1"/>
  <c r="W212" i="59" s="1"/>
  <c r="Z212" i="59" s="1"/>
  <c r="AC212" i="59" s="1"/>
  <c r="AF212" i="59" s="1"/>
  <c r="AI212" i="59" s="1"/>
  <c r="AL212" i="59" s="1"/>
  <c r="AO212" i="59" s="1"/>
  <c r="AR212" i="59" s="1"/>
  <c r="N213" i="59"/>
  <c r="Q213" i="59" s="1"/>
  <c r="T213" i="59" s="1"/>
  <c r="W213" i="59" s="1"/>
  <c r="Z213" i="59" s="1"/>
  <c r="AC213" i="59" s="1"/>
  <c r="AF213" i="59" s="1"/>
  <c r="AI213" i="59" s="1"/>
  <c r="AL213" i="59" s="1"/>
  <c r="AO213" i="59" s="1"/>
  <c r="AR213" i="59" s="1"/>
  <c r="N207" i="59"/>
  <c r="Q207" i="59" s="1"/>
  <c r="T207" i="59" s="1"/>
  <c r="W207" i="59" s="1"/>
  <c r="Z207" i="59" s="1"/>
  <c r="AC207" i="59" s="1"/>
  <c r="AF207" i="59" s="1"/>
  <c r="AI207" i="59" s="1"/>
  <c r="AL207" i="59" s="1"/>
  <c r="AO207" i="59" s="1"/>
  <c r="AR207" i="59" s="1"/>
  <c r="N179" i="59"/>
  <c r="Q179" i="59" s="1"/>
  <c r="T179" i="59" s="1"/>
  <c r="W179" i="59" s="1"/>
  <c r="Z179" i="59" s="1"/>
  <c r="AC179" i="59" s="1"/>
  <c r="AF179" i="59" s="1"/>
  <c r="AI179" i="59" s="1"/>
  <c r="AL179" i="59" s="1"/>
  <c r="AO179" i="59" s="1"/>
  <c r="AR179" i="59" s="1"/>
  <c r="N182" i="59"/>
  <c r="Q182" i="59" s="1"/>
  <c r="T182" i="59" s="1"/>
  <c r="W182" i="59" s="1"/>
  <c r="Z182" i="59" s="1"/>
  <c r="AC182" i="59" s="1"/>
  <c r="AF182" i="59" s="1"/>
  <c r="AI182" i="59" s="1"/>
  <c r="AL182" i="59" s="1"/>
  <c r="AO182" i="59" s="1"/>
  <c r="AR182" i="59" s="1"/>
  <c r="N205" i="59"/>
  <c r="Q205" i="59" s="1"/>
  <c r="T205" i="59" s="1"/>
  <c r="W205" i="59" s="1"/>
  <c r="Z205" i="59" s="1"/>
  <c r="AC205" i="59" s="1"/>
  <c r="AF205" i="59" s="1"/>
  <c r="AI205" i="59" s="1"/>
  <c r="AL205" i="59" s="1"/>
  <c r="AO205" i="59" s="1"/>
  <c r="AR205" i="59" s="1"/>
  <c r="N176" i="59"/>
  <c r="Q176" i="59" s="1"/>
  <c r="T176" i="59" s="1"/>
  <c r="W176" i="59" s="1"/>
  <c r="Z176" i="59" s="1"/>
  <c r="AC176" i="59" s="1"/>
  <c r="AF176" i="59" s="1"/>
  <c r="AI176" i="59" s="1"/>
  <c r="AL176" i="59" s="1"/>
  <c r="AO176" i="59" s="1"/>
  <c r="AR176" i="59" s="1"/>
  <c r="N177" i="59"/>
  <c r="Q177" i="59" s="1"/>
  <c r="T177" i="59" s="1"/>
  <c r="W177" i="59" s="1"/>
  <c r="Z177" i="59" s="1"/>
  <c r="AC177" i="59" s="1"/>
  <c r="AF177" i="59" s="1"/>
  <c r="AI177" i="59" s="1"/>
  <c r="AL177" i="59" s="1"/>
  <c r="AO177" i="59" s="1"/>
  <c r="AR177" i="59" s="1"/>
  <c r="N208" i="59"/>
  <c r="Q208" i="59" s="1"/>
  <c r="T208" i="59" s="1"/>
  <c r="W208" i="59" s="1"/>
  <c r="Z208" i="59" s="1"/>
  <c r="AC208" i="59" s="1"/>
  <c r="AF208" i="59" s="1"/>
  <c r="AI208" i="59" s="1"/>
  <c r="AL208" i="59" s="1"/>
  <c r="AO208" i="59" s="1"/>
  <c r="AR208" i="59" s="1"/>
  <c r="N180" i="59"/>
  <c r="Q180" i="59" s="1"/>
  <c r="T180" i="59" s="1"/>
  <c r="W180" i="59" s="1"/>
  <c r="Z180" i="59" s="1"/>
  <c r="AC180" i="59" s="1"/>
  <c r="AF180" i="59" s="1"/>
  <c r="AI180" i="59" s="1"/>
  <c r="AL180" i="59" s="1"/>
  <c r="AO180" i="59" s="1"/>
  <c r="AR180" i="59" s="1"/>
  <c r="N200" i="59"/>
  <c r="Q200" i="59" s="1"/>
  <c r="T200" i="59" s="1"/>
  <c r="W200" i="59" s="1"/>
  <c r="Z200" i="59" s="1"/>
  <c r="AC200" i="59" s="1"/>
  <c r="AF200" i="59" s="1"/>
  <c r="AI200" i="59" s="1"/>
  <c r="AL200" i="59" s="1"/>
  <c r="AO200" i="59" s="1"/>
  <c r="AR200" i="59" s="1"/>
  <c r="N199" i="59"/>
  <c r="Q199" i="59" s="1"/>
  <c r="T199" i="59" s="1"/>
  <c r="W199" i="59" s="1"/>
  <c r="Z199" i="59" s="1"/>
  <c r="AC199" i="59" s="1"/>
  <c r="AF199" i="59" s="1"/>
  <c r="AI199" i="59" s="1"/>
  <c r="AL199" i="59" s="1"/>
  <c r="AO199" i="59" s="1"/>
  <c r="AR199" i="59" s="1"/>
  <c r="N185" i="59"/>
  <c r="Q185" i="59" s="1"/>
  <c r="T185" i="59" s="1"/>
  <c r="W185" i="59" s="1"/>
  <c r="Z185" i="59" s="1"/>
  <c r="AC185" i="59" s="1"/>
  <c r="AF185" i="59" s="1"/>
  <c r="AI185" i="59" s="1"/>
  <c r="AL185" i="59" s="1"/>
  <c r="AO185" i="59" s="1"/>
  <c r="AR185" i="59" s="1"/>
  <c r="N184" i="59"/>
  <c r="Q184" i="59" s="1"/>
  <c r="T184" i="59" s="1"/>
  <c r="W184" i="59" s="1"/>
  <c r="Z184" i="59" s="1"/>
  <c r="AC184" i="59" s="1"/>
  <c r="AF184" i="59" s="1"/>
  <c r="AI184" i="59" s="1"/>
  <c r="AL184" i="59" s="1"/>
  <c r="AO184" i="59" s="1"/>
  <c r="AR184" i="59" s="1"/>
  <c r="N181" i="59"/>
  <c r="Q181" i="59" s="1"/>
  <c r="T181" i="59" s="1"/>
  <c r="W181" i="59" s="1"/>
  <c r="Z181" i="59" s="1"/>
  <c r="AC181" i="59" s="1"/>
  <c r="AF181" i="59" s="1"/>
  <c r="AI181" i="59" s="1"/>
  <c r="AL181" i="59" s="1"/>
  <c r="AO181" i="59" s="1"/>
  <c r="AR181" i="59" s="1"/>
  <c r="N188" i="59"/>
  <c r="Q188" i="59" s="1"/>
  <c r="T188" i="59" s="1"/>
  <c r="W188" i="59" s="1"/>
  <c r="Z188" i="59" s="1"/>
  <c r="AC188" i="59" s="1"/>
  <c r="AF188" i="59" s="1"/>
  <c r="AI188" i="59" s="1"/>
  <c r="AL188" i="59" s="1"/>
  <c r="AO188" i="59" s="1"/>
  <c r="AR188" i="59" s="1"/>
  <c r="N189" i="59"/>
  <c r="Q189" i="59" s="1"/>
  <c r="T189" i="59" s="1"/>
  <c r="W189" i="59" s="1"/>
  <c r="Z189" i="59" s="1"/>
  <c r="AC189" i="59" s="1"/>
  <c r="AF189" i="59" s="1"/>
  <c r="AI189" i="59" s="1"/>
  <c r="AL189" i="59" s="1"/>
  <c r="AO189" i="59" s="1"/>
  <c r="AR189" i="59" s="1"/>
  <c r="N661" i="59"/>
  <c r="Q661" i="59" s="1"/>
  <c r="T661" i="59" s="1"/>
  <c r="W661" i="59" s="1"/>
  <c r="Z661" i="59" s="1"/>
  <c r="AC661" i="59" s="1"/>
  <c r="AF661" i="59" s="1"/>
  <c r="AI661" i="59" s="1"/>
  <c r="AL661" i="59" s="1"/>
  <c r="AO661" i="59" s="1"/>
  <c r="AR661" i="59" s="1"/>
  <c r="N187" i="59"/>
  <c r="Q187" i="59" s="1"/>
  <c r="T187" i="59" s="1"/>
  <c r="W187" i="59" s="1"/>
  <c r="Z187" i="59" s="1"/>
  <c r="AC187" i="59" s="1"/>
  <c r="AF187" i="59" s="1"/>
  <c r="AI187" i="59" s="1"/>
  <c r="AL187" i="59" s="1"/>
  <c r="AO187" i="59" s="1"/>
  <c r="AR187" i="59" s="1"/>
  <c r="N183" i="59"/>
  <c r="Q183" i="59" s="1"/>
  <c r="T183" i="59" s="1"/>
  <c r="W183" i="59" s="1"/>
  <c r="Z183" i="59" s="1"/>
  <c r="AC183" i="59" s="1"/>
  <c r="AF183" i="59" s="1"/>
  <c r="AI183" i="59" s="1"/>
  <c r="AL183" i="59" s="1"/>
  <c r="AO183" i="59" s="1"/>
  <c r="AR183" i="59" s="1"/>
  <c r="N186" i="59"/>
  <c r="Q186" i="59" s="1"/>
  <c r="T186" i="59" s="1"/>
  <c r="W186" i="59" s="1"/>
  <c r="Z186" i="59" s="1"/>
  <c r="AC186" i="59" s="1"/>
  <c r="AF186" i="59" s="1"/>
  <c r="AI186" i="59" s="1"/>
  <c r="AL186" i="59" s="1"/>
  <c r="AO186" i="59" s="1"/>
  <c r="AR186" i="59" s="1"/>
  <c r="N203" i="59"/>
  <c r="Q203" i="59" s="1"/>
  <c r="T203" i="59" s="1"/>
  <c r="W203" i="59" s="1"/>
  <c r="Z203" i="59" s="1"/>
  <c r="AC203" i="59" s="1"/>
  <c r="AF203" i="59" s="1"/>
  <c r="AI203" i="59" s="1"/>
  <c r="AL203" i="59" s="1"/>
  <c r="AO203" i="59" s="1"/>
  <c r="AR203" i="59" s="1"/>
  <c r="N193" i="59"/>
  <c r="Q193" i="59" s="1"/>
  <c r="T193" i="59" s="1"/>
  <c r="W193" i="59" s="1"/>
  <c r="Z193" i="59" s="1"/>
  <c r="AC193" i="59" s="1"/>
  <c r="AF193" i="59" s="1"/>
  <c r="AI193" i="59" s="1"/>
  <c r="AL193" i="59" s="1"/>
  <c r="AO193" i="59" s="1"/>
  <c r="AR193" i="59" s="1"/>
  <c r="N24" i="59"/>
  <c r="Q24" i="59" s="1"/>
  <c r="T24" i="59" s="1"/>
  <c r="W24" i="59" s="1"/>
  <c r="Z24" i="59" s="1"/>
  <c r="AC24" i="59" s="1"/>
  <c r="AF24" i="59" s="1"/>
  <c r="AI24" i="59" s="1"/>
  <c r="AL24" i="59" s="1"/>
  <c r="AO24" i="59" s="1"/>
  <c r="AR24" i="59" s="1"/>
  <c r="N21" i="59"/>
  <c r="Q21" i="59" s="1"/>
  <c r="T21" i="59" s="1"/>
  <c r="W21" i="59" s="1"/>
  <c r="Z21" i="59" s="1"/>
  <c r="AC21" i="59" s="1"/>
  <c r="AF21" i="59" s="1"/>
  <c r="AI21" i="59" s="1"/>
  <c r="AL21" i="59" s="1"/>
  <c r="AO21" i="59" s="1"/>
  <c r="AR21" i="59" s="1"/>
  <c r="N16" i="59"/>
  <c r="Q16" i="59" s="1"/>
  <c r="T16" i="59" s="1"/>
  <c r="W16" i="59" s="1"/>
  <c r="Z16" i="59" s="1"/>
  <c r="AC16" i="59" s="1"/>
  <c r="AF16" i="59" s="1"/>
  <c r="AI16" i="59" s="1"/>
  <c r="AL16" i="59" s="1"/>
  <c r="AO16" i="59" s="1"/>
  <c r="AR16" i="59" s="1"/>
  <c r="N25" i="59"/>
  <c r="Q25" i="59" s="1"/>
  <c r="T25" i="59" s="1"/>
  <c r="W25" i="59" s="1"/>
  <c r="Z25" i="59" s="1"/>
  <c r="AC25" i="59" s="1"/>
  <c r="AF25" i="59" s="1"/>
  <c r="AI25" i="59" s="1"/>
  <c r="AL25" i="59" s="1"/>
  <c r="AO25" i="59" s="1"/>
  <c r="AR25" i="59" s="1"/>
  <c r="N192" i="59"/>
  <c r="Q192" i="59" s="1"/>
  <c r="T192" i="59" s="1"/>
  <c r="W192" i="59" s="1"/>
  <c r="Z192" i="59" s="1"/>
  <c r="AC192" i="59" s="1"/>
  <c r="AF192" i="59" s="1"/>
  <c r="AI192" i="59" s="1"/>
  <c r="AL192" i="59" s="1"/>
  <c r="AO192" i="59" s="1"/>
  <c r="AR192" i="59" s="1"/>
  <c r="N194" i="59"/>
  <c r="Q194" i="59" s="1"/>
  <c r="T194" i="59" s="1"/>
  <c r="W194" i="59" s="1"/>
  <c r="Z194" i="59" s="1"/>
  <c r="AC194" i="59" s="1"/>
  <c r="AF194" i="59" s="1"/>
  <c r="AI194" i="59" s="1"/>
  <c r="AL194" i="59" s="1"/>
  <c r="AO194" i="59" s="1"/>
  <c r="AR194" i="59" s="1"/>
  <c r="N195" i="59"/>
  <c r="Q195" i="59" s="1"/>
  <c r="T195" i="59" s="1"/>
  <c r="W195" i="59" s="1"/>
  <c r="Z195" i="59" s="1"/>
  <c r="AC195" i="59" s="1"/>
  <c r="AF195" i="59" s="1"/>
  <c r="AI195" i="59" s="1"/>
  <c r="AL195" i="59" s="1"/>
  <c r="AO195" i="59" s="1"/>
  <c r="AR195" i="59" s="1"/>
  <c r="N196" i="59"/>
  <c r="Q196" i="59" s="1"/>
  <c r="T196" i="59" s="1"/>
  <c r="W196" i="59" s="1"/>
  <c r="Z196" i="59" s="1"/>
  <c r="AC196" i="59" s="1"/>
  <c r="AF196" i="59" s="1"/>
  <c r="AI196" i="59" s="1"/>
  <c r="AL196" i="59" s="1"/>
  <c r="AO196" i="59" s="1"/>
  <c r="AR196" i="59" s="1"/>
  <c r="N197" i="59"/>
  <c r="Q197" i="59" s="1"/>
  <c r="T197" i="59" s="1"/>
  <c r="W197" i="59" s="1"/>
  <c r="Z197" i="59" s="1"/>
  <c r="AC197" i="59" s="1"/>
  <c r="AF197" i="59" s="1"/>
  <c r="AI197" i="59" s="1"/>
  <c r="AL197" i="59" s="1"/>
  <c r="AO197" i="59" s="1"/>
  <c r="AR197" i="59" s="1"/>
  <c r="N410" i="59"/>
  <c r="Q410" i="59" s="1"/>
  <c r="T410" i="59" s="1"/>
  <c r="W410" i="59" s="1"/>
  <c r="Z410" i="59" s="1"/>
  <c r="AC410" i="59" s="1"/>
  <c r="AF410" i="59" s="1"/>
  <c r="AI410" i="59" s="1"/>
  <c r="AL410" i="59" s="1"/>
  <c r="AO410" i="59" s="1"/>
  <c r="AR410" i="59" s="1"/>
  <c r="N435" i="59"/>
  <c r="Q435" i="59" s="1"/>
  <c r="T435" i="59" s="1"/>
  <c r="W435" i="59" s="1"/>
  <c r="Z435" i="59" s="1"/>
  <c r="AC435" i="59" s="1"/>
  <c r="AF435" i="59" s="1"/>
  <c r="AI435" i="59" s="1"/>
  <c r="AL435" i="59" s="1"/>
  <c r="AO435" i="59" s="1"/>
  <c r="AR435" i="59" s="1"/>
  <c r="N432" i="59"/>
  <c r="Q432" i="59" s="1"/>
  <c r="T432" i="59" s="1"/>
  <c r="W432" i="59" s="1"/>
  <c r="Z432" i="59" s="1"/>
  <c r="AC432" i="59" s="1"/>
  <c r="AF432" i="59" s="1"/>
  <c r="AI432" i="59" s="1"/>
  <c r="AL432" i="59" s="1"/>
  <c r="AO432" i="59" s="1"/>
  <c r="AR432" i="59" s="1"/>
  <c r="N444" i="59"/>
  <c r="Q444" i="59" s="1"/>
  <c r="T444" i="59" s="1"/>
  <c r="W444" i="59" s="1"/>
  <c r="Z444" i="59" s="1"/>
  <c r="AC444" i="59" s="1"/>
  <c r="AF444" i="59" s="1"/>
  <c r="AI444" i="59" s="1"/>
  <c r="AL444" i="59" s="1"/>
  <c r="AO444" i="59" s="1"/>
  <c r="AR444" i="59" s="1"/>
  <c r="N447" i="59"/>
  <c r="Q447" i="59" s="1"/>
  <c r="T447" i="59" s="1"/>
  <c r="W447" i="59" s="1"/>
  <c r="Z447" i="59" s="1"/>
  <c r="AC447" i="59" s="1"/>
  <c r="AF447" i="59" s="1"/>
  <c r="AI447" i="59" s="1"/>
  <c r="AL447" i="59" s="1"/>
  <c r="AO447" i="59" s="1"/>
  <c r="AR447" i="59" s="1"/>
  <c r="N446" i="59"/>
  <c r="Q446" i="59" s="1"/>
  <c r="T446" i="59" s="1"/>
  <c r="W446" i="59" s="1"/>
  <c r="Z446" i="59" s="1"/>
  <c r="AC446" i="59" s="1"/>
  <c r="AF446" i="59" s="1"/>
  <c r="AI446" i="59" s="1"/>
  <c r="AL446" i="59" s="1"/>
  <c r="AO446" i="59" s="1"/>
  <c r="AR446" i="59" s="1"/>
  <c r="N440" i="59"/>
  <c r="Q440" i="59" s="1"/>
  <c r="T440" i="59" s="1"/>
  <c r="W440" i="59" s="1"/>
  <c r="Z440" i="59" s="1"/>
  <c r="AC440" i="59" s="1"/>
  <c r="AF440" i="59" s="1"/>
  <c r="AI440" i="59" s="1"/>
  <c r="AL440" i="59" s="1"/>
  <c r="AO440" i="59" s="1"/>
  <c r="AR440" i="59" s="1"/>
  <c r="N439" i="59"/>
  <c r="Q439" i="59" s="1"/>
  <c r="T439" i="59" s="1"/>
  <c r="W439" i="59" s="1"/>
  <c r="Z439" i="59" s="1"/>
  <c r="N431" i="59"/>
  <c r="Q431" i="59" s="1"/>
  <c r="T431" i="59" s="1"/>
  <c r="W431" i="59" s="1"/>
  <c r="Z431" i="59" s="1"/>
  <c r="AC431" i="59" s="1"/>
  <c r="AF431" i="59" s="1"/>
  <c r="AI431" i="59" s="1"/>
  <c r="AL431" i="59" s="1"/>
  <c r="AO431" i="59" s="1"/>
  <c r="AR431" i="59" s="1"/>
  <c r="N61" i="59"/>
  <c r="Q61" i="59" s="1"/>
  <c r="T61" i="59" s="1"/>
  <c r="W61" i="59" s="1"/>
  <c r="Z61" i="59" s="1"/>
  <c r="AC61" i="59" s="1"/>
  <c r="AF61" i="59" s="1"/>
  <c r="AI61" i="59" s="1"/>
  <c r="AL61" i="59" s="1"/>
  <c r="AO61" i="59" s="1"/>
  <c r="AR61" i="59" s="1"/>
  <c r="N289" i="59"/>
  <c r="Q289" i="59" s="1"/>
  <c r="T289" i="59" s="1"/>
  <c r="W289" i="59" s="1"/>
  <c r="Z289" i="59" s="1"/>
  <c r="AC289" i="59" s="1"/>
  <c r="AF289" i="59" s="1"/>
  <c r="AI289" i="59" s="1"/>
  <c r="AL289" i="59" s="1"/>
  <c r="AO289" i="59" s="1"/>
  <c r="AR289" i="59" s="1"/>
  <c r="N430" i="59"/>
  <c r="Q430" i="59" s="1"/>
  <c r="T430" i="59" s="1"/>
  <c r="W430" i="59" s="1"/>
  <c r="Z430" i="59" s="1"/>
  <c r="AC430" i="59" s="1"/>
  <c r="AF430" i="59" s="1"/>
  <c r="AI430" i="59" s="1"/>
  <c r="AL430" i="59" s="1"/>
  <c r="AO430" i="59" s="1"/>
  <c r="N396" i="59"/>
  <c r="Q396" i="59" s="1"/>
  <c r="T396" i="59" s="1"/>
  <c r="W396" i="59" s="1"/>
  <c r="Z396" i="59" s="1"/>
  <c r="N407" i="59"/>
  <c r="Q407" i="59" s="1"/>
  <c r="T407" i="59" s="1"/>
  <c r="W407" i="59" s="1"/>
  <c r="Z407" i="59" s="1"/>
  <c r="AC407" i="59" s="1"/>
  <c r="AF407" i="59" s="1"/>
  <c r="AI407" i="59" s="1"/>
  <c r="AL407" i="59" s="1"/>
  <c r="AO407" i="59" s="1"/>
  <c r="AR407" i="59" s="1"/>
  <c r="N408" i="59"/>
  <c r="Q408" i="59" s="1"/>
  <c r="T408" i="59" s="1"/>
  <c r="W408" i="59" s="1"/>
  <c r="Z408" i="59" s="1"/>
  <c r="AC408" i="59" s="1"/>
  <c r="AF408" i="59" s="1"/>
  <c r="AI408" i="59" s="1"/>
  <c r="AL408" i="59" s="1"/>
  <c r="AO408" i="59" s="1"/>
  <c r="AR408" i="59" s="1"/>
  <c r="N404" i="59"/>
  <c r="Q404" i="59" s="1"/>
  <c r="T404" i="59" s="1"/>
  <c r="W404" i="59" s="1"/>
  <c r="Z404" i="59" s="1"/>
  <c r="AC404" i="59" s="1"/>
  <c r="AF404" i="59" s="1"/>
  <c r="AI404" i="59" s="1"/>
  <c r="AL404" i="59" s="1"/>
  <c r="AO404" i="59" s="1"/>
  <c r="AR404" i="59" s="1"/>
  <c r="N398" i="59"/>
  <c r="Q398" i="59" s="1"/>
  <c r="T398" i="59" s="1"/>
  <c r="W398" i="59" s="1"/>
  <c r="Z398" i="59" s="1"/>
  <c r="AC398" i="59" s="1"/>
  <c r="AF398" i="59" s="1"/>
  <c r="AI398" i="59" s="1"/>
  <c r="AL398" i="59" s="1"/>
  <c r="AO398" i="59" s="1"/>
  <c r="AR398" i="59" s="1"/>
  <c r="N405" i="59"/>
  <c r="Q405" i="59" s="1"/>
  <c r="T405" i="59" s="1"/>
  <c r="W405" i="59" s="1"/>
  <c r="Z405" i="59" s="1"/>
  <c r="AC405" i="59" s="1"/>
  <c r="AF405" i="59" s="1"/>
  <c r="AI405" i="59" s="1"/>
  <c r="AL405" i="59" s="1"/>
  <c r="AO405" i="59" s="1"/>
  <c r="AR405" i="59" s="1"/>
  <c r="N397" i="59"/>
  <c r="Q397" i="59" s="1"/>
  <c r="T397" i="59" s="1"/>
  <c r="W397" i="59" s="1"/>
  <c r="Z397" i="59" s="1"/>
  <c r="AC397" i="59" s="1"/>
  <c r="AF397" i="59" s="1"/>
  <c r="AI397" i="59" s="1"/>
  <c r="AL397" i="59" s="1"/>
  <c r="AO397" i="59" s="1"/>
  <c r="AR397" i="59" s="1"/>
  <c r="N400" i="59"/>
  <c r="Q400" i="59" s="1"/>
  <c r="T400" i="59" s="1"/>
  <c r="W400" i="59" s="1"/>
  <c r="Z400" i="59" s="1"/>
  <c r="AC400" i="59" s="1"/>
  <c r="AF400" i="59" s="1"/>
  <c r="AI400" i="59" s="1"/>
  <c r="AL400" i="59" s="1"/>
  <c r="AO400" i="59" s="1"/>
  <c r="AR400" i="59" s="1"/>
  <c r="N409" i="59"/>
  <c r="Q409" i="59" s="1"/>
  <c r="T409" i="59" s="1"/>
  <c r="W409" i="59" s="1"/>
  <c r="Z409" i="59" s="1"/>
  <c r="AC409" i="59" s="1"/>
  <c r="AF409" i="59" s="1"/>
  <c r="AI409" i="59" s="1"/>
  <c r="AL409" i="59" s="1"/>
  <c r="AO409" i="59" s="1"/>
  <c r="AR409" i="59" s="1"/>
  <c r="N395" i="59"/>
  <c r="Q395" i="59" s="1"/>
  <c r="T395" i="59" s="1"/>
  <c r="W395" i="59" s="1"/>
  <c r="Z395" i="59" s="1"/>
  <c r="AC395" i="59" s="1"/>
  <c r="AF395" i="59" s="1"/>
  <c r="AI395" i="59" s="1"/>
  <c r="AL395" i="59" s="1"/>
  <c r="AO395" i="59" s="1"/>
  <c r="AR395" i="59" s="1"/>
  <c r="N401" i="59"/>
  <c r="Q401" i="59" s="1"/>
  <c r="T401" i="59" s="1"/>
  <c r="W401" i="59" s="1"/>
  <c r="Z401" i="59" s="1"/>
  <c r="AC401" i="59" s="1"/>
  <c r="AF401" i="59" s="1"/>
  <c r="AI401" i="59" s="1"/>
  <c r="AL401" i="59" s="1"/>
  <c r="AO401" i="59" s="1"/>
  <c r="AR401" i="59" s="1"/>
  <c r="N214" i="59"/>
  <c r="Q214" i="59" s="1"/>
  <c r="T214" i="59" s="1"/>
  <c r="W214" i="59" s="1"/>
  <c r="Z214" i="59" s="1"/>
  <c r="AC214" i="59" s="1"/>
  <c r="AF214" i="59" s="1"/>
  <c r="N36" i="59"/>
  <c r="Q36" i="59" s="1"/>
  <c r="T36" i="59" s="1"/>
  <c r="W36" i="59" s="1"/>
  <c r="Z36" i="59" s="1"/>
  <c r="AC36" i="59" s="1"/>
  <c r="AF36" i="59" s="1"/>
  <c r="AI36" i="59" s="1"/>
  <c r="AL36" i="59" s="1"/>
  <c r="AO36" i="59" s="1"/>
  <c r="AR36" i="59" s="1"/>
  <c r="N394" i="59"/>
  <c r="Q394" i="59" s="1"/>
  <c r="T394" i="59" s="1"/>
  <c r="W394" i="59" s="1"/>
  <c r="Z394" i="59" s="1"/>
  <c r="AC394" i="59" s="1"/>
  <c r="AF394" i="59" s="1"/>
  <c r="AI394" i="59" s="1"/>
  <c r="AL394" i="59" s="1"/>
  <c r="AO394" i="59" s="1"/>
  <c r="AR394" i="59" s="1"/>
  <c r="N391" i="59"/>
  <c r="Q391" i="59" s="1"/>
  <c r="T391" i="59" s="1"/>
  <c r="W391" i="59" s="1"/>
  <c r="Z391" i="59" s="1"/>
  <c r="AC391" i="59" s="1"/>
  <c r="AF391" i="59" s="1"/>
  <c r="AI391" i="59" s="1"/>
  <c r="AL391" i="59" s="1"/>
  <c r="AO391" i="59" s="1"/>
  <c r="AR391" i="59" s="1"/>
  <c r="N393" i="59"/>
  <c r="Q393" i="59" s="1"/>
  <c r="T393" i="59" s="1"/>
  <c r="W393" i="59" s="1"/>
  <c r="Z393" i="59" s="1"/>
  <c r="AC393" i="59" s="1"/>
  <c r="AF393" i="59" s="1"/>
  <c r="AI393" i="59" s="1"/>
  <c r="AL393" i="59" s="1"/>
  <c r="AO393" i="59" s="1"/>
  <c r="AR393" i="59" s="1"/>
  <c r="N399" i="59"/>
  <c r="Q399" i="59" s="1"/>
  <c r="T399" i="59" s="1"/>
  <c r="W399" i="59" s="1"/>
  <c r="Z399" i="59" s="1"/>
  <c r="AC399" i="59" s="1"/>
  <c r="AF399" i="59" s="1"/>
  <c r="AI399" i="59" s="1"/>
  <c r="AL399" i="59" s="1"/>
  <c r="AO399" i="59" s="1"/>
  <c r="AR399" i="59" s="1"/>
  <c r="N687" i="59"/>
  <c r="Q687" i="59" s="1"/>
  <c r="T687" i="59" s="1"/>
  <c r="W687" i="59" s="1"/>
  <c r="Z687" i="59" s="1"/>
  <c r="AC687" i="59" s="1"/>
  <c r="AF687" i="59" s="1"/>
  <c r="AI687" i="59" s="1"/>
  <c r="AL687" i="59" s="1"/>
  <c r="AO687" i="59" s="1"/>
  <c r="AR687" i="59" s="1"/>
  <c r="N412" i="59"/>
  <c r="Q412" i="59" s="1"/>
  <c r="T412" i="59" s="1"/>
  <c r="W412" i="59" s="1"/>
  <c r="Z412" i="59" s="1"/>
  <c r="AC412" i="59" s="1"/>
  <c r="AF412" i="59" s="1"/>
  <c r="AI412" i="59" s="1"/>
  <c r="AL412" i="59" s="1"/>
  <c r="AO412" i="59" s="1"/>
  <c r="AR412" i="59" s="1"/>
  <c r="N411" i="59"/>
  <c r="Q411" i="59" s="1"/>
  <c r="T411" i="59" s="1"/>
  <c r="W411" i="59" s="1"/>
  <c r="Z411" i="59" s="1"/>
  <c r="AC411" i="59" s="1"/>
  <c r="N336" i="59"/>
  <c r="Q336" i="59" s="1"/>
  <c r="T336" i="59" s="1"/>
  <c r="W336" i="59" s="1"/>
  <c r="N334" i="59"/>
  <c r="Q334" i="59" s="1"/>
  <c r="T334" i="59" s="1"/>
  <c r="W334" i="59" s="1"/>
  <c r="Z334" i="59" s="1"/>
  <c r="AC334" i="59" s="1"/>
  <c r="AF334" i="59" s="1"/>
  <c r="AI334" i="59" s="1"/>
  <c r="AL334" i="59" s="1"/>
  <c r="AO334" i="59" s="1"/>
  <c r="AR334" i="59" s="1"/>
  <c r="N337" i="59"/>
  <c r="Q337" i="59" s="1"/>
  <c r="T337" i="59" s="1"/>
  <c r="W337" i="59" s="1"/>
  <c r="Z337" i="59" s="1"/>
  <c r="AC337" i="59" s="1"/>
  <c r="AF337" i="59" s="1"/>
  <c r="AI337" i="59" s="1"/>
  <c r="AL337" i="59" s="1"/>
  <c r="AO337" i="59" s="1"/>
  <c r="AR337" i="59" s="1"/>
  <c r="N335" i="59"/>
  <c r="Q335" i="59" s="1"/>
  <c r="T335" i="59" s="1"/>
  <c r="W335" i="59" s="1"/>
  <c r="Z335" i="59" s="1"/>
  <c r="AC335" i="59" s="1"/>
  <c r="AF335" i="59" s="1"/>
  <c r="AI335" i="59" s="1"/>
  <c r="AL335" i="59" s="1"/>
  <c r="AO335" i="59" s="1"/>
  <c r="AR335" i="59" s="1"/>
  <c r="N223" i="59"/>
  <c r="Q223" i="59" s="1"/>
  <c r="T223" i="59" s="1"/>
  <c r="W223" i="59" s="1"/>
  <c r="Z223" i="59" s="1"/>
  <c r="AC223" i="59" s="1"/>
  <c r="AF223" i="59" s="1"/>
  <c r="AI223" i="59" s="1"/>
  <c r="AL223" i="59" s="1"/>
  <c r="AO223" i="59" s="1"/>
  <c r="AR223" i="59" s="1"/>
  <c r="N342" i="59"/>
  <c r="Q342" i="59" s="1"/>
  <c r="T342" i="59" s="1"/>
  <c r="W342" i="59" s="1"/>
  <c r="Z342" i="59" s="1"/>
  <c r="AC342" i="59" s="1"/>
  <c r="AF342" i="59" s="1"/>
  <c r="AI342" i="59" s="1"/>
  <c r="AL342" i="59" s="1"/>
  <c r="AO342" i="59" s="1"/>
  <c r="AR342" i="59" s="1"/>
  <c r="N343" i="59"/>
  <c r="Q343" i="59" s="1"/>
  <c r="T343" i="59" s="1"/>
  <c r="W343" i="59" s="1"/>
  <c r="Z343" i="59" s="1"/>
  <c r="AC343" i="59" s="1"/>
  <c r="AF343" i="59" s="1"/>
  <c r="AI343" i="59" s="1"/>
  <c r="AL343" i="59" s="1"/>
  <c r="AO343" i="59" s="1"/>
  <c r="AR343" i="59" s="1"/>
  <c r="N339" i="59"/>
  <c r="Q339" i="59" s="1"/>
  <c r="T339" i="59" s="1"/>
  <c r="W339" i="59" s="1"/>
  <c r="Z339" i="59" s="1"/>
  <c r="AC339" i="59" s="1"/>
  <c r="AF339" i="59" s="1"/>
  <c r="AI339" i="59" s="1"/>
  <c r="AL339" i="59" s="1"/>
  <c r="AO339" i="59" s="1"/>
  <c r="AR339" i="59" s="1"/>
  <c r="N366" i="59"/>
  <c r="Q366" i="59" s="1"/>
  <c r="T366" i="59" s="1"/>
  <c r="W366" i="59" s="1"/>
  <c r="Z366" i="59" s="1"/>
  <c r="AC366" i="59" s="1"/>
  <c r="AF366" i="59" s="1"/>
  <c r="AI366" i="59" s="1"/>
  <c r="AL366" i="59" s="1"/>
  <c r="AO366" i="59" s="1"/>
  <c r="AR366" i="59" s="1"/>
  <c r="N347" i="59"/>
  <c r="Q347" i="59" s="1"/>
  <c r="T347" i="59" s="1"/>
  <c r="W347" i="59" s="1"/>
  <c r="Z347" i="59" s="1"/>
  <c r="AC347" i="59" s="1"/>
  <c r="AF347" i="59" s="1"/>
  <c r="AI347" i="59" s="1"/>
  <c r="AL347" i="59" s="1"/>
  <c r="AO347" i="59" s="1"/>
  <c r="AR347" i="59" s="1"/>
  <c r="N354" i="59"/>
  <c r="Q354" i="59" s="1"/>
  <c r="T354" i="59" s="1"/>
  <c r="W354" i="59" s="1"/>
  <c r="Z354" i="59" s="1"/>
  <c r="AC354" i="59" s="1"/>
  <c r="AF354" i="59" s="1"/>
  <c r="N349" i="59"/>
  <c r="Q349" i="59" s="1"/>
  <c r="T349" i="59" s="1"/>
  <c r="W349" i="59" s="1"/>
  <c r="Z349" i="59" s="1"/>
  <c r="AC349" i="59" s="1"/>
  <c r="AF349" i="59" s="1"/>
  <c r="AI349" i="59" s="1"/>
  <c r="AL349" i="59" s="1"/>
  <c r="AO349" i="59" s="1"/>
  <c r="AR349" i="59" s="1"/>
  <c r="N355" i="59"/>
  <c r="Q355" i="59" s="1"/>
  <c r="T355" i="59" s="1"/>
  <c r="W355" i="59" s="1"/>
  <c r="Z355" i="59" s="1"/>
  <c r="AC355" i="59" s="1"/>
  <c r="AF355" i="59" s="1"/>
  <c r="AI355" i="59" s="1"/>
  <c r="AL355" i="59" s="1"/>
  <c r="AO355" i="59" s="1"/>
  <c r="AR355" i="59" s="1"/>
  <c r="N360" i="59"/>
  <c r="Q360" i="59" s="1"/>
  <c r="T360" i="59" s="1"/>
  <c r="W360" i="59" s="1"/>
  <c r="Z360" i="59" s="1"/>
  <c r="AC360" i="59" s="1"/>
  <c r="AF360" i="59" s="1"/>
  <c r="AI360" i="59" s="1"/>
  <c r="AL360" i="59" s="1"/>
  <c r="AO360" i="59" s="1"/>
  <c r="AR360" i="59" s="1"/>
  <c r="N350" i="59"/>
  <c r="Q350" i="59" s="1"/>
  <c r="T350" i="59" s="1"/>
  <c r="W350" i="59" s="1"/>
  <c r="Z350" i="59" s="1"/>
  <c r="AC350" i="59" s="1"/>
  <c r="AF350" i="59" s="1"/>
  <c r="AI350" i="59" s="1"/>
  <c r="AL350" i="59" s="1"/>
  <c r="AO350" i="59" s="1"/>
  <c r="AR350" i="59" s="1"/>
  <c r="N352" i="59"/>
  <c r="Q352" i="59" s="1"/>
  <c r="T352" i="59" s="1"/>
  <c r="W352" i="59" s="1"/>
  <c r="Z352" i="59" s="1"/>
  <c r="AC352" i="59" s="1"/>
  <c r="AF352" i="59" s="1"/>
  <c r="AI352" i="59" s="1"/>
  <c r="AL352" i="59" s="1"/>
  <c r="AO352" i="59" s="1"/>
  <c r="AR352" i="59" s="1"/>
  <c r="N348" i="59"/>
  <c r="Q348" i="59" s="1"/>
  <c r="T348" i="59" s="1"/>
  <c r="W348" i="59" s="1"/>
  <c r="Z348" i="59" s="1"/>
  <c r="AC348" i="59" s="1"/>
  <c r="AF348" i="59" s="1"/>
  <c r="AI348" i="59" s="1"/>
  <c r="AL348" i="59" s="1"/>
  <c r="AO348" i="59" s="1"/>
  <c r="AR348" i="59" s="1"/>
  <c r="N345" i="59"/>
  <c r="Q345" i="59" s="1"/>
  <c r="T345" i="59" s="1"/>
  <c r="W345" i="59" s="1"/>
  <c r="Z345" i="59" s="1"/>
  <c r="AC345" i="59" s="1"/>
  <c r="AF345" i="59" s="1"/>
  <c r="AI345" i="59" s="1"/>
  <c r="AL345" i="59" s="1"/>
  <c r="AO345" i="59" s="1"/>
  <c r="AR345" i="59" s="1"/>
  <c r="N346" i="59"/>
  <c r="Q346" i="59" s="1"/>
  <c r="T346" i="59" s="1"/>
  <c r="W346" i="59" s="1"/>
  <c r="Z346" i="59" s="1"/>
  <c r="AC346" i="59" s="1"/>
  <c r="AF346" i="59" s="1"/>
  <c r="AI346" i="59" s="1"/>
  <c r="AL346" i="59" s="1"/>
  <c r="AO346" i="59" s="1"/>
  <c r="AR346" i="59" s="1"/>
  <c r="N357" i="59"/>
  <c r="Q357" i="59" s="1"/>
  <c r="T357" i="59" s="1"/>
  <c r="W357" i="59" s="1"/>
  <c r="Z357" i="59" s="1"/>
  <c r="AC357" i="59" s="1"/>
  <c r="AF357" i="59" s="1"/>
  <c r="AI357" i="59" s="1"/>
  <c r="AL357" i="59" s="1"/>
  <c r="AO357" i="59" s="1"/>
  <c r="AR357" i="59" s="1"/>
  <c r="N329" i="59"/>
  <c r="Q329" i="59" s="1"/>
  <c r="T329" i="59" s="1"/>
  <c r="W329" i="59" s="1"/>
  <c r="Z329" i="59" s="1"/>
  <c r="AC329" i="59" s="1"/>
  <c r="AF329" i="59" s="1"/>
  <c r="AI329" i="59" s="1"/>
  <c r="AL329" i="59" s="1"/>
  <c r="AO329" i="59" s="1"/>
  <c r="AR329" i="59" s="1"/>
  <c r="N351" i="59"/>
  <c r="Q351" i="59" s="1"/>
  <c r="T351" i="59" s="1"/>
  <c r="W351" i="59" s="1"/>
  <c r="Z351" i="59" s="1"/>
  <c r="AC351" i="59" s="1"/>
  <c r="AF351" i="59" s="1"/>
  <c r="AI351" i="59" s="1"/>
  <c r="AL351" i="59" s="1"/>
  <c r="AO351" i="59" s="1"/>
  <c r="AR351" i="59" s="1"/>
  <c r="N359" i="59"/>
  <c r="Q359" i="59" s="1"/>
  <c r="T359" i="59" s="1"/>
  <c r="W359" i="59" s="1"/>
  <c r="N437" i="59"/>
  <c r="Q437" i="59" s="1"/>
  <c r="T437" i="59" s="1"/>
  <c r="W437" i="59" s="1"/>
  <c r="Z437" i="59" s="1"/>
  <c r="AC437" i="59" s="1"/>
  <c r="AF437" i="59" s="1"/>
  <c r="AI437" i="59" s="1"/>
  <c r="AL437" i="59" s="1"/>
  <c r="AO437" i="59" s="1"/>
  <c r="AR437" i="59" s="1"/>
  <c r="N436" i="59"/>
  <c r="Q436" i="59" s="1"/>
  <c r="T436" i="59" s="1"/>
  <c r="W436" i="59" s="1"/>
  <c r="Z436" i="59" s="1"/>
  <c r="AC436" i="59" s="1"/>
  <c r="AF436" i="59" s="1"/>
  <c r="AI436" i="59" s="1"/>
  <c r="AL436" i="59" s="1"/>
  <c r="AO436" i="59" s="1"/>
  <c r="AR436" i="59" s="1"/>
  <c r="N364" i="59"/>
  <c r="Q364" i="59" s="1"/>
  <c r="T364" i="59" s="1"/>
  <c r="W364" i="59" s="1"/>
  <c r="Z364" i="59" s="1"/>
  <c r="AC364" i="59" s="1"/>
  <c r="AF364" i="59" s="1"/>
  <c r="AI364" i="59" s="1"/>
  <c r="AL364" i="59" s="1"/>
  <c r="AO364" i="59" s="1"/>
  <c r="AR364" i="59" s="1"/>
  <c r="N340" i="59"/>
  <c r="Q340" i="59" s="1"/>
  <c r="T340" i="59" s="1"/>
  <c r="W340" i="59" s="1"/>
  <c r="Z340" i="59" s="1"/>
  <c r="AC340" i="59" s="1"/>
  <c r="AF340" i="59" s="1"/>
  <c r="AI340" i="59" s="1"/>
  <c r="AL340" i="59" s="1"/>
  <c r="AO340" i="59" s="1"/>
  <c r="AR340" i="59" s="1"/>
  <c r="N365" i="59"/>
  <c r="Q365" i="59" s="1"/>
  <c r="T365" i="59" s="1"/>
  <c r="W365" i="59" s="1"/>
  <c r="Z365" i="59" s="1"/>
  <c r="AC365" i="59" s="1"/>
  <c r="AF365" i="59" s="1"/>
  <c r="AI365" i="59" s="1"/>
  <c r="AL365" i="59" s="1"/>
  <c r="AO365" i="59" s="1"/>
  <c r="AR365" i="59" s="1"/>
  <c r="N499" i="59"/>
  <c r="Q499" i="59" s="1"/>
  <c r="T499" i="59" s="1"/>
  <c r="W499" i="59" s="1"/>
  <c r="Z499" i="59" s="1"/>
  <c r="AC499" i="59" s="1"/>
  <c r="AF499" i="59" s="1"/>
  <c r="AI499" i="59" s="1"/>
  <c r="AL499" i="59" s="1"/>
  <c r="AO499" i="59" s="1"/>
  <c r="AR499" i="59" s="1"/>
  <c r="N362" i="59"/>
  <c r="Q362" i="59" s="1"/>
  <c r="T362" i="59" s="1"/>
  <c r="W362" i="59" s="1"/>
  <c r="Z362" i="59" s="1"/>
  <c r="AC362" i="59" s="1"/>
  <c r="AF362" i="59" s="1"/>
  <c r="AI362" i="59" s="1"/>
  <c r="AL362" i="59" s="1"/>
  <c r="AO362" i="59" s="1"/>
  <c r="AR362" i="59" s="1"/>
  <c r="N501" i="59"/>
  <c r="Q501" i="59" s="1"/>
  <c r="T501" i="59" s="1"/>
  <c r="W501" i="59" s="1"/>
  <c r="Z501" i="59" s="1"/>
  <c r="N385" i="59"/>
  <c r="Q385" i="59" s="1"/>
  <c r="T385" i="59" s="1"/>
  <c r="W385" i="59" s="1"/>
  <c r="Z385" i="59" s="1"/>
  <c r="AC385" i="59" s="1"/>
  <c r="AF385" i="59" s="1"/>
  <c r="AI385" i="59" s="1"/>
  <c r="AL385" i="59" s="1"/>
  <c r="AO385" i="59" s="1"/>
  <c r="AR385" i="59" s="1"/>
  <c r="N363" i="59"/>
  <c r="Q363" i="59" s="1"/>
  <c r="T363" i="59" s="1"/>
  <c r="W363" i="59" s="1"/>
  <c r="Z363" i="59" s="1"/>
  <c r="AC363" i="59" s="1"/>
  <c r="AF363" i="59" s="1"/>
  <c r="AI363" i="59" s="1"/>
  <c r="AL363" i="59" s="1"/>
  <c r="AO363" i="59" s="1"/>
  <c r="AR363" i="59" s="1"/>
  <c r="N502" i="59"/>
  <c r="Q502" i="59" s="1"/>
  <c r="N378" i="59"/>
  <c r="Q378" i="59" s="1"/>
  <c r="T378" i="59" s="1"/>
  <c r="W378" i="59" s="1"/>
  <c r="Z378" i="59" s="1"/>
  <c r="AC378" i="59" s="1"/>
  <c r="AF378" i="59" s="1"/>
  <c r="AI378" i="59" s="1"/>
  <c r="AL378" i="59" s="1"/>
  <c r="AO378" i="59" s="1"/>
  <c r="AR378" i="59" s="1"/>
  <c r="N379" i="59"/>
  <c r="Q379" i="59" s="1"/>
  <c r="T379" i="59" s="1"/>
  <c r="W379" i="59" s="1"/>
  <c r="Z379" i="59" s="1"/>
  <c r="AC379" i="59" s="1"/>
  <c r="AF379" i="59" s="1"/>
  <c r="AI379" i="59" s="1"/>
  <c r="AL379" i="59" s="1"/>
  <c r="AO379" i="59" s="1"/>
  <c r="AR379" i="59" s="1"/>
  <c r="N517" i="59"/>
  <c r="Q517" i="59" s="1"/>
  <c r="T517" i="59" s="1"/>
  <c r="W517" i="59" s="1"/>
  <c r="Z517" i="59" s="1"/>
  <c r="AC517" i="59" s="1"/>
  <c r="AF517" i="59" s="1"/>
  <c r="AI517" i="59" s="1"/>
  <c r="AL517" i="59" s="1"/>
  <c r="AO517" i="59" s="1"/>
  <c r="AR517" i="59" s="1"/>
  <c r="N518" i="59"/>
  <c r="Q518" i="59" s="1"/>
  <c r="T518" i="59" s="1"/>
  <c r="W518" i="59" s="1"/>
  <c r="Z518" i="59" s="1"/>
  <c r="AC518" i="59" s="1"/>
  <c r="AF518" i="59" s="1"/>
  <c r="AI518" i="59" s="1"/>
  <c r="AL518" i="59" s="1"/>
  <c r="AO518" i="59" s="1"/>
  <c r="AR518" i="59" s="1"/>
  <c r="N489" i="59"/>
  <c r="Q489" i="59" s="1"/>
  <c r="T489" i="59" s="1"/>
  <c r="W489" i="59" s="1"/>
  <c r="Z489" i="59" s="1"/>
  <c r="AC489" i="59" s="1"/>
  <c r="AF489" i="59" s="1"/>
  <c r="AI489" i="59" s="1"/>
  <c r="AL489" i="59" s="1"/>
  <c r="AO489" i="59" s="1"/>
  <c r="AR489" i="59" s="1"/>
  <c r="N637" i="59"/>
  <c r="Q637" i="59" s="1"/>
  <c r="T637" i="59" s="1"/>
  <c r="W637" i="59" s="1"/>
  <c r="Z637" i="59" s="1"/>
  <c r="AC637" i="59" s="1"/>
  <c r="AF637" i="59" s="1"/>
  <c r="AI637" i="59" s="1"/>
  <c r="AL637" i="59" s="1"/>
  <c r="AO637" i="59" s="1"/>
  <c r="AR637" i="59" s="1"/>
  <c r="N367" i="59"/>
  <c r="Q367" i="59" s="1"/>
  <c r="T367" i="59" s="1"/>
  <c r="W367" i="59" s="1"/>
  <c r="Z367" i="59" s="1"/>
  <c r="AC367" i="59" s="1"/>
  <c r="AF367" i="59" s="1"/>
  <c r="AI367" i="59" s="1"/>
  <c r="AL367" i="59" s="1"/>
  <c r="AO367" i="59" s="1"/>
  <c r="AR367" i="59" s="1"/>
  <c r="N384" i="59"/>
  <c r="Q384" i="59" s="1"/>
  <c r="T384" i="59" s="1"/>
  <c r="W384" i="59" s="1"/>
  <c r="Z384" i="59" s="1"/>
  <c r="AC384" i="59" s="1"/>
  <c r="AF384" i="59" s="1"/>
  <c r="AI384" i="59" s="1"/>
  <c r="AL384" i="59" s="1"/>
  <c r="AO384" i="59" s="1"/>
  <c r="AR384" i="59" s="1"/>
  <c r="N325" i="59"/>
  <c r="Q325" i="59" s="1"/>
  <c r="T325" i="59" s="1"/>
  <c r="W325" i="59" s="1"/>
  <c r="Z325" i="59" s="1"/>
  <c r="AC325" i="59" s="1"/>
  <c r="AF325" i="59" s="1"/>
  <c r="AI325" i="59" s="1"/>
  <c r="AL325" i="59" s="1"/>
  <c r="AO325" i="59" s="1"/>
  <c r="AR325" i="59" s="1"/>
  <c r="N135" i="59"/>
  <c r="Q135" i="59" s="1"/>
  <c r="T135" i="59" s="1"/>
  <c r="W135" i="59" s="1"/>
  <c r="Z135" i="59" s="1"/>
  <c r="AC135" i="59" s="1"/>
  <c r="AF135" i="59" s="1"/>
  <c r="AI135" i="59" s="1"/>
  <c r="AL135" i="59" s="1"/>
  <c r="AO135" i="59" s="1"/>
  <c r="AR135" i="59" s="1"/>
  <c r="N326" i="59"/>
  <c r="Q326" i="59" s="1"/>
  <c r="T326" i="59" s="1"/>
  <c r="W326" i="59" s="1"/>
  <c r="Z326" i="59" s="1"/>
  <c r="AC326" i="59" s="1"/>
  <c r="AF326" i="59" s="1"/>
  <c r="AI326" i="59" s="1"/>
  <c r="AL326" i="59" s="1"/>
  <c r="AO326" i="59" s="1"/>
  <c r="AR326" i="59" s="1"/>
  <c r="N323" i="59"/>
  <c r="Q323" i="59" s="1"/>
  <c r="T323" i="59" s="1"/>
  <c r="W323" i="59" s="1"/>
  <c r="Z323" i="59" s="1"/>
  <c r="AC323" i="59" s="1"/>
  <c r="AF323" i="59" s="1"/>
  <c r="AI323" i="59" s="1"/>
  <c r="AL323" i="59" s="1"/>
  <c r="AO323" i="59" s="1"/>
  <c r="AR323" i="59" s="1"/>
  <c r="N462" i="59"/>
  <c r="Q462" i="59" s="1"/>
  <c r="T462" i="59" s="1"/>
  <c r="W462" i="59" s="1"/>
  <c r="Z462" i="59" s="1"/>
  <c r="AC462" i="59" s="1"/>
  <c r="AF462" i="59" s="1"/>
  <c r="AI462" i="59" s="1"/>
  <c r="AL462" i="59" s="1"/>
  <c r="AO462" i="59" s="1"/>
  <c r="AR462" i="59" s="1"/>
  <c r="N456" i="59"/>
  <c r="Q456" i="59" s="1"/>
  <c r="T456" i="59" s="1"/>
  <c r="W456" i="59" s="1"/>
  <c r="Z456" i="59" s="1"/>
  <c r="AC456" i="59" s="1"/>
  <c r="AF456" i="59" s="1"/>
  <c r="AI456" i="59" s="1"/>
  <c r="AL456" i="59" s="1"/>
  <c r="AO456" i="59" s="1"/>
  <c r="AR456" i="59" s="1"/>
  <c r="N457" i="59"/>
  <c r="Q457" i="59" s="1"/>
  <c r="T457" i="59" s="1"/>
  <c r="W457" i="59" s="1"/>
  <c r="Z457" i="59" s="1"/>
  <c r="AC457" i="59" s="1"/>
  <c r="AF457" i="59" s="1"/>
  <c r="AI457" i="59" s="1"/>
  <c r="AL457" i="59" s="1"/>
  <c r="AO457" i="59" s="1"/>
  <c r="AR457" i="59" s="1"/>
  <c r="N461" i="59"/>
  <c r="Q461" i="59" s="1"/>
  <c r="T461" i="59" s="1"/>
  <c r="W461" i="59" s="1"/>
  <c r="Z461" i="59" s="1"/>
  <c r="AC461" i="59" s="1"/>
  <c r="AF461" i="59" s="1"/>
  <c r="AI461" i="59" s="1"/>
  <c r="AL461" i="59" s="1"/>
  <c r="AO461" i="59" s="1"/>
  <c r="AR461" i="59" s="1"/>
  <c r="N521" i="59"/>
  <c r="Q521" i="59" s="1"/>
  <c r="T521" i="59" s="1"/>
  <c r="W521" i="59" s="1"/>
  <c r="Z521" i="59" s="1"/>
  <c r="AC521" i="59" s="1"/>
  <c r="AF521" i="59" s="1"/>
  <c r="AI521" i="59" s="1"/>
  <c r="AL521" i="59" s="1"/>
  <c r="AO521" i="59" s="1"/>
  <c r="AR521" i="59" s="1"/>
  <c r="N494" i="59"/>
  <c r="Q494" i="59" s="1"/>
  <c r="T494" i="59" s="1"/>
  <c r="W494" i="59" s="1"/>
  <c r="Z494" i="59" s="1"/>
  <c r="AC494" i="59" s="1"/>
  <c r="AF494" i="59" s="1"/>
  <c r="AI494" i="59" s="1"/>
  <c r="AL494" i="59" s="1"/>
  <c r="AO494" i="59" s="1"/>
  <c r="AR494" i="59" s="1"/>
  <c r="N523" i="59"/>
  <c r="Q523" i="59" s="1"/>
  <c r="T523" i="59" s="1"/>
  <c r="W523" i="59" s="1"/>
  <c r="Z523" i="59" s="1"/>
  <c r="AC523" i="59" s="1"/>
  <c r="AF523" i="59" s="1"/>
  <c r="AI523" i="59" s="1"/>
  <c r="AL523" i="59" s="1"/>
  <c r="AO523" i="59" s="1"/>
  <c r="AR523" i="59" s="1"/>
  <c r="N522" i="59"/>
  <c r="Q522" i="59" s="1"/>
  <c r="T522" i="59" s="1"/>
  <c r="W522" i="59" s="1"/>
  <c r="Z522" i="59" s="1"/>
  <c r="AC522" i="59" s="1"/>
  <c r="AF522" i="59" s="1"/>
  <c r="AI522" i="59" s="1"/>
  <c r="AL522" i="59" s="1"/>
  <c r="AO522" i="59" s="1"/>
  <c r="AR522" i="59" s="1"/>
  <c r="N413" i="59"/>
  <c r="Q413" i="59" s="1"/>
  <c r="T413" i="59" s="1"/>
  <c r="W413" i="59" s="1"/>
  <c r="Z413" i="59" s="1"/>
  <c r="AC413" i="59" s="1"/>
  <c r="AF413" i="59" s="1"/>
  <c r="AI413" i="59" s="1"/>
  <c r="AL413" i="59" s="1"/>
  <c r="AO413" i="59" s="1"/>
  <c r="AR413" i="59" s="1"/>
  <c r="N696" i="59"/>
  <c r="Q696" i="59" s="1"/>
  <c r="T696" i="59" s="1"/>
  <c r="W696" i="59" s="1"/>
  <c r="Z696" i="59" s="1"/>
  <c r="AC696" i="59" s="1"/>
  <c r="AF696" i="59" s="1"/>
  <c r="AI696" i="59" s="1"/>
  <c r="AL696" i="59" s="1"/>
  <c r="AO696" i="59" s="1"/>
  <c r="AR696" i="59" s="1"/>
  <c r="N418" i="59"/>
  <c r="Q418" i="59" s="1"/>
  <c r="T418" i="59" s="1"/>
  <c r="W418" i="59" s="1"/>
  <c r="Z418" i="59" s="1"/>
  <c r="AC418" i="59" s="1"/>
  <c r="AF418" i="59" s="1"/>
  <c r="AI418" i="59" s="1"/>
  <c r="AL418" i="59" s="1"/>
  <c r="AO418" i="59" s="1"/>
  <c r="AR418" i="59" s="1"/>
  <c r="N68" i="59"/>
  <c r="Q68" i="59" s="1"/>
  <c r="T68" i="59" s="1"/>
  <c r="W68" i="59" s="1"/>
  <c r="Z68" i="59" s="1"/>
  <c r="AC68" i="59" s="1"/>
  <c r="AF68" i="59" s="1"/>
  <c r="AI68" i="59" s="1"/>
  <c r="AL68" i="59" s="1"/>
  <c r="AO68" i="59" s="1"/>
  <c r="AR68" i="59" s="1"/>
  <c r="N60" i="59"/>
  <c r="Q60" i="59" s="1"/>
  <c r="T60" i="59" s="1"/>
  <c r="W60" i="59" s="1"/>
  <c r="Z60" i="59" s="1"/>
  <c r="AC60" i="59" s="1"/>
  <c r="AF60" i="59" s="1"/>
  <c r="AI60" i="59" s="1"/>
  <c r="AL60" i="59" s="1"/>
  <c r="AO60" i="59" s="1"/>
  <c r="AR60" i="59" s="1"/>
  <c r="N64" i="59"/>
  <c r="Q64" i="59" s="1"/>
  <c r="T64" i="59" s="1"/>
  <c r="W64" i="59" s="1"/>
  <c r="Z64" i="59" s="1"/>
  <c r="AC64" i="59" s="1"/>
  <c r="AF64" i="59" s="1"/>
  <c r="AI64" i="59" s="1"/>
  <c r="AL64" i="59" s="1"/>
  <c r="AO64" i="59" s="1"/>
  <c r="AR64" i="59" s="1"/>
  <c r="N927" i="59"/>
  <c r="Q927" i="59" s="1"/>
  <c r="T927" i="59" s="1"/>
  <c r="W927" i="59" s="1"/>
  <c r="Z927" i="59" s="1"/>
  <c r="AC927" i="59" s="1"/>
  <c r="AF927" i="59" s="1"/>
  <c r="AI927" i="59" s="1"/>
  <c r="AL927" i="59" s="1"/>
  <c r="AO927" i="59" s="1"/>
  <c r="AR927" i="59" s="1"/>
  <c r="N52" i="59"/>
  <c r="Q52" i="59" s="1"/>
  <c r="T52" i="59" s="1"/>
  <c r="W52" i="59" s="1"/>
  <c r="Z52" i="59" s="1"/>
  <c r="AC52" i="59" s="1"/>
  <c r="AF52" i="59" s="1"/>
  <c r="AI52" i="59" s="1"/>
  <c r="AL52" i="59" s="1"/>
  <c r="AO52" i="59" s="1"/>
  <c r="AR52" i="59" s="1"/>
  <c r="N53" i="59"/>
  <c r="Q53" i="59" s="1"/>
  <c r="T53" i="59" s="1"/>
  <c r="W53" i="59" s="1"/>
  <c r="Z53" i="59" s="1"/>
  <c r="AC53" i="59" s="1"/>
  <c r="AF53" i="59" s="1"/>
  <c r="AI53" i="59" s="1"/>
  <c r="AL53" i="59" s="1"/>
  <c r="AO53" i="59" s="1"/>
  <c r="AR53" i="59" s="1"/>
  <c r="N44" i="59"/>
  <c r="Q44" i="59" s="1"/>
  <c r="T44" i="59" s="1"/>
  <c r="W44" i="59" s="1"/>
  <c r="Z44" i="59" s="1"/>
  <c r="AC44" i="59" s="1"/>
  <c r="AF44" i="59" s="1"/>
  <c r="AI44" i="59" s="1"/>
  <c r="AL44" i="59" s="1"/>
  <c r="AO44" i="59" s="1"/>
  <c r="AR44" i="59" s="1"/>
  <c r="N69" i="59"/>
  <c r="Q69" i="59" s="1"/>
  <c r="T69" i="59" s="1"/>
  <c r="W69" i="59" s="1"/>
  <c r="Z69" i="59" s="1"/>
  <c r="AC69" i="59" s="1"/>
  <c r="AF69" i="59" s="1"/>
  <c r="AI69" i="59" s="1"/>
  <c r="AL69" i="59" s="1"/>
  <c r="AO69" i="59" s="1"/>
  <c r="AR69" i="59" s="1"/>
  <c r="N67" i="59"/>
  <c r="Q67" i="59" s="1"/>
  <c r="T67" i="59" s="1"/>
  <c r="W67" i="59" s="1"/>
  <c r="Z67" i="59" s="1"/>
  <c r="AC67" i="59" s="1"/>
  <c r="AF67" i="59" s="1"/>
  <c r="AI67" i="59" s="1"/>
  <c r="AL67" i="59" s="1"/>
  <c r="AO67" i="59" s="1"/>
  <c r="AR67" i="59" s="1"/>
  <c r="N48" i="59"/>
  <c r="Q48" i="59" s="1"/>
  <c r="T48" i="59" s="1"/>
  <c r="W48" i="59" s="1"/>
  <c r="Z48" i="59" s="1"/>
  <c r="AC48" i="59" s="1"/>
  <c r="AF48" i="59" s="1"/>
  <c r="AI48" i="59" s="1"/>
  <c r="AL48" i="59" s="1"/>
  <c r="AO48" i="59" s="1"/>
  <c r="AR48" i="59" s="1"/>
  <c r="N57" i="59"/>
  <c r="Q57" i="59" s="1"/>
  <c r="T57" i="59" s="1"/>
  <c r="W57" i="59" s="1"/>
  <c r="Z57" i="59" s="1"/>
  <c r="AC57" i="59" s="1"/>
  <c r="AF57" i="59" s="1"/>
  <c r="AI57" i="59" s="1"/>
  <c r="AL57" i="59" s="1"/>
  <c r="AO57" i="59" s="1"/>
  <c r="AR57" i="59" s="1"/>
  <c r="N80" i="59"/>
  <c r="Q80" i="59" s="1"/>
  <c r="T80" i="59" s="1"/>
  <c r="W80" i="59" s="1"/>
  <c r="Z80" i="59" s="1"/>
  <c r="AC80" i="59" s="1"/>
  <c r="AF80" i="59" s="1"/>
  <c r="AI80" i="59" s="1"/>
  <c r="AL80" i="59" s="1"/>
  <c r="AO80" i="59" s="1"/>
  <c r="AR80" i="59" s="1"/>
  <c r="N82" i="59"/>
  <c r="Q82" i="59" s="1"/>
  <c r="T82" i="59" s="1"/>
  <c r="W82" i="59" s="1"/>
  <c r="Z82" i="59" s="1"/>
  <c r="AC82" i="59" s="1"/>
  <c r="AF82" i="59" s="1"/>
  <c r="AI82" i="59" s="1"/>
  <c r="AL82" i="59" s="1"/>
  <c r="AO82" i="59" s="1"/>
  <c r="AR82" i="59" s="1"/>
  <c r="N83" i="59"/>
  <c r="Q83" i="59" s="1"/>
  <c r="T83" i="59" s="1"/>
  <c r="W83" i="59" s="1"/>
  <c r="Z83" i="59" s="1"/>
  <c r="AC83" i="59" s="1"/>
  <c r="AF83" i="59" s="1"/>
  <c r="AI83" i="59" s="1"/>
  <c r="AL83" i="59" s="1"/>
  <c r="AO83" i="59" s="1"/>
  <c r="AR83" i="59" s="1"/>
  <c r="N78" i="59"/>
  <c r="Q78" i="59" s="1"/>
  <c r="T78" i="59" s="1"/>
  <c r="W78" i="59" s="1"/>
  <c r="Z78" i="59" s="1"/>
  <c r="AC78" i="59" s="1"/>
  <c r="AF78" i="59" s="1"/>
  <c r="AI78" i="59" s="1"/>
  <c r="AL78" i="59" s="1"/>
  <c r="AO78" i="59" s="1"/>
  <c r="AR78" i="59" s="1"/>
  <c r="N45" i="59"/>
  <c r="Q45" i="59" s="1"/>
  <c r="T45" i="59" s="1"/>
  <c r="W45" i="59" s="1"/>
  <c r="Z45" i="59" s="1"/>
  <c r="AC45" i="59" s="1"/>
  <c r="AF45" i="59" s="1"/>
  <c r="AI45" i="59" s="1"/>
  <c r="AL45" i="59" s="1"/>
  <c r="AO45" i="59" s="1"/>
  <c r="AR45" i="59" s="1"/>
  <c r="N65" i="59"/>
  <c r="Q65" i="59" s="1"/>
  <c r="T65" i="59" s="1"/>
  <c r="W65" i="59" s="1"/>
  <c r="Z65" i="59" s="1"/>
  <c r="AC65" i="59" s="1"/>
  <c r="AF65" i="59" s="1"/>
  <c r="AI65" i="59" s="1"/>
  <c r="AL65" i="59" s="1"/>
  <c r="AO65" i="59" s="1"/>
  <c r="AR65" i="59" s="1"/>
  <c r="N56" i="59"/>
  <c r="Q56" i="59" s="1"/>
  <c r="T56" i="59" s="1"/>
  <c r="W56" i="59" s="1"/>
  <c r="Z56" i="59" s="1"/>
  <c r="AC56" i="59" s="1"/>
  <c r="AF56" i="59" s="1"/>
  <c r="AI56" i="59" s="1"/>
  <c r="AL56" i="59" s="1"/>
  <c r="AO56" i="59" s="1"/>
  <c r="AR56" i="59" s="1"/>
  <c r="N70" i="59"/>
  <c r="Q70" i="59" s="1"/>
  <c r="T70" i="59" s="1"/>
  <c r="W70" i="59" s="1"/>
  <c r="Z70" i="59" s="1"/>
  <c r="AC70" i="59" s="1"/>
  <c r="AF70" i="59" s="1"/>
  <c r="AI70" i="59" s="1"/>
  <c r="AL70" i="59" s="1"/>
  <c r="AO70" i="59" s="1"/>
  <c r="AR70" i="59" s="1"/>
  <c r="N77" i="59"/>
  <c r="Q77" i="59" s="1"/>
  <c r="T77" i="59" s="1"/>
  <c r="W77" i="59" s="1"/>
  <c r="Z77" i="59" s="1"/>
  <c r="AC77" i="59" s="1"/>
  <c r="AF77" i="59" s="1"/>
  <c r="AI77" i="59" s="1"/>
  <c r="AL77" i="59" s="1"/>
  <c r="AO77" i="59" s="1"/>
  <c r="AR77" i="59" s="1"/>
  <c r="N63" i="59"/>
  <c r="Q63" i="59" s="1"/>
  <c r="T63" i="59" s="1"/>
  <c r="W63" i="59" s="1"/>
  <c r="Z63" i="59" s="1"/>
  <c r="AC63" i="59" s="1"/>
  <c r="AF63" i="59" s="1"/>
  <c r="AI63" i="59" s="1"/>
  <c r="AL63" i="59" s="1"/>
  <c r="AO63" i="59" s="1"/>
  <c r="AR63" i="59" s="1"/>
  <c r="N42" i="59"/>
  <c r="Q42" i="59" s="1"/>
  <c r="T42" i="59" s="1"/>
  <c r="W42" i="59" s="1"/>
  <c r="Z42" i="59" s="1"/>
  <c r="AC42" i="59" s="1"/>
  <c r="AF42" i="59" s="1"/>
  <c r="AI42" i="59" s="1"/>
  <c r="AL42" i="59" s="1"/>
  <c r="AO42" i="59" s="1"/>
  <c r="AR42" i="59" s="1"/>
  <c r="N49" i="59"/>
  <c r="Q49" i="59" s="1"/>
  <c r="T49" i="59" s="1"/>
  <c r="W49" i="59" s="1"/>
  <c r="Z49" i="59" s="1"/>
  <c r="AC49" i="59" s="1"/>
  <c r="AF49" i="59" s="1"/>
  <c r="AI49" i="59" s="1"/>
  <c r="AL49" i="59" s="1"/>
  <c r="AO49" i="59" s="1"/>
  <c r="AR49" i="59" s="1"/>
  <c r="N79" i="59"/>
  <c r="Q79" i="59" s="1"/>
  <c r="T79" i="59" s="1"/>
  <c r="W79" i="59" s="1"/>
  <c r="Z79" i="59" s="1"/>
  <c r="AC79" i="59" s="1"/>
  <c r="AF79" i="59" s="1"/>
  <c r="AI79" i="59" s="1"/>
  <c r="AL79" i="59" s="1"/>
  <c r="AO79" i="59" s="1"/>
  <c r="AR79" i="59" s="1"/>
  <c r="N51" i="59"/>
  <c r="Q51" i="59" s="1"/>
  <c r="T51" i="59" s="1"/>
  <c r="W51" i="59" s="1"/>
  <c r="Z51" i="59" s="1"/>
  <c r="AC51" i="59" s="1"/>
  <c r="AF51" i="59" s="1"/>
  <c r="AI51" i="59" s="1"/>
  <c r="AL51" i="59" s="1"/>
  <c r="AO51" i="59" s="1"/>
  <c r="AR51" i="59" s="1"/>
  <c r="N43" i="59"/>
  <c r="Q43" i="59" s="1"/>
  <c r="T43" i="59" s="1"/>
  <c r="W43" i="59" s="1"/>
  <c r="Z43" i="59" s="1"/>
  <c r="AC43" i="59" s="1"/>
  <c r="AF43" i="59" s="1"/>
  <c r="AI43" i="59" s="1"/>
  <c r="AL43" i="59" s="1"/>
  <c r="AO43" i="59" s="1"/>
  <c r="AR43" i="59" s="1"/>
  <c r="N47" i="59"/>
  <c r="Q47" i="59" s="1"/>
  <c r="T47" i="59" s="1"/>
  <c r="W47" i="59" s="1"/>
  <c r="Z47" i="59" s="1"/>
  <c r="AC47" i="59" s="1"/>
  <c r="AF47" i="59" s="1"/>
  <c r="AI47" i="59" s="1"/>
  <c r="AL47" i="59" s="1"/>
  <c r="AO47" i="59" s="1"/>
  <c r="AR47" i="59" s="1"/>
  <c r="N46" i="59"/>
  <c r="Q46" i="59" s="1"/>
  <c r="T46" i="59" s="1"/>
  <c r="W46" i="59" s="1"/>
  <c r="Z46" i="59" s="1"/>
  <c r="AC46" i="59" s="1"/>
  <c r="AF46" i="59" s="1"/>
  <c r="AI46" i="59" s="1"/>
  <c r="AL46" i="59" s="1"/>
  <c r="AO46" i="59" s="1"/>
  <c r="AR46" i="59" s="1"/>
  <c r="N54" i="59"/>
  <c r="Q54" i="59" s="1"/>
  <c r="T54" i="59" s="1"/>
  <c r="W54" i="59" s="1"/>
  <c r="Z54" i="59" s="1"/>
  <c r="AC54" i="59" s="1"/>
  <c r="AF54" i="59" s="1"/>
  <c r="AI54" i="59" s="1"/>
  <c r="AL54" i="59" s="1"/>
  <c r="AO54" i="59" s="1"/>
  <c r="AR54" i="59" s="1"/>
  <c r="N55" i="59"/>
  <c r="Q55" i="59" s="1"/>
  <c r="T55" i="59" s="1"/>
  <c r="W55" i="59" s="1"/>
  <c r="Z55" i="59" s="1"/>
  <c r="AC55" i="59" s="1"/>
  <c r="AF55" i="59" s="1"/>
  <c r="AI55" i="59" s="1"/>
  <c r="AL55" i="59" s="1"/>
  <c r="AO55" i="59" s="1"/>
  <c r="AR55" i="59" s="1"/>
  <c r="N62" i="59"/>
  <c r="Q62" i="59" s="1"/>
  <c r="T62" i="59" s="1"/>
  <c r="W62" i="59" s="1"/>
  <c r="Z62" i="59" s="1"/>
  <c r="AC62" i="59" s="1"/>
  <c r="AF62" i="59" s="1"/>
  <c r="AI62" i="59" s="1"/>
  <c r="AL62" i="59" s="1"/>
  <c r="AO62" i="59" s="1"/>
  <c r="AR62" i="59" s="1"/>
  <c r="N76" i="59"/>
  <c r="Q76" i="59" s="1"/>
  <c r="T76" i="59" s="1"/>
  <c r="W76" i="59" s="1"/>
  <c r="Z76" i="59" s="1"/>
  <c r="AC76" i="59" s="1"/>
  <c r="AF76" i="59" s="1"/>
  <c r="AI76" i="59" s="1"/>
  <c r="AL76" i="59" s="1"/>
  <c r="AO76" i="59" s="1"/>
  <c r="AR76" i="59" s="1"/>
  <c r="N73" i="59"/>
  <c r="Q73" i="59" s="1"/>
  <c r="T73" i="59" s="1"/>
  <c r="W73" i="59" s="1"/>
  <c r="Z73" i="59" s="1"/>
  <c r="AC73" i="59" s="1"/>
  <c r="AF73" i="59" s="1"/>
  <c r="AI73" i="59" s="1"/>
  <c r="AL73" i="59" s="1"/>
  <c r="AO73" i="59" s="1"/>
  <c r="AR73" i="59" s="1"/>
  <c r="N66" i="59"/>
  <c r="Q66" i="59" s="1"/>
  <c r="T66" i="59" s="1"/>
  <c r="W66" i="59" s="1"/>
  <c r="Z66" i="59" s="1"/>
  <c r="AC66" i="59" s="1"/>
  <c r="AF66" i="59" s="1"/>
  <c r="AI66" i="59" s="1"/>
  <c r="AL66" i="59" s="1"/>
  <c r="AO66" i="59" s="1"/>
  <c r="AR66" i="59" s="1"/>
  <c r="N71" i="59"/>
  <c r="Q71" i="59" s="1"/>
  <c r="T71" i="59" s="1"/>
  <c r="W71" i="59" s="1"/>
  <c r="Z71" i="59" s="1"/>
  <c r="AC71" i="59" s="1"/>
  <c r="AF71" i="59" s="1"/>
  <c r="AI71" i="59" s="1"/>
  <c r="AL71" i="59" s="1"/>
  <c r="AO71" i="59" s="1"/>
  <c r="AR71" i="59" s="1"/>
  <c r="N72" i="59"/>
  <c r="Q72" i="59" s="1"/>
  <c r="T72" i="59" s="1"/>
  <c r="W72" i="59" s="1"/>
  <c r="Z72" i="59" s="1"/>
  <c r="AC72" i="59" s="1"/>
  <c r="AF72" i="59" s="1"/>
  <c r="AI72" i="59" s="1"/>
  <c r="AL72" i="59" s="1"/>
  <c r="AO72" i="59" s="1"/>
  <c r="AR72" i="59" s="1"/>
  <c r="N204" i="59"/>
  <c r="Q204" i="59" s="1"/>
  <c r="T204" i="59" s="1"/>
  <c r="W204" i="59" s="1"/>
  <c r="Z204" i="59" s="1"/>
  <c r="AC204" i="59" s="1"/>
  <c r="AF204" i="59" s="1"/>
  <c r="AI204" i="59" s="1"/>
  <c r="AL204" i="59" s="1"/>
  <c r="AO204" i="59" s="1"/>
  <c r="AR204" i="59" s="1"/>
  <c r="N50" i="59"/>
  <c r="Q50" i="59" s="1"/>
  <c r="T50" i="59" s="1"/>
  <c r="W50" i="59" s="1"/>
  <c r="Z50" i="59" s="1"/>
  <c r="AC50" i="59" s="1"/>
  <c r="AF50" i="59" s="1"/>
  <c r="AI50" i="59" s="1"/>
  <c r="AL50" i="59" s="1"/>
  <c r="AO50" i="59" s="1"/>
  <c r="AR50" i="59" s="1"/>
  <c r="N506" i="59"/>
  <c r="Q506" i="59" s="1"/>
  <c r="T506" i="59" s="1"/>
  <c r="W506" i="59" s="1"/>
  <c r="Z506" i="59" s="1"/>
  <c r="AC506" i="59" s="1"/>
  <c r="AF506" i="59" s="1"/>
  <c r="AI506" i="59" s="1"/>
  <c r="AL506" i="59" s="1"/>
  <c r="AO506" i="59" s="1"/>
  <c r="AR506" i="59" s="1"/>
  <c r="N682" i="59"/>
  <c r="Q682" i="59" s="1"/>
  <c r="T682" i="59" s="1"/>
  <c r="W682" i="59" s="1"/>
  <c r="Z682" i="59" s="1"/>
  <c r="AC682" i="59" s="1"/>
  <c r="AF682" i="59" s="1"/>
  <c r="AI682" i="59" s="1"/>
  <c r="AL682" i="59" s="1"/>
  <c r="AO682" i="59" s="1"/>
  <c r="AR682" i="59" s="1"/>
  <c r="N344" i="59"/>
  <c r="Q344" i="59" s="1"/>
  <c r="T344" i="59" s="1"/>
  <c r="W344" i="59" s="1"/>
  <c r="Z344" i="59" s="1"/>
  <c r="AC344" i="59" s="1"/>
  <c r="AF344" i="59" s="1"/>
  <c r="AI344" i="59" s="1"/>
  <c r="AL344" i="59" s="1"/>
  <c r="AO344" i="59" s="1"/>
  <c r="AR344" i="59" s="1"/>
  <c r="N580" i="59"/>
  <c r="Q580" i="59" s="1"/>
  <c r="T580" i="59" s="1"/>
  <c r="W580" i="59" s="1"/>
  <c r="Z580" i="59" s="1"/>
  <c r="AC580" i="59" s="1"/>
  <c r="AF580" i="59" s="1"/>
  <c r="AI580" i="59" s="1"/>
  <c r="AL580" i="59" s="1"/>
  <c r="AO580" i="59" s="1"/>
  <c r="AR580" i="59" s="1"/>
  <c r="N28" i="59"/>
  <c r="Q28" i="59" s="1"/>
  <c r="T28" i="59" s="1"/>
  <c r="W28" i="59" s="1"/>
  <c r="Z28" i="59" s="1"/>
  <c r="AC28" i="59" s="1"/>
  <c r="AF28" i="59" s="1"/>
  <c r="AI28" i="59" s="1"/>
  <c r="AL28" i="59" s="1"/>
  <c r="AO28" i="59" s="1"/>
  <c r="AR28" i="59" s="1"/>
  <c r="N545" i="59"/>
  <c r="Q545" i="59" s="1"/>
  <c r="T545" i="59" s="1"/>
  <c r="W545" i="59" s="1"/>
  <c r="N551" i="59"/>
  <c r="Q551" i="59" s="1"/>
  <c r="T551" i="59" s="1"/>
  <c r="W551" i="59" s="1"/>
  <c r="Z551" i="59" s="1"/>
  <c r="AC551" i="59" s="1"/>
  <c r="AF551" i="59" s="1"/>
  <c r="AI551" i="59" s="1"/>
  <c r="AL551" i="59" s="1"/>
  <c r="AO551" i="59" s="1"/>
  <c r="AR551" i="59" s="1"/>
  <c r="N578" i="59"/>
  <c r="Q578" i="59" s="1"/>
  <c r="N579" i="59"/>
  <c r="Q579" i="59" s="1"/>
  <c r="N583" i="59"/>
  <c r="Q583" i="59" s="1"/>
  <c r="N552" i="59"/>
  <c r="Q552" i="59" s="1"/>
  <c r="T552" i="59" s="1"/>
  <c r="W552" i="59" s="1"/>
  <c r="Z552" i="59" s="1"/>
  <c r="AC552" i="59" s="1"/>
  <c r="AF552" i="59" s="1"/>
  <c r="AI552" i="59" s="1"/>
  <c r="AL552" i="59" s="1"/>
  <c r="AO552" i="59" s="1"/>
  <c r="AR552" i="59" s="1"/>
  <c r="N553" i="59"/>
  <c r="Q553" i="59" s="1"/>
  <c r="T553" i="59" s="1"/>
  <c r="W553" i="59" s="1"/>
  <c r="Z553" i="59" s="1"/>
  <c r="AC553" i="59" s="1"/>
  <c r="AF553" i="59" s="1"/>
  <c r="AI553" i="59" s="1"/>
  <c r="AL553" i="59" s="1"/>
  <c r="AO553" i="59" s="1"/>
  <c r="AR553" i="59" s="1"/>
  <c r="N572" i="59"/>
  <c r="Q572" i="59" s="1"/>
  <c r="T572" i="59" s="1"/>
  <c r="W572" i="59" s="1"/>
  <c r="Z572" i="59" s="1"/>
  <c r="AC572" i="59" s="1"/>
  <c r="AF572" i="59" s="1"/>
  <c r="AI572" i="59" s="1"/>
  <c r="AL572" i="59" s="1"/>
  <c r="AO572" i="59" s="1"/>
  <c r="AR572" i="59" s="1"/>
  <c r="N547" i="59"/>
  <c r="Q547" i="59" s="1"/>
  <c r="T547" i="59" s="1"/>
  <c r="W547" i="59" s="1"/>
  <c r="Z547" i="59" s="1"/>
  <c r="AC547" i="59" s="1"/>
  <c r="AF547" i="59" s="1"/>
  <c r="AI547" i="59" s="1"/>
  <c r="AL547" i="59" s="1"/>
  <c r="AO547" i="59" s="1"/>
  <c r="AR547" i="59" s="1"/>
  <c r="N555" i="59"/>
  <c r="Q555" i="59" s="1"/>
  <c r="T555" i="59" s="1"/>
  <c r="W555" i="59" s="1"/>
  <c r="Z555" i="59" s="1"/>
  <c r="AC555" i="59" s="1"/>
  <c r="AF555" i="59" s="1"/>
  <c r="AI555" i="59" s="1"/>
  <c r="AL555" i="59" s="1"/>
  <c r="N556" i="59"/>
  <c r="Q556" i="59" s="1"/>
  <c r="T556" i="59" s="1"/>
  <c r="W556" i="59" s="1"/>
  <c r="Z556" i="59" s="1"/>
  <c r="AC556" i="59" s="1"/>
  <c r="AF556" i="59" s="1"/>
  <c r="AI556" i="59" s="1"/>
  <c r="AL556" i="59" s="1"/>
  <c r="AO556" i="59" s="1"/>
  <c r="AR556" i="59" s="1"/>
  <c r="N544" i="59"/>
  <c r="Q544" i="59" s="1"/>
  <c r="T544" i="59" s="1"/>
  <c r="W544" i="59" s="1"/>
  <c r="Z544" i="59" s="1"/>
  <c r="AC544" i="59" s="1"/>
  <c r="AF544" i="59" s="1"/>
  <c r="AI544" i="59" s="1"/>
  <c r="AL544" i="59" s="1"/>
  <c r="AO544" i="59" s="1"/>
  <c r="AR544" i="59" s="1"/>
  <c r="N548" i="59"/>
  <c r="Q548" i="59" s="1"/>
  <c r="T548" i="59" s="1"/>
  <c r="W548" i="59" s="1"/>
  <c r="Z548" i="59" s="1"/>
  <c r="AC548" i="59" s="1"/>
  <c r="AF548" i="59" s="1"/>
  <c r="AI548" i="59" s="1"/>
  <c r="AL548" i="59" s="1"/>
  <c r="AO548" i="59" s="1"/>
  <c r="AR548" i="59" s="1"/>
  <c r="N557" i="59"/>
  <c r="Q557" i="59" s="1"/>
  <c r="T557" i="59" s="1"/>
  <c r="W557" i="59" s="1"/>
  <c r="Z557" i="59" s="1"/>
  <c r="AC557" i="59" s="1"/>
  <c r="AF557" i="59" s="1"/>
  <c r="AI557" i="59" s="1"/>
  <c r="AL557" i="59" s="1"/>
  <c r="AO557" i="59" s="1"/>
  <c r="AR557" i="59" s="1"/>
  <c r="N543" i="59"/>
  <c r="Q543" i="59" s="1"/>
  <c r="T543" i="59" s="1"/>
  <c r="W543" i="59" s="1"/>
  <c r="Z543" i="59" s="1"/>
  <c r="AC543" i="59" s="1"/>
  <c r="AF543" i="59" s="1"/>
  <c r="AI543" i="59" s="1"/>
  <c r="AL543" i="59" s="1"/>
  <c r="AO543" i="59" s="1"/>
  <c r="AR543" i="59" s="1"/>
  <c r="N559" i="59"/>
  <c r="Q559" i="59" s="1"/>
  <c r="T559" i="59" s="1"/>
  <c r="W559" i="59" s="1"/>
  <c r="Z559" i="59" s="1"/>
  <c r="AC559" i="59" s="1"/>
  <c r="AF559" i="59" s="1"/>
  <c r="AI559" i="59" s="1"/>
  <c r="AL559" i="59" s="1"/>
  <c r="AO559" i="59" s="1"/>
  <c r="AR559" i="59" s="1"/>
  <c r="N560" i="59"/>
  <c r="Q560" i="59" s="1"/>
  <c r="T560" i="59" s="1"/>
  <c r="W560" i="59" s="1"/>
  <c r="Z560" i="59" s="1"/>
  <c r="AC560" i="59" s="1"/>
  <c r="AF560" i="59" s="1"/>
  <c r="AI560" i="59" s="1"/>
  <c r="AL560" i="59" s="1"/>
  <c r="AO560" i="59" s="1"/>
  <c r="AR560" i="59" s="1"/>
  <c r="N561" i="59"/>
  <c r="Q561" i="59" s="1"/>
  <c r="T561" i="59" s="1"/>
  <c r="W561" i="59" s="1"/>
  <c r="Z561" i="59" s="1"/>
  <c r="AC561" i="59" s="1"/>
  <c r="AF561" i="59" s="1"/>
  <c r="AI561" i="59" s="1"/>
  <c r="AL561" i="59" s="1"/>
  <c r="AO561" i="59" s="1"/>
  <c r="AR561" i="59" s="1"/>
  <c r="N563" i="59"/>
  <c r="Q563" i="59" s="1"/>
  <c r="T563" i="59" s="1"/>
  <c r="W563" i="59" s="1"/>
  <c r="Z563" i="59" s="1"/>
  <c r="AC563" i="59" s="1"/>
  <c r="AF563" i="59" s="1"/>
  <c r="AI563" i="59" s="1"/>
  <c r="AL563" i="59" s="1"/>
  <c r="AO563" i="59" s="1"/>
  <c r="AR563" i="59" s="1"/>
  <c r="N564" i="59"/>
  <c r="Q564" i="59" s="1"/>
  <c r="T564" i="59" s="1"/>
  <c r="W564" i="59" s="1"/>
  <c r="Z564" i="59" s="1"/>
  <c r="AC564" i="59" s="1"/>
  <c r="AF564" i="59" s="1"/>
  <c r="AI564" i="59" s="1"/>
  <c r="AL564" i="59" s="1"/>
  <c r="AO564" i="59" s="1"/>
  <c r="AR564" i="59" s="1"/>
  <c r="N565" i="59"/>
  <c r="Q565" i="59" s="1"/>
  <c r="T565" i="59" s="1"/>
  <c r="W565" i="59" s="1"/>
  <c r="Z565" i="59" s="1"/>
  <c r="AC565" i="59" s="1"/>
  <c r="AF565" i="59" s="1"/>
  <c r="AI565" i="59" s="1"/>
  <c r="AL565" i="59" s="1"/>
  <c r="AO565" i="59" s="1"/>
  <c r="AR565" i="59" s="1"/>
  <c r="N550" i="59"/>
  <c r="Q550" i="59" s="1"/>
  <c r="T550" i="59" s="1"/>
  <c r="W550" i="59" s="1"/>
  <c r="Z550" i="59" s="1"/>
  <c r="AC550" i="59" s="1"/>
  <c r="AF550" i="59" s="1"/>
  <c r="AI550" i="59" s="1"/>
  <c r="AL550" i="59" s="1"/>
  <c r="AO550" i="59" s="1"/>
  <c r="AR550" i="59" s="1"/>
  <c r="N567" i="59"/>
  <c r="Q567" i="59" s="1"/>
  <c r="T567" i="59" s="1"/>
  <c r="W567" i="59" s="1"/>
  <c r="Z567" i="59" s="1"/>
  <c r="AC567" i="59" s="1"/>
  <c r="AF567" i="59" s="1"/>
  <c r="AI567" i="59" s="1"/>
  <c r="AL567" i="59" s="1"/>
  <c r="AO567" i="59" s="1"/>
  <c r="AR567" i="59" s="1"/>
  <c r="N568" i="59"/>
  <c r="Q568" i="59" s="1"/>
  <c r="T568" i="59" s="1"/>
  <c r="W568" i="59" s="1"/>
  <c r="Z568" i="59" s="1"/>
  <c r="AC568" i="59" s="1"/>
  <c r="AF568" i="59" s="1"/>
  <c r="AI568" i="59" s="1"/>
  <c r="AL568" i="59" s="1"/>
  <c r="AO568" i="59" s="1"/>
  <c r="AR568" i="59" s="1"/>
  <c r="N569" i="59"/>
  <c r="Q569" i="59" s="1"/>
  <c r="T569" i="59" s="1"/>
  <c r="W569" i="59" s="1"/>
  <c r="Z569" i="59" s="1"/>
  <c r="AC569" i="59" s="1"/>
  <c r="AF569" i="59" s="1"/>
  <c r="AI569" i="59" s="1"/>
  <c r="AL569" i="59" s="1"/>
  <c r="AO569" i="59" s="1"/>
  <c r="AR569" i="59" s="1"/>
  <c r="N546" i="59"/>
  <c r="Q546" i="59" s="1"/>
  <c r="T546" i="59" s="1"/>
  <c r="W546" i="59" s="1"/>
  <c r="Z546" i="59" s="1"/>
  <c r="AC546" i="59" s="1"/>
  <c r="AF546" i="59" s="1"/>
  <c r="AI546" i="59" s="1"/>
  <c r="AL546" i="59" s="1"/>
  <c r="AO546" i="59" s="1"/>
  <c r="AR546" i="59" s="1"/>
  <c r="N576" i="59"/>
  <c r="Q576" i="59" s="1"/>
  <c r="T576" i="59" s="1"/>
  <c r="W576" i="59" s="1"/>
  <c r="Z576" i="59" s="1"/>
  <c r="AC576" i="59" s="1"/>
  <c r="AF576" i="59" s="1"/>
  <c r="AI576" i="59" s="1"/>
  <c r="AL576" i="59" s="1"/>
  <c r="AO576" i="59" s="1"/>
  <c r="AR576" i="59" s="1"/>
  <c r="N574" i="59"/>
  <c r="Q574" i="59" s="1"/>
  <c r="T574" i="59" s="1"/>
  <c r="W574" i="59" s="1"/>
  <c r="Z574" i="59" s="1"/>
  <c r="AC574" i="59" s="1"/>
  <c r="AF574" i="59" s="1"/>
  <c r="AI574" i="59" s="1"/>
  <c r="AL574" i="59" s="1"/>
  <c r="AO574" i="59" s="1"/>
  <c r="AR574" i="59" s="1"/>
  <c r="N554" i="59"/>
  <c r="Q554" i="59" s="1"/>
  <c r="T554" i="59" s="1"/>
  <c r="W554" i="59" s="1"/>
  <c r="Z554" i="59" s="1"/>
  <c r="AC554" i="59" s="1"/>
  <c r="AF554" i="59" s="1"/>
  <c r="AI554" i="59" s="1"/>
  <c r="AL554" i="59" s="1"/>
  <c r="AO554" i="59" s="1"/>
  <c r="AR554" i="59" s="1"/>
  <c r="N227" i="59"/>
  <c r="Q227" i="59" s="1"/>
  <c r="T227" i="59" s="1"/>
  <c r="W227" i="59" s="1"/>
  <c r="Z227" i="59" s="1"/>
  <c r="AC227" i="59" s="1"/>
  <c r="AF227" i="59" s="1"/>
  <c r="AI227" i="59" s="1"/>
  <c r="AL227" i="59" s="1"/>
  <c r="AO227" i="59" s="1"/>
  <c r="AR227" i="59" s="1"/>
  <c r="N235" i="59"/>
  <c r="Q235" i="59" s="1"/>
  <c r="T235" i="59" s="1"/>
  <c r="W235" i="59" s="1"/>
  <c r="Z235" i="59" s="1"/>
  <c r="AC235" i="59" s="1"/>
  <c r="AF235" i="59" s="1"/>
  <c r="AI235" i="59" s="1"/>
  <c r="AL235" i="59" s="1"/>
  <c r="AO235" i="59" s="1"/>
  <c r="AR235" i="59" s="1"/>
  <c r="N573" i="59"/>
  <c r="Q573" i="59" s="1"/>
  <c r="T573" i="59" s="1"/>
  <c r="W573" i="59" s="1"/>
  <c r="Z573" i="59" s="1"/>
  <c r="AC573" i="59" s="1"/>
  <c r="AF573" i="59" s="1"/>
  <c r="AI573" i="59" s="1"/>
  <c r="AL573" i="59" s="1"/>
  <c r="AO573" i="59" s="1"/>
  <c r="AR573" i="59" s="1"/>
  <c r="N582" i="59"/>
  <c r="Q582" i="59" s="1"/>
  <c r="T582" i="59" s="1"/>
  <c r="W582" i="59" s="1"/>
  <c r="Z582" i="59" s="1"/>
  <c r="AC582" i="59" s="1"/>
  <c r="AF582" i="59" s="1"/>
  <c r="AI582" i="59" s="1"/>
  <c r="AL582" i="59" s="1"/>
  <c r="AO582" i="59" s="1"/>
  <c r="AR582" i="59" s="1"/>
  <c r="N570" i="59"/>
  <c r="Q570" i="59" s="1"/>
  <c r="T570" i="59" s="1"/>
  <c r="W570" i="59" s="1"/>
  <c r="Z570" i="59" s="1"/>
  <c r="AC570" i="59" s="1"/>
  <c r="AF570" i="59" s="1"/>
  <c r="AI570" i="59" s="1"/>
  <c r="AL570" i="59" s="1"/>
  <c r="AO570" i="59" s="1"/>
  <c r="AR570" i="59" s="1"/>
  <c r="N562" i="59"/>
  <c r="Q562" i="59" s="1"/>
  <c r="T562" i="59" s="1"/>
  <c r="W562" i="59" s="1"/>
  <c r="Z562" i="59" s="1"/>
  <c r="AC562" i="59" s="1"/>
  <c r="AF562" i="59" s="1"/>
  <c r="AI562" i="59" s="1"/>
  <c r="AL562" i="59" s="1"/>
  <c r="AO562" i="59" s="1"/>
  <c r="AR562" i="59" s="1"/>
  <c r="N558" i="59"/>
  <c r="Q558" i="59" s="1"/>
  <c r="T558" i="59" s="1"/>
  <c r="W558" i="59" s="1"/>
  <c r="Z558" i="59" s="1"/>
  <c r="AC558" i="59" s="1"/>
  <c r="AF558" i="59" s="1"/>
  <c r="AI558" i="59" s="1"/>
  <c r="AL558" i="59" s="1"/>
  <c r="AO558" i="59" s="1"/>
  <c r="AR558" i="59" s="1"/>
  <c r="N571" i="59"/>
  <c r="Q571" i="59" s="1"/>
  <c r="T571" i="59" s="1"/>
  <c r="W571" i="59" s="1"/>
  <c r="Z571" i="59" s="1"/>
  <c r="AC571" i="59" s="1"/>
  <c r="AF571" i="59" s="1"/>
  <c r="AI571" i="59" s="1"/>
  <c r="AL571" i="59" s="1"/>
  <c r="AO571" i="59" s="1"/>
  <c r="AR571" i="59" s="1"/>
  <c r="N549" i="59"/>
  <c r="Q549" i="59" s="1"/>
  <c r="T549" i="59" s="1"/>
  <c r="W549" i="59" s="1"/>
  <c r="Z549" i="59" s="1"/>
  <c r="AC549" i="59" s="1"/>
  <c r="AF549" i="59" s="1"/>
  <c r="AI549" i="59" s="1"/>
  <c r="AL549" i="59" s="1"/>
  <c r="AO549" i="59" s="1"/>
  <c r="AR549" i="59" s="1"/>
  <c r="N577" i="59"/>
  <c r="Q577" i="59" s="1"/>
  <c r="T577" i="59" s="1"/>
  <c r="W577" i="59" s="1"/>
  <c r="Z577" i="59" s="1"/>
  <c r="AC577" i="59" s="1"/>
  <c r="AF577" i="59" s="1"/>
  <c r="AI577" i="59" s="1"/>
  <c r="AL577" i="59" s="1"/>
  <c r="AO577" i="59" s="1"/>
  <c r="AR577" i="59" s="1"/>
  <c r="N566" i="59"/>
  <c r="Q566" i="59" s="1"/>
  <c r="T566" i="59" s="1"/>
  <c r="W566" i="59" s="1"/>
  <c r="Z566" i="59" s="1"/>
  <c r="AC566" i="59" s="1"/>
  <c r="AF566" i="59" s="1"/>
  <c r="AI566" i="59" s="1"/>
  <c r="AL566" i="59" s="1"/>
  <c r="AO566" i="59" s="1"/>
  <c r="AR566" i="59" s="1"/>
  <c r="N581" i="59"/>
  <c r="Q581" i="59" s="1"/>
  <c r="T581" i="59" s="1"/>
  <c r="W581" i="59" s="1"/>
  <c r="Z581" i="59" s="1"/>
  <c r="AC581" i="59" s="1"/>
  <c r="AF581" i="59" s="1"/>
  <c r="AI581" i="59" s="1"/>
  <c r="AL581" i="59" s="1"/>
  <c r="AO581" i="59" s="1"/>
  <c r="AR581" i="59" s="1"/>
  <c r="N589" i="59"/>
  <c r="Q589" i="59" s="1"/>
  <c r="T589" i="59" s="1"/>
  <c r="W589" i="59" s="1"/>
  <c r="Z589" i="59" s="1"/>
  <c r="AC589" i="59" s="1"/>
  <c r="AF589" i="59" s="1"/>
  <c r="AI589" i="59" s="1"/>
  <c r="AL589" i="59" s="1"/>
  <c r="AO589" i="59" s="1"/>
  <c r="AR589" i="59" s="1"/>
  <c r="N585" i="59"/>
  <c r="Q585" i="59" s="1"/>
  <c r="T585" i="59" s="1"/>
  <c r="W585" i="59" s="1"/>
  <c r="Z585" i="59" s="1"/>
  <c r="AC585" i="59" s="1"/>
  <c r="AF585" i="59" s="1"/>
  <c r="AI585" i="59" s="1"/>
  <c r="AL585" i="59" s="1"/>
  <c r="AO585" i="59" s="1"/>
  <c r="AR585" i="59" s="1"/>
  <c r="N586" i="59"/>
  <c r="Q586" i="59" s="1"/>
  <c r="T586" i="59" s="1"/>
  <c r="W586" i="59" s="1"/>
  <c r="Z586" i="59" s="1"/>
  <c r="AC586" i="59" s="1"/>
  <c r="AF586" i="59" s="1"/>
  <c r="AI586" i="59" s="1"/>
  <c r="AL586" i="59" s="1"/>
  <c r="AO586" i="59" s="1"/>
  <c r="AR586" i="59" s="1"/>
  <c r="N587" i="59"/>
  <c r="Q587" i="59" s="1"/>
  <c r="T587" i="59" s="1"/>
  <c r="W587" i="59" s="1"/>
  <c r="Z587" i="59" s="1"/>
  <c r="AC587" i="59" s="1"/>
  <c r="AF587" i="59" s="1"/>
  <c r="AI587" i="59" s="1"/>
  <c r="AL587" i="59" s="1"/>
  <c r="AO587" i="59" s="1"/>
  <c r="AR587" i="59" s="1"/>
  <c r="N588" i="59"/>
  <c r="Q588" i="59" s="1"/>
  <c r="T588" i="59" s="1"/>
  <c r="W588" i="59" s="1"/>
  <c r="Z588" i="59" s="1"/>
  <c r="AC588" i="59" s="1"/>
  <c r="AF588" i="59" s="1"/>
  <c r="AI588" i="59" s="1"/>
  <c r="AL588" i="59" s="1"/>
  <c r="AO588" i="59" s="1"/>
  <c r="AR588" i="59" s="1"/>
  <c r="N590" i="59"/>
  <c r="Q590" i="59" s="1"/>
  <c r="T590" i="59" s="1"/>
  <c r="W590" i="59" s="1"/>
  <c r="Z590" i="59" s="1"/>
  <c r="AC590" i="59" s="1"/>
  <c r="AF590" i="59" s="1"/>
  <c r="AI590" i="59" s="1"/>
  <c r="AL590" i="59" s="1"/>
  <c r="AO590" i="59" s="1"/>
  <c r="AR590" i="59" s="1"/>
  <c r="N591" i="59"/>
  <c r="Q591" i="59" s="1"/>
  <c r="T591" i="59" s="1"/>
  <c r="W591" i="59" s="1"/>
  <c r="Z591" i="59" s="1"/>
  <c r="AC591" i="59" s="1"/>
  <c r="AF591" i="59" s="1"/>
  <c r="AI591" i="59" s="1"/>
  <c r="AL591" i="59" s="1"/>
  <c r="AO591" i="59" s="1"/>
  <c r="AR591" i="59" s="1"/>
  <c r="N592" i="59"/>
  <c r="Q592" i="59" s="1"/>
  <c r="T592" i="59" s="1"/>
  <c r="W592" i="59" s="1"/>
  <c r="Z592" i="59" s="1"/>
  <c r="AC592" i="59" s="1"/>
  <c r="AF592" i="59" s="1"/>
  <c r="AI592" i="59" s="1"/>
  <c r="AL592" i="59" s="1"/>
  <c r="AO592" i="59" s="1"/>
  <c r="AR592" i="59" s="1"/>
  <c r="N593" i="59"/>
  <c r="Q593" i="59" s="1"/>
  <c r="T593" i="59" s="1"/>
  <c r="W593" i="59" s="1"/>
  <c r="Z593" i="59" s="1"/>
  <c r="AC593" i="59" s="1"/>
  <c r="AF593" i="59" s="1"/>
  <c r="AI593" i="59" s="1"/>
  <c r="AL593" i="59" s="1"/>
  <c r="AO593" i="59" s="1"/>
  <c r="AR593" i="59" s="1"/>
  <c r="N594" i="59"/>
  <c r="Q594" i="59" s="1"/>
  <c r="T594" i="59" s="1"/>
  <c r="W594" i="59" s="1"/>
  <c r="Z594" i="59" s="1"/>
  <c r="AC594" i="59" s="1"/>
  <c r="AF594" i="59" s="1"/>
  <c r="AI594" i="59" s="1"/>
  <c r="AL594" i="59" s="1"/>
  <c r="AO594" i="59" s="1"/>
  <c r="AR594" i="59" s="1"/>
  <c r="N595" i="59"/>
  <c r="Q595" i="59" s="1"/>
  <c r="T595" i="59" s="1"/>
  <c r="W595" i="59" s="1"/>
  <c r="Z595" i="59" s="1"/>
  <c r="AC595" i="59" s="1"/>
  <c r="AF595" i="59" s="1"/>
  <c r="AI595" i="59" s="1"/>
  <c r="AL595" i="59" s="1"/>
  <c r="AO595" i="59" s="1"/>
  <c r="AR595" i="59" s="1"/>
  <c r="N313" i="59"/>
  <c r="Q313" i="59" s="1"/>
  <c r="T313" i="59" s="1"/>
  <c r="W313" i="59" s="1"/>
  <c r="Z313" i="59" s="1"/>
  <c r="AC313" i="59" s="1"/>
  <c r="AF313" i="59" s="1"/>
  <c r="AI313" i="59" s="1"/>
  <c r="AL313" i="59" s="1"/>
  <c r="AO313" i="59" s="1"/>
  <c r="AR313" i="59" s="1"/>
  <c r="N371" i="59"/>
  <c r="Q371" i="59" s="1"/>
  <c r="T371" i="59" s="1"/>
  <c r="W371" i="59" s="1"/>
  <c r="Z371" i="59" s="1"/>
  <c r="AC371" i="59" s="1"/>
  <c r="AF371" i="59" s="1"/>
  <c r="AI371" i="59" s="1"/>
  <c r="AL371" i="59" s="1"/>
  <c r="AO371" i="59" s="1"/>
  <c r="AR371" i="59" s="1"/>
  <c r="N608" i="59"/>
  <c r="Q608" i="59" s="1"/>
  <c r="T608" i="59" s="1"/>
  <c r="W608" i="59" s="1"/>
  <c r="Z608" i="59" s="1"/>
  <c r="AC608" i="59" s="1"/>
  <c r="AF608" i="59" s="1"/>
  <c r="AI608" i="59" s="1"/>
  <c r="AL608" i="59" s="1"/>
  <c r="AO608" i="59" s="1"/>
  <c r="AR608" i="59" s="1"/>
  <c r="N596" i="59"/>
  <c r="Q596" i="59" s="1"/>
  <c r="T596" i="59" s="1"/>
  <c r="W596" i="59" s="1"/>
  <c r="Z596" i="59" s="1"/>
  <c r="AC596" i="59" s="1"/>
  <c r="AF596" i="59" s="1"/>
  <c r="AI596" i="59" s="1"/>
  <c r="AL596" i="59" s="1"/>
  <c r="AO596" i="59" s="1"/>
  <c r="AR596" i="59" s="1"/>
  <c r="N609" i="59"/>
  <c r="Q609" i="59" s="1"/>
  <c r="T609" i="59" s="1"/>
  <c r="W609" i="59" s="1"/>
  <c r="Z609" i="59" s="1"/>
  <c r="AC609" i="59" s="1"/>
  <c r="AF609" i="59" s="1"/>
  <c r="AI609" i="59" s="1"/>
  <c r="AL609" i="59" s="1"/>
  <c r="AO609" i="59" s="1"/>
  <c r="AR609" i="59" s="1"/>
  <c r="N645" i="59"/>
  <c r="Q645" i="59" s="1"/>
  <c r="T645" i="59" s="1"/>
  <c r="W645" i="59" s="1"/>
  <c r="Z645" i="59" s="1"/>
  <c r="AC645" i="59" s="1"/>
  <c r="AF645" i="59" s="1"/>
  <c r="AI645" i="59" s="1"/>
  <c r="AL645" i="59" s="1"/>
  <c r="AO645" i="59" s="1"/>
  <c r="AR645" i="59" s="1"/>
  <c r="N605" i="59"/>
  <c r="N604" i="59"/>
  <c r="Q604" i="59" s="1"/>
  <c r="T604" i="59" s="1"/>
  <c r="W604" i="59" s="1"/>
  <c r="Z604" i="59" s="1"/>
  <c r="AC604" i="59" s="1"/>
  <c r="AF604" i="59" s="1"/>
  <c r="AI604" i="59" s="1"/>
  <c r="AL604" i="59" s="1"/>
  <c r="AO604" i="59" s="1"/>
  <c r="AR604" i="59" s="1"/>
  <c r="N601" i="59"/>
  <c r="Q601" i="59" s="1"/>
  <c r="T601" i="59" s="1"/>
  <c r="W601" i="59" s="1"/>
  <c r="Z601" i="59" s="1"/>
  <c r="AC601" i="59" s="1"/>
  <c r="AF601" i="59" s="1"/>
  <c r="AI601" i="59" s="1"/>
  <c r="AL601" i="59" s="1"/>
  <c r="AO601" i="59" s="1"/>
  <c r="AR601" i="59" s="1"/>
  <c r="N628" i="59"/>
  <c r="Q628" i="59" s="1"/>
  <c r="T628" i="59" s="1"/>
  <c r="W628" i="59" s="1"/>
  <c r="Z628" i="59" s="1"/>
  <c r="AC628" i="59" s="1"/>
  <c r="AF628" i="59" s="1"/>
  <c r="AI628" i="59" s="1"/>
  <c r="AL628" i="59" s="1"/>
  <c r="AO628" i="59" s="1"/>
  <c r="AR628" i="59" s="1"/>
  <c r="N600" i="59"/>
  <c r="Q600" i="59" s="1"/>
  <c r="T600" i="59" s="1"/>
  <c r="W600" i="59" s="1"/>
  <c r="Z600" i="59" s="1"/>
  <c r="AC600" i="59" s="1"/>
  <c r="AF600" i="59" s="1"/>
  <c r="AI600" i="59" s="1"/>
  <c r="AL600" i="59" s="1"/>
  <c r="AO600" i="59" s="1"/>
  <c r="AR600" i="59" s="1"/>
  <c r="N851" i="59"/>
  <c r="Q851" i="59" s="1"/>
  <c r="T851" i="59" s="1"/>
  <c r="W851" i="59" s="1"/>
  <c r="Z851" i="59" s="1"/>
  <c r="AC851" i="59" s="1"/>
  <c r="AF851" i="59" s="1"/>
  <c r="AI851" i="59" s="1"/>
  <c r="AL851" i="59" s="1"/>
  <c r="AO851" i="59" s="1"/>
  <c r="AR851" i="59" s="1"/>
  <c r="N202" i="59"/>
  <c r="Q202" i="59" s="1"/>
  <c r="T202" i="59" s="1"/>
  <c r="W202" i="59" s="1"/>
  <c r="Z202" i="59" s="1"/>
  <c r="AC202" i="59" s="1"/>
  <c r="AF202" i="59" s="1"/>
  <c r="AI202" i="59" s="1"/>
  <c r="AL202" i="59" s="1"/>
  <c r="AO202" i="59" s="1"/>
  <c r="AR202" i="59" s="1"/>
  <c r="N644" i="59"/>
  <c r="Q644" i="59" s="1"/>
  <c r="T644" i="59" s="1"/>
  <c r="W644" i="59" s="1"/>
  <c r="Z644" i="59" s="1"/>
  <c r="AC644" i="59" s="1"/>
  <c r="AF644" i="59" s="1"/>
  <c r="AI644" i="59" s="1"/>
  <c r="AL644" i="59" s="1"/>
  <c r="AO644" i="59" s="1"/>
  <c r="AR644" i="59" s="1"/>
  <c r="N940" i="59"/>
  <c r="Q940" i="59" s="1"/>
  <c r="T940" i="59" s="1"/>
  <c r="W940" i="59" s="1"/>
  <c r="Z940" i="59" s="1"/>
  <c r="AC940" i="59" s="1"/>
  <c r="AF940" i="59" s="1"/>
  <c r="AI940" i="59" s="1"/>
  <c r="AL940" i="59" s="1"/>
  <c r="AO940" i="59" s="1"/>
  <c r="AR940" i="59" s="1"/>
  <c r="N689" i="59"/>
  <c r="Q689" i="59" s="1"/>
  <c r="T689" i="59" s="1"/>
  <c r="W689" i="59" s="1"/>
  <c r="Z689" i="59" s="1"/>
  <c r="AC689" i="59" s="1"/>
  <c r="AF689" i="59" s="1"/>
  <c r="AI689" i="59" s="1"/>
  <c r="AL689" i="59" s="1"/>
  <c r="AO689" i="59" s="1"/>
  <c r="AR689" i="59" s="1"/>
  <c r="N636" i="59"/>
  <c r="Q636" i="59" s="1"/>
  <c r="T636" i="59" s="1"/>
  <c r="W636" i="59" s="1"/>
  <c r="Z636" i="59" s="1"/>
  <c r="AC636" i="59" s="1"/>
  <c r="AF636" i="59" s="1"/>
  <c r="AI636" i="59" s="1"/>
  <c r="AL636" i="59" s="1"/>
  <c r="AO636" i="59" s="1"/>
  <c r="AR636" i="59" s="1"/>
  <c r="N611" i="59"/>
  <c r="Q611" i="59" s="1"/>
  <c r="T611" i="59" s="1"/>
  <c r="W611" i="59" s="1"/>
  <c r="Z611" i="59" s="1"/>
  <c r="AC611" i="59" s="1"/>
  <c r="AF611" i="59" s="1"/>
  <c r="AI611" i="59" s="1"/>
  <c r="AL611" i="59" s="1"/>
  <c r="AO611" i="59" s="1"/>
  <c r="AR611" i="59" s="1"/>
  <c r="N642" i="59"/>
  <c r="Q642" i="59" s="1"/>
  <c r="T642" i="59" s="1"/>
  <c r="W642" i="59" s="1"/>
  <c r="Z642" i="59" s="1"/>
  <c r="AC642" i="59" s="1"/>
  <c r="AF642" i="59" s="1"/>
  <c r="AI642" i="59" s="1"/>
  <c r="AL642" i="59" s="1"/>
  <c r="AO642" i="59" s="1"/>
  <c r="AR642" i="59" s="1"/>
  <c r="N852" i="59"/>
  <c r="Q852" i="59" s="1"/>
  <c r="T852" i="59" s="1"/>
  <c r="W852" i="59" s="1"/>
  <c r="Z852" i="59" s="1"/>
  <c r="AC852" i="59" s="1"/>
  <c r="AF852" i="59" s="1"/>
  <c r="AI852" i="59" s="1"/>
  <c r="AL852" i="59" s="1"/>
  <c r="AO852" i="59" s="1"/>
  <c r="AR852" i="59" s="1"/>
  <c r="N312" i="59"/>
  <c r="Q312" i="59" s="1"/>
  <c r="T312" i="59" s="1"/>
  <c r="W312" i="59" s="1"/>
  <c r="Z312" i="59" s="1"/>
  <c r="AC312" i="59" s="1"/>
  <c r="AF312" i="59" s="1"/>
  <c r="AI312" i="59" s="1"/>
  <c r="AL312" i="59" s="1"/>
  <c r="AO312" i="59" s="1"/>
  <c r="AR312" i="59" s="1"/>
  <c r="N598" i="59"/>
  <c r="Q598" i="59" s="1"/>
  <c r="T598" i="59" s="1"/>
  <c r="W598" i="59" s="1"/>
  <c r="Z598" i="59" s="1"/>
  <c r="AC598" i="59" s="1"/>
  <c r="AF598" i="59" s="1"/>
  <c r="AI598" i="59" s="1"/>
  <c r="AL598" i="59" s="1"/>
  <c r="AO598" i="59" s="1"/>
  <c r="AR598" i="59" s="1"/>
  <c r="N599" i="59"/>
  <c r="Q599" i="59" s="1"/>
  <c r="N856" i="59"/>
  <c r="Q856" i="59" s="1"/>
  <c r="T856" i="59" s="1"/>
  <c r="W856" i="59" s="1"/>
  <c r="Z856" i="59" s="1"/>
  <c r="AC856" i="59" s="1"/>
  <c r="AF856" i="59" s="1"/>
  <c r="AI856" i="59" s="1"/>
  <c r="AL856" i="59" s="1"/>
  <c r="AO856" i="59" s="1"/>
  <c r="AR856" i="59" s="1"/>
  <c r="N850" i="59"/>
  <c r="Q850" i="59" s="1"/>
  <c r="T850" i="59" s="1"/>
  <c r="W850" i="59" s="1"/>
  <c r="Z850" i="59" s="1"/>
  <c r="AC850" i="59" s="1"/>
  <c r="AF850" i="59" s="1"/>
  <c r="AI850" i="59" s="1"/>
  <c r="AL850" i="59" s="1"/>
  <c r="AO850" i="59" s="1"/>
  <c r="AR850" i="59" s="1"/>
  <c r="N857" i="59"/>
  <c r="Q857" i="59" s="1"/>
  <c r="T857" i="59" s="1"/>
  <c r="W857" i="59" s="1"/>
  <c r="Z857" i="59" s="1"/>
  <c r="AC857" i="59" s="1"/>
  <c r="AF857" i="59" s="1"/>
  <c r="AI857" i="59" s="1"/>
  <c r="AL857" i="59" s="1"/>
  <c r="AO857" i="59" s="1"/>
  <c r="AR857" i="59" s="1"/>
  <c r="N890" i="59"/>
  <c r="Q890" i="59" s="1"/>
  <c r="T890" i="59" s="1"/>
  <c r="W890" i="59" s="1"/>
  <c r="Z890" i="59" s="1"/>
  <c r="AC890" i="59" s="1"/>
  <c r="AF890" i="59" s="1"/>
  <c r="AI890" i="59" s="1"/>
  <c r="AL890" i="59" s="1"/>
  <c r="AO890" i="59" s="1"/>
  <c r="AR890" i="59" s="1"/>
  <c r="N878" i="59"/>
  <c r="Q878" i="59" s="1"/>
  <c r="T878" i="59" s="1"/>
  <c r="W878" i="59" s="1"/>
  <c r="Z878" i="59" s="1"/>
  <c r="AC878" i="59" s="1"/>
  <c r="AF878" i="59" s="1"/>
  <c r="AI878" i="59" s="1"/>
  <c r="AL878" i="59" s="1"/>
  <c r="AO878" i="59" s="1"/>
  <c r="AR878" i="59" s="1"/>
  <c r="N858" i="59"/>
  <c r="Q858" i="59" s="1"/>
  <c r="T858" i="59" s="1"/>
  <c r="W858" i="59" s="1"/>
  <c r="Z858" i="59" s="1"/>
  <c r="AC858" i="59" s="1"/>
  <c r="AF858" i="59" s="1"/>
  <c r="AI858" i="59" s="1"/>
  <c r="AL858" i="59" s="1"/>
  <c r="AO858" i="59" s="1"/>
  <c r="AR858" i="59" s="1"/>
  <c r="N671" i="59"/>
  <c r="Q671" i="59" s="1"/>
  <c r="T671" i="59" s="1"/>
  <c r="W671" i="59" s="1"/>
  <c r="Z671" i="59" s="1"/>
  <c r="AC671" i="59" s="1"/>
  <c r="AF671" i="59" s="1"/>
  <c r="AI671" i="59" s="1"/>
  <c r="AL671" i="59" s="1"/>
  <c r="AO671" i="59" s="1"/>
  <c r="AR671" i="59" s="1"/>
  <c r="N663" i="59"/>
  <c r="Q663" i="59" s="1"/>
  <c r="T663" i="59" s="1"/>
  <c r="W663" i="59" s="1"/>
  <c r="Z663" i="59" s="1"/>
  <c r="AC663" i="59" s="1"/>
  <c r="AF663" i="59" s="1"/>
  <c r="AI663" i="59" s="1"/>
  <c r="AL663" i="59" s="1"/>
  <c r="AO663" i="59" s="1"/>
  <c r="AR663" i="59" s="1"/>
  <c r="N662" i="59"/>
  <c r="Q662" i="59" s="1"/>
  <c r="T662" i="59" s="1"/>
  <c r="W662" i="59" s="1"/>
  <c r="Z662" i="59" s="1"/>
  <c r="AC662" i="59" s="1"/>
  <c r="AF662" i="59" s="1"/>
  <c r="AI662" i="59" s="1"/>
  <c r="AL662" i="59" s="1"/>
  <c r="AO662" i="59" s="1"/>
  <c r="AR662" i="59" s="1"/>
  <c r="N664" i="59"/>
  <c r="Q664" i="59" s="1"/>
  <c r="T664" i="59" s="1"/>
  <c r="W664" i="59" s="1"/>
  <c r="Z664" i="59" s="1"/>
  <c r="AC664" i="59" s="1"/>
  <c r="AF664" i="59" s="1"/>
  <c r="AI664" i="59" s="1"/>
  <c r="AL664" i="59" s="1"/>
  <c r="AO664" i="59" s="1"/>
  <c r="AR664" i="59" s="1"/>
  <c r="N893" i="59"/>
  <c r="Q893" i="59" s="1"/>
  <c r="N894" i="59"/>
  <c r="N896" i="59"/>
  <c r="Q896" i="59" s="1"/>
  <c r="T896" i="59" s="1"/>
  <c r="W896" i="59" s="1"/>
  <c r="Z896" i="59" s="1"/>
  <c r="AC896" i="59" s="1"/>
  <c r="AF896" i="59" s="1"/>
  <c r="AI896" i="59" s="1"/>
  <c r="AL896" i="59" s="1"/>
  <c r="AO896" i="59" s="1"/>
  <c r="AR896" i="59" s="1"/>
  <c r="N895" i="59"/>
  <c r="Q895" i="59" s="1"/>
  <c r="T895" i="59" s="1"/>
  <c r="W895" i="59" s="1"/>
  <c r="Z895" i="59" s="1"/>
  <c r="AC895" i="59" s="1"/>
  <c r="AF895" i="59" s="1"/>
  <c r="AI895" i="59" s="1"/>
  <c r="AL895" i="59" s="1"/>
  <c r="AO895" i="59" s="1"/>
  <c r="AR895" i="59" s="1"/>
  <c r="N683" i="59"/>
  <c r="Q683" i="59" s="1"/>
  <c r="T683" i="59" s="1"/>
  <c r="W683" i="59" s="1"/>
  <c r="Z683" i="59" s="1"/>
  <c r="AC683" i="59" s="1"/>
  <c r="AF683" i="59" s="1"/>
  <c r="AI683" i="59" s="1"/>
  <c r="AL683" i="59" s="1"/>
  <c r="AO683" i="59" s="1"/>
  <c r="AR683" i="59" s="1"/>
  <c r="N677" i="59"/>
  <c r="Q677" i="59" s="1"/>
  <c r="T677" i="59" s="1"/>
  <c r="W677" i="59" s="1"/>
  <c r="Z677" i="59" s="1"/>
  <c r="AC677" i="59" s="1"/>
  <c r="AF677" i="59" s="1"/>
  <c r="AI677" i="59" s="1"/>
  <c r="AL677" i="59" s="1"/>
  <c r="AO677" i="59" s="1"/>
  <c r="AR677" i="59" s="1"/>
  <c r="N674" i="59"/>
  <c r="Q674" i="59" s="1"/>
  <c r="T674" i="59" s="1"/>
  <c r="W674" i="59" s="1"/>
  <c r="Z674" i="59" s="1"/>
  <c r="AC674" i="59" s="1"/>
  <c r="AF674" i="59" s="1"/>
  <c r="AI674" i="59" s="1"/>
  <c r="AL674" i="59" s="1"/>
  <c r="AO674" i="59" s="1"/>
  <c r="AR674" i="59" s="1"/>
  <c r="N881" i="59"/>
  <c r="Q881" i="59" s="1"/>
  <c r="T881" i="59" s="1"/>
  <c r="W881" i="59" s="1"/>
  <c r="Z881" i="59" s="1"/>
  <c r="AC881" i="59" s="1"/>
  <c r="AF881" i="59" s="1"/>
  <c r="AI881" i="59" s="1"/>
  <c r="AL881" i="59" s="1"/>
  <c r="AO881" i="59" s="1"/>
  <c r="AR881" i="59" s="1"/>
  <c r="N899" i="59"/>
  <c r="Q899" i="59" s="1"/>
  <c r="T899" i="59" s="1"/>
  <c r="W899" i="59" s="1"/>
  <c r="Z899" i="59" s="1"/>
  <c r="AC899" i="59" s="1"/>
  <c r="AF899" i="59" s="1"/>
  <c r="AI899" i="59" s="1"/>
  <c r="AL899" i="59" s="1"/>
  <c r="AO899" i="59" s="1"/>
  <c r="AR899" i="59" s="1"/>
  <c r="N897" i="59"/>
  <c r="Q897" i="59" s="1"/>
  <c r="T897" i="59" s="1"/>
  <c r="W897" i="59" s="1"/>
  <c r="Z897" i="59" s="1"/>
  <c r="AC897" i="59" s="1"/>
  <c r="AF897" i="59" s="1"/>
  <c r="AI897" i="59" s="1"/>
  <c r="AL897" i="59" s="1"/>
  <c r="N898" i="59"/>
  <c r="Q898" i="59" s="1"/>
  <c r="T898" i="59" s="1"/>
  <c r="W898" i="59" s="1"/>
  <c r="Z898" i="59" s="1"/>
  <c r="AC898" i="59" s="1"/>
  <c r="AF898" i="59" s="1"/>
  <c r="AI898" i="59" s="1"/>
  <c r="AL898" i="59" s="1"/>
  <c r="AO898" i="59" s="1"/>
  <c r="AR898" i="59" s="1"/>
  <c r="N700" i="59"/>
  <c r="Q700" i="59" s="1"/>
  <c r="T700" i="59" s="1"/>
  <c r="W700" i="59" s="1"/>
  <c r="Z700" i="59" s="1"/>
  <c r="AC700" i="59" s="1"/>
  <c r="AF700" i="59" s="1"/>
  <c r="AI700" i="59" s="1"/>
  <c r="AL700" i="59" s="1"/>
  <c r="AO700" i="59" s="1"/>
  <c r="AR700" i="59" s="1"/>
  <c r="N701" i="59"/>
  <c r="Q701" i="59" s="1"/>
  <c r="T701" i="59" s="1"/>
  <c r="W701" i="59" s="1"/>
  <c r="Z701" i="59" s="1"/>
  <c r="AC701" i="59" s="1"/>
  <c r="AF701" i="59" s="1"/>
  <c r="AI701" i="59" s="1"/>
  <c r="AL701" i="59" s="1"/>
  <c r="AO701" i="59" s="1"/>
  <c r="AR701" i="59" s="1"/>
  <c r="N872" i="59"/>
  <c r="Q872" i="59" s="1"/>
  <c r="T872" i="59" s="1"/>
  <c r="W872" i="59" s="1"/>
  <c r="Z872" i="59" s="1"/>
  <c r="AC872" i="59" s="1"/>
  <c r="AF872" i="59" s="1"/>
  <c r="AI872" i="59" s="1"/>
  <c r="AL872" i="59" s="1"/>
  <c r="AO872" i="59" s="1"/>
  <c r="AR872" i="59" s="1"/>
  <c r="N874" i="59"/>
  <c r="Q874" i="59" s="1"/>
  <c r="T874" i="59" s="1"/>
  <c r="W874" i="59" s="1"/>
  <c r="Z874" i="59" s="1"/>
  <c r="AC874" i="59" s="1"/>
  <c r="AF874" i="59" s="1"/>
  <c r="AI874" i="59" s="1"/>
  <c r="AL874" i="59" s="1"/>
  <c r="AO874" i="59" s="1"/>
  <c r="AR874" i="59" s="1"/>
  <c r="N904" i="59"/>
  <c r="Q904" i="59" s="1"/>
  <c r="T904" i="59" s="1"/>
  <c r="W904" i="59" s="1"/>
  <c r="Z904" i="59" s="1"/>
  <c r="AC904" i="59" s="1"/>
  <c r="AF904" i="59" s="1"/>
  <c r="AI904" i="59" s="1"/>
  <c r="AL904" i="59" s="1"/>
  <c r="AO904" i="59" s="1"/>
  <c r="AR904" i="59" s="1"/>
  <c r="N905" i="59"/>
  <c r="Q905" i="59" s="1"/>
  <c r="T905" i="59" s="1"/>
  <c r="W905" i="59" s="1"/>
  <c r="Z905" i="59" s="1"/>
  <c r="AC905" i="59" s="1"/>
  <c r="AF905" i="59" s="1"/>
  <c r="AI905" i="59" s="1"/>
  <c r="AL905" i="59" s="1"/>
  <c r="AO905" i="59" s="1"/>
  <c r="AR905" i="59" s="1"/>
  <c r="N703" i="59"/>
  <c r="Q703" i="59" s="1"/>
  <c r="T703" i="59" s="1"/>
  <c r="W703" i="59" s="1"/>
  <c r="Z703" i="59" s="1"/>
  <c r="AC703" i="59" s="1"/>
  <c r="AF703" i="59" s="1"/>
  <c r="AI703" i="59" s="1"/>
  <c r="AL703" i="59" s="1"/>
  <c r="AO703" i="59" s="1"/>
  <c r="AR703" i="59" s="1"/>
  <c r="N866" i="59"/>
  <c r="Q866" i="59" s="1"/>
  <c r="T866" i="59" s="1"/>
  <c r="W866" i="59" s="1"/>
  <c r="Z866" i="59" s="1"/>
  <c r="AC866" i="59" s="1"/>
  <c r="AF866" i="59" s="1"/>
  <c r="AI866" i="59" s="1"/>
  <c r="AL866" i="59" s="1"/>
  <c r="AO866" i="59" s="1"/>
  <c r="AR866" i="59" s="1"/>
  <c r="N871" i="59"/>
  <c r="Q871" i="59" s="1"/>
  <c r="T871" i="59" s="1"/>
  <c r="W871" i="59" s="1"/>
  <c r="Z871" i="59" s="1"/>
  <c r="AC871" i="59" s="1"/>
  <c r="AF871" i="59" s="1"/>
  <c r="AI871" i="59" s="1"/>
  <c r="AL871" i="59" s="1"/>
  <c r="AO871" i="59" s="1"/>
  <c r="AR871" i="59" s="1"/>
  <c r="N863" i="59"/>
  <c r="Q863" i="59" s="1"/>
  <c r="T863" i="59" s="1"/>
  <c r="W863" i="59" s="1"/>
  <c r="Z863" i="59" s="1"/>
  <c r="AC863" i="59" s="1"/>
  <c r="AF863" i="59" s="1"/>
  <c r="AI863" i="59" s="1"/>
  <c r="AL863" i="59" s="1"/>
  <c r="AO863" i="59" s="1"/>
  <c r="AR863" i="59" s="1"/>
  <c r="N870" i="59"/>
  <c r="Q870" i="59" s="1"/>
  <c r="T870" i="59" s="1"/>
  <c r="W870" i="59" s="1"/>
  <c r="Z870" i="59" s="1"/>
  <c r="AC870" i="59" s="1"/>
  <c r="AF870" i="59" s="1"/>
  <c r="AI870" i="59" s="1"/>
  <c r="AL870" i="59" s="1"/>
  <c r="AO870" i="59" s="1"/>
  <c r="AR870" i="59" s="1"/>
  <c r="N867" i="59"/>
  <c r="Q867" i="59" s="1"/>
  <c r="T867" i="59" s="1"/>
  <c r="W867" i="59" s="1"/>
  <c r="Z867" i="59" s="1"/>
  <c r="AC867" i="59" s="1"/>
  <c r="AF867" i="59" s="1"/>
  <c r="AI867" i="59" s="1"/>
  <c r="AL867" i="59" s="1"/>
  <c r="AO867" i="59" s="1"/>
  <c r="AR867" i="59" s="1"/>
  <c r="N868" i="59"/>
  <c r="Q868" i="59" s="1"/>
  <c r="T868" i="59" s="1"/>
  <c r="W868" i="59" s="1"/>
  <c r="Z868" i="59" s="1"/>
  <c r="AC868" i="59" s="1"/>
  <c r="AF868" i="59" s="1"/>
  <c r="AI868" i="59" s="1"/>
  <c r="AL868" i="59" s="1"/>
  <c r="AO868" i="59" s="1"/>
  <c r="AR868" i="59" s="1"/>
  <c r="N864" i="59"/>
  <c r="Q864" i="59" s="1"/>
  <c r="T864" i="59" s="1"/>
  <c r="W864" i="59" s="1"/>
  <c r="Z864" i="59" s="1"/>
  <c r="AC864" i="59" s="1"/>
  <c r="AF864" i="59" s="1"/>
  <c r="AI864" i="59" s="1"/>
  <c r="AL864" i="59" s="1"/>
  <c r="AO864" i="59" s="1"/>
  <c r="AR864" i="59" s="1"/>
  <c r="N869" i="59"/>
  <c r="Q869" i="59" s="1"/>
  <c r="T869" i="59" s="1"/>
  <c r="W869" i="59" s="1"/>
  <c r="Z869" i="59" s="1"/>
  <c r="AC869" i="59" s="1"/>
  <c r="AF869" i="59" s="1"/>
  <c r="AI869" i="59" s="1"/>
  <c r="AL869" i="59" s="1"/>
  <c r="AO869" i="59" s="1"/>
  <c r="AR869" i="59" s="1"/>
  <c r="N467" i="59"/>
  <c r="Q467" i="59" s="1"/>
  <c r="T467" i="59" s="1"/>
  <c r="W467" i="59" s="1"/>
  <c r="Z467" i="59" s="1"/>
  <c r="AC467" i="59" s="1"/>
  <c r="AF467" i="59" s="1"/>
  <c r="AI467" i="59" s="1"/>
  <c r="N902" i="59"/>
  <c r="Q902" i="59" s="1"/>
  <c r="T902" i="59" s="1"/>
  <c r="W902" i="59" s="1"/>
  <c r="Z902" i="59" s="1"/>
  <c r="AC902" i="59" s="1"/>
  <c r="AF902" i="59" s="1"/>
  <c r="AI902" i="59" s="1"/>
  <c r="AL902" i="59" s="1"/>
  <c r="AO902" i="59" s="1"/>
  <c r="AR902" i="59" s="1"/>
  <c r="N900" i="59"/>
  <c r="Q900" i="59" s="1"/>
  <c r="T900" i="59" s="1"/>
  <c r="W900" i="59" s="1"/>
  <c r="Z900" i="59" s="1"/>
  <c r="AC900" i="59" s="1"/>
  <c r="AF900" i="59" s="1"/>
  <c r="AI900" i="59" s="1"/>
  <c r="AL900" i="59" s="1"/>
  <c r="AO900" i="59" s="1"/>
  <c r="AR900" i="59" s="1"/>
  <c r="N901" i="59"/>
  <c r="Q901" i="59" s="1"/>
  <c r="T901" i="59" s="1"/>
  <c r="W901" i="59" s="1"/>
  <c r="Z901" i="59" s="1"/>
  <c r="AC901" i="59" s="1"/>
  <c r="AF901" i="59" s="1"/>
  <c r="AI901" i="59" s="1"/>
  <c r="AL901" i="59" s="1"/>
  <c r="AO901" i="59" s="1"/>
  <c r="AR901" i="59" s="1"/>
  <c r="N936" i="59"/>
  <c r="Q936" i="59" s="1"/>
  <c r="T936" i="59" s="1"/>
  <c r="W936" i="59" s="1"/>
  <c r="Z936" i="59" s="1"/>
  <c r="AC936" i="59" s="1"/>
  <c r="AF936" i="59" s="1"/>
  <c r="AI936" i="59" s="1"/>
  <c r="AL936" i="59" s="1"/>
  <c r="AO936" i="59" s="1"/>
  <c r="AR936" i="59" s="1"/>
  <c r="N702" i="59"/>
  <c r="Q702" i="59" s="1"/>
  <c r="T702" i="59" s="1"/>
  <c r="W702" i="59" s="1"/>
  <c r="Z702" i="59" s="1"/>
  <c r="AC702" i="59" s="1"/>
  <c r="AF702" i="59" s="1"/>
  <c r="AI702" i="59" s="1"/>
  <c r="AL702" i="59" s="1"/>
  <c r="AO702" i="59" s="1"/>
  <c r="AR702" i="59" s="1"/>
  <c r="N704" i="59"/>
  <c r="Q704" i="59" s="1"/>
  <c r="T704" i="59" s="1"/>
  <c r="W704" i="59" s="1"/>
  <c r="Z704" i="59" s="1"/>
  <c r="AC704" i="59" s="1"/>
  <c r="AF704" i="59" s="1"/>
  <c r="AI704" i="59" s="1"/>
  <c r="AL704" i="59" s="1"/>
  <c r="AO704" i="59" s="1"/>
  <c r="AR704" i="59" s="1"/>
  <c r="N879" i="59"/>
  <c r="Q879" i="59" s="1"/>
  <c r="T879" i="59" s="1"/>
  <c r="W879" i="59" s="1"/>
  <c r="Z879" i="59" s="1"/>
  <c r="AC879" i="59" s="1"/>
  <c r="AF879" i="59" s="1"/>
  <c r="AI879" i="59" s="1"/>
  <c r="AL879" i="59" s="1"/>
  <c r="AO879" i="59" s="1"/>
  <c r="AR879" i="59" s="1"/>
  <c r="N885" i="59"/>
  <c r="Q885" i="59" s="1"/>
  <c r="T885" i="59" s="1"/>
  <c r="W885" i="59" s="1"/>
  <c r="Z885" i="59" s="1"/>
  <c r="AC885" i="59" s="1"/>
  <c r="AF885" i="59" s="1"/>
  <c r="AI885" i="59" s="1"/>
  <c r="AL885" i="59" s="1"/>
  <c r="AO885" i="59" s="1"/>
  <c r="AR885" i="59" s="1"/>
  <c r="N655" i="59"/>
  <c r="Q655" i="59" s="1"/>
  <c r="T655" i="59" s="1"/>
  <c r="W655" i="59" s="1"/>
  <c r="Z655" i="59" s="1"/>
  <c r="AC655" i="59" s="1"/>
  <c r="AF655" i="59" s="1"/>
  <c r="AI655" i="59" s="1"/>
  <c r="AL655" i="59" s="1"/>
  <c r="AO655" i="59" s="1"/>
  <c r="AR655" i="59" s="1"/>
  <c r="N720" i="59"/>
  <c r="Q720" i="59" s="1"/>
  <c r="T720" i="59" s="1"/>
  <c r="W720" i="59" s="1"/>
  <c r="Z720" i="59" s="1"/>
  <c r="AC720" i="59" s="1"/>
  <c r="AF720" i="59" s="1"/>
  <c r="AI720" i="59" s="1"/>
  <c r="AL720" i="59" s="1"/>
  <c r="AO720" i="59" s="1"/>
  <c r="AR720" i="59" s="1"/>
  <c r="N880" i="59"/>
  <c r="Q880" i="59" s="1"/>
  <c r="T880" i="59" s="1"/>
  <c r="W880" i="59" s="1"/>
  <c r="N877" i="59"/>
  <c r="Q877" i="59" s="1"/>
  <c r="T877" i="59" s="1"/>
  <c r="W877" i="59" s="1"/>
  <c r="Z877" i="59" s="1"/>
  <c r="AC877" i="59" s="1"/>
  <c r="AF877" i="59" s="1"/>
  <c r="AI877" i="59" s="1"/>
  <c r="AL877" i="59" s="1"/>
  <c r="AO877" i="59" s="1"/>
  <c r="AR877" i="59" s="1"/>
  <c r="N830" i="59"/>
  <c r="Q830" i="59" s="1"/>
  <c r="T830" i="59" s="1"/>
  <c r="W830" i="59" s="1"/>
  <c r="Z830" i="59" s="1"/>
  <c r="AC830" i="59" s="1"/>
  <c r="AF830" i="59" s="1"/>
  <c r="AI830" i="59" s="1"/>
  <c r="AL830" i="59" s="1"/>
  <c r="AO830" i="59" s="1"/>
  <c r="AR830" i="59" s="1"/>
  <c r="N829" i="59"/>
  <c r="Q829" i="59" s="1"/>
  <c r="T829" i="59" s="1"/>
  <c r="W829" i="59" s="1"/>
  <c r="Z829" i="59" s="1"/>
  <c r="AC829" i="59" s="1"/>
  <c r="AF829" i="59" s="1"/>
  <c r="AI829" i="59" s="1"/>
  <c r="AL829" i="59" s="1"/>
  <c r="AO829" i="59" s="1"/>
  <c r="AR829" i="59" s="1"/>
  <c r="N372" i="59"/>
  <c r="Q372" i="59" s="1"/>
  <c r="T372" i="59" s="1"/>
  <c r="W372" i="59" s="1"/>
  <c r="Z372" i="59" s="1"/>
  <c r="AC372" i="59" s="1"/>
  <c r="AF372" i="59" s="1"/>
  <c r="AI372" i="59" s="1"/>
  <c r="AL372" i="59" s="1"/>
  <c r="AO372" i="59" s="1"/>
  <c r="AR372" i="59" s="1"/>
  <c r="N718" i="59"/>
  <c r="Q718" i="59" s="1"/>
  <c r="T718" i="59" s="1"/>
  <c r="W718" i="59" s="1"/>
  <c r="Z718" i="59" s="1"/>
  <c r="AC718" i="59" s="1"/>
  <c r="AF718" i="59" s="1"/>
  <c r="AI718" i="59" s="1"/>
  <c r="AL718" i="59" s="1"/>
  <c r="AO718" i="59" s="1"/>
  <c r="AR718" i="59" s="1"/>
  <c r="N832" i="59"/>
  <c r="Q832" i="59" s="1"/>
  <c r="T832" i="59" s="1"/>
  <c r="W832" i="59" s="1"/>
  <c r="Z832" i="59" s="1"/>
  <c r="AC832" i="59" s="1"/>
  <c r="AF832" i="59" s="1"/>
  <c r="AI832" i="59" s="1"/>
  <c r="AL832" i="59" s="1"/>
  <c r="AO832" i="59" s="1"/>
  <c r="AR832" i="59" s="1"/>
  <c r="N831" i="59"/>
  <c r="Q831" i="59" s="1"/>
  <c r="T831" i="59" s="1"/>
  <c r="W831" i="59" s="1"/>
  <c r="Z831" i="59" s="1"/>
  <c r="AC831" i="59" s="1"/>
  <c r="AF831" i="59" s="1"/>
  <c r="AI831" i="59" s="1"/>
  <c r="AL831" i="59" s="1"/>
  <c r="AO831" i="59" s="1"/>
  <c r="AR831" i="59" s="1"/>
  <c r="N828" i="59"/>
  <c r="Q828" i="59" s="1"/>
  <c r="T828" i="59" s="1"/>
  <c r="W828" i="59" s="1"/>
  <c r="Z828" i="59" s="1"/>
  <c r="AC828" i="59" s="1"/>
  <c r="AF828" i="59" s="1"/>
  <c r="AI828" i="59" s="1"/>
  <c r="AL828" i="59" s="1"/>
  <c r="AO828" i="59" s="1"/>
  <c r="AR828" i="59" s="1"/>
  <c r="N827" i="59"/>
  <c r="Q827" i="59" s="1"/>
  <c r="T827" i="59" s="1"/>
  <c r="W827" i="59" s="1"/>
  <c r="Z827" i="59" s="1"/>
  <c r="AC827" i="59" s="1"/>
  <c r="AF827" i="59" s="1"/>
  <c r="AI827" i="59" s="1"/>
  <c r="AL827" i="59" s="1"/>
  <c r="AO827" i="59" s="1"/>
  <c r="AR827" i="59" s="1"/>
  <c r="N903" i="59"/>
  <c r="Q903" i="59" s="1"/>
  <c r="T903" i="59" s="1"/>
  <c r="W903" i="59" s="1"/>
  <c r="Z903" i="59" s="1"/>
  <c r="AC903" i="59" s="1"/>
  <c r="AF903" i="59" s="1"/>
  <c r="AI903" i="59" s="1"/>
  <c r="AL903" i="59" s="1"/>
  <c r="AO903" i="59" s="1"/>
  <c r="AR903" i="59" s="1"/>
  <c r="N909" i="59"/>
  <c r="Q909" i="59" s="1"/>
  <c r="T909" i="59" s="1"/>
  <c r="W909" i="59" s="1"/>
  <c r="Z909" i="59" s="1"/>
  <c r="AC909" i="59" s="1"/>
  <c r="AF909" i="59" s="1"/>
  <c r="AI909" i="59" s="1"/>
  <c r="AL909" i="59" s="1"/>
  <c r="AO909" i="59" s="1"/>
  <c r="AR909" i="59" s="1"/>
  <c r="N908" i="59"/>
  <c r="Q908" i="59" s="1"/>
  <c r="T908" i="59" s="1"/>
  <c r="W908" i="59" s="1"/>
  <c r="Z908" i="59" s="1"/>
  <c r="AC908" i="59" s="1"/>
  <c r="AF908" i="59" s="1"/>
  <c r="AI908" i="59" s="1"/>
  <c r="AL908" i="59" s="1"/>
  <c r="AO908" i="59" s="1"/>
  <c r="AR908" i="59" s="1"/>
  <c r="N906" i="59"/>
  <c r="Q906" i="59" s="1"/>
  <c r="T906" i="59" s="1"/>
  <c r="W906" i="59" s="1"/>
  <c r="Z906" i="59" s="1"/>
  <c r="AC906" i="59" s="1"/>
  <c r="AF906" i="59" s="1"/>
  <c r="AI906" i="59" s="1"/>
  <c r="N374" i="59"/>
  <c r="Q374" i="59" s="1"/>
  <c r="T374" i="59" s="1"/>
  <c r="W374" i="59" s="1"/>
  <c r="Z374" i="59" s="1"/>
  <c r="AC374" i="59" s="1"/>
  <c r="AF374" i="59" s="1"/>
  <c r="AI374" i="59" s="1"/>
  <c r="AL374" i="59" s="1"/>
  <c r="AO374" i="59" s="1"/>
  <c r="AR374" i="59" s="1"/>
  <c r="N865" i="59"/>
  <c r="Q865" i="59" s="1"/>
  <c r="T865" i="59" s="1"/>
  <c r="W865" i="59" s="1"/>
  <c r="Z865" i="59" s="1"/>
  <c r="AC865" i="59" s="1"/>
  <c r="AF865" i="59" s="1"/>
  <c r="AI865" i="59" s="1"/>
  <c r="AL865" i="59" s="1"/>
  <c r="AO865" i="59" s="1"/>
  <c r="AR865" i="59" s="1"/>
  <c r="N678" i="59"/>
  <c r="Q678" i="59" s="1"/>
  <c r="T678" i="59" s="1"/>
  <c r="W678" i="59" s="1"/>
  <c r="Z678" i="59" s="1"/>
  <c r="AC678" i="59" s="1"/>
  <c r="AF678" i="59" s="1"/>
  <c r="AI678" i="59" s="1"/>
  <c r="AL678" i="59" s="1"/>
  <c r="AO678" i="59" s="1"/>
  <c r="AR678" i="59" s="1"/>
  <c r="N201" i="59"/>
  <c r="Q201" i="59" s="1"/>
  <c r="T201" i="59" s="1"/>
  <c r="W201" i="59" s="1"/>
  <c r="Z201" i="59" s="1"/>
  <c r="AC201" i="59" s="1"/>
  <c r="AF201" i="59" s="1"/>
  <c r="AI201" i="59" s="1"/>
  <c r="AL201" i="59" s="1"/>
  <c r="AO201" i="59" s="1"/>
  <c r="AR201" i="59" s="1"/>
  <c r="N498" i="59"/>
  <c r="Q498" i="59" s="1"/>
  <c r="T498" i="59" s="1"/>
  <c r="W498" i="59" s="1"/>
  <c r="Z498" i="59" s="1"/>
  <c r="AC498" i="59" s="1"/>
  <c r="AF498" i="59" s="1"/>
  <c r="AI498" i="59" s="1"/>
  <c r="AL498" i="59" s="1"/>
  <c r="AO498" i="59" s="1"/>
  <c r="AR498" i="59" s="1"/>
  <c r="N319" i="59"/>
  <c r="Q319" i="59" s="1"/>
  <c r="T319" i="59" s="1"/>
  <c r="W319" i="59" s="1"/>
  <c r="Z319" i="59" s="1"/>
  <c r="AC319" i="59" s="1"/>
  <c r="AF319" i="59" s="1"/>
  <c r="AI319" i="59" s="1"/>
  <c r="AL319" i="59" s="1"/>
  <c r="AO319" i="59" s="1"/>
  <c r="AR319" i="59" s="1"/>
  <c r="N836" i="59"/>
  <c r="Q836" i="59" s="1"/>
  <c r="T836" i="59" s="1"/>
  <c r="W836" i="59" s="1"/>
  <c r="Z836" i="59" s="1"/>
  <c r="AC836" i="59" s="1"/>
  <c r="AF836" i="59" s="1"/>
  <c r="AI836" i="59" s="1"/>
  <c r="AL836" i="59" s="1"/>
  <c r="AO836" i="59" s="1"/>
  <c r="AR836" i="59" s="1"/>
  <c r="N171" i="59"/>
  <c r="Q171" i="59" s="1"/>
  <c r="T171" i="59" s="1"/>
  <c r="W171" i="59" s="1"/>
  <c r="Z171" i="59" s="1"/>
  <c r="AC171" i="59" s="1"/>
  <c r="AF171" i="59" s="1"/>
  <c r="AI171" i="59" s="1"/>
  <c r="AL171" i="59" s="1"/>
  <c r="AO171" i="59" s="1"/>
  <c r="AR171" i="59" s="1"/>
  <c r="N844" i="59"/>
  <c r="Q844" i="59" s="1"/>
  <c r="T844" i="59" s="1"/>
  <c r="W844" i="59" s="1"/>
  <c r="Z844" i="59" s="1"/>
  <c r="AC844" i="59" s="1"/>
  <c r="AF844" i="59" s="1"/>
  <c r="AI844" i="59" s="1"/>
  <c r="AL844" i="59" s="1"/>
  <c r="AO844" i="59" s="1"/>
  <c r="AR844" i="59" s="1"/>
  <c r="N91" i="59"/>
  <c r="Q91" i="59" s="1"/>
  <c r="T91" i="59" s="1"/>
  <c r="W91" i="59" s="1"/>
  <c r="Z91" i="59" s="1"/>
  <c r="AC91" i="59" s="1"/>
  <c r="AF91" i="59" s="1"/>
  <c r="AI91" i="59" s="1"/>
  <c r="AL91" i="59" s="1"/>
  <c r="AO91" i="59" s="1"/>
  <c r="AR91" i="59" s="1"/>
  <c r="N949" i="59"/>
  <c r="Q949" i="59" s="1"/>
  <c r="T949" i="59" s="1"/>
  <c r="W949" i="59" s="1"/>
  <c r="Z949" i="59" s="1"/>
  <c r="AC949" i="59" s="1"/>
  <c r="AF949" i="59" s="1"/>
  <c r="AI949" i="59" s="1"/>
  <c r="AL949" i="59" s="1"/>
  <c r="AO949" i="59" s="1"/>
  <c r="AR949" i="59" s="1"/>
  <c r="N884" i="59"/>
  <c r="Q884" i="59" s="1"/>
  <c r="T884" i="59" s="1"/>
  <c r="W884" i="59" s="1"/>
  <c r="Z884" i="59" s="1"/>
  <c r="AC884" i="59" s="1"/>
  <c r="AF884" i="59" s="1"/>
  <c r="AI884" i="59" s="1"/>
  <c r="AL884" i="59" s="1"/>
  <c r="AO884" i="59" s="1"/>
  <c r="AR884" i="59" s="1"/>
  <c r="N911" i="59"/>
  <c r="Q911" i="59" s="1"/>
  <c r="N912" i="59"/>
  <c r="N913" i="59"/>
  <c r="N914" i="59"/>
  <c r="Q914" i="59" s="1"/>
  <c r="T914" i="59" s="1"/>
  <c r="N915" i="59"/>
  <c r="N916" i="59"/>
  <c r="Q916" i="59" s="1"/>
  <c r="T916" i="59" s="1"/>
  <c r="W916" i="59" s="1"/>
  <c r="Z916" i="59" s="1"/>
  <c r="AC916" i="59" s="1"/>
  <c r="AF916" i="59" s="1"/>
  <c r="AI916" i="59" s="1"/>
  <c r="AL916" i="59" s="1"/>
  <c r="AO916" i="59" s="1"/>
  <c r="AR916" i="59" s="1"/>
  <c r="N541" i="59"/>
  <c r="Q541" i="59" s="1"/>
  <c r="T541" i="59" s="1"/>
  <c r="W541" i="59" s="1"/>
  <c r="Z541" i="59" s="1"/>
  <c r="AC541" i="59" s="1"/>
  <c r="AF541" i="59" s="1"/>
  <c r="AI541" i="59" s="1"/>
  <c r="AL541" i="59" s="1"/>
  <c r="AO541" i="59" s="1"/>
  <c r="AR541" i="59" s="1"/>
  <c r="N540" i="59"/>
  <c r="Q540" i="59" s="1"/>
  <c r="T540" i="59" s="1"/>
  <c r="W540" i="59" s="1"/>
  <c r="Z540" i="59" s="1"/>
  <c r="AC540" i="59" s="1"/>
  <c r="AF540" i="59" s="1"/>
  <c r="AI540" i="59" s="1"/>
  <c r="AL540" i="59" s="1"/>
  <c r="AO540" i="59" s="1"/>
  <c r="AR540" i="59" s="1"/>
  <c r="AU540" i="59" s="1"/>
  <c r="J540" i="59" s="1"/>
  <c r="AV540" i="59"/>
  <c r="AX540" i="59"/>
  <c r="AY540" i="59"/>
  <c r="AZ540" i="59"/>
  <c r="BA540" i="59" l="1"/>
  <c r="BC540" i="59"/>
  <c r="BD540" i="59" s="1"/>
  <c r="AC439" i="59"/>
  <c r="AF439" i="59" s="1"/>
  <c r="AI439" i="59" s="1"/>
  <c r="AL439" i="59" s="1"/>
  <c r="AO439" i="59" s="1"/>
  <c r="AR439" i="59" s="1"/>
  <c r="Z336" i="59"/>
  <c r="AC336" i="59" s="1"/>
  <c r="AF336" i="59" s="1"/>
  <c r="AI336" i="59" s="1"/>
  <c r="AL336" i="59" s="1"/>
  <c r="AO336" i="59" s="1"/>
  <c r="AR336" i="59" s="1"/>
  <c r="T599" i="59"/>
  <c r="W599" i="59" s="1"/>
  <c r="Z599" i="59" s="1"/>
  <c r="AC599" i="59" s="1"/>
  <c r="AF599" i="59" s="1"/>
  <c r="AI599" i="59" s="1"/>
  <c r="AL599" i="59" s="1"/>
  <c r="AO599" i="59" s="1"/>
  <c r="AR599" i="59" s="1"/>
  <c r="AL377" i="59"/>
  <c r="AO377" i="59" s="1"/>
  <c r="AR377" i="59" s="1"/>
  <c r="AI214" i="59"/>
  <c r="AL214" i="59" s="1"/>
  <c r="AO214" i="59" s="1"/>
  <c r="AR214" i="59" s="1"/>
  <c r="AC501" i="59"/>
  <c r="AF501" i="59" s="1"/>
  <c r="AI501" i="59" s="1"/>
  <c r="AL501" i="59" s="1"/>
  <c r="AO501" i="59" s="1"/>
  <c r="AR501" i="59" s="1"/>
  <c r="T893" i="59"/>
  <c r="W893" i="59" s="1"/>
  <c r="Z893" i="59" s="1"/>
  <c r="AC893" i="59" s="1"/>
  <c r="AF893" i="59" s="1"/>
  <c r="AI893" i="59" s="1"/>
  <c r="AL893" i="59" s="1"/>
  <c r="AO893" i="59" s="1"/>
  <c r="AR893" i="59" s="1"/>
  <c r="AO4" i="59"/>
  <c r="AR4" i="59" s="1"/>
  <c r="AO90" i="59"/>
  <c r="AR90" i="59" s="1"/>
  <c r="AC98" i="59"/>
  <c r="AF98" i="59" s="1"/>
  <c r="AI98" i="59" s="1"/>
  <c r="AL98" i="59" s="1"/>
  <c r="AO98" i="59" s="1"/>
  <c r="AR98" i="59" s="1"/>
  <c r="AF31" i="59"/>
  <c r="AI31" i="59" s="1"/>
  <c r="AL31" i="59" s="1"/>
  <c r="AO31" i="59" s="1"/>
  <c r="AR31" i="59" s="1"/>
  <c r="Q605" i="59"/>
  <c r="AO897" i="59"/>
  <c r="AR897" i="59" s="1"/>
  <c r="AR250" i="59"/>
  <c r="AO356" i="59"/>
  <c r="AR356" i="59" s="1"/>
  <c r="Z545" i="59"/>
  <c r="AC545" i="59" s="1"/>
  <c r="AF545" i="59" s="1"/>
  <c r="AI545" i="59" s="1"/>
  <c r="AL545" i="59" s="1"/>
  <c r="AO545" i="59" s="1"/>
  <c r="AR545" i="59" s="1"/>
  <c r="AC396" i="59"/>
  <c r="AF396" i="59" s="1"/>
  <c r="AI396" i="59" s="1"/>
  <c r="AL396" i="59" s="1"/>
  <c r="AO396" i="59" s="1"/>
  <c r="AR396" i="59" s="1"/>
  <c r="AR414" i="59"/>
  <c r="T911" i="59"/>
  <c r="W911" i="59" s="1"/>
  <c r="Z911" i="59" s="1"/>
  <c r="AR430" i="59"/>
  <c r="AI130" i="59"/>
  <c r="AL130" i="59" s="1"/>
  <c r="AO130" i="59" s="1"/>
  <c r="AR130" i="59" s="1"/>
  <c r="T578" i="59"/>
  <c r="W578" i="59" s="1"/>
  <c r="Z578" i="59" s="1"/>
  <c r="AC578" i="59" s="1"/>
  <c r="AF578" i="59" s="1"/>
  <c r="AI578" i="59" s="1"/>
  <c r="AL578" i="59" s="1"/>
  <c r="AO578" i="59" s="1"/>
  <c r="AR578" i="59" s="1"/>
  <c r="Q913" i="59"/>
  <c r="T913" i="59" s="1"/>
  <c r="W913" i="59" s="1"/>
  <c r="Z913" i="59" s="1"/>
  <c r="Q894" i="59"/>
  <c r="T894" i="59" s="1"/>
  <c r="W894" i="59" s="1"/>
  <c r="Z894" i="59" s="1"/>
  <c r="AC894" i="59" s="1"/>
  <c r="AF894" i="59" s="1"/>
  <c r="AI894" i="59" s="1"/>
  <c r="AL894" i="59" s="1"/>
  <c r="AO894" i="59" s="1"/>
  <c r="AR894" i="59" s="1"/>
  <c r="T579" i="59"/>
  <c r="W579" i="59" s="1"/>
  <c r="Z579" i="59" s="1"/>
  <c r="AC579" i="59" s="1"/>
  <c r="AF579" i="59" s="1"/>
  <c r="AI579" i="59" s="1"/>
  <c r="AL579" i="59" s="1"/>
  <c r="AO579" i="59" s="1"/>
  <c r="AR579" i="59" s="1"/>
  <c r="AL467" i="59"/>
  <c r="AO467" i="59" s="1"/>
  <c r="AR467" i="59" s="1"/>
  <c r="W914" i="59"/>
  <c r="Z914" i="59" s="1"/>
  <c r="Z359" i="59"/>
  <c r="AC359" i="59" s="1"/>
  <c r="AF359" i="59" s="1"/>
  <c r="AI359" i="59" s="1"/>
  <c r="AL359" i="59" s="1"/>
  <c r="AO359" i="59" s="1"/>
  <c r="AR359" i="59" s="1"/>
  <c r="AO125" i="59"/>
  <c r="AR125" i="59" s="1"/>
  <c r="AL906" i="59"/>
  <c r="AO906" i="59" s="1"/>
  <c r="AR906" i="59" s="1"/>
  <c r="Z880" i="59"/>
  <c r="AC880" i="59" s="1"/>
  <c r="AF880" i="59" s="1"/>
  <c r="AI880" i="59" s="1"/>
  <c r="AL880" i="59" s="1"/>
  <c r="AO880" i="59" s="1"/>
  <c r="AR880" i="59" s="1"/>
  <c r="T583" i="59"/>
  <c r="W583" i="59" s="1"/>
  <c r="Z583" i="59" s="1"/>
  <c r="AC583" i="59" s="1"/>
  <c r="AF583" i="59" s="1"/>
  <c r="AI583" i="59" s="1"/>
  <c r="AL583" i="59" s="1"/>
  <c r="AO583" i="59" s="1"/>
  <c r="AR583" i="59" s="1"/>
  <c r="AO555" i="59"/>
  <c r="AR555" i="59" s="1"/>
  <c r="AF411" i="59"/>
  <c r="AI411" i="59" s="1"/>
  <c r="AL411" i="59" s="1"/>
  <c r="AO411" i="59" s="1"/>
  <c r="AR411" i="59" s="1"/>
  <c r="AI354" i="59"/>
  <c r="AL354" i="59" s="1"/>
  <c r="AO354" i="59" s="1"/>
  <c r="AR354" i="59" s="1"/>
  <c r="Q915" i="59"/>
  <c r="T915" i="59" s="1"/>
  <c r="W915" i="59" s="1"/>
  <c r="Z915" i="59" s="1"/>
  <c r="AC915" i="59" s="1"/>
  <c r="AF915" i="59" s="1"/>
  <c r="AI915" i="59" s="1"/>
  <c r="AL915" i="59" s="1"/>
  <c r="AO915" i="59" s="1"/>
  <c r="AR915" i="59" s="1"/>
  <c r="Q912" i="59"/>
  <c r="T912" i="59" s="1"/>
  <c r="W912" i="59" s="1"/>
  <c r="Z912" i="59" s="1"/>
  <c r="T502" i="59"/>
  <c r="W502" i="59" s="1"/>
  <c r="Z502" i="59" s="1"/>
  <c r="AC502" i="59" s="1"/>
  <c r="AC911" i="59" l="1"/>
  <c r="AF911" i="59" s="1"/>
  <c r="AI911" i="59" s="1"/>
  <c r="AL911" i="59" s="1"/>
  <c r="AO911" i="59" s="1"/>
  <c r="AR911" i="59" s="1"/>
  <c r="AC914" i="59"/>
  <c r="AF914" i="59" s="1"/>
  <c r="AI914" i="59" s="1"/>
  <c r="AL914" i="59" s="1"/>
  <c r="AO914" i="59" s="1"/>
  <c r="AR914" i="59" s="1"/>
  <c r="AC913" i="59"/>
  <c r="AF913" i="59" s="1"/>
  <c r="AI913" i="59" s="1"/>
  <c r="AL913" i="59" s="1"/>
  <c r="AO913" i="59" s="1"/>
  <c r="AR913" i="59" s="1"/>
  <c r="AC912" i="59"/>
  <c r="AF912" i="59" s="1"/>
  <c r="AI912" i="59" s="1"/>
  <c r="AL912" i="59" s="1"/>
  <c r="AO912" i="59" s="1"/>
  <c r="AR912" i="59" s="1"/>
  <c r="AF502" i="59"/>
  <c r="AI502" i="59" s="1"/>
  <c r="AL502" i="59" s="1"/>
  <c r="AO502" i="59" s="1"/>
  <c r="AR502" i="59" s="1"/>
  <c r="T605" i="59"/>
  <c r="AU344" i="59"/>
  <c r="J344" i="59" s="1"/>
  <c r="AV344" i="59"/>
  <c r="AX344" i="59"/>
  <c r="AY344" i="59"/>
  <c r="AZ344" i="59"/>
  <c r="BA344" i="59" l="1"/>
  <c r="BC344" i="59"/>
  <c r="BD344" i="59" s="1"/>
  <c r="W605" i="59"/>
  <c r="Z605" i="59" l="1"/>
  <c r="AU384" i="59"/>
  <c r="J384" i="59" s="1"/>
  <c r="AV384" i="59"/>
  <c r="AX384" i="59"/>
  <c r="AY384" i="59"/>
  <c r="AZ384" i="59"/>
  <c r="BA384" i="59" l="1"/>
  <c r="BC384" i="59"/>
  <c r="BD384" i="59" s="1"/>
  <c r="AC605" i="59"/>
  <c r="AU196" i="59"/>
  <c r="J196" i="59" s="1"/>
  <c r="AV196" i="59"/>
  <c r="AW196" i="59"/>
  <c r="AX196" i="59"/>
  <c r="AY196" i="59"/>
  <c r="AZ196" i="59"/>
  <c r="AU197" i="59"/>
  <c r="J197" i="59" s="1"/>
  <c r="AV197" i="59"/>
  <c r="AW197" i="59"/>
  <c r="AX197" i="59"/>
  <c r="AY197" i="59"/>
  <c r="AZ197" i="59"/>
  <c r="BA197" i="59" l="1"/>
  <c r="BC197" i="59"/>
  <c r="BD197" i="59" s="1"/>
  <c r="BA196" i="59"/>
  <c r="BC196" i="59"/>
  <c r="BD196" i="59" s="1"/>
  <c r="AF605" i="59"/>
  <c r="AU201" i="59"/>
  <c r="J201" i="59" s="1"/>
  <c r="AV201" i="59"/>
  <c r="AW201" i="59"/>
  <c r="AX201" i="59"/>
  <c r="AY201" i="59"/>
  <c r="AZ201" i="59"/>
  <c r="BC201" i="59" l="1"/>
  <c r="BD201" i="59" s="1"/>
  <c r="AI605" i="59"/>
  <c r="AL605" i="59" l="1"/>
  <c r="AO605" i="59" l="1"/>
  <c r="AV323" i="59"/>
  <c r="AR605" i="59" l="1"/>
  <c r="AU884" i="59" l="1"/>
  <c r="AV884" i="59"/>
  <c r="AX884" i="59"/>
  <c r="AY884" i="59"/>
  <c r="AZ884" i="59"/>
  <c r="J884" i="59" l="1"/>
  <c r="BA884" i="59" l="1"/>
  <c r="BC884" i="59"/>
  <c r="BD884" i="59" s="1"/>
  <c r="AU461" i="59"/>
  <c r="J461" i="59" s="1"/>
  <c r="AV461" i="59"/>
  <c r="AX461" i="59"/>
  <c r="AY461" i="59"/>
  <c r="AZ461" i="59"/>
  <c r="AU637" i="59"/>
  <c r="J637" i="59" s="1"/>
  <c r="AV637" i="59"/>
  <c r="AX637" i="59"/>
  <c r="AY637" i="59"/>
  <c r="AZ637" i="59"/>
  <c r="AU367" i="59"/>
  <c r="J367" i="59" s="1"/>
  <c r="AV367" i="59"/>
  <c r="AX367" i="59"/>
  <c r="AY367" i="59"/>
  <c r="AZ367" i="59"/>
  <c r="AU325" i="59"/>
  <c r="J325" i="59" s="1"/>
  <c r="AV325" i="59"/>
  <c r="AX325" i="59"/>
  <c r="AY325" i="59"/>
  <c r="AZ325" i="59"/>
  <c r="AU135" i="59"/>
  <c r="J135" i="59" s="1"/>
  <c r="AV135" i="59"/>
  <c r="AW135" i="59"/>
  <c r="AX135" i="59"/>
  <c r="AY135" i="59"/>
  <c r="AZ135" i="59"/>
  <c r="AU326" i="59"/>
  <c r="J326" i="59" s="1"/>
  <c r="AV326" i="59"/>
  <c r="AX326" i="59"/>
  <c r="AY326" i="59"/>
  <c r="AZ326" i="59"/>
  <c r="AU462" i="59"/>
  <c r="J462" i="59" s="1"/>
  <c r="AV462" i="59"/>
  <c r="AX462" i="59"/>
  <c r="AY462" i="59"/>
  <c r="AZ462" i="59"/>
  <c r="AU456" i="59"/>
  <c r="J456" i="59" s="1"/>
  <c r="AV456" i="59"/>
  <c r="AX456" i="59"/>
  <c r="AY456" i="59"/>
  <c r="AZ456" i="59"/>
  <c r="AU457" i="59"/>
  <c r="J457" i="59" s="1"/>
  <c r="AV457" i="59"/>
  <c r="AX457" i="59"/>
  <c r="AY457" i="59"/>
  <c r="AZ457" i="59"/>
  <c r="AU501" i="59"/>
  <c r="J501" i="59" s="1"/>
  <c r="AV501" i="59"/>
  <c r="AX501" i="59"/>
  <c r="AY501" i="59"/>
  <c r="AZ501" i="59"/>
  <c r="AU61" i="59"/>
  <c r="J61" i="59" s="1"/>
  <c r="AV61" i="59"/>
  <c r="AW61" i="59"/>
  <c r="AX61" i="59"/>
  <c r="AY61" i="59"/>
  <c r="AZ61" i="59"/>
  <c r="AU289" i="59"/>
  <c r="J289" i="59" s="1"/>
  <c r="AV289" i="59"/>
  <c r="AW289" i="59"/>
  <c r="AX289" i="59"/>
  <c r="AY289" i="59"/>
  <c r="AZ289" i="59"/>
  <c r="AU439" i="59"/>
  <c r="J439" i="59" s="1"/>
  <c r="AV439" i="59"/>
  <c r="AX439" i="59"/>
  <c r="AY439" i="59"/>
  <c r="AZ439" i="59"/>
  <c r="AU440" i="59"/>
  <c r="J440" i="59" s="1"/>
  <c r="AV440" i="59"/>
  <c r="AX440" i="59"/>
  <c r="AY440" i="59"/>
  <c r="AZ440" i="59"/>
  <c r="AU446" i="59"/>
  <c r="J446" i="59" s="1"/>
  <c r="AV446" i="59"/>
  <c r="AX446" i="59"/>
  <c r="AY446" i="59"/>
  <c r="AZ446" i="59"/>
  <c r="AU470" i="59"/>
  <c r="J470" i="59" s="1"/>
  <c r="AV470" i="59"/>
  <c r="AX470" i="59"/>
  <c r="AY470" i="59"/>
  <c r="AZ470" i="59"/>
  <c r="AU252" i="59"/>
  <c r="J252" i="59" s="1"/>
  <c r="AV252" i="59"/>
  <c r="AW252" i="59"/>
  <c r="AX252" i="59"/>
  <c r="AY252" i="59"/>
  <c r="AZ252" i="59"/>
  <c r="AU290" i="59"/>
  <c r="J290" i="59" s="1"/>
  <c r="AV290" i="59"/>
  <c r="AW290" i="59"/>
  <c r="AX290" i="59"/>
  <c r="AY290" i="59"/>
  <c r="AZ290" i="59"/>
  <c r="AU288" i="59"/>
  <c r="J288" i="59" s="1"/>
  <c r="AV288" i="59"/>
  <c r="AW288" i="59"/>
  <c r="AX288" i="59"/>
  <c r="AY288" i="59"/>
  <c r="AZ288" i="59"/>
  <c r="AU287" i="59"/>
  <c r="J287" i="59" s="1"/>
  <c r="AV287" i="59"/>
  <c r="AW287" i="59"/>
  <c r="AX287" i="59"/>
  <c r="AY287" i="59"/>
  <c r="AZ287" i="59"/>
  <c r="AU286" i="59"/>
  <c r="J286" i="59" s="1"/>
  <c r="AV286" i="59"/>
  <c r="AW286" i="59"/>
  <c r="AX286" i="59"/>
  <c r="AY286" i="59"/>
  <c r="AZ286" i="59"/>
  <c r="AU646" i="59"/>
  <c r="J646" i="59" s="1"/>
  <c r="AX646" i="59"/>
  <c r="AY646" i="59"/>
  <c r="AZ646" i="59"/>
  <c r="AU240" i="59"/>
  <c r="J240" i="59" s="1"/>
  <c r="AV240" i="59"/>
  <c r="AW240" i="59"/>
  <c r="AX240" i="59"/>
  <c r="AY240" i="59"/>
  <c r="AZ240" i="59"/>
  <c r="BC446" i="59" l="1"/>
  <c r="BD446" i="59" s="1"/>
  <c r="BC439" i="59"/>
  <c r="BD439" i="59" s="1"/>
  <c r="BA462" i="59"/>
  <c r="BC462" i="59"/>
  <c r="BD462" i="59" s="1"/>
  <c r="BA288" i="59"/>
  <c r="BC288" i="59"/>
  <c r="BD288" i="59" s="1"/>
  <c r="BA501" i="59"/>
  <c r="BC501" i="59"/>
  <c r="BD501" i="59" s="1"/>
  <c r="BA289" i="59"/>
  <c r="BC289" i="59"/>
  <c r="BD289" i="59" s="1"/>
  <c r="BA470" i="59"/>
  <c r="BC470" i="59"/>
  <c r="BD470" i="59" s="1"/>
  <c r="BC440" i="59"/>
  <c r="BD440" i="59" s="1"/>
  <c r="BA240" i="59"/>
  <c r="BC240" i="59"/>
  <c r="BD240" i="59" s="1"/>
  <c r="BA290" i="59"/>
  <c r="BC290" i="59"/>
  <c r="BD290" i="59" s="1"/>
  <c r="BA367" i="59"/>
  <c r="BC367" i="59"/>
  <c r="BD367" i="59" s="1"/>
  <c r="BA457" i="59"/>
  <c r="BC457" i="59"/>
  <c r="BD457" i="59" s="1"/>
  <c r="BA61" i="59"/>
  <c r="BC61" i="59"/>
  <c r="BD61" i="59" s="1"/>
  <c r="BA287" i="59"/>
  <c r="BC287" i="59"/>
  <c r="BD287" i="59" s="1"/>
  <c r="BA456" i="59"/>
  <c r="BC456" i="59"/>
  <c r="BD456" i="59" s="1"/>
  <c r="BA461" i="59"/>
  <c r="BC461" i="59"/>
  <c r="BD461" i="59" s="1"/>
  <c r="BA252" i="59"/>
  <c r="BC252" i="59"/>
  <c r="BD252" i="59" s="1"/>
  <c r="BC637" i="59"/>
  <c r="BD637" i="59" s="1"/>
  <c r="BA325" i="59"/>
  <c r="BC325" i="59"/>
  <c r="BD325" i="59" s="1"/>
  <c r="BC135" i="59"/>
  <c r="BD135" i="59" s="1"/>
  <c r="BA286" i="59"/>
  <c r="BC286" i="59"/>
  <c r="BD286" i="59" s="1"/>
  <c r="BA326" i="59"/>
  <c r="BC326" i="59"/>
  <c r="BD326" i="59" s="1"/>
  <c r="BA646" i="59"/>
  <c r="BC646" i="59"/>
  <c r="BD646" i="59" s="1"/>
  <c r="AU175" i="59"/>
  <c r="J175" i="59" s="1"/>
  <c r="AV175" i="59"/>
  <c r="AW175" i="59"/>
  <c r="AX175" i="59"/>
  <c r="AY175" i="59"/>
  <c r="AZ175" i="59"/>
  <c r="BA175" i="59" l="1"/>
  <c r="BC175" i="59"/>
  <c r="BD175" i="59" s="1"/>
  <c r="AZ323" i="59" l="1"/>
  <c r="AY323" i="59"/>
  <c r="AX323" i="59"/>
  <c r="AU323" i="59"/>
  <c r="J323" i="59" s="1"/>
  <c r="BA323" i="59" l="1"/>
  <c r="BC323" i="59"/>
  <c r="BD323" i="59" s="1"/>
  <c r="AU339" i="59"/>
  <c r="J339" i="59" s="1"/>
  <c r="AV339" i="59"/>
  <c r="AX339" i="59"/>
  <c r="AY339" i="59"/>
  <c r="AZ339" i="59"/>
  <c r="BA339" i="59" l="1"/>
  <c r="BC339" i="59"/>
  <c r="BD339" i="59" s="1"/>
  <c r="AU265" i="59" l="1"/>
  <c r="J265" i="59" s="1"/>
  <c r="AV265" i="59"/>
  <c r="AW265" i="59"/>
  <c r="AX265" i="59"/>
  <c r="AY265" i="59"/>
  <c r="AZ265" i="59"/>
  <c r="AU266" i="59"/>
  <c r="J266" i="59" s="1"/>
  <c r="AV266" i="59"/>
  <c r="AW266" i="59"/>
  <c r="AX266" i="59"/>
  <c r="AY266" i="59"/>
  <c r="AZ266" i="59"/>
  <c r="AU307" i="59"/>
  <c r="J307" i="59" s="1"/>
  <c r="AV307" i="59"/>
  <c r="AX307" i="59"/>
  <c r="AY307" i="59"/>
  <c r="AZ307" i="59"/>
  <c r="AU414" i="59"/>
  <c r="J414" i="59" s="1"/>
  <c r="AV414" i="59"/>
  <c r="AX414" i="59"/>
  <c r="AY414" i="59"/>
  <c r="AZ414" i="59"/>
  <c r="AU424" i="59"/>
  <c r="J424" i="59" s="1"/>
  <c r="AV424" i="59"/>
  <c r="AX424" i="59"/>
  <c r="AY424" i="59"/>
  <c r="AZ424" i="59"/>
  <c r="BA424" i="59" l="1"/>
  <c r="BC424" i="59"/>
  <c r="BD424" i="59" s="1"/>
  <c r="BA414" i="59"/>
  <c r="BC414" i="59"/>
  <c r="BD414" i="59" s="1"/>
  <c r="BA265" i="59"/>
  <c r="BC265" i="59"/>
  <c r="BD265" i="59" s="1"/>
  <c r="BA266" i="59"/>
  <c r="BC266" i="59"/>
  <c r="BD266" i="59" s="1"/>
  <c r="BA307" i="59"/>
  <c r="BC307" i="59"/>
  <c r="BD307" i="59" s="1"/>
  <c r="AU371" i="59" l="1"/>
  <c r="J371" i="59" s="1"/>
  <c r="AV371" i="59"/>
  <c r="AX371" i="59"/>
  <c r="AY371" i="59"/>
  <c r="AZ371" i="59"/>
  <c r="BC371" i="59" l="1"/>
  <c r="BD371" i="59" s="1"/>
  <c r="AV916" i="59" l="1"/>
  <c r="AV541" i="59"/>
  <c r="BC3" i="59" l="1"/>
  <c r="AZ4" i="59"/>
  <c r="AZ6" i="59"/>
  <c r="AZ121" i="59"/>
  <c r="AZ109" i="59"/>
  <c r="AZ110" i="59"/>
  <c r="AZ115" i="59"/>
  <c r="AZ106" i="59"/>
  <c r="AZ107" i="59"/>
  <c r="AZ116" i="59"/>
  <c r="AZ22" i="59"/>
  <c r="AZ111" i="59"/>
  <c r="AZ20" i="59"/>
  <c r="AZ168" i="59"/>
  <c r="AZ105" i="59"/>
  <c r="AZ7" i="59"/>
  <c r="AZ8" i="59"/>
  <c r="AZ9" i="59"/>
  <c r="AZ11" i="59"/>
  <c r="AZ12" i="59"/>
  <c r="AZ10" i="59"/>
  <c r="AZ14" i="59"/>
  <c r="AZ34" i="59"/>
  <c r="AZ15" i="59"/>
  <c r="AZ17" i="59"/>
  <c r="AZ31" i="59"/>
  <c r="AZ377" i="59"/>
  <c r="AZ100" i="59"/>
  <c r="AZ929" i="59"/>
  <c r="AZ928" i="59"/>
  <c r="AZ126" i="59"/>
  <c r="AZ634" i="59"/>
  <c r="AZ19" i="59"/>
  <c r="AZ173" i="59"/>
  <c r="AZ272" i="59"/>
  <c r="AZ263" i="59"/>
  <c r="AZ416" i="59"/>
  <c r="AZ273" i="59"/>
  <c r="AZ417" i="59"/>
  <c r="AZ421" i="59"/>
  <c r="AZ419" i="59"/>
  <c r="AZ425" i="59"/>
  <c r="AZ269" i="59"/>
  <c r="AZ297" i="59"/>
  <c r="AZ341" i="59"/>
  <c r="AZ276" i="59"/>
  <c r="AZ306" i="59"/>
  <c r="AZ495" i="59"/>
  <c r="AZ497" i="59"/>
  <c r="AZ304" i="59"/>
  <c r="AZ910" i="59"/>
  <c r="AZ277" i="59"/>
  <c r="AZ274" i="59"/>
  <c r="AZ279" i="59"/>
  <c r="AZ280" i="59"/>
  <c r="AZ161" i="59"/>
  <c r="AZ282" i="59"/>
  <c r="AZ283" i="59"/>
  <c r="AZ284" i="59"/>
  <c r="AZ318" i="59"/>
  <c r="AZ316" i="59"/>
  <c r="AZ382" i="59"/>
  <c r="AZ381" i="59"/>
  <c r="AZ380" i="59"/>
  <c r="AZ383" i="59"/>
  <c r="AZ386" i="59"/>
  <c r="AZ388" i="59"/>
  <c r="AZ387" i="59"/>
  <c r="AZ389" i="59"/>
  <c r="AZ90" i="59"/>
  <c r="AZ390" i="59"/>
  <c r="AZ89" i="59"/>
  <c r="AZ125" i="59"/>
  <c r="AZ170" i="59"/>
  <c r="AZ94" i="59"/>
  <c r="AZ93" i="59"/>
  <c r="AZ122" i="59"/>
  <c r="AZ95" i="59"/>
  <c r="AZ98" i="59"/>
  <c r="AZ99" i="59"/>
  <c r="AZ934" i="59"/>
  <c r="AZ92" i="59"/>
  <c r="AZ87" i="59"/>
  <c r="AZ97" i="59"/>
  <c r="AZ108" i="59"/>
  <c r="AZ166" i="59"/>
  <c r="AZ103" i="59"/>
  <c r="AZ104" i="59"/>
  <c r="AZ165" i="59"/>
  <c r="AZ132" i="59"/>
  <c r="AZ167" i="59"/>
  <c r="AZ164" i="59"/>
  <c r="AZ112" i="59"/>
  <c r="AZ169" i="59"/>
  <c r="AZ123" i="59"/>
  <c r="AZ860" i="59"/>
  <c r="AZ320" i="59"/>
  <c r="AZ331" i="59"/>
  <c r="AZ330" i="59"/>
  <c r="AZ317" i="59"/>
  <c r="AZ136" i="59"/>
  <c r="AZ333" i="59"/>
  <c r="AZ332" i="59"/>
  <c r="AZ322" i="59"/>
  <c r="AZ324" i="59"/>
  <c r="AZ327" i="59"/>
  <c r="AZ137" i="59"/>
  <c r="AZ138" i="59"/>
  <c r="AZ139" i="59"/>
  <c r="AZ141" i="59"/>
  <c r="AZ127" i="59"/>
  <c r="AZ142" i="59"/>
  <c r="AZ96" i="59"/>
  <c r="AZ149" i="59"/>
  <c r="AZ143" i="59"/>
  <c r="AZ144" i="59"/>
  <c r="AZ145" i="59"/>
  <c r="AZ146" i="59"/>
  <c r="AZ147" i="59"/>
  <c r="AZ148" i="59"/>
  <c r="AZ150" i="59"/>
  <c r="AZ131" i="59"/>
  <c r="AZ151" i="59"/>
  <c r="AZ152" i="59"/>
  <c r="AZ153" i="59"/>
  <c r="AZ154" i="59"/>
  <c r="AZ35" i="59"/>
  <c r="AZ943" i="59"/>
  <c r="AZ941" i="59"/>
  <c r="AZ942" i="59"/>
  <c r="AZ944" i="59"/>
  <c r="AZ140" i="59"/>
  <c r="AZ162" i="59"/>
  <c r="AZ315" i="59"/>
  <c r="AZ158" i="59"/>
  <c r="AZ159" i="59"/>
  <c r="AZ174" i="59"/>
  <c r="AZ155" i="59"/>
  <c r="AZ268" i="59"/>
  <c r="AZ217" i="59"/>
  <c r="AZ219" i="59"/>
  <c r="AZ281" i="59"/>
  <c r="AZ245" i="59"/>
  <c r="AZ244" i="59"/>
  <c r="AZ157" i="59"/>
  <c r="AZ156" i="59"/>
  <c r="AZ432" i="59"/>
  <c r="AZ130" i="59"/>
  <c r="AZ160" i="59"/>
  <c r="AZ444" i="59"/>
  <c r="AZ134" i="59"/>
  <c r="AZ313" i="59"/>
  <c r="AZ430" i="59"/>
  <c r="AZ431" i="59"/>
  <c r="AZ242" i="59"/>
  <c r="AZ248" i="59"/>
  <c r="AZ133" i="59"/>
  <c r="AZ236" i="59"/>
  <c r="AZ237" i="59"/>
  <c r="AZ464" i="59"/>
  <c r="AZ460" i="59"/>
  <c r="AZ458" i="59"/>
  <c r="AZ435" i="59"/>
  <c r="AZ243" i="59"/>
  <c r="AZ508" i="59"/>
  <c r="AZ238" i="59"/>
  <c r="AZ250" i="59"/>
  <c r="AZ466" i="59"/>
  <c r="AZ476" i="59"/>
  <c r="AZ468" i="59"/>
  <c r="AZ222" i="59"/>
  <c r="AZ216" i="59"/>
  <c r="AZ215" i="59"/>
  <c r="AZ697" i="59"/>
  <c r="AZ231" i="59"/>
  <c r="AZ229" i="59"/>
  <c r="AZ455" i="59"/>
  <c r="AZ226" i="59"/>
  <c r="AZ356" i="59"/>
  <c r="AZ113" i="59"/>
  <c r="AZ447" i="59"/>
  <c r="AZ225" i="59"/>
  <c r="AZ257" i="59"/>
  <c r="AZ259" i="59"/>
  <c r="AZ260" i="59"/>
  <c r="AZ935" i="59"/>
  <c r="AZ256" i="59"/>
  <c r="AZ18" i="59"/>
  <c r="AZ218" i="59"/>
  <c r="AZ239" i="59"/>
  <c r="AZ241" i="59"/>
  <c r="AZ465" i="59"/>
  <c r="AZ101" i="59"/>
  <c r="AZ102" i="59"/>
  <c r="AZ253" i="59"/>
  <c r="AZ254" i="59"/>
  <c r="AZ255" i="59"/>
  <c r="AZ178" i="59"/>
  <c r="AZ212" i="59"/>
  <c r="AZ213" i="59"/>
  <c r="AZ207" i="59"/>
  <c r="AZ179" i="59"/>
  <c r="AZ182" i="59"/>
  <c r="AZ205" i="59"/>
  <c r="AZ176" i="59"/>
  <c r="AZ177" i="59"/>
  <c r="AZ208" i="59"/>
  <c r="AZ180" i="59"/>
  <c r="AZ200" i="59"/>
  <c r="AZ199" i="59"/>
  <c r="AZ185" i="59"/>
  <c r="AZ184" i="59"/>
  <c r="AZ181" i="59"/>
  <c r="AZ188" i="59"/>
  <c r="AZ189" i="59"/>
  <c r="AZ661" i="59"/>
  <c r="AZ187" i="59"/>
  <c r="AZ183" i="59"/>
  <c r="AZ186" i="59"/>
  <c r="AZ203" i="59"/>
  <c r="AZ193" i="59"/>
  <c r="AZ24" i="59"/>
  <c r="AZ21" i="59"/>
  <c r="AZ16" i="59"/>
  <c r="AZ25" i="59"/>
  <c r="AZ192" i="59"/>
  <c r="AZ214" i="59"/>
  <c r="AZ329" i="59"/>
  <c r="AZ393" i="59"/>
  <c r="AZ391" i="59"/>
  <c r="AZ407" i="59"/>
  <c r="AZ408" i="59"/>
  <c r="AZ404" i="59"/>
  <c r="AZ398" i="59"/>
  <c r="AZ405" i="59"/>
  <c r="AZ397" i="59"/>
  <c r="AZ400" i="59"/>
  <c r="AZ409" i="59"/>
  <c r="AZ395" i="59"/>
  <c r="AZ401" i="59"/>
  <c r="AZ399" i="59"/>
  <c r="AZ410" i="59"/>
  <c r="AZ687" i="59"/>
  <c r="AZ412" i="59"/>
  <c r="AZ36" i="59"/>
  <c r="AZ195" i="59"/>
  <c r="AZ194" i="59"/>
  <c r="AZ489" i="59"/>
  <c r="AZ262" i="59"/>
  <c r="AZ336" i="59"/>
  <c r="AZ334" i="59"/>
  <c r="AZ337" i="59"/>
  <c r="AZ335" i="59"/>
  <c r="AZ223" i="59"/>
  <c r="AZ342" i="59"/>
  <c r="AZ343" i="59"/>
  <c r="AZ357" i="59"/>
  <c r="AZ366" i="59"/>
  <c r="AZ249" i="59"/>
  <c r="AZ349" i="59"/>
  <c r="AZ355" i="59"/>
  <c r="AZ360" i="59"/>
  <c r="AZ352" i="59"/>
  <c r="AZ348" i="59"/>
  <c r="AZ345" i="59"/>
  <c r="AZ346" i="59"/>
  <c r="AZ340" i="59"/>
  <c r="AZ363" i="59"/>
  <c r="AZ351" i="59"/>
  <c r="AZ437" i="59"/>
  <c r="AZ436" i="59"/>
  <c r="AZ364" i="59"/>
  <c r="AZ350" i="59"/>
  <c r="AZ499" i="59"/>
  <c r="AZ365" i="59"/>
  <c r="AZ347" i="59"/>
  <c r="AZ362" i="59"/>
  <c r="AZ385" i="59"/>
  <c r="AZ506" i="59"/>
  <c r="AZ258" i="59"/>
  <c r="AZ379" i="59"/>
  <c r="AZ378" i="59"/>
  <c r="AZ517" i="59"/>
  <c r="AZ518" i="59"/>
  <c r="AZ413" i="59"/>
  <c r="AZ696" i="59"/>
  <c r="AZ523" i="59"/>
  <c r="AZ522" i="59"/>
  <c r="AZ521" i="59"/>
  <c r="AZ682" i="59"/>
  <c r="AZ418" i="59"/>
  <c r="AZ68" i="59"/>
  <c r="AZ60" i="59"/>
  <c r="AZ64" i="59"/>
  <c r="AZ275" i="59"/>
  <c r="AZ52" i="59"/>
  <c r="AZ53" i="59"/>
  <c r="AZ44" i="59"/>
  <c r="AZ69" i="59"/>
  <c r="AZ67" i="59"/>
  <c r="AZ48" i="59"/>
  <c r="AZ57" i="59"/>
  <c r="AZ80" i="59"/>
  <c r="AZ82" i="59"/>
  <c r="AZ83" i="59"/>
  <c r="AZ78" i="59"/>
  <c r="AZ45" i="59"/>
  <c r="AZ65" i="59"/>
  <c r="AZ56" i="59"/>
  <c r="AZ70" i="59"/>
  <c r="AZ77" i="59"/>
  <c r="AZ63" i="59"/>
  <c r="AZ42" i="59"/>
  <c r="AZ49" i="59"/>
  <c r="AZ79" i="59"/>
  <c r="AZ51" i="59"/>
  <c r="AZ43" i="59"/>
  <c r="AZ47" i="59"/>
  <c r="AZ72" i="59"/>
  <c r="AZ54" i="59"/>
  <c r="AZ55" i="59"/>
  <c r="AZ927" i="59"/>
  <c r="AZ204" i="59"/>
  <c r="AZ76" i="59"/>
  <c r="AZ62" i="59"/>
  <c r="AZ50" i="59"/>
  <c r="AZ73" i="59"/>
  <c r="AZ66" i="59"/>
  <c r="AZ71" i="59"/>
  <c r="AZ494" i="59"/>
  <c r="AZ46" i="59"/>
  <c r="AZ28" i="59"/>
  <c r="AZ580" i="59"/>
  <c r="AZ551" i="59"/>
  <c r="AZ552" i="59"/>
  <c r="AZ553" i="59"/>
  <c r="AZ572" i="59"/>
  <c r="AZ547" i="59"/>
  <c r="AZ555" i="59"/>
  <c r="AZ556" i="59"/>
  <c r="AZ544" i="59"/>
  <c r="AZ548" i="59"/>
  <c r="AZ557" i="59"/>
  <c r="AZ543" i="59"/>
  <c r="AZ559" i="59"/>
  <c r="AZ560" i="59"/>
  <c r="AZ561" i="59"/>
  <c r="AZ563" i="59"/>
  <c r="AZ564" i="59"/>
  <c r="AZ565" i="59"/>
  <c r="AZ550" i="59"/>
  <c r="AZ567" i="59"/>
  <c r="AZ568" i="59"/>
  <c r="AZ569" i="59"/>
  <c r="AZ546" i="59"/>
  <c r="AZ576" i="59"/>
  <c r="AZ574" i="59"/>
  <c r="AZ554" i="59"/>
  <c r="AZ227" i="59"/>
  <c r="AZ235" i="59"/>
  <c r="AZ573" i="59"/>
  <c r="AZ582" i="59"/>
  <c r="AZ570" i="59"/>
  <c r="AZ562" i="59"/>
  <c r="AZ558" i="59"/>
  <c r="AZ571" i="59"/>
  <c r="AZ549" i="59"/>
  <c r="AZ577" i="59"/>
  <c r="AZ566" i="59"/>
  <c r="AZ581" i="59"/>
  <c r="AZ589" i="59"/>
  <c r="AZ585" i="59"/>
  <c r="AZ586" i="59"/>
  <c r="AZ587" i="59"/>
  <c r="AZ588" i="59"/>
  <c r="AZ590" i="59"/>
  <c r="AZ591" i="59"/>
  <c r="AZ592" i="59"/>
  <c r="AZ593" i="59"/>
  <c r="AZ594" i="59"/>
  <c r="AZ595" i="59"/>
  <c r="AZ394" i="59"/>
  <c r="AZ608" i="59"/>
  <c r="AZ596" i="59"/>
  <c r="AZ609" i="59"/>
  <c r="AZ645" i="59"/>
  <c r="AZ605" i="59"/>
  <c r="AZ604" i="59"/>
  <c r="AZ601" i="59"/>
  <c r="AZ628" i="59"/>
  <c r="AZ600" i="59"/>
  <c r="AZ851" i="59"/>
  <c r="AZ202" i="59"/>
  <c r="AZ644" i="59"/>
  <c r="AZ940" i="59"/>
  <c r="AZ689" i="59"/>
  <c r="AZ636" i="59"/>
  <c r="AZ611" i="59"/>
  <c r="AZ642" i="59"/>
  <c r="AZ852" i="59"/>
  <c r="AZ312" i="59"/>
  <c r="AZ598" i="59"/>
  <c r="AZ599" i="59"/>
  <c r="AZ856" i="59"/>
  <c r="AZ850" i="59"/>
  <c r="AZ857" i="59"/>
  <c r="AZ890" i="59"/>
  <c r="AZ878" i="59"/>
  <c r="AZ858" i="59"/>
  <c r="AZ671" i="59"/>
  <c r="AZ663" i="59"/>
  <c r="AZ662" i="59"/>
  <c r="AZ664" i="59"/>
  <c r="AZ896" i="59"/>
  <c r="AZ895" i="59"/>
  <c r="AZ683" i="59"/>
  <c r="AZ677" i="59"/>
  <c r="AZ674" i="59"/>
  <c r="AZ881" i="59"/>
  <c r="AZ899" i="59"/>
  <c r="AZ897" i="59"/>
  <c r="AZ898" i="59"/>
  <c r="AZ700" i="59"/>
  <c r="AZ701" i="59"/>
  <c r="AZ872" i="59"/>
  <c r="AZ874" i="59"/>
  <c r="AZ904" i="59"/>
  <c r="AZ905" i="59"/>
  <c r="AZ703" i="59"/>
  <c r="AZ866" i="59"/>
  <c r="AZ871" i="59"/>
  <c r="AZ863" i="59"/>
  <c r="AZ870" i="59"/>
  <c r="AZ867" i="59"/>
  <c r="AZ868" i="59"/>
  <c r="AZ864" i="59"/>
  <c r="AZ869" i="59"/>
  <c r="AZ902" i="59"/>
  <c r="AZ900" i="59"/>
  <c r="AZ901" i="59"/>
  <c r="AZ936" i="59"/>
  <c r="AZ702" i="59"/>
  <c r="AZ704" i="59"/>
  <c r="AZ879" i="59"/>
  <c r="AZ885" i="59"/>
  <c r="AZ655" i="59"/>
  <c r="AZ720" i="59"/>
  <c r="AZ877" i="59"/>
  <c r="AZ830" i="59"/>
  <c r="AZ829" i="59"/>
  <c r="AZ372" i="59"/>
  <c r="AZ718" i="59"/>
  <c r="AZ832" i="59"/>
  <c r="AZ831" i="59"/>
  <c r="AZ828" i="59"/>
  <c r="AZ827" i="59"/>
  <c r="AZ903" i="59"/>
  <c r="AZ909" i="59"/>
  <c r="AZ908" i="59"/>
  <c r="AZ374" i="59"/>
  <c r="AZ865" i="59"/>
  <c r="AZ678" i="59"/>
  <c r="AZ498" i="59"/>
  <c r="AZ319" i="59"/>
  <c r="AZ836" i="59"/>
  <c r="AZ171" i="59"/>
  <c r="AZ844" i="59"/>
  <c r="AZ91" i="59"/>
  <c r="AZ949" i="59"/>
  <c r="AZ916" i="59"/>
  <c r="AZ541" i="59"/>
  <c r="AY4" i="59"/>
  <c r="AY6" i="59"/>
  <c r="AY121" i="59"/>
  <c r="AY109" i="59"/>
  <c r="AY110" i="59"/>
  <c r="AY115" i="59"/>
  <c r="AY106" i="59"/>
  <c r="AY107" i="59"/>
  <c r="AY116" i="59"/>
  <c r="AY22" i="59"/>
  <c r="AY111" i="59"/>
  <c r="AY20" i="59"/>
  <c r="AY168" i="59"/>
  <c r="AY105" i="59"/>
  <c r="AY7" i="59"/>
  <c r="AY8" i="59"/>
  <c r="AY9" i="59"/>
  <c r="AY11" i="59"/>
  <c r="AY12" i="59"/>
  <c r="AY10" i="59"/>
  <c r="AY14" i="59"/>
  <c r="AY34" i="59"/>
  <c r="AY15" i="59"/>
  <c r="AY17" i="59"/>
  <c r="AY31" i="59"/>
  <c r="AY100" i="59"/>
  <c r="AY929" i="59"/>
  <c r="AY928" i="59"/>
  <c r="AY126" i="59"/>
  <c r="AY634" i="59"/>
  <c r="AY19" i="59"/>
  <c r="AY173" i="59"/>
  <c r="AY272" i="59"/>
  <c r="AY263" i="59"/>
  <c r="AY416" i="59"/>
  <c r="AY273" i="59"/>
  <c r="AY417" i="59"/>
  <c r="AY421" i="59"/>
  <c r="AY419" i="59"/>
  <c r="AY425" i="59"/>
  <c r="AY269" i="59"/>
  <c r="AY297" i="59"/>
  <c r="AY341" i="59"/>
  <c r="AY276" i="59"/>
  <c r="AY306" i="59"/>
  <c r="AY495" i="59"/>
  <c r="AY497" i="59"/>
  <c r="AY304" i="59"/>
  <c r="AY910" i="59"/>
  <c r="AY277" i="59"/>
  <c r="AY274" i="59"/>
  <c r="AY279" i="59"/>
  <c r="AY280" i="59"/>
  <c r="AY161" i="59"/>
  <c r="AY282" i="59"/>
  <c r="AY283" i="59"/>
  <c r="AY284" i="59"/>
  <c r="AY318" i="59"/>
  <c r="AY316" i="59"/>
  <c r="AY382" i="59"/>
  <c r="AY381" i="59"/>
  <c r="AY380" i="59"/>
  <c r="AY383" i="59"/>
  <c r="AY386" i="59"/>
  <c r="AY388" i="59"/>
  <c r="AY387" i="59"/>
  <c r="AY389" i="59"/>
  <c r="AY90" i="59"/>
  <c r="AY390" i="59"/>
  <c r="AY89" i="59"/>
  <c r="AY125" i="59"/>
  <c r="AY170" i="59"/>
  <c r="AY94" i="59"/>
  <c r="AY93" i="59"/>
  <c r="AY122" i="59"/>
  <c r="AY95" i="59"/>
  <c r="AY98" i="59"/>
  <c r="AY99" i="59"/>
  <c r="AY934" i="59"/>
  <c r="AY92" i="59"/>
  <c r="AY87" i="59"/>
  <c r="AY97" i="59"/>
  <c r="AY108" i="59"/>
  <c r="AY166" i="59"/>
  <c r="AY103" i="59"/>
  <c r="AY104" i="59"/>
  <c r="AY165" i="59"/>
  <c r="AY132" i="59"/>
  <c r="AY167" i="59"/>
  <c r="AY164" i="59"/>
  <c r="AY112" i="59"/>
  <c r="AY169" i="59"/>
  <c r="AY123" i="59"/>
  <c r="AY860" i="59"/>
  <c r="AY320" i="59"/>
  <c r="AY331" i="59"/>
  <c r="AY330" i="59"/>
  <c r="AY317" i="59"/>
  <c r="AY136" i="59"/>
  <c r="AY333" i="59"/>
  <c r="AY332" i="59"/>
  <c r="AY322" i="59"/>
  <c r="AY324" i="59"/>
  <c r="AY327" i="59"/>
  <c r="AY137" i="59"/>
  <c r="AY138" i="59"/>
  <c r="AY139" i="59"/>
  <c r="AY141" i="59"/>
  <c r="AY127" i="59"/>
  <c r="AY142" i="59"/>
  <c r="AY96" i="59"/>
  <c r="AY149" i="59"/>
  <c r="AY143" i="59"/>
  <c r="AY144" i="59"/>
  <c r="AY145" i="59"/>
  <c r="AY146" i="59"/>
  <c r="AY147" i="59"/>
  <c r="AY148" i="59"/>
  <c r="AY150" i="59"/>
  <c r="AY131" i="59"/>
  <c r="AY151" i="59"/>
  <c r="AY152" i="59"/>
  <c r="AY153" i="59"/>
  <c r="AY154" i="59"/>
  <c r="AY35" i="59"/>
  <c r="AY943" i="59"/>
  <c r="AY941" i="59"/>
  <c r="AY942" i="59"/>
  <c r="AY944" i="59"/>
  <c r="AY140" i="59"/>
  <c r="AY162" i="59"/>
  <c r="AY315" i="59"/>
  <c r="AY158" i="59"/>
  <c r="AY159" i="59"/>
  <c r="AY174" i="59"/>
  <c r="AY155" i="59"/>
  <c r="AY268" i="59"/>
  <c r="AY217" i="59"/>
  <c r="AY219" i="59"/>
  <c r="AY281" i="59"/>
  <c r="AY245" i="59"/>
  <c r="AY244" i="59"/>
  <c r="AY157" i="59"/>
  <c r="AY156" i="59"/>
  <c r="AY432" i="59"/>
  <c r="AY130" i="59"/>
  <c r="AY160" i="59"/>
  <c r="AY444" i="59"/>
  <c r="AY134" i="59"/>
  <c r="AY313" i="59"/>
  <c r="AY430" i="59"/>
  <c r="AY431" i="59"/>
  <c r="AY242" i="59"/>
  <c r="AY248" i="59"/>
  <c r="AY133" i="59"/>
  <c r="AY236" i="59"/>
  <c r="AY237" i="59"/>
  <c r="AY464" i="59"/>
  <c r="AY460" i="59"/>
  <c r="AY458" i="59"/>
  <c r="AY435" i="59"/>
  <c r="AY243" i="59"/>
  <c r="AY508" i="59"/>
  <c r="AY238" i="59"/>
  <c r="AY250" i="59"/>
  <c r="AY466" i="59"/>
  <c r="AY476" i="59"/>
  <c r="AY468" i="59"/>
  <c r="AY222" i="59"/>
  <c r="AY216" i="59"/>
  <c r="AY215" i="59"/>
  <c r="AY697" i="59"/>
  <c r="AY231" i="59"/>
  <c r="AY229" i="59"/>
  <c r="AY455" i="59"/>
  <c r="AY226" i="59"/>
  <c r="AY356" i="59"/>
  <c r="AY113" i="59"/>
  <c r="AY447" i="59"/>
  <c r="AY225" i="59"/>
  <c r="AY257" i="59"/>
  <c r="AY259" i="59"/>
  <c r="AY260" i="59"/>
  <c r="AY935" i="59"/>
  <c r="AY256" i="59"/>
  <c r="AY18" i="59"/>
  <c r="AY218" i="59"/>
  <c r="AY239" i="59"/>
  <c r="AY241" i="59"/>
  <c r="AY465" i="59"/>
  <c r="AY101" i="59"/>
  <c r="AY102" i="59"/>
  <c r="AY253" i="59"/>
  <c r="AY254" i="59"/>
  <c r="AY255" i="59"/>
  <c r="AY178" i="59"/>
  <c r="AY212" i="59"/>
  <c r="AY213" i="59"/>
  <c r="AY207" i="59"/>
  <c r="AY179" i="59"/>
  <c r="AY182" i="59"/>
  <c r="AY205" i="59"/>
  <c r="AY176" i="59"/>
  <c r="AY177" i="59"/>
  <c r="AY208" i="59"/>
  <c r="AY180" i="59"/>
  <c r="AY200" i="59"/>
  <c r="AY199" i="59"/>
  <c r="AY185" i="59"/>
  <c r="AY184" i="59"/>
  <c r="AY181" i="59"/>
  <c r="AY188" i="59"/>
  <c r="AY189" i="59"/>
  <c r="AY661" i="59"/>
  <c r="AY187" i="59"/>
  <c r="AY183" i="59"/>
  <c r="AY186" i="59"/>
  <c r="AY203" i="59"/>
  <c r="AY193" i="59"/>
  <c r="AY24" i="59"/>
  <c r="AY21" i="59"/>
  <c r="AY16" i="59"/>
  <c r="AY25" i="59"/>
  <c r="AY192" i="59"/>
  <c r="AY214" i="59"/>
  <c r="AY329" i="59"/>
  <c r="AY393" i="59"/>
  <c r="AY391" i="59"/>
  <c r="AY407" i="59"/>
  <c r="AY408" i="59"/>
  <c r="AY404" i="59"/>
  <c r="AY398" i="59"/>
  <c r="AY405" i="59"/>
  <c r="AY397" i="59"/>
  <c r="AY400" i="59"/>
  <c r="AY409" i="59"/>
  <c r="AY395" i="59"/>
  <c r="AY401" i="59"/>
  <c r="AY399" i="59"/>
  <c r="AY410" i="59"/>
  <c r="AY687" i="59"/>
  <c r="AY412" i="59"/>
  <c r="AY36" i="59"/>
  <c r="AY195" i="59"/>
  <c r="AY194" i="59"/>
  <c r="AY489" i="59"/>
  <c r="AY262" i="59"/>
  <c r="AY336" i="59"/>
  <c r="AY334" i="59"/>
  <c r="AY337" i="59"/>
  <c r="AY335" i="59"/>
  <c r="AY223" i="59"/>
  <c r="AY342" i="59"/>
  <c r="AY343" i="59"/>
  <c r="AY357" i="59"/>
  <c r="AY366" i="59"/>
  <c r="AY249" i="59"/>
  <c r="AY349" i="59"/>
  <c r="AY355" i="59"/>
  <c r="AY360" i="59"/>
  <c r="AY352" i="59"/>
  <c r="AY348" i="59"/>
  <c r="AY345" i="59"/>
  <c r="AY346" i="59"/>
  <c r="AY340" i="59"/>
  <c r="AY363" i="59"/>
  <c r="AY351" i="59"/>
  <c r="AY437" i="59"/>
  <c r="AY436" i="59"/>
  <c r="AY364" i="59"/>
  <c r="AY350" i="59"/>
  <c r="AY499" i="59"/>
  <c r="AY365" i="59"/>
  <c r="AY347" i="59"/>
  <c r="AY362" i="59"/>
  <c r="AY385" i="59"/>
  <c r="AY506" i="59"/>
  <c r="AY258" i="59"/>
  <c r="AY379" i="59"/>
  <c r="AY378" i="59"/>
  <c r="AY517" i="59"/>
  <c r="AY518" i="59"/>
  <c r="AY413" i="59"/>
  <c r="AY696" i="59"/>
  <c r="AY523" i="59"/>
  <c r="AY522" i="59"/>
  <c r="AY521" i="59"/>
  <c r="AY682" i="59"/>
  <c r="AY418" i="59"/>
  <c r="AY68" i="59"/>
  <c r="AY60" i="59"/>
  <c r="AY64" i="59"/>
  <c r="AY275" i="59"/>
  <c r="AY52" i="59"/>
  <c r="AY53" i="59"/>
  <c r="AY44" i="59"/>
  <c r="AY69" i="59"/>
  <c r="AY67" i="59"/>
  <c r="AY48" i="59"/>
  <c r="AY57" i="59"/>
  <c r="AY80" i="59"/>
  <c r="AY82" i="59"/>
  <c r="AY83" i="59"/>
  <c r="AY78" i="59"/>
  <c r="AY45" i="59"/>
  <c r="AY65" i="59"/>
  <c r="AY56" i="59"/>
  <c r="AY70" i="59"/>
  <c r="AY77" i="59"/>
  <c r="AY63" i="59"/>
  <c r="AY42" i="59"/>
  <c r="AY49" i="59"/>
  <c r="AY79" i="59"/>
  <c r="AY51" i="59"/>
  <c r="AY43" i="59"/>
  <c r="AY47" i="59"/>
  <c r="AY72" i="59"/>
  <c r="AY54" i="59"/>
  <c r="AY55" i="59"/>
  <c r="AY927" i="59"/>
  <c r="AY204" i="59"/>
  <c r="AY76" i="59"/>
  <c r="AY62" i="59"/>
  <c r="AY50" i="59"/>
  <c r="AY73" i="59"/>
  <c r="AY66" i="59"/>
  <c r="AY71" i="59"/>
  <c r="AY494" i="59"/>
  <c r="AY46" i="59"/>
  <c r="AY28" i="59"/>
  <c r="AY580" i="59"/>
  <c r="AY551" i="59"/>
  <c r="AY552" i="59"/>
  <c r="AY553" i="59"/>
  <c r="AY572" i="59"/>
  <c r="AY547" i="59"/>
  <c r="AY555" i="59"/>
  <c r="AY556" i="59"/>
  <c r="AY544" i="59"/>
  <c r="AY548" i="59"/>
  <c r="AY557" i="59"/>
  <c r="AY543" i="59"/>
  <c r="AY559" i="59"/>
  <c r="AY560" i="59"/>
  <c r="AY561" i="59"/>
  <c r="AY563" i="59"/>
  <c r="AY564" i="59"/>
  <c r="AY565" i="59"/>
  <c r="AY550" i="59"/>
  <c r="AY567" i="59"/>
  <c r="AY568" i="59"/>
  <c r="AY569" i="59"/>
  <c r="AY546" i="59"/>
  <c r="AY576" i="59"/>
  <c r="AY574" i="59"/>
  <c r="AY554" i="59"/>
  <c r="AY227" i="59"/>
  <c r="AY235" i="59"/>
  <c r="AY573" i="59"/>
  <c r="AY582" i="59"/>
  <c r="AY570" i="59"/>
  <c r="AY562" i="59"/>
  <c r="AY558" i="59"/>
  <c r="AY571" i="59"/>
  <c r="AY549" i="59"/>
  <c r="AY577" i="59"/>
  <c r="AY566" i="59"/>
  <c r="AY581" i="59"/>
  <c r="AY589" i="59"/>
  <c r="AY585" i="59"/>
  <c r="AY586" i="59"/>
  <c r="AY587" i="59"/>
  <c r="AY588" i="59"/>
  <c r="AY590" i="59"/>
  <c r="AY591" i="59"/>
  <c r="AY592" i="59"/>
  <c r="AY593" i="59"/>
  <c r="AY594" i="59"/>
  <c r="AY595" i="59"/>
  <c r="AY394" i="59"/>
  <c r="AY608" i="59"/>
  <c r="AY596" i="59"/>
  <c r="AY609" i="59"/>
  <c r="AY645" i="59"/>
  <c r="AY605" i="59"/>
  <c r="AY604" i="59"/>
  <c r="AY601" i="59"/>
  <c r="AY628" i="59"/>
  <c r="AY600" i="59"/>
  <c r="AY851" i="59"/>
  <c r="AY202" i="59"/>
  <c r="AY644" i="59"/>
  <c r="AY940" i="59"/>
  <c r="AY689" i="59"/>
  <c r="AY636" i="59"/>
  <c r="AY611" i="59"/>
  <c r="AY642" i="59"/>
  <c r="AY852" i="59"/>
  <c r="AY312" i="59"/>
  <c r="AY598" i="59"/>
  <c r="AY599" i="59"/>
  <c r="AY856" i="59"/>
  <c r="AY850" i="59"/>
  <c r="AY857" i="59"/>
  <c r="AY890" i="59"/>
  <c r="AY878" i="59"/>
  <c r="AY858" i="59"/>
  <c r="AY671" i="59"/>
  <c r="AY663" i="59"/>
  <c r="AY662" i="59"/>
  <c r="AY664" i="59"/>
  <c r="AY896" i="59"/>
  <c r="AY895" i="59"/>
  <c r="AY683" i="59"/>
  <c r="AY677" i="59"/>
  <c r="AY674" i="59"/>
  <c r="AY881" i="59"/>
  <c r="AY899" i="59"/>
  <c r="AY897" i="59"/>
  <c r="AY898" i="59"/>
  <c r="AY700" i="59"/>
  <c r="AY701" i="59"/>
  <c r="AY872" i="59"/>
  <c r="AY874" i="59"/>
  <c r="AY904" i="59"/>
  <c r="AY905" i="59"/>
  <c r="AY703" i="59"/>
  <c r="AY866" i="59"/>
  <c r="AY871" i="59"/>
  <c r="AY863" i="59"/>
  <c r="AY870" i="59"/>
  <c r="AY867" i="59"/>
  <c r="AY868" i="59"/>
  <c r="AY864" i="59"/>
  <c r="AY869" i="59"/>
  <c r="AY902" i="59"/>
  <c r="AY900" i="59"/>
  <c r="AY901" i="59"/>
  <c r="AY936" i="59"/>
  <c r="AY702" i="59"/>
  <c r="AY704" i="59"/>
  <c r="AY879" i="59"/>
  <c r="AY885" i="59"/>
  <c r="AY655" i="59"/>
  <c r="AY720" i="59"/>
  <c r="AY877" i="59"/>
  <c r="AY830" i="59"/>
  <c r="AY829" i="59"/>
  <c r="AY372" i="59"/>
  <c r="AY718" i="59"/>
  <c r="AY832" i="59"/>
  <c r="AY831" i="59"/>
  <c r="AY828" i="59"/>
  <c r="AY827" i="59"/>
  <c r="AY903" i="59"/>
  <c r="AY909" i="59"/>
  <c r="AY908" i="59"/>
  <c r="AY374" i="59"/>
  <c r="AY865" i="59"/>
  <c r="AY678" i="59"/>
  <c r="AY498" i="59"/>
  <c r="AY319" i="59"/>
  <c r="AY836" i="59"/>
  <c r="AY171" i="59"/>
  <c r="AY844" i="59"/>
  <c r="AY91" i="59"/>
  <c r="AY949" i="59"/>
  <c r="AY916" i="59"/>
  <c r="AY541" i="59"/>
  <c r="AX4" i="59"/>
  <c r="AX6" i="59"/>
  <c r="AX121" i="59"/>
  <c r="AX109" i="59"/>
  <c r="AX110" i="59"/>
  <c r="AX115" i="59"/>
  <c r="AX106" i="59"/>
  <c r="AX107" i="59"/>
  <c r="AX116" i="59"/>
  <c r="AX22" i="59"/>
  <c r="AX111" i="59"/>
  <c r="AX20" i="59"/>
  <c r="AX168" i="59"/>
  <c r="AX105" i="59"/>
  <c r="AX7" i="59"/>
  <c r="AX8" i="59"/>
  <c r="AX9" i="59"/>
  <c r="AX11" i="59"/>
  <c r="AX12" i="59"/>
  <c r="AX10" i="59"/>
  <c r="AX14" i="59"/>
  <c r="AX34" i="59"/>
  <c r="AX15" i="59"/>
  <c r="AX17" i="59"/>
  <c r="AX31" i="59"/>
  <c r="AX100" i="59"/>
  <c r="AX929" i="59"/>
  <c r="AX928" i="59"/>
  <c r="AX126" i="59"/>
  <c r="AX634" i="59"/>
  <c r="AX19" i="59"/>
  <c r="AX173" i="59"/>
  <c r="AX272" i="59"/>
  <c r="AX263" i="59"/>
  <c r="AX416" i="59"/>
  <c r="AX273" i="59"/>
  <c r="AX417" i="59"/>
  <c r="AX421" i="59"/>
  <c r="AX419" i="59"/>
  <c r="AX425" i="59"/>
  <c r="AX269" i="59"/>
  <c r="AX297" i="59"/>
  <c r="AX341" i="59"/>
  <c r="AX276" i="59"/>
  <c r="AX306" i="59"/>
  <c r="AX495" i="59"/>
  <c r="AX497" i="59"/>
  <c r="AX304" i="59"/>
  <c r="AX910" i="59"/>
  <c r="AX277" i="59"/>
  <c r="AX274" i="59"/>
  <c r="AX279" i="59"/>
  <c r="AX280" i="59"/>
  <c r="AX161" i="59"/>
  <c r="AX282" i="59"/>
  <c r="AX283" i="59"/>
  <c r="AX284" i="59"/>
  <c r="AX318" i="59"/>
  <c r="AX316" i="59"/>
  <c r="AX382" i="59"/>
  <c r="AX381" i="59"/>
  <c r="AX380" i="59"/>
  <c r="AX383" i="59"/>
  <c r="AX386" i="59"/>
  <c r="AX388" i="59"/>
  <c r="AX387" i="59"/>
  <c r="AX389" i="59"/>
  <c r="AX90" i="59"/>
  <c r="AX390" i="59"/>
  <c r="AX89" i="59"/>
  <c r="AX125" i="59"/>
  <c r="AX170" i="59"/>
  <c r="AX94" i="59"/>
  <c r="AX93" i="59"/>
  <c r="AX122" i="59"/>
  <c r="AX95" i="59"/>
  <c r="AX98" i="59"/>
  <c r="AX99" i="59"/>
  <c r="AX934" i="59"/>
  <c r="AX92" i="59"/>
  <c r="AX87" i="59"/>
  <c r="AX97" i="59"/>
  <c r="AX108" i="59"/>
  <c r="AX166" i="59"/>
  <c r="AX103" i="59"/>
  <c r="AX104" i="59"/>
  <c r="AX165" i="59"/>
  <c r="AX132" i="59"/>
  <c r="AX167" i="59"/>
  <c r="AX164" i="59"/>
  <c r="AX112" i="59"/>
  <c r="AX169" i="59"/>
  <c r="AX123" i="59"/>
  <c r="AX860" i="59"/>
  <c r="AX320" i="59"/>
  <c r="AX331" i="59"/>
  <c r="AX330" i="59"/>
  <c r="AX317" i="59"/>
  <c r="AX136" i="59"/>
  <c r="AX333" i="59"/>
  <c r="AX332" i="59"/>
  <c r="AX322" i="59"/>
  <c r="AX324" i="59"/>
  <c r="AX327" i="59"/>
  <c r="AX137" i="59"/>
  <c r="AX138" i="59"/>
  <c r="AX139" i="59"/>
  <c r="AX141" i="59"/>
  <c r="AX127" i="59"/>
  <c r="AX142" i="59"/>
  <c r="AX96" i="59"/>
  <c r="AX149" i="59"/>
  <c r="AX143" i="59"/>
  <c r="AX144" i="59"/>
  <c r="AX145" i="59"/>
  <c r="AX146" i="59"/>
  <c r="AX147" i="59"/>
  <c r="AX148" i="59"/>
  <c r="AX150" i="59"/>
  <c r="AX131" i="59"/>
  <c r="AX151" i="59"/>
  <c r="AX152" i="59"/>
  <c r="AX153" i="59"/>
  <c r="AX154" i="59"/>
  <c r="AX35" i="59"/>
  <c r="AX943" i="59"/>
  <c r="AX941" i="59"/>
  <c r="AX942" i="59"/>
  <c r="AX944" i="59"/>
  <c r="AX140" i="59"/>
  <c r="AX162" i="59"/>
  <c r="AX315" i="59"/>
  <c r="AX158" i="59"/>
  <c r="AX159" i="59"/>
  <c r="AX174" i="59"/>
  <c r="AX155" i="59"/>
  <c r="AX268" i="59"/>
  <c r="AX217" i="59"/>
  <c r="AX219" i="59"/>
  <c r="AX281" i="59"/>
  <c r="AX245" i="59"/>
  <c r="AX244" i="59"/>
  <c r="AX157" i="59"/>
  <c r="AX156" i="59"/>
  <c r="AX432" i="59"/>
  <c r="AX130" i="59"/>
  <c r="AX160" i="59"/>
  <c r="AX444" i="59"/>
  <c r="AX134" i="59"/>
  <c r="AX313" i="59"/>
  <c r="AX430" i="59"/>
  <c r="AX431" i="59"/>
  <c r="AX242" i="59"/>
  <c r="AX248" i="59"/>
  <c r="AX133" i="59"/>
  <c r="AX236" i="59"/>
  <c r="AX237" i="59"/>
  <c r="AX464" i="59"/>
  <c r="AX460" i="59"/>
  <c r="AX458" i="59"/>
  <c r="AX435" i="59"/>
  <c r="AX243" i="59"/>
  <c r="AX508" i="59"/>
  <c r="AX238" i="59"/>
  <c r="AX250" i="59"/>
  <c r="AX466" i="59"/>
  <c r="AX476" i="59"/>
  <c r="AX468" i="59"/>
  <c r="AX222" i="59"/>
  <c r="AX216" i="59"/>
  <c r="AX215" i="59"/>
  <c r="AX697" i="59"/>
  <c r="AX231" i="59"/>
  <c r="AX229" i="59"/>
  <c r="AX455" i="59"/>
  <c r="AX226" i="59"/>
  <c r="AX356" i="59"/>
  <c r="AX113" i="59"/>
  <c r="AX447" i="59"/>
  <c r="AX225" i="59"/>
  <c r="AX257" i="59"/>
  <c r="AX259" i="59"/>
  <c r="AX260" i="59"/>
  <c r="AX935" i="59"/>
  <c r="AX256" i="59"/>
  <c r="AX18" i="59"/>
  <c r="AX218" i="59"/>
  <c r="AX239" i="59"/>
  <c r="AX241" i="59"/>
  <c r="AX465" i="59"/>
  <c r="AX101" i="59"/>
  <c r="AX102" i="59"/>
  <c r="AX253" i="59"/>
  <c r="AX254" i="59"/>
  <c r="AX255" i="59"/>
  <c r="AX178" i="59"/>
  <c r="AX212" i="59"/>
  <c r="AX213" i="59"/>
  <c r="AX207" i="59"/>
  <c r="AX179" i="59"/>
  <c r="AX182" i="59"/>
  <c r="AX205" i="59"/>
  <c r="AX176" i="59"/>
  <c r="AX177" i="59"/>
  <c r="AX208" i="59"/>
  <c r="AX180" i="59"/>
  <c r="AX200" i="59"/>
  <c r="AX199" i="59"/>
  <c r="AX185" i="59"/>
  <c r="AX184" i="59"/>
  <c r="AX181" i="59"/>
  <c r="AX188" i="59"/>
  <c r="AX189" i="59"/>
  <c r="AX661" i="59"/>
  <c r="AX187" i="59"/>
  <c r="AX183" i="59"/>
  <c r="AX186" i="59"/>
  <c r="AX203" i="59"/>
  <c r="AX193" i="59"/>
  <c r="AX24" i="59"/>
  <c r="AX21" i="59"/>
  <c r="AX16" i="59"/>
  <c r="AX25" i="59"/>
  <c r="AX192" i="59"/>
  <c r="AX214" i="59"/>
  <c r="AX329" i="59"/>
  <c r="AX393" i="59"/>
  <c r="AX391" i="59"/>
  <c r="AX407" i="59"/>
  <c r="AX408" i="59"/>
  <c r="AX404" i="59"/>
  <c r="AX398" i="59"/>
  <c r="AX405" i="59"/>
  <c r="AX397" i="59"/>
  <c r="AX400" i="59"/>
  <c r="AX409" i="59"/>
  <c r="AX395" i="59"/>
  <c r="AX401" i="59"/>
  <c r="AX399" i="59"/>
  <c r="AX410" i="59"/>
  <c r="AX687" i="59"/>
  <c r="AX412" i="59"/>
  <c r="AX36" i="59"/>
  <c r="AX195" i="59"/>
  <c r="AX194" i="59"/>
  <c r="AX489" i="59"/>
  <c r="AX262" i="59"/>
  <c r="AX336" i="59"/>
  <c r="AX334" i="59"/>
  <c r="AX337" i="59"/>
  <c r="AX335" i="59"/>
  <c r="AX223" i="59"/>
  <c r="AX342" i="59"/>
  <c r="AX343" i="59"/>
  <c r="AX357" i="59"/>
  <c r="AX366" i="59"/>
  <c r="AX249" i="59"/>
  <c r="AX349" i="59"/>
  <c r="AX355" i="59"/>
  <c r="AX360" i="59"/>
  <c r="AX352" i="59"/>
  <c r="AX348" i="59"/>
  <c r="AX345" i="59"/>
  <c r="AX346" i="59"/>
  <c r="AX340" i="59"/>
  <c r="AX363" i="59"/>
  <c r="AX351" i="59"/>
  <c r="AX437" i="59"/>
  <c r="AX436" i="59"/>
  <c r="AX364" i="59"/>
  <c r="AX350" i="59"/>
  <c r="AX499" i="59"/>
  <c r="AX365" i="59"/>
  <c r="AX347" i="59"/>
  <c r="AX362" i="59"/>
  <c r="AX385" i="59"/>
  <c r="AX506" i="59"/>
  <c r="AX258" i="59"/>
  <c r="AX379" i="59"/>
  <c r="AX378" i="59"/>
  <c r="AX517" i="59"/>
  <c r="AX518" i="59"/>
  <c r="AX413" i="59"/>
  <c r="AX696" i="59"/>
  <c r="AX523" i="59"/>
  <c r="AX522" i="59"/>
  <c r="AX521" i="59"/>
  <c r="AX682" i="59"/>
  <c r="AX418" i="59"/>
  <c r="AX68" i="59"/>
  <c r="AX60" i="59"/>
  <c r="AX64" i="59"/>
  <c r="AX275" i="59"/>
  <c r="AX52" i="59"/>
  <c r="AX53" i="59"/>
  <c r="AX44" i="59"/>
  <c r="AX69" i="59"/>
  <c r="AX67" i="59"/>
  <c r="AX48" i="59"/>
  <c r="AX57" i="59"/>
  <c r="AX80" i="59"/>
  <c r="AX82" i="59"/>
  <c r="AX83" i="59"/>
  <c r="AX78" i="59"/>
  <c r="AX45" i="59"/>
  <c r="AX65" i="59"/>
  <c r="AX56" i="59"/>
  <c r="AX70" i="59"/>
  <c r="AX77" i="59"/>
  <c r="AX63" i="59"/>
  <c r="AX42" i="59"/>
  <c r="AX49" i="59"/>
  <c r="AX79" i="59"/>
  <c r="AX51" i="59"/>
  <c r="AX43" i="59"/>
  <c r="AX47" i="59"/>
  <c r="AX72" i="59"/>
  <c r="AX54" i="59"/>
  <c r="AX55" i="59"/>
  <c r="AX927" i="59"/>
  <c r="AX204" i="59"/>
  <c r="AX76" i="59"/>
  <c r="AX62" i="59"/>
  <c r="AX50" i="59"/>
  <c r="AX73" i="59"/>
  <c r="AX66" i="59"/>
  <c r="AX71" i="59"/>
  <c r="AX494" i="59"/>
  <c r="AX46" i="59"/>
  <c r="AX28" i="59"/>
  <c r="AX580" i="59"/>
  <c r="AX551" i="59"/>
  <c r="AX552" i="59"/>
  <c r="AX553" i="59"/>
  <c r="AX572" i="59"/>
  <c r="AX547" i="59"/>
  <c r="AX555" i="59"/>
  <c r="AX556" i="59"/>
  <c r="AX544" i="59"/>
  <c r="AX548" i="59"/>
  <c r="AX557" i="59"/>
  <c r="AX543" i="59"/>
  <c r="AX559" i="59"/>
  <c r="AX560" i="59"/>
  <c r="AX561" i="59"/>
  <c r="AX563" i="59"/>
  <c r="AX564" i="59"/>
  <c r="AX565" i="59"/>
  <c r="AX550" i="59"/>
  <c r="AX567" i="59"/>
  <c r="AX568" i="59"/>
  <c r="AX569" i="59"/>
  <c r="AX546" i="59"/>
  <c r="AX576" i="59"/>
  <c r="AX574" i="59"/>
  <c r="AX554" i="59"/>
  <c r="AX227" i="59"/>
  <c r="AX235" i="59"/>
  <c r="AX573" i="59"/>
  <c r="AX582" i="59"/>
  <c r="AX570" i="59"/>
  <c r="AX562" i="59"/>
  <c r="AX558" i="59"/>
  <c r="AX571" i="59"/>
  <c r="AX549" i="59"/>
  <c r="AX577" i="59"/>
  <c r="AX566" i="59"/>
  <c r="AX581" i="59"/>
  <c r="AX589" i="59"/>
  <c r="AX585" i="59"/>
  <c r="AX586" i="59"/>
  <c r="AX587" i="59"/>
  <c r="AX588" i="59"/>
  <c r="AX590" i="59"/>
  <c r="AX591" i="59"/>
  <c r="AX592" i="59"/>
  <c r="AX593" i="59"/>
  <c r="AX594" i="59"/>
  <c r="AX595" i="59"/>
  <c r="AX394" i="59"/>
  <c r="AX608" i="59"/>
  <c r="AX596" i="59"/>
  <c r="AX609" i="59"/>
  <c r="AX645" i="59"/>
  <c r="AX605" i="59"/>
  <c r="AX604" i="59"/>
  <c r="AX601" i="59"/>
  <c r="AX628" i="59"/>
  <c r="AX600" i="59"/>
  <c r="AX851" i="59"/>
  <c r="AX202" i="59"/>
  <c r="AX644" i="59"/>
  <c r="AX940" i="59"/>
  <c r="AX689" i="59"/>
  <c r="AX636" i="59"/>
  <c r="AX611" i="59"/>
  <c r="AX642" i="59"/>
  <c r="AX852" i="59"/>
  <c r="AX312" i="59"/>
  <c r="AX598" i="59"/>
  <c r="AX599" i="59"/>
  <c r="AX856" i="59"/>
  <c r="AX850" i="59"/>
  <c r="AX857" i="59"/>
  <c r="AX890" i="59"/>
  <c r="AX878" i="59"/>
  <c r="AX858" i="59"/>
  <c r="AX671" i="59"/>
  <c r="AX663" i="59"/>
  <c r="AX662" i="59"/>
  <c r="AX664" i="59"/>
  <c r="AX896" i="59"/>
  <c r="AX895" i="59"/>
  <c r="AX683" i="59"/>
  <c r="AX677" i="59"/>
  <c r="AX674" i="59"/>
  <c r="AX881" i="59"/>
  <c r="AX899" i="59"/>
  <c r="AX897" i="59"/>
  <c r="AX898" i="59"/>
  <c r="AX700" i="59"/>
  <c r="AX701" i="59"/>
  <c r="AX872" i="59"/>
  <c r="AX874" i="59"/>
  <c r="AX904" i="59"/>
  <c r="AX905" i="59"/>
  <c r="AX703" i="59"/>
  <c r="AX866" i="59"/>
  <c r="AX871" i="59"/>
  <c r="AX863" i="59"/>
  <c r="AX870" i="59"/>
  <c r="AX867" i="59"/>
  <c r="AX868" i="59"/>
  <c r="AX864" i="59"/>
  <c r="AX869" i="59"/>
  <c r="AX902" i="59"/>
  <c r="AX900" i="59"/>
  <c r="AX901" i="59"/>
  <c r="AX936" i="59"/>
  <c r="AX702" i="59"/>
  <c r="AX704" i="59"/>
  <c r="AX879" i="59"/>
  <c r="AX885" i="59"/>
  <c r="AX655" i="59"/>
  <c r="AX720" i="59"/>
  <c r="AX877" i="59"/>
  <c r="AX830" i="59"/>
  <c r="AX829" i="59"/>
  <c r="AX372" i="59"/>
  <c r="AX718" i="59"/>
  <c r="AX832" i="59"/>
  <c r="AX831" i="59"/>
  <c r="AX828" i="59"/>
  <c r="AX827" i="59"/>
  <c r="AX903" i="59"/>
  <c r="AX909" i="59"/>
  <c r="AX908" i="59"/>
  <c r="AX374" i="59"/>
  <c r="AX865" i="59"/>
  <c r="AX678" i="59"/>
  <c r="AX498" i="59"/>
  <c r="AX319" i="59"/>
  <c r="AX836" i="59"/>
  <c r="AX171" i="59"/>
  <c r="AX844" i="59"/>
  <c r="AX91" i="59"/>
  <c r="AX949" i="59"/>
  <c r="AX916" i="59"/>
  <c r="AX541" i="59"/>
  <c r="AU865" i="59" l="1"/>
  <c r="J865" i="59" s="1"/>
  <c r="AV865" i="59"/>
  <c r="BA865" i="59" l="1"/>
  <c r="BC865" i="59"/>
  <c r="BD865" i="59" s="1"/>
  <c r="AU644" i="59"/>
  <c r="J644" i="59" s="1"/>
  <c r="AV644" i="59"/>
  <c r="AU489" i="59"/>
  <c r="J489" i="59" s="1"/>
  <c r="AV489" i="59"/>
  <c r="BA489" i="59" l="1"/>
  <c r="BC489" i="59"/>
  <c r="BD489" i="59" s="1"/>
  <c r="BC644" i="59"/>
  <c r="BD644" i="59" s="1"/>
  <c r="AX906" i="59"/>
  <c r="AY906" i="59"/>
  <c r="AZ906" i="59"/>
  <c r="AX467" i="59" l="1"/>
  <c r="AY467" i="59"/>
  <c r="AZ467" i="59"/>
  <c r="AU282" i="59" l="1"/>
  <c r="J282" i="59" s="1"/>
  <c r="AV282" i="59"/>
  <c r="AW282" i="59"/>
  <c r="BA282" i="59" l="1"/>
  <c r="BC282" i="59"/>
  <c r="BD282" i="59" s="1"/>
  <c r="AU498" i="59"/>
  <c r="AV498" i="59"/>
  <c r="AU319" i="59"/>
  <c r="AV319" i="59"/>
  <c r="AU836" i="59"/>
  <c r="AV836" i="59"/>
  <c r="AU171" i="59"/>
  <c r="AW171" i="59"/>
  <c r="AU844" i="59"/>
  <c r="AU91" i="59"/>
  <c r="AU949" i="59"/>
  <c r="AV911" i="59"/>
  <c r="J498" i="59" l="1"/>
  <c r="J171" i="59"/>
  <c r="J844" i="59"/>
  <c r="J836" i="59"/>
  <c r="J949" i="59"/>
  <c r="J319" i="59"/>
  <c r="J91" i="59"/>
  <c r="AY911" i="59"/>
  <c r="AZ911" i="59"/>
  <c r="AX911" i="59"/>
  <c r="AU444" i="59"/>
  <c r="J444" i="59" s="1"/>
  <c r="AV444" i="59"/>
  <c r="BC319" i="59" l="1"/>
  <c r="BD319" i="59" s="1"/>
  <c r="BC836" i="59"/>
  <c r="BD836" i="59" s="1"/>
  <c r="BC498" i="59"/>
  <c r="BD498" i="59" s="1"/>
  <c r="BI498" i="59"/>
  <c r="BA171" i="59"/>
  <c r="BC171" i="59"/>
  <c r="BD171" i="59" s="1"/>
  <c r="BC91" i="59"/>
  <c r="BD91" i="59" s="1"/>
  <c r="BA949" i="59"/>
  <c r="BC949" i="59"/>
  <c r="BD949" i="59" s="1"/>
  <c r="BA844" i="59"/>
  <c r="BC844" i="59"/>
  <c r="BD844" i="59" s="1"/>
  <c r="BA444" i="59"/>
  <c r="BC444" i="59"/>
  <c r="BD444" i="59" s="1"/>
  <c r="AU911" i="59"/>
  <c r="AU283" i="59"/>
  <c r="J283" i="59" s="1"/>
  <c r="AV283" i="59"/>
  <c r="AW283" i="59"/>
  <c r="BA283" i="59" l="1"/>
  <c r="BC283" i="59"/>
  <c r="BD283" i="59" s="1"/>
  <c r="J911" i="59"/>
  <c r="AU374" i="59"/>
  <c r="J374" i="59" s="1"/>
  <c r="AV374" i="59"/>
  <c r="BC374" i="59" l="1"/>
  <c r="BD374" i="59" s="1"/>
  <c r="BC911" i="59"/>
  <c r="BD911" i="59" s="1"/>
  <c r="AU284" i="59"/>
  <c r="J284" i="59" s="1"/>
  <c r="AV284" i="59"/>
  <c r="AW284" i="59"/>
  <c r="BC284" i="59" l="1"/>
  <c r="BD284" i="59" s="1"/>
  <c r="AV906" i="59"/>
  <c r="AU906" i="59"/>
  <c r="J906" i="59" s="1"/>
  <c r="BA906" i="59" l="1"/>
  <c r="BC906" i="59"/>
  <c r="BD906" i="59" s="1"/>
  <c r="AU192" i="59" l="1"/>
  <c r="J192" i="59" s="1"/>
  <c r="AV192" i="59"/>
  <c r="AW192" i="59"/>
  <c r="BA192" i="59" l="1"/>
  <c r="BC192" i="59"/>
  <c r="BD192" i="59" s="1"/>
  <c r="AU418" i="59"/>
  <c r="J418" i="59" s="1"/>
  <c r="AV418" i="59"/>
  <c r="BA418" i="59" l="1"/>
  <c r="BC418" i="59"/>
  <c r="BD418" i="59" s="1"/>
  <c r="AZ354" i="59"/>
  <c r="AX354" i="59"/>
  <c r="AY354" i="59"/>
  <c r="AU262" i="59"/>
  <c r="J262" i="59" s="1"/>
  <c r="AV262" i="59"/>
  <c r="AW262" i="59"/>
  <c r="BA262" i="59" l="1"/>
  <c r="BC262" i="59"/>
  <c r="BD262" i="59" s="1"/>
  <c r="AU391" i="59" l="1"/>
  <c r="J391" i="59" s="1"/>
  <c r="AV391" i="59"/>
  <c r="BA391" i="59" l="1"/>
  <c r="BC391" i="59"/>
  <c r="BD391" i="59" s="1"/>
  <c r="AZ411" i="59"/>
  <c r="AX411" i="59"/>
  <c r="AY411" i="59"/>
  <c r="AU244" i="59" l="1"/>
  <c r="J244" i="59" s="1"/>
  <c r="AV244" i="59"/>
  <c r="AW244" i="59"/>
  <c r="AU245" i="59"/>
  <c r="J245" i="59" s="1"/>
  <c r="AV245" i="59"/>
  <c r="AW245" i="59"/>
  <c r="AU432" i="59"/>
  <c r="J432" i="59" s="1"/>
  <c r="AV432" i="59"/>
  <c r="BA432" i="59" l="1"/>
  <c r="BC432" i="59"/>
  <c r="BD432" i="59" s="1"/>
  <c r="BA245" i="59"/>
  <c r="BC245" i="59"/>
  <c r="BD245" i="59" s="1"/>
  <c r="BA244" i="59"/>
  <c r="BC244" i="59"/>
  <c r="BD244" i="59" s="1"/>
  <c r="AU281" i="59"/>
  <c r="J281" i="59" s="1"/>
  <c r="AV281" i="59"/>
  <c r="AW281" i="59"/>
  <c r="BA281" i="59" l="1"/>
  <c r="BC281" i="59"/>
  <c r="BD281" i="59" s="1"/>
  <c r="AU394" i="59"/>
  <c r="J394" i="59" s="1"/>
  <c r="AV394" i="59"/>
  <c r="BA394" i="59" l="1"/>
  <c r="BC394" i="59"/>
  <c r="BD394" i="59" s="1"/>
  <c r="AU909" i="59"/>
  <c r="J909" i="59" s="1"/>
  <c r="AV909" i="59"/>
  <c r="AU908" i="59"/>
  <c r="J908" i="59" s="1"/>
  <c r="AV908" i="59"/>
  <c r="BC909" i="59" l="1"/>
  <c r="BD909" i="59" s="1"/>
  <c r="BA908" i="59"/>
  <c r="BC908" i="59"/>
  <c r="BD908" i="59" s="1"/>
  <c r="AX396" i="59" l="1"/>
  <c r="AY396" i="59"/>
  <c r="AZ396" i="59"/>
  <c r="AU16" i="59" l="1"/>
  <c r="AV16" i="59"/>
  <c r="AW16" i="59"/>
  <c r="AU35" i="59"/>
  <c r="J35" i="59" s="1"/>
  <c r="AV35" i="59"/>
  <c r="AW35" i="59"/>
  <c r="BA35" i="59" l="1"/>
  <c r="BC35" i="59"/>
  <c r="BD35" i="59" s="1"/>
  <c r="J16" i="59"/>
  <c r="BI16" i="59" s="1"/>
  <c r="BA16" i="59" l="1"/>
  <c r="BC16" i="59"/>
  <c r="BD16" i="59" s="1"/>
  <c r="AX880" i="59"/>
  <c r="AY880" i="59"/>
  <c r="AZ880" i="59"/>
  <c r="AU155" i="59" l="1"/>
  <c r="J155" i="59" s="1"/>
  <c r="AV155" i="59"/>
  <c r="AW155" i="59"/>
  <c r="BA155" i="59" l="1"/>
  <c r="BC155" i="59"/>
  <c r="BD155" i="59" s="1"/>
  <c r="AX545" i="59"/>
  <c r="AY545" i="59"/>
  <c r="AZ545" i="59"/>
  <c r="AX234" i="59" l="1"/>
  <c r="AY234" i="59"/>
  <c r="AZ234" i="59"/>
  <c r="AY359" i="59" l="1"/>
  <c r="AZ359" i="59"/>
  <c r="AX359" i="59"/>
  <c r="AU46" i="59" l="1"/>
  <c r="J46" i="59" s="1"/>
  <c r="AV46" i="59"/>
  <c r="AW46" i="59"/>
  <c r="BA46" i="59" l="1"/>
  <c r="BC46" i="59"/>
  <c r="BD46" i="59" s="1"/>
  <c r="AU828" i="59"/>
  <c r="J828" i="59" s="1"/>
  <c r="AV828" i="59"/>
  <c r="AU827" i="59"/>
  <c r="J827" i="59" s="1"/>
  <c r="AV827" i="59"/>
  <c r="BC827" i="59" l="1"/>
  <c r="BD827" i="59" s="1"/>
  <c r="BA828" i="59"/>
  <c r="BC828" i="59"/>
  <c r="BD828" i="59" s="1"/>
  <c r="AU678" i="59"/>
  <c r="J678" i="59" s="1"/>
  <c r="AV678" i="59"/>
  <c r="BA678" i="59" l="1"/>
  <c r="BC678" i="59"/>
  <c r="BD678" i="59" s="1"/>
  <c r="AU219" i="59"/>
  <c r="J219" i="59" s="1"/>
  <c r="AV219" i="59"/>
  <c r="AW219" i="59"/>
  <c r="AU217" i="59"/>
  <c r="J217" i="59" s="1"/>
  <c r="AV217" i="59"/>
  <c r="AW217" i="59"/>
  <c r="BA217" i="59" l="1"/>
  <c r="BC217" i="59"/>
  <c r="BD217" i="59" s="1"/>
  <c r="BA219" i="59"/>
  <c r="BC219" i="59"/>
  <c r="BD219" i="59" s="1"/>
  <c r="AU174" i="59" l="1"/>
  <c r="J174" i="59" s="1"/>
  <c r="AV174" i="59"/>
  <c r="AW174" i="59"/>
  <c r="BA174" i="59" l="1"/>
  <c r="BC174" i="59"/>
  <c r="BD174" i="59" s="1"/>
  <c r="AU878" i="59"/>
  <c r="J878" i="59" s="1"/>
  <c r="AV878" i="59"/>
  <c r="BA878" i="59" l="1"/>
  <c r="BC878" i="59"/>
  <c r="BD878" i="59" s="1"/>
  <c r="AU494" i="59" l="1"/>
  <c r="J494" i="59" s="1"/>
  <c r="AV494" i="59"/>
  <c r="BA494" i="59" l="1"/>
  <c r="BC494" i="59"/>
  <c r="BD494" i="59" s="1"/>
  <c r="AZ579" i="59"/>
  <c r="AX579" i="59"/>
  <c r="AY579" i="59"/>
  <c r="AX578" i="59"/>
  <c r="AY578" i="59"/>
  <c r="AZ578" i="59"/>
  <c r="AU136" i="59"/>
  <c r="J136" i="59" s="1"/>
  <c r="AV136" i="59"/>
  <c r="AW136" i="59"/>
  <c r="BA136" i="59" l="1"/>
  <c r="BC136" i="59"/>
  <c r="BD136" i="59" s="1"/>
  <c r="AU333" i="59"/>
  <c r="J333" i="59" s="1"/>
  <c r="AV333" i="59"/>
  <c r="AU313" i="59"/>
  <c r="J313" i="59" s="1"/>
  <c r="AV313" i="59"/>
  <c r="AU332" i="59"/>
  <c r="J332" i="59" s="1"/>
  <c r="AV332" i="59"/>
  <c r="BA332" i="59" l="1"/>
  <c r="BC332" i="59"/>
  <c r="BD332" i="59" s="1"/>
  <c r="BA333" i="59"/>
  <c r="BC333" i="59"/>
  <c r="BD333" i="59" s="1"/>
  <c r="BA313" i="59"/>
  <c r="BC313" i="59"/>
  <c r="BD313" i="59" s="1"/>
  <c r="AU393" i="59"/>
  <c r="J393" i="59" s="1"/>
  <c r="AV393" i="59"/>
  <c r="BA393" i="59" l="1"/>
  <c r="BC393" i="59"/>
  <c r="BD393" i="59" s="1"/>
  <c r="AU50" i="59"/>
  <c r="J50" i="59" s="1"/>
  <c r="AV50" i="59"/>
  <c r="AW50" i="59"/>
  <c r="BA50" i="59" l="1"/>
  <c r="BC50" i="59"/>
  <c r="BD50" i="59" s="1"/>
  <c r="AU19" i="59"/>
  <c r="AV19" i="59"/>
  <c r="AW19" i="59"/>
  <c r="J19" i="59" l="1"/>
  <c r="BI19" i="59" s="1"/>
  <c r="AX893" i="59"/>
  <c r="AY893" i="59"/>
  <c r="AZ893" i="59"/>
  <c r="AX894" i="59"/>
  <c r="AY894" i="59"/>
  <c r="AZ894" i="59"/>
  <c r="BA19" i="59" l="1"/>
  <c r="BC19" i="59"/>
  <c r="BD19" i="59" s="1"/>
  <c r="AX915" i="59"/>
  <c r="AY915" i="59"/>
  <c r="AZ915" i="59"/>
  <c r="AU268" i="59" l="1"/>
  <c r="J268" i="59" s="1"/>
  <c r="AV268" i="59"/>
  <c r="AW268" i="59"/>
  <c r="BA268" i="59" l="1"/>
  <c r="BC268" i="59"/>
  <c r="BD268" i="59" s="1"/>
  <c r="AV915" i="59"/>
  <c r="AX914" i="59" l="1"/>
  <c r="AY914" i="59"/>
  <c r="AZ914" i="59"/>
  <c r="AY502" i="59" l="1"/>
  <c r="AZ502" i="59"/>
  <c r="AX502" i="59"/>
  <c r="AX913" i="59" l="1"/>
  <c r="AY913" i="59"/>
  <c r="AZ913" i="59"/>
  <c r="AY912" i="59"/>
  <c r="AZ912" i="59"/>
  <c r="AX912" i="59"/>
  <c r="AZ583" i="59" l="1"/>
  <c r="AX583" i="59"/>
  <c r="AY583" i="59"/>
  <c r="AU365" i="59" l="1"/>
  <c r="J365" i="59" s="1"/>
  <c r="AV365" i="59"/>
  <c r="BA365" i="59" l="1"/>
  <c r="BC365" i="59"/>
  <c r="BD365" i="59" s="1"/>
  <c r="AU315" i="59"/>
  <c r="J315" i="59" s="1"/>
  <c r="AV315" i="59"/>
  <c r="AU158" i="59"/>
  <c r="J158" i="59" s="1"/>
  <c r="AV158" i="59"/>
  <c r="AW158" i="59"/>
  <c r="AU159" i="59"/>
  <c r="J159" i="59" s="1"/>
  <c r="AV159" i="59"/>
  <c r="AW159" i="59"/>
  <c r="AU162" i="59"/>
  <c r="J162" i="59" s="1"/>
  <c r="AV162" i="59"/>
  <c r="AW162" i="59"/>
  <c r="AU140" i="59"/>
  <c r="J140" i="59" s="1"/>
  <c r="AV140" i="59"/>
  <c r="AW140" i="59"/>
  <c r="BA140" i="59" l="1"/>
  <c r="BC140" i="59"/>
  <c r="BD140" i="59" s="1"/>
  <c r="BA162" i="59"/>
  <c r="BC162" i="59"/>
  <c r="BD162" i="59" s="1"/>
  <c r="BA159" i="59"/>
  <c r="BC159" i="59"/>
  <c r="BD159" i="59" s="1"/>
  <c r="BA158" i="59"/>
  <c r="BC158" i="59"/>
  <c r="BD158" i="59" s="1"/>
  <c r="BA315" i="59"/>
  <c r="BC315" i="59"/>
  <c r="BD315" i="59" s="1"/>
  <c r="AU890" i="59"/>
  <c r="J890" i="59" s="1"/>
  <c r="AV890" i="59"/>
  <c r="BA890" i="59" l="1"/>
  <c r="BC890" i="59"/>
  <c r="BD890" i="59" s="1"/>
  <c r="AV914" i="59"/>
  <c r="AV913" i="59"/>
  <c r="AV912" i="59"/>
  <c r="AV903" i="59"/>
  <c r="AU903" i="59"/>
  <c r="J903" i="59" s="1"/>
  <c r="AV831" i="59"/>
  <c r="AU831" i="59"/>
  <c r="J831" i="59" s="1"/>
  <c r="AV832" i="59"/>
  <c r="AU832" i="59"/>
  <c r="J832" i="59" s="1"/>
  <c r="AV718" i="59"/>
  <c r="AU718" i="59"/>
  <c r="J718" i="59" s="1"/>
  <c r="AV372" i="59"/>
  <c r="AU372" i="59"/>
  <c r="J372" i="59" s="1"/>
  <c r="AV829" i="59"/>
  <c r="AU829" i="59"/>
  <c r="J829" i="59" s="1"/>
  <c r="AV830" i="59"/>
  <c r="AU830" i="59"/>
  <c r="J830" i="59" s="1"/>
  <c r="AV877" i="59"/>
  <c r="AU877" i="59"/>
  <c r="J877" i="59" s="1"/>
  <c r="AV880" i="59"/>
  <c r="AU880" i="59"/>
  <c r="J880" i="59" s="1"/>
  <c r="AV720" i="59"/>
  <c r="AU720" i="59"/>
  <c r="J720" i="59" s="1"/>
  <c r="AV655" i="59"/>
  <c r="AU655" i="59"/>
  <c r="J655" i="59" s="1"/>
  <c r="AV885" i="59"/>
  <c r="AU885" i="59"/>
  <c r="J885" i="59" s="1"/>
  <c r="AV879" i="59"/>
  <c r="AU879" i="59"/>
  <c r="J879" i="59" s="1"/>
  <c r="AV704" i="59"/>
  <c r="AU704" i="59"/>
  <c r="J704" i="59" s="1"/>
  <c r="AV702" i="59"/>
  <c r="AU702" i="59"/>
  <c r="J702" i="59" s="1"/>
  <c r="AV936" i="59"/>
  <c r="AU936" i="59"/>
  <c r="J936" i="59" s="1"/>
  <c r="AV901" i="59"/>
  <c r="AU901" i="59"/>
  <c r="J901" i="59" s="1"/>
  <c r="AV900" i="59"/>
  <c r="AU900" i="59"/>
  <c r="J900" i="59" s="1"/>
  <c r="AV902" i="59"/>
  <c r="AU902" i="59"/>
  <c r="J902" i="59" s="1"/>
  <c r="AV467" i="59"/>
  <c r="AU467" i="59"/>
  <c r="J467" i="59" s="1"/>
  <c r="AV869" i="59"/>
  <c r="AU869" i="59"/>
  <c r="J869" i="59" s="1"/>
  <c r="AV864" i="59"/>
  <c r="AU864" i="59"/>
  <c r="J864" i="59" s="1"/>
  <c r="AV868" i="59"/>
  <c r="AU868" i="59"/>
  <c r="J868" i="59" s="1"/>
  <c r="AV867" i="59"/>
  <c r="AU867" i="59"/>
  <c r="J867" i="59" s="1"/>
  <c r="AV870" i="59"/>
  <c r="AU870" i="59"/>
  <c r="J870" i="59" s="1"/>
  <c r="AV863" i="59"/>
  <c r="AU863" i="59"/>
  <c r="J863" i="59" s="1"/>
  <c r="AV871" i="59"/>
  <c r="AU871" i="59"/>
  <c r="J871" i="59" s="1"/>
  <c r="AV866" i="59"/>
  <c r="AU866" i="59"/>
  <c r="J866" i="59" s="1"/>
  <c r="AV703" i="59"/>
  <c r="AU703" i="59"/>
  <c r="J703" i="59" s="1"/>
  <c r="AV905" i="59"/>
  <c r="AU905" i="59"/>
  <c r="J905" i="59" s="1"/>
  <c r="AV904" i="59"/>
  <c r="AU904" i="59"/>
  <c r="J904" i="59" s="1"/>
  <c r="AV874" i="59"/>
  <c r="AU874" i="59"/>
  <c r="J874" i="59" s="1"/>
  <c r="AV872" i="59"/>
  <c r="AU872" i="59"/>
  <c r="J872" i="59" s="1"/>
  <c r="AV701" i="59"/>
  <c r="AU701" i="59"/>
  <c r="J701" i="59" s="1"/>
  <c r="AV700" i="59"/>
  <c r="AU700" i="59"/>
  <c r="J700" i="59" s="1"/>
  <c r="AV898" i="59"/>
  <c r="AU898" i="59"/>
  <c r="J898" i="59" s="1"/>
  <c r="AV897" i="59"/>
  <c r="AU897" i="59"/>
  <c r="J897" i="59" s="1"/>
  <c r="AV899" i="59"/>
  <c r="AU899" i="59"/>
  <c r="J899" i="59" s="1"/>
  <c r="AV881" i="59"/>
  <c r="AU881" i="59"/>
  <c r="J881" i="59" s="1"/>
  <c r="AV674" i="59"/>
  <c r="AU674" i="59"/>
  <c r="J674" i="59" s="1"/>
  <c r="AV677" i="59"/>
  <c r="AU677" i="59"/>
  <c r="J677" i="59" s="1"/>
  <c r="AV683" i="59"/>
  <c r="AU683" i="59"/>
  <c r="J683" i="59" s="1"/>
  <c r="AV895" i="59"/>
  <c r="AU895" i="59"/>
  <c r="J895" i="59" s="1"/>
  <c r="AV896" i="59"/>
  <c r="AU896" i="59"/>
  <c r="J896" i="59" s="1"/>
  <c r="AV894" i="59"/>
  <c r="AU894" i="59"/>
  <c r="J894" i="59" s="1"/>
  <c r="AV893" i="59"/>
  <c r="AV664" i="59"/>
  <c r="AU664" i="59"/>
  <c r="J664" i="59" s="1"/>
  <c r="AV662" i="59"/>
  <c r="AU662" i="59"/>
  <c r="J662" i="59" s="1"/>
  <c r="AV663" i="59"/>
  <c r="AU663" i="59"/>
  <c r="J663" i="59" s="1"/>
  <c r="AV671" i="59"/>
  <c r="AU671" i="59"/>
  <c r="J671" i="59" s="1"/>
  <c r="AV858" i="59"/>
  <c r="AU858" i="59"/>
  <c r="J858" i="59" s="1"/>
  <c r="AV857" i="59"/>
  <c r="AU857" i="59"/>
  <c r="J857" i="59" s="1"/>
  <c r="AV850" i="59"/>
  <c r="AU850" i="59"/>
  <c r="J850" i="59" s="1"/>
  <c r="AV856" i="59"/>
  <c r="AU856" i="59"/>
  <c r="J856" i="59" s="1"/>
  <c r="AU599" i="59"/>
  <c r="J599" i="59" s="1"/>
  <c r="AV598" i="59"/>
  <c r="AU598" i="59"/>
  <c r="AV312" i="59"/>
  <c r="AU312" i="59"/>
  <c r="J312" i="59" s="1"/>
  <c r="AV852" i="59"/>
  <c r="AU852" i="59"/>
  <c r="J852" i="59" s="1"/>
  <c r="AV642" i="59"/>
  <c r="AU642" i="59"/>
  <c r="AV611" i="59"/>
  <c r="AU611" i="59"/>
  <c r="AV636" i="59"/>
  <c r="AU636" i="59"/>
  <c r="AV689" i="59"/>
  <c r="AU689" i="59"/>
  <c r="J689" i="59" s="1"/>
  <c r="AV940" i="59"/>
  <c r="AU940" i="59"/>
  <c r="J940" i="59" s="1"/>
  <c r="AW202" i="59"/>
  <c r="AV202" i="59"/>
  <c r="AU202" i="59"/>
  <c r="J202" i="59" s="1"/>
  <c r="AV851" i="59"/>
  <c r="AU851" i="59"/>
  <c r="J851" i="59" s="1"/>
  <c r="AV600" i="59"/>
  <c r="AU600" i="59"/>
  <c r="J600" i="59" s="1"/>
  <c r="AV628" i="59"/>
  <c r="AU628" i="59"/>
  <c r="J628" i="59" s="1"/>
  <c r="AV601" i="59"/>
  <c r="AU601" i="59"/>
  <c r="J601" i="59" s="1"/>
  <c r="AV604" i="59"/>
  <c r="AU604" i="59"/>
  <c r="J604" i="59" s="1"/>
  <c r="AV605" i="59"/>
  <c r="AU605" i="59"/>
  <c r="AV645" i="59"/>
  <c r="AU645" i="59"/>
  <c r="J645" i="59" s="1"/>
  <c r="AV609" i="59"/>
  <c r="AU609" i="59"/>
  <c r="J609" i="59" s="1"/>
  <c r="AV596" i="59"/>
  <c r="AU596" i="59"/>
  <c r="J596" i="59" s="1"/>
  <c r="AV608" i="59"/>
  <c r="AV595" i="59"/>
  <c r="AU595" i="59"/>
  <c r="J595" i="59" s="1"/>
  <c r="AV594" i="59"/>
  <c r="AU594" i="59"/>
  <c r="J594" i="59" s="1"/>
  <c r="AV593" i="59"/>
  <c r="AU593" i="59"/>
  <c r="J593" i="59" s="1"/>
  <c r="AV592" i="59"/>
  <c r="AU592" i="59"/>
  <c r="J592" i="59" s="1"/>
  <c r="AV591" i="59"/>
  <c r="AU591" i="59"/>
  <c r="J591" i="59" s="1"/>
  <c r="AV590" i="59"/>
  <c r="AU590" i="59"/>
  <c r="J590" i="59" s="1"/>
  <c r="AV588" i="59"/>
  <c r="AU588" i="59"/>
  <c r="J588" i="59" s="1"/>
  <c r="AV587" i="59"/>
  <c r="AU587" i="59"/>
  <c r="J587" i="59" s="1"/>
  <c r="AV586" i="59"/>
  <c r="AU586" i="59"/>
  <c r="J586" i="59" s="1"/>
  <c r="AV585" i="59"/>
  <c r="AU585" i="59"/>
  <c r="J585" i="59" s="1"/>
  <c r="AV589" i="59"/>
  <c r="AU589" i="59"/>
  <c r="J589" i="59" s="1"/>
  <c r="AV581" i="59"/>
  <c r="AU581" i="59"/>
  <c r="J581" i="59" s="1"/>
  <c r="AV566" i="59"/>
  <c r="AU566" i="59"/>
  <c r="J566" i="59" s="1"/>
  <c r="AV577" i="59"/>
  <c r="AU577" i="59"/>
  <c r="J577" i="59" s="1"/>
  <c r="AV549" i="59"/>
  <c r="AU549" i="59"/>
  <c r="J549" i="59" s="1"/>
  <c r="AV571" i="59"/>
  <c r="AU571" i="59"/>
  <c r="J571" i="59" s="1"/>
  <c r="AV558" i="59"/>
  <c r="AU558" i="59"/>
  <c r="J558" i="59" s="1"/>
  <c r="AV562" i="59"/>
  <c r="AU562" i="59"/>
  <c r="J562" i="59" s="1"/>
  <c r="AV570" i="59"/>
  <c r="AU570" i="59"/>
  <c r="J570" i="59" s="1"/>
  <c r="AV582" i="59"/>
  <c r="AU582" i="59"/>
  <c r="J582" i="59" s="1"/>
  <c r="AV573" i="59"/>
  <c r="AU573" i="59"/>
  <c r="J573" i="59" s="1"/>
  <c r="AW235" i="59"/>
  <c r="AV235" i="59"/>
  <c r="AU235" i="59"/>
  <c r="J235" i="59" s="1"/>
  <c r="AV227" i="59"/>
  <c r="AW227" i="59"/>
  <c r="AU227" i="59"/>
  <c r="J227" i="59" s="1"/>
  <c r="AV554" i="59"/>
  <c r="AU554" i="59"/>
  <c r="J554" i="59" s="1"/>
  <c r="AV574" i="59"/>
  <c r="AU574" i="59"/>
  <c r="J574" i="59" s="1"/>
  <c r="AV576" i="59"/>
  <c r="AU576" i="59"/>
  <c r="J576" i="59" s="1"/>
  <c r="AV546" i="59"/>
  <c r="AU546" i="59"/>
  <c r="J546" i="59" s="1"/>
  <c r="AV569" i="59"/>
  <c r="AU569" i="59"/>
  <c r="J569" i="59" s="1"/>
  <c r="AV568" i="59"/>
  <c r="AU568" i="59"/>
  <c r="J568" i="59" s="1"/>
  <c r="AV567" i="59"/>
  <c r="AU567" i="59"/>
  <c r="J567" i="59" s="1"/>
  <c r="AV550" i="59"/>
  <c r="AU550" i="59"/>
  <c r="J550" i="59" s="1"/>
  <c r="AV565" i="59"/>
  <c r="AU565" i="59"/>
  <c r="J565" i="59" s="1"/>
  <c r="AV564" i="59"/>
  <c r="AU564" i="59"/>
  <c r="J564" i="59" s="1"/>
  <c r="AV563" i="59"/>
  <c r="AU563" i="59"/>
  <c r="J563" i="59" s="1"/>
  <c r="AV561" i="59"/>
  <c r="AU561" i="59"/>
  <c r="J561" i="59" s="1"/>
  <c r="AV560" i="59"/>
  <c r="AU560" i="59"/>
  <c r="J560" i="59" s="1"/>
  <c r="AV559" i="59"/>
  <c r="AU559" i="59"/>
  <c r="J559" i="59" s="1"/>
  <c r="AV543" i="59"/>
  <c r="AU543" i="59"/>
  <c r="J543" i="59" s="1"/>
  <c r="AV557" i="59"/>
  <c r="AU557" i="59"/>
  <c r="J557" i="59" s="1"/>
  <c r="AV548" i="59"/>
  <c r="AU548" i="59"/>
  <c r="J548" i="59" s="1"/>
  <c r="AV544" i="59"/>
  <c r="AU544" i="59"/>
  <c r="J544" i="59" s="1"/>
  <c r="AV556" i="59"/>
  <c r="AU556" i="59"/>
  <c r="J556" i="59" s="1"/>
  <c r="AV555" i="59"/>
  <c r="AU555" i="59"/>
  <c r="J555" i="59" s="1"/>
  <c r="AV547" i="59"/>
  <c r="AU547" i="59"/>
  <c r="J547" i="59" s="1"/>
  <c r="AV572" i="59"/>
  <c r="AU572" i="59"/>
  <c r="J572" i="59" s="1"/>
  <c r="AV553" i="59"/>
  <c r="AU553" i="59"/>
  <c r="J553" i="59" s="1"/>
  <c r="AV552" i="59"/>
  <c r="AU552" i="59"/>
  <c r="J552" i="59" s="1"/>
  <c r="AV583" i="59"/>
  <c r="AU583" i="59"/>
  <c r="J583" i="59" s="1"/>
  <c r="AV579" i="59"/>
  <c r="AU579" i="59"/>
  <c r="J579" i="59" s="1"/>
  <c r="AV578" i="59"/>
  <c r="AU578" i="59"/>
  <c r="J578" i="59" s="1"/>
  <c r="AV551" i="59"/>
  <c r="AU551" i="59"/>
  <c r="J551" i="59" s="1"/>
  <c r="AV545" i="59"/>
  <c r="AU545" i="59"/>
  <c r="J545" i="59" s="1"/>
  <c r="AV580" i="59"/>
  <c r="AU580" i="59"/>
  <c r="J580" i="59" s="1"/>
  <c r="AW28" i="59"/>
  <c r="AV28" i="59"/>
  <c r="AU28" i="59"/>
  <c r="J28" i="59" s="1"/>
  <c r="AW71" i="59"/>
  <c r="AV71" i="59"/>
  <c r="AU71" i="59"/>
  <c r="J71" i="59" s="1"/>
  <c r="AW66" i="59"/>
  <c r="AV66" i="59"/>
  <c r="AU66" i="59"/>
  <c r="J66" i="59" s="1"/>
  <c r="AW73" i="59"/>
  <c r="AV73" i="59"/>
  <c r="AU73" i="59"/>
  <c r="J73" i="59" s="1"/>
  <c r="AW62" i="59"/>
  <c r="AV62" i="59"/>
  <c r="AU62" i="59"/>
  <c r="J62" i="59" s="1"/>
  <c r="AW76" i="59"/>
  <c r="AV76" i="59"/>
  <c r="AU76" i="59"/>
  <c r="J76" i="59" s="1"/>
  <c r="AW204" i="59"/>
  <c r="AV204" i="59"/>
  <c r="AU204" i="59"/>
  <c r="J204" i="59" s="1"/>
  <c r="AV927" i="59"/>
  <c r="AU927" i="59"/>
  <c r="J927" i="59" s="1"/>
  <c r="AW55" i="59"/>
  <c r="AV55" i="59"/>
  <c r="AU55" i="59"/>
  <c r="J55" i="59" s="1"/>
  <c r="AW54" i="59"/>
  <c r="AV54" i="59"/>
  <c r="AU54" i="59"/>
  <c r="J54" i="59" s="1"/>
  <c r="AW72" i="59"/>
  <c r="AV72" i="59"/>
  <c r="AU72" i="59"/>
  <c r="J72" i="59" s="1"/>
  <c r="AW47" i="59"/>
  <c r="AV47" i="59"/>
  <c r="AU47" i="59"/>
  <c r="J47" i="59" s="1"/>
  <c r="AW43" i="59"/>
  <c r="AV43" i="59"/>
  <c r="AU43" i="59"/>
  <c r="J43" i="59" s="1"/>
  <c r="AW51" i="59"/>
  <c r="AV51" i="59"/>
  <c r="AU51" i="59"/>
  <c r="J51" i="59" s="1"/>
  <c r="AW79" i="59"/>
  <c r="AV79" i="59"/>
  <c r="AU79" i="59"/>
  <c r="J79" i="59" s="1"/>
  <c r="AW49" i="59"/>
  <c r="AV49" i="59"/>
  <c r="AU49" i="59"/>
  <c r="J49" i="59" s="1"/>
  <c r="AW42" i="59"/>
  <c r="AV42" i="59"/>
  <c r="AU42" i="59"/>
  <c r="J42" i="59" s="1"/>
  <c r="AW63" i="59"/>
  <c r="AV63" i="59"/>
  <c r="AU63" i="59"/>
  <c r="J63" i="59" s="1"/>
  <c r="AW77" i="59"/>
  <c r="AV77" i="59"/>
  <c r="AU77" i="59"/>
  <c r="J77" i="59" s="1"/>
  <c r="AW70" i="59"/>
  <c r="AV70" i="59"/>
  <c r="AU70" i="59"/>
  <c r="J70" i="59" s="1"/>
  <c r="AW56" i="59"/>
  <c r="AV56" i="59"/>
  <c r="AU56" i="59"/>
  <c r="J56" i="59" s="1"/>
  <c r="AW65" i="59"/>
  <c r="AV65" i="59"/>
  <c r="AU65" i="59"/>
  <c r="J65" i="59" s="1"/>
  <c r="AW45" i="59"/>
  <c r="AV45" i="59"/>
  <c r="AU45" i="59"/>
  <c r="J45" i="59" s="1"/>
  <c r="AW78" i="59"/>
  <c r="AV78" i="59"/>
  <c r="AU78" i="59"/>
  <c r="J78" i="59" s="1"/>
  <c r="AW83" i="59"/>
  <c r="AV83" i="59"/>
  <c r="AU83" i="59"/>
  <c r="J83" i="59" s="1"/>
  <c r="AV82" i="59"/>
  <c r="AW82" i="59"/>
  <c r="AU82" i="59"/>
  <c r="J82" i="59" s="1"/>
  <c r="AW80" i="59"/>
  <c r="AV80" i="59"/>
  <c r="AU80" i="59"/>
  <c r="J80" i="59" s="1"/>
  <c r="AW57" i="59"/>
  <c r="AV57" i="59"/>
  <c r="AU57" i="59"/>
  <c r="J57" i="59" s="1"/>
  <c r="AW48" i="59"/>
  <c r="AV48" i="59"/>
  <c r="AU48" i="59"/>
  <c r="J48" i="59" s="1"/>
  <c r="AW67" i="59"/>
  <c r="AV67" i="59"/>
  <c r="AU67" i="59"/>
  <c r="J67" i="59" s="1"/>
  <c r="AW69" i="59"/>
  <c r="AV69" i="59"/>
  <c r="AU69" i="59"/>
  <c r="J69" i="59" s="1"/>
  <c r="AW44" i="59"/>
  <c r="AV44" i="59"/>
  <c r="AU44" i="59"/>
  <c r="J44" i="59" s="1"/>
  <c r="AW53" i="59"/>
  <c r="AV53" i="59"/>
  <c r="AU53" i="59"/>
  <c r="J53" i="59" s="1"/>
  <c r="AW52" i="59"/>
  <c r="AV52" i="59"/>
  <c r="AW275" i="59"/>
  <c r="AV275" i="59"/>
  <c r="AW64" i="59"/>
  <c r="AV64" i="59"/>
  <c r="AU64" i="59"/>
  <c r="J64" i="59" s="1"/>
  <c r="AW60" i="59"/>
  <c r="AV60" i="59"/>
  <c r="AW68" i="59"/>
  <c r="AV68" i="59"/>
  <c r="AU68" i="59"/>
  <c r="J68" i="59" s="1"/>
  <c r="AV682" i="59"/>
  <c r="AU682" i="59"/>
  <c r="J682" i="59" s="1"/>
  <c r="AV521" i="59"/>
  <c r="AU521" i="59"/>
  <c r="J521" i="59" s="1"/>
  <c r="AV522" i="59"/>
  <c r="AU522" i="59"/>
  <c r="J522" i="59" s="1"/>
  <c r="AV523" i="59"/>
  <c r="AU523" i="59"/>
  <c r="J523" i="59" s="1"/>
  <c r="AV696" i="59"/>
  <c r="AU696" i="59"/>
  <c r="J696" i="59" s="1"/>
  <c r="AV413" i="59"/>
  <c r="AU413" i="59"/>
  <c r="J413" i="59" s="1"/>
  <c r="AV518" i="59"/>
  <c r="AU518" i="59"/>
  <c r="J518" i="59" s="1"/>
  <c r="AV517" i="59"/>
  <c r="AU517" i="59"/>
  <c r="J517" i="59" s="1"/>
  <c r="AV378" i="59"/>
  <c r="AU378" i="59"/>
  <c r="J378" i="59" s="1"/>
  <c r="AV379" i="59"/>
  <c r="AU379" i="59"/>
  <c r="J379" i="59" s="1"/>
  <c r="AW258" i="59"/>
  <c r="AV258" i="59"/>
  <c r="AU258" i="59"/>
  <c r="J258" i="59" s="1"/>
  <c r="AV502" i="59"/>
  <c r="AV506" i="59"/>
  <c r="AU506" i="59"/>
  <c r="J506" i="59" s="1"/>
  <c r="AV385" i="59"/>
  <c r="AU385" i="59"/>
  <c r="J385" i="59" s="1"/>
  <c r="AV362" i="59"/>
  <c r="AU362" i="59"/>
  <c r="J362" i="59" s="1"/>
  <c r="AV347" i="59"/>
  <c r="AU347" i="59"/>
  <c r="J347" i="59" s="1"/>
  <c r="AV499" i="59"/>
  <c r="AU499" i="59"/>
  <c r="J499" i="59" s="1"/>
  <c r="AV350" i="59"/>
  <c r="AU350" i="59"/>
  <c r="J350" i="59" s="1"/>
  <c r="AV364" i="59"/>
  <c r="AU364" i="59"/>
  <c r="J364" i="59" s="1"/>
  <c r="AV436" i="59"/>
  <c r="AU436" i="59"/>
  <c r="J436" i="59" s="1"/>
  <c r="AV437" i="59"/>
  <c r="AU437" i="59"/>
  <c r="J437" i="59" s="1"/>
  <c r="AV359" i="59"/>
  <c r="AU359" i="59"/>
  <c r="J359" i="59" s="1"/>
  <c r="AV351" i="59"/>
  <c r="AU351" i="59"/>
  <c r="J351" i="59" s="1"/>
  <c r="AV363" i="59"/>
  <c r="AU363" i="59"/>
  <c r="J363" i="59" s="1"/>
  <c r="AV340" i="59"/>
  <c r="AU340" i="59"/>
  <c r="J340" i="59" s="1"/>
  <c r="AV346" i="59"/>
  <c r="AU346" i="59"/>
  <c r="J346" i="59" s="1"/>
  <c r="AV345" i="59"/>
  <c r="AU345" i="59"/>
  <c r="J345" i="59" s="1"/>
  <c r="AV348" i="59"/>
  <c r="AU348" i="59"/>
  <c r="J348" i="59" s="1"/>
  <c r="AV352" i="59"/>
  <c r="AU352" i="59"/>
  <c r="J352" i="59" s="1"/>
  <c r="AV360" i="59"/>
  <c r="AU360" i="59"/>
  <c r="J360" i="59" s="1"/>
  <c r="AV355" i="59"/>
  <c r="AU355" i="59"/>
  <c r="J355" i="59" s="1"/>
  <c r="AV349" i="59"/>
  <c r="AU349" i="59"/>
  <c r="J349" i="59" s="1"/>
  <c r="AV354" i="59"/>
  <c r="AU354" i="59"/>
  <c r="J354" i="59" s="1"/>
  <c r="AW249" i="59"/>
  <c r="AV249" i="59"/>
  <c r="AU249" i="59"/>
  <c r="J249" i="59" s="1"/>
  <c r="AV366" i="59"/>
  <c r="AU366" i="59"/>
  <c r="J366" i="59" s="1"/>
  <c r="AV357" i="59"/>
  <c r="AU357" i="59"/>
  <c r="J357" i="59" s="1"/>
  <c r="AV343" i="59"/>
  <c r="AU343" i="59"/>
  <c r="J343" i="59" s="1"/>
  <c r="AV342" i="59"/>
  <c r="AU342" i="59"/>
  <c r="J342" i="59" s="1"/>
  <c r="AW223" i="59"/>
  <c r="AV223" i="59"/>
  <c r="AU223" i="59"/>
  <c r="J223" i="59" s="1"/>
  <c r="AV335" i="59"/>
  <c r="AU335" i="59"/>
  <c r="J335" i="59" s="1"/>
  <c r="AV337" i="59"/>
  <c r="AU337" i="59"/>
  <c r="AV334" i="59"/>
  <c r="AU334" i="59"/>
  <c r="J334" i="59" s="1"/>
  <c r="AV336" i="59"/>
  <c r="AU336" i="59"/>
  <c r="AW194" i="59"/>
  <c r="AV194" i="59"/>
  <c r="AU194" i="59"/>
  <c r="J194" i="59" s="1"/>
  <c r="AW195" i="59"/>
  <c r="AV195" i="59"/>
  <c r="AU195" i="59"/>
  <c r="J195" i="59" s="1"/>
  <c r="AW36" i="59"/>
  <c r="AV36" i="59"/>
  <c r="AU36" i="59"/>
  <c r="J36" i="59" s="1"/>
  <c r="AV412" i="59"/>
  <c r="AU412" i="59"/>
  <c r="J412" i="59" s="1"/>
  <c r="AV687" i="59"/>
  <c r="AU687" i="59"/>
  <c r="J687" i="59" s="1"/>
  <c r="AV411" i="59"/>
  <c r="AU411" i="59"/>
  <c r="J411" i="59" s="1"/>
  <c r="AV410" i="59"/>
  <c r="AU410" i="59"/>
  <c r="J410" i="59" s="1"/>
  <c r="AV399" i="59"/>
  <c r="AU399" i="59"/>
  <c r="J399" i="59" s="1"/>
  <c r="AV401" i="59"/>
  <c r="AU401" i="59"/>
  <c r="J401" i="59" s="1"/>
  <c r="AV395" i="59"/>
  <c r="AU395" i="59"/>
  <c r="J395" i="59" s="1"/>
  <c r="AV409" i="59"/>
  <c r="AU409" i="59"/>
  <c r="J409" i="59" s="1"/>
  <c r="AV400" i="59"/>
  <c r="AU400" i="59"/>
  <c r="J400" i="59" s="1"/>
  <c r="AV397" i="59"/>
  <c r="AU397" i="59"/>
  <c r="J397" i="59" s="1"/>
  <c r="AV405" i="59"/>
  <c r="AU405" i="59"/>
  <c r="J405" i="59" s="1"/>
  <c r="AV398" i="59"/>
  <c r="AU398" i="59"/>
  <c r="J398" i="59" s="1"/>
  <c r="AV404" i="59"/>
  <c r="AU404" i="59"/>
  <c r="J404" i="59" s="1"/>
  <c r="AV408" i="59"/>
  <c r="AU408" i="59"/>
  <c r="J408" i="59" s="1"/>
  <c r="AV407" i="59"/>
  <c r="AU407" i="59"/>
  <c r="J407" i="59" s="1"/>
  <c r="AV396" i="59"/>
  <c r="AU396" i="59"/>
  <c r="J396" i="59" s="1"/>
  <c r="AV329" i="59"/>
  <c r="AU329" i="59"/>
  <c r="J329" i="59" s="1"/>
  <c r="AW214" i="59"/>
  <c r="AV214" i="59"/>
  <c r="AU214" i="59"/>
  <c r="J214" i="59" s="1"/>
  <c r="AW25" i="59"/>
  <c r="AV25" i="59"/>
  <c r="AU25" i="59"/>
  <c r="AW21" i="59"/>
  <c r="AV21" i="59"/>
  <c r="AU21" i="59"/>
  <c r="AW24" i="59"/>
  <c r="AV24" i="59"/>
  <c r="AU24" i="59"/>
  <c r="AW193" i="59"/>
  <c r="AV193" i="59"/>
  <c r="AU193" i="59"/>
  <c r="J193" i="59" s="1"/>
  <c r="AW203" i="59"/>
  <c r="AV203" i="59"/>
  <c r="AU203" i="59"/>
  <c r="J203" i="59" s="1"/>
  <c r="AW186" i="59"/>
  <c r="AV186" i="59"/>
  <c r="AU186" i="59"/>
  <c r="J186" i="59" s="1"/>
  <c r="AW183" i="59"/>
  <c r="AV183" i="59"/>
  <c r="AU183" i="59"/>
  <c r="J183" i="59" s="1"/>
  <c r="AW187" i="59"/>
  <c r="AV187" i="59"/>
  <c r="AU187" i="59"/>
  <c r="J187" i="59" s="1"/>
  <c r="AV661" i="59"/>
  <c r="AU661" i="59"/>
  <c r="J661" i="59" s="1"/>
  <c r="AW189" i="59"/>
  <c r="AV189" i="59"/>
  <c r="AU189" i="59"/>
  <c r="J189" i="59" s="1"/>
  <c r="AW188" i="59"/>
  <c r="AV188" i="59"/>
  <c r="AU188" i="59"/>
  <c r="J188" i="59" s="1"/>
  <c r="AW181" i="59"/>
  <c r="AV181" i="59"/>
  <c r="AU181" i="59"/>
  <c r="J181" i="59" s="1"/>
  <c r="AW184" i="59"/>
  <c r="AV184" i="59"/>
  <c r="AU184" i="59"/>
  <c r="J184" i="59" s="1"/>
  <c r="AW185" i="59"/>
  <c r="AV185" i="59"/>
  <c r="AU185" i="59"/>
  <c r="J185" i="59" s="1"/>
  <c r="AW199" i="59"/>
  <c r="AV199" i="59"/>
  <c r="AU199" i="59"/>
  <c r="J199" i="59" s="1"/>
  <c r="AW200" i="59"/>
  <c r="AV200" i="59"/>
  <c r="AU200" i="59"/>
  <c r="J200" i="59" s="1"/>
  <c r="AW180" i="59"/>
  <c r="AV180" i="59"/>
  <c r="AU180" i="59"/>
  <c r="J180" i="59" s="1"/>
  <c r="AW208" i="59"/>
  <c r="AV208" i="59"/>
  <c r="AU208" i="59"/>
  <c r="J208" i="59" s="1"/>
  <c r="AW177" i="59"/>
  <c r="AV177" i="59"/>
  <c r="AU177" i="59"/>
  <c r="J177" i="59" s="1"/>
  <c r="AW176" i="59"/>
  <c r="AV176" i="59"/>
  <c r="AU176" i="59"/>
  <c r="J176" i="59" s="1"/>
  <c r="AW205" i="59"/>
  <c r="AV205" i="59"/>
  <c r="AU205" i="59"/>
  <c r="J205" i="59" s="1"/>
  <c r="AW182" i="59"/>
  <c r="AV182" i="59"/>
  <c r="AU182" i="59"/>
  <c r="J182" i="59" s="1"/>
  <c r="AW179" i="59"/>
  <c r="AV179" i="59"/>
  <c r="AU179" i="59"/>
  <c r="J179" i="59" s="1"/>
  <c r="AW207" i="59"/>
  <c r="AV207" i="59"/>
  <c r="AU207" i="59"/>
  <c r="J207" i="59" s="1"/>
  <c r="AW213" i="59"/>
  <c r="AV213" i="59"/>
  <c r="AU213" i="59"/>
  <c r="J213" i="59" s="1"/>
  <c r="AW212" i="59"/>
  <c r="AV212" i="59"/>
  <c r="AU212" i="59"/>
  <c r="J212" i="59" s="1"/>
  <c r="AW178" i="59"/>
  <c r="AV178" i="59"/>
  <c r="AU178" i="59"/>
  <c r="J178" i="59" s="1"/>
  <c r="AW255" i="59"/>
  <c r="AV255" i="59"/>
  <c r="AU255" i="59"/>
  <c r="J255" i="59" s="1"/>
  <c r="AW254" i="59"/>
  <c r="AV254" i="59"/>
  <c r="AU254" i="59"/>
  <c r="AW253" i="59"/>
  <c r="AV253" i="59"/>
  <c r="AU253" i="59"/>
  <c r="AW102" i="59"/>
  <c r="AV102" i="59"/>
  <c r="AU102" i="59"/>
  <c r="J102" i="59" s="1"/>
  <c r="AW101" i="59"/>
  <c r="AV101" i="59"/>
  <c r="AU101" i="59"/>
  <c r="J101" i="59" s="1"/>
  <c r="AV465" i="59"/>
  <c r="AU465" i="59"/>
  <c r="J465" i="59" s="1"/>
  <c r="AW241" i="59"/>
  <c r="AV241" i="59"/>
  <c r="AU241" i="59"/>
  <c r="J241" i="59" s="1"/>
  <c r="AW239" i="59"/>
  <c r="AV239" i="59"/>
  <c r="AU239" i="59"/>
  <c r="J239" i="59" s="1"/>
  <c r="AW218" i="59"/>
  <c r="AV218" i="59"/>
  <c r="AU218" i="59"/>
  <c r="J218" i="59" s="1"/>
  <c r="AW18" i="59"/>
  <c r="AV18" i="59"/>
  <c r="AU18" i="59"/>
  <c r="AW256" i="59"/>
  <c r="AV256" i="59"/>
  <c r="AU256" i="59"/>
  <c r="AV935" i="59"/>
  <c r="AU935" i="59"/>
  <c r="J935" i="59" s="1"/>
  <c r="AW260" i="59"/>
  <c r="AV260" i="59"/>
  <c r="AU260" i="59"/>
  <c r="J260" i="59" s="1"/>
  <c r="AW259" i="59"/>
  <c r="AV259" i="59"/>
  <c r="AU259" i="59"/>
  <c r="J259" i="59" s="1"/>
  <c r="AW257" i="59"/>
  <c r="AV257" i="59"/>
  <c r="AW225" i="59"/>
  <c r="AV225" i="59"/>
  <c r="AU225" i="59"/>
  <c r="J225" i="59" s="1"/>
  <c r="AW234" i="59"/>
  <c r="AV234" i="59"/>
  <c r="AU234" i="59"/>
  <c r="J234" i="59" s="1"/>
  <c r="AV447" i="59"/>
  <c r="AU447" i="59"/>
  <c r="J447" i="59" s="1"/>
  <c r="AV356" i="59"/>
  <c r="AU356" i="59"/>
  <c r="J356" i="59" s="1"/>
  <c r="AW226" i="59"/>
  <c r="AV226" i="59"/>
  <c r="AU226" i="59"/>
  <c r="J226" i="59" s="1"/>
  <c r="AV455" i="59"/>
  <c r="AU455" i="59"/>
  <c r="J455" i="59" s="1"/>
  <c r="AW229" i="59"/>
  <c r="AV229" i="59"/>
  <c r="AU229" i="59"/>
  <c r="J229" i="59" s="1"/>
  <c r="AW231" i="59"/>
  <c r="AV231" i="59"/>
  <c r="AU231" i="59"/>
  <c r="J231" i="59" s="1"/>
  <c r="AV697" i="59"/>
  <c r="AU697" i="59"/>
  <c r="J697" i="59" s="1"/>
  <c r="AW215" i="59"/>
  <c r="AV215" i="59"/>
  <c r="AU215" i="59"/>
  <c r="J215" i="59" s="1"/>
  <c r="AW216" i="59"/>
  <c r="AV216" i="59"/>
  <c r="AU216" i="59"/>
  <c r="J216" i="59" s="1"/>
  <c r="AW222" i="59"/>
  <c r="AV222" i="59"/>
  <c r="AU222" i="59"/>
  <c r="J222" i="59" s="1"/>
  <c r="AV468" i="59"/>
  <c r="AV476" i="59"/>
  <c r="AU476" i="59"/>
  <c r="J476" i="59" s="1"/>
  <c r="AV466" i="59"/>
  <c r="AU466" i="59"/>
  <c r="J466" i="59" s="1"/>
  <c r="AW250" i="59"/>
  <c r="AV250" i="59"/>
  <c r="AU250" i="59"/>
  <c r="J250" i="59" s="1"/>
  <c r="AW238" i="59"/>
  <c r="AV238" i="59"/>
  <c r="AU238" i="59"/>
  <c r="J238" i="59" s="1"/>
  <c r="AV508" i="59"/>
  <c r="AU508" i="59"/>
  <c r="J508" i="59" s="1"/>
  <c r="AW243" i="59"/>
  <c r="AV243" i="59"/>
  <c r="AU243" i="59"/>
  <c r="J243" i="59" s="1"/>
  <c r="AV435" i="59"/>
  <c r="AU435" i="59"/>
  <c r="J435" i="59" s="1"/>
  <c r="AV458" i="59"/>
  <c r="AU458" i="59"/>
  <c r="J458" i="59" s="1"/>
  <c r="AV460" i="59"/>
  <c r="AU460" i="59"/>
  <c r="J460" i="59" s="1"/>
  <c r="AV464" i="59"/>
  <c r="AU464" i="59"/>
  <c r="J464" i="59" s="1"/>
  <c r="AW237" i="59"/>
  <c r="AV237" i="59"/>
  <c r="AU237" i="59"/>
  <c r="J237" i="59" s="1"/>
  <c r="AW236" i="59"/>
  <c r="AV236" i="59"/>
  <c r="AU236" i="59"/>
  <c r="J236" i="59" s="1"/>
  <c r="AW133" i="59"/>
  <c r="AV133" i="59"/>
  <c r="AU133" i="59"/>
  <c r="J133" i="59" s="1"/>
  <c r="BI133" i="59" s="1"/>
  <c r="AW248" i="59"/>
  <c r="AV248" i="59"/>
  <c r="AU248" i="59"/>
  <c r="J248" i="59" s="1"/>
  <c r="AW242" i="59"/>
  <c r="AV242" i="59"/>
  <c r="AU242" i="59"/>
  <c r="J242" i="59" s="1"/>
  <c r="AV431" i="59"/>
  <c r="AU431" i="59"/>
  <c r="J431" i="59" s="1"/>
  <c r="AV430" i="59"/>
  <c r="AU430" i="59"/>
  <c r="J430" i="59" s="1"/>
  <c r="AV944" i="59"/>
  <c r="AU944" i="59"/>
  <c r="J944" i="59" s="1"/>
  <c r="AV942" i="59"/>
  <c r="AU942" i="59"/>
  <c r="J942" i="59" s="1"/>
  <c r="AV941" i="59"/>
  <c r="AU941" i="59"/>
  <c r="J941" i="59" s="1"/>
  <c r="AV943" i="59"/>
  <c r="AU943" i="59"/>
  <c r="J943" i="59" s="1"/>
  <c r="AV331" i="59"/>
  <c r="AU331" i="59"/>
  <c r="J331" i="59" s="1"/>
  <c r="AW134" i="59"/>
  <c r="AV134" i="59"/>
  <c r="AU134" i="59"/>
  <c r="J134" i="59" s="1"/>
  <c r="AW130" i="59"/>
  <c r="AV130" i="59"/>
  <c r="AU130" i="59"/>
  <c r="J130" i="59" s="1"/>
  <c r="AW154" i="59"/>
  <c r="AV154" i="59"/>
  <c r="AU154" i="59"/>
  <c r="J154" i="59" s="1"/>
  <c r="AW153" i="59"/>
  <c r="AV153" i="59"/>
  <c r="AU153" i="59"/>
  <c r="J153" i="59" s="1"/>
  <c r="AW152" i="59"/>
  <c r="AV152" i="59"/>
  <c r="AU152" i="59"/>
  <c r="J152" i="59" s="1"/>
  <c r="AW151" i="59"/>
  <c r="AV151" i="59"/>
  <c r="AU151" i="59"/>
  <c r="J151" i="59" s="1"/>
  <c r="AW131" i="59"/>
  <c r="AV131" i="59"/>
  <c r="AU131" i="59"/>
  <c r="J131" i="59" s="1"/>
  <c r="AW150" i="59"/>
  <c r="AV150" i="59"/>
  <c r="AU150" i="59"/>
  <c r="J150" i="59" s="1"/>
  <c r="AW148" i="59"/>
  <c r="AV148" i="59"/>
  <c r="AU148" i="59"/>
  <c r="J148" i="59" s="1"/>
  <c r="AW147" i="59"/>
  <c r="AV147" i="59"/>
  <c r="AU147" i="59"/>
  <c r="J147" i="59" s="1"/>
  <c r="AW146" i="59"/>
  <c r="AV146" i="59"/>
  <c r="AU146" i="59"/>
  <c r="J146" i="59" s="1"/>
  <c r="AW145" i="59"/>
  <c r="AV145" i="59"/>
  <c r="AU145" i="59"/>
  <c r="J145" i="59" s="1"/>
  <c r="AW144" i="59"/>
  <c r="AV144" i="59"/>
  <c r="AU144" i="59"/>
  <c r="J144" i="59" s="1"/>
  <c r="AW143" i="59"/>
  <c r="AV143" i="59"/>
  <c r="AU143" i="59"/>
  <c r="J143" i="59" s="1"/>
  <c r="AW149" i="59"/>
  <c r="AV149" i="59"/>
  <c r="AU149" i="59"/>
  <c r="J149" i="59" s="1"/>
  <c r="AW96" i="59"/>
  <c r="AV96" i="59"/>
  <c r="AU96" i="59"/>
  <c r="J96" i="59" s="1"/>
  <c r="AW142" i="59"/>
  <c r="AV142" i="59"/>
  <c r="AU142" i="59"/>
  <c r="J142" i="59" s="1"/>
  <c r="AW127" i="59"/>
  <c r="AV127" i="59"/>
  <c r="AU127" i="59"/>
  <c r="J127" i="59" s="1"/>
  <c r="AW141" i="59"/>
  <c r="AV141" i="59"/>
  <c r="AU141" i="59"/>
  <c r="J141" i="59" s="1"/>
  <c r="AW139" i="59"/>
  <c r="AV139" i="59"/>
  <c r="AU139" i="59"/>
  <c r="J139" i="59" s="1"/>
  <c r="AW138" i="59"/>
  <c r="AV138" i="59"/>
  <c r="AU138" i="59"/>
  <c r="J138" i="59" s="1"/>
  <c r="AW137" i="59"/>
  <c r="AV137" i="59"/>
  <c r="AU137" i="59"/>
  <c r="J137" i="59" s="1"/>
  <c r="AV327" i="59"/>
  <c r="AU327" i="59"/>
  <c r="J327" i="59" s="1"/>
  <c r="AV324" i="59"/>
  <c r="AU324" i="59"/>
  <c r="J324" i="59" s="1"/>
  <c r="AV322" i="59"/>
  <c r="AU322" i="59"/>
  <c r="J322" i="59" s="1"/>
  <c r="AV317" i="59"/>
  <c r="AU317" i="59"/>
  <c r="J317" i="59" s="1"/>
  <c r="AV330" i="59"/>
  <c r="AU330" i="59"/>
  <c r="J330" i="59" s="1"/>
  <c r="AV320" i="59"/>
  <c r="AU320" i="59"/>
  <c r="J320" i="59" s="1"/>
  <c r="AV860" i="59"/>
  <c r="AU860" i="59"/>
  <c r="J860" i="59" s="1"/>
  <c r="AW123" i="59"/>
  <c r="AV123" i="59"/>
  <c r="AU123" i="59"/>
  <c r="J123" i="59" s="1"/>
  <c r="AW169" i="59"/>
  <c r="AV169" i="59"/>
  <c r="AU169" i="59"/>
  <c r="J169" i="59" s="1"/>
  <c r="AW112" i="59"/>
  <c r="AV112" i="59"/>
  <c r="AU112" i="59"/>
  <c r="J112" i="59" s="1"/>
  <c r="AW164" i="59"/>
  <c r="AV164" i="59"/>
  <c r="AU164" i="59"/>
  <c r="J164" i="59" s="1"/>
  <c r="AW167" i="59"/>
  <c r="AV167" i="59"/>
  <c r="AU167" i="59"/>
  <c r="J167" i="59" s="1"/>
  <c r="AW132" i="59"/>
  <c r="AV132" i="59"/>
  <c r="AU132" i="59"/>
  <c r="J132" i="59" s="1"/>
  <c r="AW165" i="59"/>
  <c r="AV165" i="59"/>
  <c r="AU165" i="59"/>
  <c r="J165" i="59" s="1"/>
  <c r="AW104" i="59"/>
  <c r="AV104" i="59"/>
  <c r="AU104" i="59"/>
  <c r="J104" i="59" s="1"/>
  <c r="AW103" i="59"/>
  <c r="AV103" i="59"/>
  <c r="AU103" i="59"/>
  <c r="J103" i="59" s="1"/>
  <c r="AW166" i="59"/>
  <c r="AV166" i="59"/>
  <c r="AU166" i="59"/>
  <c r="J166" i="59" s="1"/>
  <c r="AW108" i="59"/>
  <c r="AV108" i="59"/>
  <c r="AU108" i="59"/>
  <c r="J108" i="59" s="1"/>
  <c r="AW97" i="59"/>
  <c r="AV97" i="59"/>
  <c r="AU97" i="59"/>
  <c r="J97" i="59" s="1"/>
  <c r="AW87" i="59"/>
  <c r="AV87" i="59"/>
  <c r="AU87" i="59"/>
  <c r="AW92" i="59"/>
  <c r="AV92" i="59"/>
  <c r="AU92" i="59"/>
  <c r="AV934" i="59"/>
  <c r="AU934" i="59"/>
  <c r="AW99" i="59"/>
  <c r="AV99" i="59"/>
  <c r="AU99" i="59"/>
  <c r="AW98" i="59"/>
  <c r="AV98" i="59"/>
  <c r="AU98" i="59"/>
  <c r="J98" i="59" s="1"/>
  <c r="AW95" i="59"/>
  <c r="AV95" i="59"/>
  <c r="AU95" i="59"/>
  <c r="J95" i="59" s="1"/>
  <c r="AW122" i="59"/>
  <c r="AV122" i="59"/>
  <c r="AU122" i="59"/>
  <c r="J122" i="59" s="1"/>
  <c r="AW93" i="59"/>
  <c r="AV93" i="59"/>
  <c r="AU93" i="59"/>
  <c r="J93" i="59" s="1"/>
  <c r="AW94" i="59"/>
  <c r="AV94" i="59"/>
  <c r="AU94" i="59"/>
  <c r="J94" i="59" s="1"/>
  <c r="AW170" i="59"/>
  <c r="AV170" i="59"/>
  <c r="AU170" i="59"/>
  <c r="J170" i="59" s="1"/>
  <c r="AW125" i="59"/>
  <c r="AV125" i="59"/>
  <c r="AU125" i="59"/>
  <c r="J125" i="59" s="1"/>
  <c r="AW89" i="59"/>
  <c r="AV89" i="59"/>
  <c r="AU89" i="59"/>
  <c r="J89" i="59" s="1"/>
  <c r="AV390" i="59"/>
  <c r="AU390" i="59"/>
  <c r="J390" i="59" s="1"/>
  <c r="AW90" i="59"/>
  <c r="AV90" i="59"/>
  <c r="AU90" i="59"/>
  <c r="J90" i="59" s="1"/>
  <c r="AV389" i="59"/>
  <c r="AU389" i="59"/>
  <c r="J389" i="59" s="1"/>
  <c r="AV387" i="59"/>
  <c r="AU387" i="59"/>
  <c r="J387" i="59" s="1"/>
  <c r="AV388" i="59"/>
  <c r="AU388" i="59"/>
  <c r="J388" i="59" s="1"/>
  <c r="AV386" i="59"/>
  <c r="AU386" i="59"/>
  <c r="J386" i="59" s="1"/>
  <c r="AV383" i="59"/>
  <c r="AU383" i="59"/>
  <c r="J383" i="59" s="1"/>
  <c r="AV380" i="59"/>
  <c r="AU380" i="59"/>
  <c r="J380" i="59" s="1"/>
  <c r="AV381" i="59"/>
  <c r="AU381" i="59"/>
  <c r="J381" i="59" s="1"/>
  <c r="AV382" i="59"/>
  <c r="AU382" i="59"/>
  <c r="J382" i="59" s="1"/>
  <c r="AV316" i="59"/>
  <c r="AU316" i="59"/>
  <c r="J316" i="59" s="1"/>
  <c r="AV318" i="59"/>
  <c r="AU318" i="59"/>
  <c r="J318" i="59" s="1"/>
  <c r="AW156" i="59"/>
  <c r="AV156" i="59"/>
  <c r="AU156" i="59"/>
  <c r="J156" i="59" s="1"/>
  <c r="AW160" i="59"/>
  <c r="AV160" i="59"/>
  <c r="AU160" i="59"/>
  <c r="J160" i="59" s="1"/>
  <c r="AW113" i="59"/>
  <c r="AV113" i="59"/>
  <c r="AU113" i="59"/>
  <c r="J113" i="59" s="1"/>
  <c r="AW161" i="59"/>
  <c r="AV161" i="59"/>
  <c r="AU161" i="59"/>
  <c r="J161" i="59" s="1"/>
  <c r="AW157" i="59"/>
  <c r="AV157" i="59"/>
  <c r="AU157" i="59"/>
  <c r="J157" i="59" s="1"/>
  <c r="AW280" i="59"/>
  <c r="AV280" i="59"/>
  <c r="AU280" i="59"/>
  <c r="J280" i="59" s="1"/>
  <c r="AW279" i="59"/>
  <c r="AV279" i="59"/>
  <c r="AU279" i="59"/>
  <c r="J279" i="59" s="1"/>
  <c r="AV274" i="59"/>
  <c r="AW274" i="59"/>
  <c r="AU274" i="59"/>
  <c r="J274" i="59" s="1"/>
  <c r="AW277" i="59"/>
  <c r="AV277" i="59"/>
  <c r="AU277" i="59"/>
  <c r="J277" i="59" s="1"/>
  <c r="AV910" i="59"/>
  <c r="AU910" i="59"/>
  <c r="J910" i="59" s="1"/>
  <c r="AV304" i="59"/>
  <c r="AU304" i="59"/>
  <c r="J304" i="59" s="1"/>
  <c r="AV497" i="59"/>
  <c r="AU497" i="59"/>
  <c r="J497" i="59" s="1"/>
  <c r="AV495" i="59"/>
  <c r="AU495" i="59"/>
  <c r="J495" i="59" s="1"/>
  <c r="AV306" i="59"/>
  <c r="AU306" i="59"/>
  <c r="J306" i="59" s="1"/>
  <c r="AW276" i="59"/>
  <c r="AV276" i="59"/>
  <c r="AU276" i="59"/>
  <c r="J276" i="59" s="1"/>
  <c r="AV341" i="59"/>
  <c r="AU341" i="59"/>
  <c r="J341" i="59" s="1"/>
  <c r="AU297" i="59"/>
  <c r="J297" i="59" s="1"/>
  <c r="AW269" i="59"/>
  <c r="AV269" i="59"/>
  <c r="AU269" i="59"/>
  <c r="J269" i="59" s="1"/>
  <c r="AV425" i="59"/>
  <c r="AU425" i="59"/>
  <c r="J425" i="59" s="1"/>
  <c r="AV419" i="59"/>
  <c r="AU419" i="59"/>
  <c r="J419" i="59" s="1"/>
  <c r="AV421" i="59"/>
  <c r="AU421" i="59"/>
  <c r="J421" i="59" s="1"/>
  <c r="AV417" i="59"/>
  <c r="AU417" i="59"/>
  <c r="J417" i="59" s="1"/>
  <c r="AW273" i="59"/>
  <c r="AV273" i="59"/>
  <c r="AU273" i="59"/>
  <c r="J273" i="59" s="1"/>
  <c r="AV416" i="59"/>
  <c r="AU416" i="59"/>
  <c r="J416" i="59" s="1"/>
  <c r="AW263" i="59"/>
  <c r="AV263" i="59"/>
  <c r="AU263" i="59"/>
  <c r="J263" i="59" s="1"/>
  <c r="AW272" i="59"/>
  <c r="AV272" i="59"/>
  <c r="AU272" i="59"/>
  <c r="J272" i="59" s="1"/>
  <c r="AW173" i="59"/>
  <c r="AV173" i="59"/>
  <c r="AU173" i="59"/>
  <c r="J173" i="59" s="1"/>
  <c r="AV634" i="59"/>
  <c r="AU634" i="59"/>
  <c r="J634" i="59" s="1"/>
  <c r="AW126" i="59"/>
  <c r="AV126" i="59"/>
  <c r="AU126" i="59"/>
  <c r="J126" i="59" s="1"/>
  <c r="AV928" i="59"/>
  <c r="AU928" i="59"/>
  <c r="J928" i="59" s="1"/>
  <c r="AV929" i="59"/>
  <c r="AU929" i="59"/>
  <c r="J929" i="59" s="1"/>
  <c r="AW100" i="59"/>
  <c r="AV100" i="59"/>
  <c r="AU100" i="59"/>
  <c r="J100" i="59" s="1"/>
  <c r="AV377" i="59"/>
  <c r="AU377" i="59"/>
  <c r="AW31" i="59"/>
  <c r="AV31" i="59"/>
  <c r="AU31" i="59"/>
  <c r="AW17" i="59"/>
  <c r="AV17" i="59"/>
  <c r="AU17" i="59"/>
  <c r="AW15" i="59"/>
  <c r="AV15" i="59"/>
  <c r="AU15" i="59"/>
  <c r="AW34" i="59"/>
  <c r="AV34" i="59"/>
  <c r="AU34" i="59"/>
  <c r="AW14" i="59"/>
  <c r="AV14" i="59"/>
  <c r="AU14" i="59"/>
  <c r="AW10" i="59"/>
  <c r="AV10" i="59"/>
  <c r="AU10" i="59"/>
  <c r="J10" i="59" s="1"/>
  <c r="BI10" i="59" s="1"/>
  <c r="AW12" i="59"/>
  <c r="AV12" i="59"/>
  <c r="AU12" i="59"/>
  <c r="J12" i="59" s="1"/>
  <c r="BI12" i="59" s="1"/>
  <c r="AW11" i="59"/>
  <c r="AV11" i="59"/>
  <c r="AU11" i="59"/>
  <c r="J11" i="59" s="1"/>
  <c r="BI11" i="59" s="1"/>
  <c r="AW9" i="59"/>
  <c r="AV9" i="59"/>
  <c r="AU9" i="59"/>
  <c r="J9" i="59" s="1"/>
  <c r="BI9" i="59" s="1"/>
  <c r="AW8" i="59"/>
  <c r="AV8" i="59"/>
  <c r="AU8" i="59"/>
  <c r="J8" i="59" s="1"/>
  <c r="BI8" i="59" s="1"/>
  <c r="AW7" i="59"/>
  <c r="AV7" i="59"/>
  <c r="AU7" i="59"/>
  <c r="J7" i="59" s="1"/>
  <c r="BI7" i="59" s="1"/>
  <c r="AW105" i="59"/>
  <c r="AV105" i="59"/>
  <c r="AU105" i="59"/>
  <c r="J105" i="59" s="1"/>
  <c r="AW168" i="59"/>
  <c r="AV168" i="59"/>
  <c r="AU168" i="59"/>
  <c r="J168" i="59" s="1"/>
  <c r="AW20" i="59"/>
  <c r="AV20" i="59"/>
  <c r="AU20" i="59"/>
  <c r="AW111" i="59"/>
  <c r="AV111" i="59"/>
  <c r="AU111" i="59"/>
  <c r="J111" i="59" s="1"/>
  <c r="AW22" i="59"/>
  <c r="AV22" i="59"/>
  <c r="AU22" i="59"/>
  <c r="AW116" i="59"/>
  <c r="AV116" i="59"/>
  <c r="AU116" i="59"/>
  <c r="J116" i="59" s="1"/>
  <c r="AW107" i="59"/>
  <c r="AV107" i="59"/>
  <c r="AU107" i="59"/>
  <c r="J107" i="59" s="1"/>
  <c r="AW106" i="59"/>
  <c r="AV106" i="59"/>
  <c r="AU106" i="59"/>
  <c r="J106" i="59" s="1"/>
  <c r="AW115" i="59"/>
  <c r="AV115" i="59"/>
  <c r="AU115" i="59"/>
  <c r="J115" i="59" s="1"/>
  <c r="AW110" i="59"/>
  <c r="AV110" i="59"/>
  <c r="AU110" i="59"/>
  <c r="J110" i="59" s="1"/>
  <c r="AW109" i="59"/>
  <c r="AV109" i="59"/>
  <c r="AU109" i="59"/>
  <c r="J109" i="59" s="1"/>
  <c r="AW121" i="59"/>
  <c r="AV121" i="59"/>
  <c r="AU121" i="59"/>
  <c r="J121" i="59" s="1"/>
  <c r="AW6" i="59"/>
  <c r="AV6" i="59"/>
  <c r="AU6" i="59"/>
  <c r="J6" i="59" s="1"/>
  <c r="BI6" i="59" s="1"/>
  <c r="AW4" i="59"/>
  <c r="AV4" i="59"/>
  <c r="AU4" i="59"/>
  <c r="J4" i="59" s="1"/>
  <c r="BC202" i="59" l="1"/>
  <c r="BD202" i="59" s="1"/>
  <c r="BC858" i="59"/>
  <c r="BD858" i="59" s="1"/>
  <c r="BC55" i="59"/>
  <c r="BD55" i="59" s="1"/>
  <c r="BC63" i="59"/>
  <c r="BD63" i="59" s="1"/>
  <c r="BC123" i="59"/>
  <c r="BD123" i="59" s="1"/>
  <c r="BC518" i="59"/>
  <c r="BD518" i="59" s="1"/>
  <c r="BC73" i="59"/>
  <c r="BD73" i="59" s="1"/>
  <c r="BC655" i="59"/>
  <c r="BD655" i="59" s="1"/>
  <c r="BC66" i="59"/>
  <c r="BD66" i="59" s="1"/>
  <c r="BC69" i="59"/>
  <c r="BD69" i="59" s="1"/>
  <c r="BC80" i="59"/>
  <c r="BD80" i="59" s="1"/>
  <c r="BC599" i="59"/>
  <c r="BD599" i="59" s="1"/>
  <c r="BC255" i="59"/>
  <c r="BD255" i="59" s="1"/>
  <c r="BC499" i="59"/>
  <c r="BD499" i="59" s="1"/>
  <c r="BC28" i="59"/>
  <c r="BD28" i="59" s="1"/>
  <c r="BC628" i="59"/>
  <c r="BD628" i="59" s="1"/>
  <c r="BC879" i="59"/>
  <c r="BD879" i="59" s="1"/>
  <c r="BC877" i="59"/>
  <c r="BD877" i="59" s="1"/>
  <c r="BC78" i="59"/>
  <c r="BD78" i="59" s="1"/>
  <c r="BC54" i="59"/>
  <c r="BD54" i="59" s="1"/>
  <c r="BC62" i="59"/>
  <c r="BD62" i="59" s="1"/>
  <c r="BC596" i="59"/>
  <c r="BD596" i="59" s="1"/>
  <c r="BC703" i="59"/>
  <c r="BD703" i="59" s="1"/>
  <c r="BC4" i="59"/>
  <c r="BD4" i="59" s="1"/>
  <c r="BI4" i="59"/>
  <c r="BC130" i="59"/>
  <c r="BD130" i="59" s="1"/>
  <c r="BC57" i="59"/>
  <c r="BD57" i="59" s="1"/>
  <c r="BA381" i="59"/>
  <c r="BC381" i="59"/>
  <c r="BD381" i="59" s="1"/>
  <c r="BC145" i="59"/>
  <c r="BD145" i="59" s="1"/>
  <c r="BA378" i="59"/>
  <c r="BC378" i="59"/>
  <c r="BD378" i="59" s="1"/>
  <c r="BC590" i="59"/>
  <c r="BD590" i="59" s="1"/>
  <c r="BA863" i="59"/>
  <c r="BC863" i="59"/>
  <c r="BD863" i="59" s="1"/>
  <c r="BA447" i="59"/>
  <c r="BC447" i="59"/>
  <c r="BD447" i="59" s="1"/>
  <c r="BA609" i="59"/>
  <c r="BC609" i="59"/>
  <c r="BD609" i="59" s="1"/>
  <c r="BA280" i="59"/>
  <c r="BC280" i="59"/>
  <c r="BD280" i="59" s="1"/>
  <c r="BA231" i="59"/>
  <c r="BC231" i="59"/>
  <c r="BD231" i="59" s="1"/>
  <c r="BA110" i="59"/>
  <c r="BC110" i="59"/>
  <c r="BD110" i="59" s="1"/>
  <c r="BA928" i="59"/>
  <c r="BC928" i="59"/>
  <c r="BD928" i="59" s="1"/>
  <c r="BA95" i="59"/>
  <c r="BC95" i="59"/>
  <c r="BD95" i="59" s="1"/>
  <c r="BA144" i="59"/>
  <c r="BC144" i="59"/>
  <c r="BD144" i="59" s="1"/>
  <c r="BA188" i="59"/>
  <c r="BC188" i="59"/>
  <c r="BD188" i="59" s="1"/>
  <c r="BC400" i="59"/>
  <c r="BD400" i="59" s="1"/>
  <c r="BA687" i="59"/>
  <c r="BC687" i="59"/>
  <c r="BD687" i="59" s="1"/>
  <c r="BA357" i="59"/>
  <c r="BC357" i="59"/>
  <c r="BD357" i="59" s="1"/>
  <c r="BA67" i="59"/>
  <c r="BC67" i="59"/>
  <c r="BD67" i="59" s="1"/>
  <c r="BA601" i="59"/>
  <c r="BC601" i="59"/>
  <c r="BD601" i="59" s="1"/>
  <c r="BA421" i="59"/>
  <c r="BC421" i="59"/>
  <c r="BD421" i="59" s="1"/>
  <c r="BC274" i="59"/>
  <c r="BD274" i="59" s="1"/>
  <c r="BC382" i="59"/>
  <c r="BD382" i="59" s="1"/>
  <c r="BA387" i="59"/>
  <c r="BC387" i="59"/>
  <c r="BD387" i="59" s="1"/>
  <c r="BC104" i="59"/>
  <c r="BD104" i="59" s="1"/>
  <c r="BA137" i="59"/>
  <c r="BC137" i="59"/>
  <c r="BD137" i="59" s="1"/>
  <c r="BA150" i="59"/>
  <c r="BC150" i="59"/>
  <c r="BD150" i="59" s="1"/>
  <c r="BA941" i="59"/>
  <c r="BC941" i="59"/>
  <c r="BD941" i="59" s="1"/>
  <c r="BA226" i="59"/>
  <c r="BC226" i="59"/>
  <c r="BD226" i="59" s="1"/>
  <c r="BA101" i="59"/>
  <c r="BC101" i="59"/>
  <c r="BD101" i="59" s="1"/>
  <c r="BA176" i="59"/>
  <c r="BC176" i="59"/>
  <c r="BD176" i="59" s="1"/>
  <c r="BA334" i="59"/>
  <c r="BC334" i="59"/>
  <c r="BD334" i="59" s="1"/>
  <c r="BA360" i="59"/>
  <c r="BC360" i="59"/>
  <c r="BD360" i="59" s="1"/>
  <c r="BC351" i="59"/>
  <c r="BD351" i="59" s="1"/>
  <c r="BA347" i="59"/>
  <c r="BC347" i="59"/>
  <c r="BD347" i="59" s="1"/>
  <c r="BA379" i="59"/>
  <c r="BC379" i="59"/>
  <c r="BD379" i="59" s="1"/>
  <c r="BA522" i="59"/>
  <c r="BC522" i="59"/>
  <c r="BD522" i="59" s="1"/>
  <c r="BC83" i="59"/>
  <c r="BD83" i="59" s="1"/>
  <c r="BA72" i="59"/>
  <c r="BC72" i="59"/>
  <c r="BD72" i="59" s="1"/>
  <c r="BA76" i="59"/>
  <c r="BC76" i="59"/>
  <c r="BD76" i="59" s="1"/>
  <c r="BA583" i="59"/>
  <c r="BC583" i="59"/>
  <c r="BD583" i="59" s="1"/>
  <c r="BA544" i="59"/>
  <c r="BC544" i="59"/>
  <c r="BD544" i="59" s="1"/>
  <c r="BC563" i="59"/>
  <c r="BD563" i="59" s="1"/>
  <c r="BC546" i="59"/>
  <c r="BD546" i="59" s="1"/>
  <c r="BA573" i="59"/>
  <c r="BC573" i="59"/>
  <c r="BD573" i="59" s="1"/>
  <c r="BA577" i="59"/>
  <c r="BC577" i="59"/>
  <c r="BD577" i="59" s="1"/>
  <c r="BA588" i="59"/>
  <c r="BC588" i="59"/>
  <c r="BD588" i="59" s="1"/>
  <c r="BA595" i="59"/>
  <c r="BC595" i="59"/>
  <c r="BD595" i="59" s="1"/>
  <c r="BA689" i="59"/>
  <c r="BC689" i="59"/>
  <c r="BD689" i="59" s="1"/>
  <c r="BA677" i="59"/>
  <c r="BC677" i="59"/>
  <c r="BD677" i="59" s="1"/>
  <c r="BA701" i="59"/>
  <c r="BC701" i="59"/>
  <c r="BD701" i="59" s="1"/>
  <c r="BA871" i="59"/>
  <c r="BC871" i="59"/>
  <c r="BD871" i="59" s="1"/>
  <c r="BC467" i="59"/>
  <c r="BD467" i="59" s="1"/>
  <c r="BA903" i="59"/>
  <c r="BC903" i="59"/>
  <c r="BD903" i="59" s="1"/>
  <c r="BA115" i="59"/>
  <c r="BC115" i="59"/>
  <c r="BD115" i="59" s="1"/>
  <c r="BA521" i="59"/>
  <c r="BC521" i="59"/>
  <c r="BD521" i="59" s="1"/>
  <c r="BC548" i="59"/>
  <c r="BD548" i="59" s="1"/>
  <c r="BC146" i="59"/>
  <c r="BD146" i="59" s="1"/>
  <c r="BA401" i="59"/>
  <c r="BC401" i="59"/>
  <c r="BD401" i="59" s="1"/>
  <c r="BA851" i="59"/>
  <c r="BC851" i="59"/>
  <c r="BD851" i="59" s="1"/>
  <c r="BA132" i="59"/>
  <c r="BC132" i="59"/>
  <c r="BD132" i="59" s="1"/>
  <c r="BA476" i="59"/>
  <c r="BC476" i="59"/>
  <c r="BD476" i="59" s="1"/>
  <c r="BA12" i="59"/>
  <c r="BC12" i="59"/>
  <c r="BD12" i="59" s="1"/>
  <c r="BA464" i="59"/>
  <c r="BC464" i="59"/>
  <c r="BD464" i="59" s="1"/>
  <c r="BC207" i="59"/>
  <c r="BD207" i="59" s="1"/>
  <c r="BA186" i="59"/>
  <c r="BC186" i="59"/>
  <c r="BD186" i="59" s="1"/>
  <c r="BA407" i="59"/>
  <c r="BC407" i="59"/>
  <c r="BD407" i="59" s="1"/>
  <c r="BA49" i="59"/>
  <c r="BC49" i="59"/>
  <c r="BD49" i="59" s="1"/>
  <c r="BA663" i="59"/>
  <c r="BC663" i="59"/>
  <c r="BD663" i="59" s="1"/>
  <c r="BA7" i="59"/>
  <c r="BC7" i="59"/>
  <c r="BD7" i="59" s="1"/>
  <c r="BA126" i="59"/>
  <c r="BC126" i="59"/>
  <c r="BD126" i="59" s="1"/>
  <c r="BA263" i="59"/>
  <c r="BC263" i="59"/>
  <c r="BD263" i="59" s="1"/>
  <c r="BA306" i="59"/>
  <c r="BC306" i="59"/>
  <c r="BD306" i="59" s="1"/>
  <c r="BA113" i="59"/>
  <c r="BC113" i="59"/>
  <c r="BD113" i="59" s="1"/>
  <c r="BC170" i="59"/>
  <c r="BD170" i="59" s="1"/>
  <c r="BA112" i="59"/>
  <c r="BC112" i="59"/>
  <c r="BD112" i="59" s="1"/>
  <c r="BA142" i="59"/>
  <c r="BC142" i="59"/>
  <c r="BD142" i="59" s="1"/>
  <c r="BA154" i="59"/>
  <c r="BC154" i="59"/>
  <c r="BD154" i="59" s="1"/>
  <c r="BA248" i="59"/>
  <c r="BC248" i="59"/>
  <c r="BD248" i="59" s="1"/>
  <c r="BA460" i="59"/>
  <c r="BC460" i="59"/>
  <c r="BD460" i="59" s="1"/>
  <c r="BA250" i="59"/>
  <c r="BC250" i="59"/>
  <c r="BD250" i="59" s="1"/>
  <c r="BA215" i="59"/>
  <c r="BC215" i="59"/>
  <c r="BD215" i="59" s="1"/>
  <c r="BA259" i="59"/>
  <c r="BC259" i="59"/>
  <c r="BD259" i="59" s="1"/>
  <c r="BA178" i="59"/>
  <c r="BC178" i="59"/>
  <c r="BD178" i="59" s="1"/>
  <c r="BA199" i="59"/>
  <c r="BC199" i="59"/>
  <c r="BD199" i="59" s="1"/>
  <c r="BA409" i="59"/>
  <c r="BC409" i="59"/>
  <c r="BD409" i="59" s="1"/>
  <c r="BA412" i="59"/>
  <c r="BC412" i="59"/>
  <c r="BD412" i="59" s="1"/>
  <c r="BA366" i="59"/>
  <c r="BC366" i="59"/>
  <c r="BD366" i="59" s="1"/>
  <c r="BA70" i="59"/>
  <c r="BC70" i="59"/>
  <c r="BD70" i="59" s="1"/>
  <c r="BA662" i="59"/>
  <c r="BC662" i="59"/>
  <c r="BD662" i="59" s="1"/>
  <c r="BC97" i="59"/>
  <c r="BD97" i="59" s="1"/>
  <c r="BA552" i="59"/>
  <c r="BC552" i="59"/>
  <c r="BD552" i="59" s="1"/>
  <c r="BC111" i="59"/>
  <c r="BD111" i="59" s="1"/>
  <c r="BA495" i="59"/>
  <c r="BC495" i="59"/>
  <c r="BD495" i="59" s="1"/>
  <c r="BA279" i="59"/>
  <c r="BC279" i="59"/>
  <c r="BD279" i="59" s="1"/>
  <c r="BA165" i="59"/>
  <c r="BC165" i="59"/>
  <c r="BD165" i="59" s="1"/>
  <c r="BA138" i="59"/>
  <c r="BC138" i="59"/>
  <c r="BD138" i="59" s="1"/>
  <c r="BA131" i="59"/>
  <c r="BC131" i="59"/>
  <c r="BD131" i="59" s="1"/>
  <c r="BA458" i="59"/>
  <c r="BC458" i="59"/>
  <c r="BD458" i="59" s="1"/>
  <c r="BA356" i="59"/>
  <c r="BC356" i="59"/>
  <c r="BD356" i="59" s="1"/>
  <c r="BA218" i="59"/>
  <c r="BC218" i="59"/>
  <c r="BD218" i="59" s="1"/>
  <c r="BA102" i="59"/>
  <c r="BC102" i="59"/>
  <c r="BD102" i="59" s="1"/>
  <c r="BC177" i="59"/>
  <c r="BD177" i="59" s="1"/>
  <c r="BC408" i="59"/>
  <c r="BD408" i="59" s="1"/>
  <c r="BA395" i="59"/>
  <c r="BC395" i="59"/>
  <c r="BD395" i="59" s="1"/>
  <c r="BC36" i="59"/>
  <c r="BD36" i="59" s="1"/>
  <c r="BA249" i="59"/>
  <c r="BC249" i="59"/>
  <c r="BD249" i="59" s="1"/>
  <c r="BA600" i="59"/>
  <c r="BC600" i="59"/>
  <c r="BD600" i="59" s="1"/>
  <c r="BA856" i="59"/>
  <c r="BC856" i="59"/>
  <c r="BD856" i="59" s="1"/>
  <c r="BC664" i="59"/>
  <c r="BD664" i="59" s="1"/>
  <c r="BA6" i="59"/>
  <c r="BC6" i="59"/>
  <c r="BD6" i="59" s="1"/>
  <c r="BA8" i="59"/>
  <c r="BC8" i="59"/>
  <c r="BD8" i="59" s="1"/>
  <c r="BC634" i="59"/>
  <c r="BD634" i="59" s="1"/>
  <c r="BA425" i="59"/>
  <c r="BC425" i="59"/>
  <c r="BD425" i="59" s="1"/>
  <c r="BA160" i="59"/>
  <c r="BC160" i="59"/>
  <c r="BD160" i="59" s="1"/>
  <c r="BA90" i="59"/>
  <c r="BC90" i="59"/>
  <c r="BD90" i="59" s="1"/>
  <c r="BA94" i="59"/>
  <c r="BC94" i="59"/>
  <c r="BD94" i="59" s="1"/>
  <c r="BA169" i="59"/>
  <c r="BC169" i="59"/>
  <c r="BD169" i="59" s="1"/>
  <c r="BA330" i="59"/>
  <c r="BC330" i="59"/>
  <c r="BD330" i="59" s="1"/>
  <c r="BA96" i="59"/>
  <c r="BC96" i="59"/>
  <c r="BD96" i="59" s="1"/>
  <c r="BA944" i="59"/>
  <c r="BC944" i="59"/>
  <c r="BD944" i="59" s="1"/>
  <c r="BA133" i="59"/>
  <c r="BC133" i="59"/>
  <c r="BD133" i="59" s="1"/>
  <c r="BC466" i="59"/>
  <c r="BD466" i="59" s="1"/>
  <c r="BA697" i="59"/>
  <c r="BC697" i="59"/>
  <c r="BD697" i="59" s="1"/>
  <c r="BC260" i="59"/>
  <c r="BD260" i="59" s="1"/>
  <c r="BA212" i="59"/>
  <c r="BC212" i="59"/>
  <c r="BD212" i="59" s="1"/>
  <c r="BA185" i="59"/>
  <c r="BC185" i="59"/>
  <c r="BD185" i="59" s="1"/>
  <c r="BA335" i="59"/>
  <c r="BC335" i="59"/>
  <c r="BD335" i="59" s="1"/>
  <c r="BA348" i="59"/>
  <c r="BC348" i="59"/>
  <c r="BD348" i="59" s="1"/>
  <c r="BA437" i="59"/>
  <c r="BC437" i="59"/>
  <c r="BD437" i="59" s="1"/>
  <c r="BA517" i="59"/>
  <c r="BC517" i="59"/>
  <c r="BD517" i="59" s="1"/>
  <c r="BA682" i="59"/>
  <c r="BC682" i="59"/>
  <c r="BD682" i="59" s="1"/>
  <c r="BA53" i="59"/>
  <c r="BC53" i="59"/>
  <c r="BD53" i="59" s="1"/>
  <c r="BA77" i="59"/>
  <c r="BC77" i="59"/>
  <c r="BD77" i="59" s="1"/>
  <c r="BC580" i="59"/>
  <c r="BD580" i="59" s="1"/>
  <c r="BA553" i="59"/>
  <c r="BC553" i="59"/>
  <c r="BD553" i="59" s="1"/>
  <c r="BC557" i="59"/>
  <c r="BD557" i="59" s="1"/>
  <c r="BC565" i="59"/>
  <c r="BD565" i="59" s="1"/>
  <c r="BA574" i="59"/>
  <c r="BC574" i="59"/>
  <c r="BD574" i="59" s="1"/>
  <c r="BA570" i="59"/>
  <c r="BC570" i="59"/>
  <c r="BD570" i="59" s="1"/>
  <c r="BC581" i="59"/>
  <c r="BD581" i="59" s="1"/>
  <c r="BA591" i="59"/>
  <c r="BC591" i="59"/>
  <c r="BD591" i="59" s="1"/>
  <c r="BA881" i="59"/>
  <c r="BC881" i="59"/>
  <c r="BD881" i="59" s="1"/>
  <c r="BA874" i="59"/>
  <c r="BC874" i="59"/>
  <c r="BD874" i="59" s="1"/>
  <c r="BA870" i="59"/>
  <c r="BC870" i="59"/>
  <c r="BD870" i="59" s="1"/>
  <c r="BA900" i="59"/>
  <c r="BC900" i="59"/>
  <c r="BD900" i="59" s="1"/>
  <c r="BA829" i="59"/>
  <c r="BC829" i="59"/>
  <c r="BD829" i="59" s="1"/>
  <c r="BA10" i="59"/>
  <c r="BC10" i="59"/>
  <c r="BD10" i="59" s="1"/>
  <c r="BA179" i="59"/>
  <c r="BC179" i="59"/>
  <c r="BD179" i="59" s="1"/>
  <c r="BA576" i="59"/>
  <c r="BC576" i="59"/>
  <c r="BD576" i="59" s="1"/>
  <c r="BA435" i="59"/>
  <c r="BC435" i="59"/>
  <c r="BD435" i="59" s="1"/>
  <c r="BA239" i="59"/>
  <c r="BC239" i="59"/>
  <c r="BD239" i="59" s="1"/>
  <c r="BA214" i="59"/>
  <c r="BC214" i="59"/>
  <c r="BD214" i="59" s="1"/>
  <c r="BA345" i="59"/>
  <c r="BC345" i="59"/>
  <c r="BD345" i="59" s="1"/>
  <c r="BA550" i="59"/>
  <c r="BC550" i="59"/>
  <c r="BD550" i="59" s="1"/>
  <c r="BA372" i="59"/>
  <c r="BC372" i="59"/>
  <c r="BD372" i="59" s="1"/>
  <c r="BC9" i="59"/>
  <c r="BD9" i="59" s="1"/>
  <c r="BA93" i="59"/>
  <c r="BC93" i="59"/>
  <c r="BD93" i="59" s="1"/>
  <c r="BA236" i="59"/>
  <c r="BC236" i="59"/>
  <c r="BD236" i="59" s="1"/>
  <c r="BA857" i="59"/>
  <c r="BC857" i="59"/>
  <c r="BD857" i="59" s="1"/>
  <c r="BC107" i="59"/>
  <c r="BD107" i="59" s="1"/>
  <c r="BA100" i="59"/>
  <c r="BC100" i="59"/>
  <c r="BD100" i="59" s="1"/>
  <c r="BA383" i="59"/>
  <c r="BC383" i="59"/>
  <c r="BD383" i="59" s="1"/>
  <c r="BA166" i="59"/>
  <c r="BC166" i="59"/>
  <c r="BD166" i="59" s="1"/>
  <c r="BA322" i="59"/>
  <c r="BC322" i="59"/>
  <c r="BD322" i="59" s="1"/>
  <c r="BA147" i="59"/>
  <c r="BC147" i="59"/>
  <c r="BD147" i="59" s="1"/>
  <c r="BC205" i="59"/>
  <c r="BD205" i="59" s="1"/>
  <c r="BA193" i="59"/>
  <c r="BC193" i="59"/>
  <c r="BD193" i="59" s="1"/>
  <c r="BA354" i="59"/>
  <c r="BC354" i="59"/>
  <c r="BD354" i="59" s="1"/>
  <c r="BA346" i="59"/>
  <c r="BC346" i="59"/>
  <c r="BD346" i="59" s="1"/>
  <c r="BA364" i="59"/>
  <c r="BC364" i="59"/>
  <c r="BD364" i="59" s="1"/>
  <c r="BA506" i="59"/>
  <c r="BC506" i="59"/>
  <c r="BD506" i="59" s="1"/>
  <c r="BC413" i="59"/>
  <c r="BD413" i="59" s="1"/>
  <c r="BA43" i="59"/>
  <c r="BC43" i="59"/>
  <c r="BD43" i="59" s="1"/>
  <c r="BA551" i="59"/>
  <c r="BC551" i="59"/>
  <c r="BD551" i="59" s="1"/>
  <c r="BC547" i="59"/>
  <c r="BD547" i="59" s="1"/>
  <c r="BA559" i="59"/>
  <c r="BC559" i="59"/>
  <c r="BD559" i="59" s="1"/>
  <c r="BC567" i="59"/>
  <c r="BD567" i="59" s="1"/>
  <c r="BA227" i="59"/>
  <c r="BC227" i="59"/>
  <c r="BD227" i="59" s="1"/>
  <c r="BA558" i="59"/>
  <c r="BC558" i="59"/>
  <c r="BD558" i="59" s="1"/>
  <c r="BC585" i="59"/>
  <c r="BD585" i="59" s="1"/>
  <c r="BA593" i="59"/>
  <c r="BC593" i="59"/>
  <c r="BD593" i="59" s="1"/>
  <c r="BC896" i="59"/>
  <c r="BD896" i="59" s="1"/>
  <c r="BA897" i="59"/>
  <c r="BC897" i="59"/>
  <c r="BD897" i="59" s="1"/>
  <c r="BC905" i="59"/>
  <c r="BD905" i="59" s="1"/>
  <c r="BC868" i="59"/>
  <c r="BD868" i="59" s="1"/>
  <c r="BA936" i="59"/>
  <c r="BC936" i="59"/>
  <c r="BD936" i="59" s="1"/>
  <c r="BC718" i="59"/>
  <c r="BD718" i="59" s="1"/>
  <c r="BA389" i="59"/>
  <c r="BC389" i="59"/>
  <c r="BD389" i="59" s="1"/>
  <c r="BA352" i="59"/>
  <c r="BC352" i="59"/>
  <c r="BD352" i="59" s="1"/>
  <c r="BA48" i="59"/>
  <c r="BC48" i="59"/>
  <c r="BD48" i="59" s="1"/>
  <c r="BA830" i="59"/>
  <c r="BC830" i="59"/>
  <c r="BD830" i="59" s="1"/>
  <c r="BA182" i="59"/>
  <c r="BC182" i="59"/>
  <c r="BD182" i="59" s="1"/>
  <c r="BC203" i="59"/>
  <c r="BD203" i="59" s="1"/>
  <c r="BA404" i="59"/>
  <c r="BC404" i="59"/>
  <c r="BD404" i="59" s="1"/>
  <c r="BA850" i="59"/>
  <c r="BC850" i="59"/>
  <c r="BD850" i="59" s="1"/>
  <c r="BC269" i="59"/>
  <c r="BD269" i="59" s="1"/>
  <c r="BA380" i="59"/>
  <c r="BC380" i="59"/>
  <c r="BD380" i="59" s="1"/>
  <c r="BA139" i="59"/>
  <c r="BC139" i="59"/>
  <c r="BD139" i="59" s="1"/>
  <c r="BA151" i="59"/>
  <c r="BC151" i="59"/>
  <c r="BD151" i="59" s="1"/>
  <c r="BA208" i="59"/>
  <c r="BC208" i="59"/>
  <c r="BD208" i="59" s="1"/>
  <c r="BA223" i="59"/>
  <c r="BC223" i="59"/>
  <c r="BD223" i="59" s="1"/>
  <c r="BA436" i="59"/>
  <c r="BC436" i="59"/>
  <c r="BD436" i="59" s="1"/>
  <c r="BA572" i="59"/>
  <c r="BC572" i="59"/>
  <c r="BD572" i="59" s="1"/>
  <c r="BA554" i="59"/>
  <c r="BC554" i="59"/>
  <c r="BD554" i="59" s="1"/>
  <c r="BA904" i="59"/>
  <c r="BC904" i="59"/>
  <c r="BD904" i="59" s="1"/>
  <c r="BA121" i="59"/>
  <c r="BC121" i="59"/>
  <c r="BD121" i="59" s="1"/>
  <c r="BA304" i="59"/>
  <c r="BC304" i="59"/>
  <c r="BD304" i="59" s="1"/>
  <c r="BA156" i="59"/>
  <c r="BC156" i="59"/>
  <c r="BD156" i="59" s="1"/>
  <c r="BA149" i="59"/>
  <c r="BC149" i="59"/>
  <c r="BD149" i="59" s="1"/>
  <c r="BA134" i="59"/>
  <c r="BC134" i="59"/>
  <c r="BD134" i="59" s="1"/>
  <c r="BA243" i="59"/>
  <c r="BC243" i="59"/>
  <c r="BD243" i="59" s="1"/>
  <c r="BA234" i="59"/>
  <c r="BC234" i="59"/>
  <c r="BD234" i="59" s="1"/>
  <c r="BC213" i="59"/>
  <c r="BD213" i="59" s="1"/>
  <c r="BC398" i="59"/>
  <c r="BD398" i="59" s="1"/>
  <c r="BA44" i="59"/>
  <c r="BC44" i="59"/>
  <c r="BD44" i="59" s="1"/>
  <c r="BA168" i="59"/>
  <c r="BC168" i="59"/>
  <c r="BD168" i="59" s="1"/>
  <c r="BA173" i="59"/>
  <c r="BC173" i="59"/>
  <c r="BD173" i="59" s="1"/>
  <c r="BA273" i="59"/>
  <c r="BC273" i="59"/>
  <c r="BD273" i="59" s="1"/>
  <c r="BC297" i="59"/>
  <c r="BD297" i="59" s="1"/>
  <c r="BA910" i="59"/>
  <c r="BC910" i="59"/>
  <c r="BD910" i="59" s="1"/>
  <c r="BA157" i="59"/>
  <c r="BC157" i="59"/>
  <c r="BD157" i="59" s="1"/>
  <c r="BA89" i="59"/>
  <c r="BC89" i="59"/>
  <c r="BD89" i="59" s="1"/>
  <c r="BC167" i="59"/>
  <c r="BD167" i="59" s="1"/>
  <c r="BA141" i="59"/>
  <c r="BC141" i="59"/>
  <c r="BD141" i="59" s="1"/>
  <c r="BA152" i="59"/>
  <c r="BC152" i="59"/>
  <c r="BD152" i="59" s="1"/>
  <c r="BA222" i="59"/>
  <c r="BC222" i="59"/>
  <c r="BD222" i="59" s="1"/>
  <c r="BA229" i="59"/>
  <c r="BC229" i="59"/>
  <c r="BD229" i="59" s="1"/>
  <c r="BC241" i="59"/>
  <c r="BD241" i="59" s="1"/>
  <c r="BA180" i="59"/>
  <c r="BC180" i="59"/>
  <c r="BD180" i="59" s="1"/>
  <c r="BA329" i="59"/>
  <c r="BC329" i="59"/>
  <c r="BD329" i="59" s="1"/>
  <c r="BC405" i="59"/>
  <c r="BD405" i="59" s="1"/>
  <c r="BC410" i="59"/>
  <c r="BD410" i="59" s="1"/>
  <c r="BA194" i="59"/>
  <c r="BC194" i="59"/>
  <c r="BD194" i="59" s="1"/>
  <c r="BA342" i="59"/>
  <c r="BC342" i="59"/>
  <c r="BD342" i="59" s="1"/>
  <c r="BA65" i="59"/>
  <c r="BC65" i="59"/>
  <c r="BD65" i="59" s="1"/>
  <c r="BA927" i="59"/>
  <c r="BC927" i="59"/>
  <c r="BD927" i="59" s="1"/>
  <c r="BA98" i="59"/>
  <c r="BC98" i="59"/>
  <c r="BD98" i="59" s="1"/>
  <c r="BA942" i="59"/>
  <c r="BC942" i="59"/>
  <c r="BD942" i="59" s="1"/>
  <c r="BA79" i="59"/>
  <c r="BC79" i="59"/>
  <c r="BD79" i="59" s="1"/>
  <c r="BA582" i="59"/>
  <c r="BC582" i="59"/>
  <c r="BD582" i="59" s="1"/>
  <c r="BC872" i="59"/>
  <c r="BD872" i="59" s="1"/>
  <c r="BA108" i="59"/>
  <c r="BC108" i="59"/>
  <c r="BD108" i="59" s="1"/>
  <c r="BA51" i="59"/>
  <c r="BC51" i="59"/>
  <c r="BD51" i="59" s="1"/>
  <c r="BA317" i="59"/>
  <c r="BC317" i="59"/>
  <c r="BD317" i="59" s="1"/>
  <c r="BA430" i="59"/>
  <c r="BC430" i="59"/>
  <c r="BD430" i="59" s="1"/>
  <c r="BA45" i="59"/>
  <c r="BC45" i="59"/>
  <c r="BD45" i="59" s="1"/>
  <c r="BA545" i="59"/>
  <c r="BC545" i="59"/>
  <c r="BD545" i="59" s="1"/>
  <c r="BC562" i="59"/>
  <c r="BD562" i="59" s="1"/>
  <c r="BA899" i="59"/>
  <c r="BC899" i="59"/>
  <c r="BD899" i="59" s="1"/>
  <c r="BA867" i="59"/>
  <c r="BC867" i="59"/>
  <c r="BD867" i="59" s="1"/>
  <c r="BA935" i="59"/>
  <c r="BC935" i="59"/>
  <c r="BD935" i="59" s="1"/>
  <c r="BA184" i="59"/>
  <c r="BC184" i="59"/>
  <c r="BD184" i="59" s="1"/>
  <c r="BA645" i="59"/>
  <c r="BC645" i="59"/>
  <c r="BD645" i="59" s="1"/>
  <c r="BA109" i="59"/>
  <c r="BC109" i="59"/>
  <c r="BD109" i="59" s="1"/>
  <c r="BA11" i="59"/>
  <c r="BC11" i="59"/>
  <c r="BD11" i="59" s="1"/>
  <c r="BA341" i="59"/>
  <c r="BC341" i="59"/>
  <c r="BD341" i="59" s="1"/>
  <c r="BA318" i="59"/>
  <c r="BC318" i="59"/>
  <c r="BD318" i="59" s="1"/>
  <c r="BA386" i="59"/>
  <c r="BC386" i="59"/>
  <c r="BD386" i="59" s="1"/>
  <c r="BA122" i="59"/>
  <c r="BC122" i="59"/>
  <c r="BD122" i="59" s="1"/>
  <c r="BA860" i="59"/>
  <c r="BC860" i="59"/>
  <c r="BD860" i="59" s="1"/>
  <c r="BA324" i="59"/>
  <c r="BC324" i="59"/>
  <c r="BD324" i="59" s="1"/>
  <c r="BA143" i="59"/>
  <c r="BC143" i="59"/>
  <c r="BD143" i="59" s="1"/>
  <c r="BA331" i="59"/>
  <c r="BC331" i="59"/>
  <c r="BD331" i="59" s="1"/>
  <c r="BA431" i="59"/>
  <c r="BC431" i="59"/>
  <c r="BD431" i="59" s="1"/>
  <c r="BA237" i="59"/>
  <c r="BC237" i="59"/>
  <c r="BD237" i="59" s="1"/>
  <c r="BA508" i="59"/>
  <c r="BC508" i="59"/>
  <c r="BD508" i="59" s="1"/>
  <c r="BA225" i="59"/>
  <c r="BC225" i="59"/>
  <c r="BD225" i="59" s="1"/>
  <c r="BA181" i="59"/>
  <c r="BC181" i="59"/>
  <c r="BD181" i="59" s="1"/>
  <c r="BA183" i="59"/>
  <c r="BC183" i="59"/>
  <c r="BD183" i="59" s="1"/>
  <c r="BA349" i="59"/>
  <c r="BC349" i="59"/>
  <c r="BD349" i="59" s="1"/>
  <c r="BA340" i="59"/>
  <c r="BC340" i="59"/>
  <c r="BD340" i="59" s="1"/>
  <c r="BA350" i="59"/>
  <c r="BC350" i="59"/>
  <c r="BD350" i="59" s="1"/>
  <c r="BC696" i="59"/>
  <c r="BD696" i="59" s="1"/>
  <c r="BA42" i="59"/>
  <c r="BC42" i="59"/>
  <c r="BD42" i="59" s="1"/>
  <c r="BA578" i="59"/>
  <c r="BC578" i="59"/>
  <c r="BD578" i="59" s="1"/>
  <c r="BC555" i="59"/>
  <c r="BD555" i="59" s="1"/>
  <c r="BA560" i="59"/>
  <c r="BC560" i="59"/>
  <c r="BD560" i="59" s="1"/>
  <c r="BC568" i="59"/>
  <c r="BD568" i="59" s="1"/>
  <c r="BA571" i="59"/>
  <c r="BC571" i="59"/>
  <c r="BD571" i="59" s="1"/>
  <c r="BC586" i="59"/>
  <c r="BD586" i="59" s="1"/>
  <c r="BC852" i="59"/>
  <c r="BD852" i="59" s="1"/>
  <c r="BC895" i="59"/>
  <c r="BD895" i="59" s="1"/>
  <c r="BA898" i="59"/>
  <c r="BC898" i="59"/>
  <c r="BD898" i="59" s="1"/>
  <c r="BA864" i="59"/>
  <c r="BC864" i="59"/>
  <c r="BD864" i="59" s="1"/>
  <c r="BC702" i="59"/>
  <c r="BD702" i="59" s="1"/>
  <c r="BC720" i="59"/>
  <c r="BD720" i="59" s="1"/>
  <c r="BA832" i="59"/>
  <c r="BC832" i="59"/>
  <c r="BD832" i="59" s="1"/>
  <c r="BA419" i="59"/>
  <c r="BC419" i="59"/>
  <c r="BD419" i="59" s="1"/>
  <c r="BA189" i="59"/>
  <c r="BC189" i="59"/>
  <c r="BD189" i="59" s="1"/>
  <c r="BA362" i="59"/>
  <c r="BC362" i="59"/>
  <c r="BD362" i="59" s="1"/>
  <c r="BA566" i="59"/>
  <c r="BC566" i="59"/>
  <c r="BD566" i="59" s="1"/>
  <c r="BA902" i="59"/>
  <c r="BC902" i="59"/>
  <c r="BD902" i="59" s="1"/>
  <c r="BA661" i="59"/>
  <c r="BC661" i="59"/>
  <c r="BD661" i="59" s="1"/>
  <c r="BA195" i="59"/>
  <c r="BC195" i="59"/>
  <c r="BD195" i="59" s="1"/>
  <c r="BC385" i="59"/>
  <c r="BD385" i="59" s="1"/>
  <c r="BA543" i="59"/>
  <c r="BC543" i="59"/>
  <c r="BD543" i="59" s="1"/>
  <c r="BA592" i="59"/>
  <c r="BC592" i="59"/>
  <c r="BD592" i="59" s="1"/>
  <c r="BA894" i="59"/>
  <c r="BC894" i="59"/>
  <c r="BD894" i="59" s="1"/>
  <c r="BA901" i="59"/>
  <c r="BC901" i="59"/>
  <c r="BD901" i="59" s="1"/>
  <c r="BA416" i="59"/>
  <c r="BC416" i="59"/>
  <c r="BD416" i="59" s="1"/>
  <c r="BA390" i="59"/>
  <c r="BC390" i="59"/>
  <c r="BD390" i="59" s="1"/>
  <c r="BA187" i="59"/>
  <c r="BC187" i="59"/>
  <c r="BD187" i="59" s="1"/>
  <c r="BC116" i="59"/>
  <c r="BD116" i="59" s="1"/>
  <c r="BA929" i="59"/>
  <c r="BC929" i="59"/>
  <c r="BD929" i="59" s="1"/>
  <c r="BA277" i="59"/>
  <c r="BC277" i="59"/>
  <c r="BD277" i="59" s="1"/>
  <c r="BC103" i="59"/>
  <c r="BD103" i="59" s="1"/>
  <c r="BA148" i="59"/>
  <c r="BC148" i="59"/>
  <c r="BD148" i="59" s="1"/>
  <c r="BA396" i="59"/>
  <c r="BC396" i="59"/>
  <c r="BD396" i="59" s="1"/>
  <c r="BA397" i="59"/>
  <c r="BC397" i="59"/>
  <c r="BD397" i="59" s="1"/>
  <c r="BA411" i="59"/>
  <c r="BC411" i="59"/>
  <c r="BD411" i="59" s="1"/>
  <c r="BA343" i="59"/>
  <c r="BC343" i="59"/>
  <c r="BD343" i="59" s="1"/>
  <c r="BA258" i="59"/>
  <c r="BC258" i="59"/>
  <c r="BD258" i="59" s="1"/>
  <c r="BA64" i="59"/>
  <c r="BC64" i="59"/>
  <c r="BD64" i="59" s="1"/>
  <c r="BA82" i="59"/>
  <c r="BC82" i="59"/>
  <c r="BD82" i="59" s="1"/>
  <c r="BA47" i="59"/>
  <c r="BC47" i="59"/>
  <c r="BD47" i="59" s="1"/>
  <c r="BA204" i="59"/>
  <c r="BC204" i="59"/>
  <c r="BD204" i="59" s="1"/>
  <c r="BA235" i="59"/>
  <c r="BC235" i="59"/>
  <c r="BD235" i="59" s="1"/>
  <c r="BA604" i="59"/>
  <c r="BC604" i="59"/>
  <c r="BD604" i="59" s="1"/>
  <c r="BC671" i="59"/>
  <c r="BD671" i="59" s="1"/>
  <c r="BA359" i="59"/>
  <c r="BC359" i="59"/>
  <c r="BD359" i="59" s="1"/>
  <c r="BA564" i="59"/>
  <c r="BC564" i="59"/>
  <c r="BD564" i="59" s="1"/>
  <c r="BC674" i="59"/>
  <c r="BD674" i="59" s="1"/>
  <c r="BA106" i="59"/>
  <c r="BC106" i="59"/>
  <c r="BD106" i="59" s="1"/>
  <c r="BA497" i="59"/>
  <c r="BC497" i="59"/>
  <c r="BD497" i="59" s="1"/>
  <c r="BA68" i="59"/>
  <c r="BC68" i="59"/>
  <c r="BD68" i="59" s="1"/>
  <c r="BA589" i="59"/>
  <c r="BC589" i="59"/>
  <c r="BD589" i="59" s="1"/>
  <c r="BA885" i="59"/>
  <c r="BC885" i="59"/>
  <c r="BD885" i="59" s="1"/>
  <c r="BA399" i="59"/>
  <c r="BC399" i="59"/>
  <c r="BD399" i="59" s="1"/>
  <c r="BA105" i="59"/>
  <c r="BC105" i="59"/>
  <c r="BD105" i="59" s="1"/>
  <c r="BA272" i="59"/>
  <c r="BC272" i="59"/>
  <c r="BD272" i="59" s="1"/>
  <c r="BA417" i="59"/>
  <c r="BC417" i="59"/>
  <c r="BD417" i="59" s="1"/>
  <c r="BC276" i="59"/>
  <c r="BD276" i="59" s="1"/>
  <c r="BA161" i="59"/>
  <c r="BC161" i="59"/>
  <c r="BD161" i="59" s="1"/>
  <c r="BA316" i="59"/>
  <c r="BC316" i="59"/>
  <c r="BD316" i="59" s="1"/>
  <c r="BA388" i="59"/>
  <c r="BC388" i="59"/>
  <c r="BD388" i="59" s="1"/>
  <c r="BC125" i="59"/>
  <c r="BD125" i="59" s="1"/>
  <c r="BA164" i="59"/>
  <c r="BC164" i="59"/>
  <c r="BD164" i="59" s="1"/>
  <c r="BA320" i="59"/>
  <c r="BC320" i="59"/>
  <c r="BD320" i="59" s="1"/>
  <c r="BA327" i="59"/>
  <c r="BC327" i="59"/>
  <c r="BD327" i="59" s="1"/>
  <c r="BA127" i="59"/>
  <c r="BC127" i="59"/>
  <c r="BD127" i="59" s="1"/>
  <c r="BC153" i="59"/>
  <c r="BD153" i="59" s="1"/>
  <c r="BA943" i="59"/>
  <c r="BC943" i="59"/>
  <c r="BD943" i="59" s="1"/>
  <c r="BA242" i="59"/>
  <c r="BC242" i="59"/>
  <c r="BD242" i="59" s="1"/>
  <c r="BC238" i="59"/>
  <c r="BD238" i="59" s="1"/>
  <c r="BC216" i="59"/>
  <c r="BD216" i="59" s="1"/>
  <c r="BA455" i="59"/>
  <c r="BC455" i="59"/>
  <c r="BD455" i="59" s="1"/>
  <c r="BA465" i="59"/>
  <c r="BC465" i="59"/>
  <c r="BD465" i="59" s="1"/>
  <c r="BA200" i="59"/>
  <c r="BC200" i="59"/>
  <c r="BD200" i="59" s="1"/>
  <c r="BC355" i="59"/>
  <c r="BD355" i="59" s="1"/>
  <c r="BA363" i="59"/>
  <c r="BC363" i="59"/>
  <c r="BD363" i="59" s="1"/>
  <c r="BA523" i="59"/>
  <c r="BC523" i="59"/>
  <c r="BD523" i="59" s="1"/>
  <c r="BA56" i="59"/>
  <c r="BC56" i="59"/>
  <c r="BD56" i="59" s="1"/>
  <c r="BA71" i="59"/>
  <c r="BC71" i="59"/>
  <c r="BD71" i="59" s="1"/>
  <c r="BA579" i="59"/>
  <c r="BC579" i="59"/>
  <c r="BD579" i="59" s="1"/>
  <c r="BA556" i="59"/>
  <c r="BC556" i="59"/>
  <c r="BD556" i="59" s="1"/>
  <c r="BA561" i="59"/>
  <c r="BC561" i="59"/>
  <c r="BD561" i="59" s="1"/>
  <c r="BA569" i="59"/>
  <c r="BC569" i="59"/>
  <c r="BD569" i="59" s="1"/>
  <c r="BA549" i="59"/>
  <c r="BC549" i="59"/>
  <c r="BD549" i="59" s="1"/>
  <c r="BA587" i="59"/>
  <c r="BC587" i="59"/>
  <c r="BD587" i="59" s="1"/>
  <c r="BA594" i="59"/>
  <c r="BC594" i="59"/>
  <c r="BD594" i="59" s="1"/>
  <c r="BA940" i="59"/>
  <c r="BC940" i="59"/>
  <c r="BD940" i="59" s="1"/>
  <c r="BA312" i="59"/>
  <c r="BC312" i="59"/>
  <c r="BD312" i="59" s="1"/>
  <c r="BA683" i="59"/>
  <c r="BC683" i="59"/>
  <c r="BD683" i="59" s="1"/>
  <c r="BA700" i="59"/>
  <c r="BC700" i="59"/>
  <c r="BD700" i="59" s="1"/>
  <c r="BA866" i="59"/>
  <c r="BC866" i="59"/>
  <c r="BD866" i="59" s="1"/>
  <c r="BA869" i="59"/>
  <c r="BC869" i="59"/>
  <c r="BD869" i="59" s="1"/>
  <c r="BC704" i="59"/>
  <c r="BD704" i="59" s="1"/>
  <c r="BA880" i="59"/>
  <c r="BC880" i="59"/>
  <c r="BD880" i="59" s="1"/>
  <c r="BA831" i="59"/>
  <c r="BC831" i="59"/>
  <c r="BD831" i="59" s="1"/>
  <c r="J337" i="59"/>
  <c r="J336" i="59"/>
  <c r="J20" i="59"/>
  <c r="BI20" i="59" s="1"/>
  <c r="J31" i="59"/>
  <c r="BI31" i="59" s="1"/>
  <c r="J15" i="59"/>
  <c r="BI15" i="59" s="1"/>
  <c r="J22" i="59"/>
  <c r="J17" i="59"/>
  <c r="J18" i="59"/>
  <c r="BI18" i="59" s="1"/>
  <c r="J34" i="59"/>
  <c r="BI34" i="59" s="1"/>
  <c r="J21" i="59"/>
  <c r="J25" i="59"/>
  <c r="BI25" i="59" s="1"/>
  <c r="J14" i="59"/>
  <c r="BI14" i="59" s="1"/>
  <c r="J24" i="59"/>
  <c r="BI24" i="59" s="1"/>
  <c r="J253" i="59"/>
  <c r="J256" i="59"/>
  <c r="J254" i="59"/>
  <c r="J611" i="59"/>
  <c r="J636" i="59"/>
  <c r="J598" i="59"/>
  <c r="J642" i="59"/>
  <c r="J377" i="59"/>
  <c r="BA57" i="59"/>
  <c r="BA73" i="59"/>
  <c r="BA80" i="59"/>
  <c r="BA63" i="59"/>
  <c r="BA54" i="59"/>
  <c r="BA55" i="59"/>
  <c r="BA62" i="59"/>
  <c r="J605" i="59"/>
  <c r="J92" i="59"/>
  <c r="J87" i="59"/>
  <c r="J99" i="59"/>
  <c r="J934" i="59"/>
  <c r="AU541" i="59"/>
  <c r="J541" i="59" s="1"/>
  <c r="AU912" i="59"/>
  <c r="AU913" i="59"/>
  <c r="AU915" i="59"/>
  <c r="J915" i="59" s="1"/>
  <c r="AU916" i="59"/>
  <c r="J916" i="59" s="1"/>
  <c r="AU893" i="59"/>
  <c r="J893" i="59" s="1"/>
  <c r="AU608" i="59"/>
  <c r="J608" i="59" s="1"/>
  <c r="AU468" i="59"/>
  <c r="J468" i="59" s="1"/>
  <c r="AU257" i="59"/>
  <c r="AU502" i="59"/>
  <c r="J502" i="59" s="1"/>
  <c r="BC21" i="59" l="1"/>
  <c r="BD21" i="59" s="1"/>
  <c r="BI21" i="59"/>
  <c r="BC17" i="59"/>
  <c r="BD17" i="59" s="1"/>
  <c r="BI17" i="59"/>
  <c r="BC642" i="59"/>
  <c r="BD642" i="59" s="1"/>
  <c r="BC22" i="59"/>
  <c r="BD22" i="59" s="1"/>
  <c r="BI22" i="59"/>
  <c r="BA608" i="59"/>
  <c r="BC608" i="59"/>
  <c r="BD608" i="59" s="1"/>
  <c r="BA99" i="59"/>
  <c r="BC99" i="59"/>
  <c r="BD99" i="59" s="1"/>
  <c r="BA337" i="59"/>
  <c r="BC337" i="59"/>
  <c r="BD337" i="59" s="1"/>
  <c r="BC24" i="59"/>
  <c r="BD24" i="59" s="1"/>
  <c r="BA253" i="59"/>
  <c r="BC253" i="59"/>
  <c r="BD253" i="59" s="1"/>
  <c r="BA87" i="59"/>
  <c r="BC87" i="59"/>
  <c r="BD87" i="59" s="1"/>
  <c r="BA92" i="59"/>
  <c r="BC92" i="59"/>
  <c r="BD92" i="59" s="1"/>
  <c r="BA14" i="59"/>
  <c r="BC14" i="59"/>
  <c r="BD14" i="59" s="1"/>
  <c r="BC25" i="59"/>
  <c r="BD25" i="59" s="1"/>
  <c r="BA468" i="59"/>
  <c r="BC468" i="59"/>
  <c r="BD468" i="59" s="1"/>
  <c r="BA377" i="59"/>
  <c r="BC377" i="59"/>
  <c r="BD377" i="59" s="1"/>
  <c r="BA34" i="59"/>
  <c r="BC34" i="59"/>
  <c r="BD34" i="59" s="1"/>
  <c r="BA605" i="59"/>
  <c r="BC605" i="59"/>
  <c r="BD605" i="59" s="1"/>
  <c r="BA598" i="59"/>
  <c r="BC598" i="59"/>
  <c r="BD598" i="59" s="1"/>
  <c r="BC893" i="59"/>
  <c r="BD893" i="59" s="1"/>
  <c r="BA636" i="59"/>
  <c r="BC636" i="59"/>
  <c r="BD636" i="59" s="1"/>
  <c r="BA611" i="59"/>
  <c r="BC611" i="59"/>
  <c r="BD611" i="59" s="1"/>
  <c r="BC15" i="59"/>
  <c r="BD15" i="59" s="1"/>
  <c r="BA502" i="59"/>
  <c r="BC502" i="59"/>
  <c r="BD502" i="59" s="1"/>
  <c r="BC915" i="59"/>
  <c r="BD915" i="59" s="1"/>
  <c r="BA31" i="59"/>
  <c r="BC31" i="59"/>
  <c r="BD31" i="59" s="1"/>
  <c r="BC18" i="59"/>
  <c r="BD18" i="59" s="1"/>
  <c r="BA541" i="59"/>
  <c r="BC541" i="59"/>
  <c r="BD541" i="59" s="1"/>
  <c r="BC254" i="59"/>
  <c r="BD254" i="59" s="1"/>
  <c r="BA20" i="59"/>
  <c r="BC20" i="59"/>
  <c r="BD20" i="59" s="1"/>
  <c r="BA916" i="59"/>
  <c r="BC916" i="59"/>
  <c r="BD916" i="59" s="1"/>
  <c r="BA934" i="59"/>
  <c r="BC934" i="59"/>
  <c r="BD934" i="59" s="1"/>
  <c r="BA256" i="59"/>
  <c r="BC256" i="59"/>
  <c r="BD256" i="59" s="1"/>
  <c r="BA336" i="59"/>
  <c r="BC336" i="59"/>
  <c r="BD336" i="59" s="1"/>
  <c r="BA22" i="59"/>
  <c r="BA21" i="59"/>
  <c r="BA17" i="59"/>
  <c r="BA18" i="59"/>
  <c r="J257" i="59"/>
  <c r="BA642" i="59"/>
  <c r="BA599" i="59"/>
  <c r="J913" i="59"/>
  <c r="J912" i="59"/>
  <c r="AU914" i="59"/>
  <c r="J914" i="59" s="1"/>
  <c r="BA257" i="59" l="1"/>
  <c r="BC257" i="59"/>
  <c r="BD257" i="59" s="1"/>
  <c r="BA913" i="59"/>
  <c r="BC913" i="59"/>
  <c r="BD913" i="59" s="1"/>
  <c r="BC912" i="59"/>
  <c r="BD912" i="59" s="1"/>
  <c r="BA914" i="59"/>
  <c r="BC914" i="59"/>
  <c r="BD914" i="59" s="1"/>
  <c r="AU275" i="59" l="1"/>
  <c r="AU52" i="59"/>
  <c r="AU60" i="59"/>
  <c r="J60" i="59" l="1"/>
  <c r="J52" i="59"/>
  <c r="J275" i="59"/>
  <c r="BC52" i="59" l="1"/>
  <c r="BD52" i="59" s="1"/>
  <c r="BC60" i="59"/>
  <c r="BD60" i="59" s="1"/>
  <c r="BC275" i="59"/>
  <c r="BD275" i="59" s="1"/>
  <c r="BA52" i="59"/>
  <c r="BA60" i="59"/>
  <c r="BH26" i="59" l="1"/>
  <c r="BI26" i="59" s="1"/>
  <c r="BH137" i="59" l="1"/>
  <c r="BI137" i="59" s="1"/>
  <c r="BH136" i="59"/>
  <c r="BI136" i="59" s="1"/>
  <c r="BH135" i="59"/>
  <c r="BI135" i="59" s="1"/>
  <c r="BH134" i="59"/>
  <c r="BI134" i="59" s="1"/>
  <c r="BH322" i="59"/>
  <c r="BI322" i="59" s="1"/>
  <c r="BH138" i="59"/>
  <c r="BI138" i="59" s="1"/>
  <c r="BH178" i="59" l="1"/>
  <c r="BI178" i="59" s="1"/>
  <c r="BH172" i="59"/>
  <c r="BI172" i="59" s="1"/>
  <c r="BH139" i="59" l="1"/>
  <c r="BI139" i="59" s="1"/>
  <c r="BH140" i="59" l="1"/>
  <c r="BI140" i="59" s="1"/>
  <c r="BH141" i="59" l="1"/>
  <c r="BI141" i="59" s="1"/>
  <c r="BH179" i="59"/>
  <c r="BI179" i="59" s="1"/>
  <c r="BH142" i="59" l="1"/>
  <c r="BI142" i="59" s="1"/>
  <c r="BH143" i="59" l="1"/>
  <c r="BI143" i="59" s="1"/>
  <c r="BH144" i="59" l="1"/>
  <c r="BI144" i="59" s="1"/>
  <c r="BH145" i="59" l="1"/>
  <c r="BI145" i="59" s="1"/>
  <c r="BH146" i="59" l="1"/>
  <c r="BI146" i="59" s="1"/>
  <c r="BH147" i="59" l="1"/>
  <c r="BI147" i="59" s="1"/>
  <c r="BH148" i="59" l="1"/>
  <c r="BI148" i="59" s="1"/>
  <c r="BH149" i="59" l="1"/>
  <c r="BI149" i="59" s="1"/>
  <c r="BH150" i="59" l="1"/>
  <c r="BI150" i="59" s="1"/>
  <c r="BH151" i="59" l="1"/>
  <c r="BI151" i="59" s="1"/>
  <c r="BH152" i="59" l="1"/>
  <c r="BI152" i="59" s="1"/>
  <c r="BH153" i="59" l="1"/>
  <c r="BI153" i="59" s="1"/>
  <c r="BH154" i="59" l="1"/>
  <c r="BI154" i="59" s="1"/>
  <c r="BH155" i="59" l="1"/>
  <c r="BI155" i="59" s="1"/>
  <c r="BH156" i="59" l="1"/>
  <c r="BI156" i="59" s="1"/>
  <c r="BH157" i="59" l="1"/>
  <c r="BI157" i="59" s="1"/>
  <c r="BH158" i="59" l="1"/>
  <c r="BI158" i="59" s="1"/>
  <c r="BH159" i="59" l="1"/>
  <c r="BI159" i="59" s="1"/>
  <c r="BH160" i="59" l="1"/>
  <c r="BI160" i="59" s="1"/>
  <c r="BH161" i="59" l="1"/>
  <c r="BI161" i="59" s="1"/>
  <c r="BH162" i="59" l="1"/>
  <c r="BI162" i="59" s="1"/>
  <c r="BH163" i="59" l="1"/>
  <c r="BI163" i="59" s="1"/>
  <c r="BH164" i="59" l="1"/>
  <c r="BI164" i="59" s="1"/>
  <c r="BH165" i="59" l="1"/>
  <c r="BI165" i="59" s="1"/>
  <c r="BH166" i="59" l="1"/>
  <c r="BI166" i="59" s="1"/>
  <c r="BH167" i="59" l="1"/>
  <c r="BI167" i="59" s="1"/>
  <c r="BH168" i="59" l="1"/>
  <c r="BI168" i="59" s="1"/>
  <c r="BH169" i="59" l="1"/>
  <c r="BI169" i="59" s="1"/>
  <c r="BH173" i="59" l="1"/>
  <c r="BI173" i="59" s="1"/>
  <c r="BH171" i="59"/>
  <c r="BI171" i="59" s="1"/>
  <c r="BH170" i="59"/>
  <c r="BI170" i="59" s="1"/>
  <c r="BH175" i="59" l="1"/>
  <c r="BI175" i="59" s="1"/>
  <c r="BH174" i="59"/>
  <c r="BI174" i="59" s="1"/>
  <c r="BH517" i="59"/>
  <c r="BI517" i="59" s="1"/>
  <c r="BH518" i="59"/>
  <c r="BI518" i="59" s="1"/>
  <c r="BH521" i="59" l="1"/>
  <c r="BI521" i="59" s="1"/>
  <c r="BH669" i="59" l="1"/>
  <c r="BI669" i="59" s="1"/>
  <c r="BH413" i="59"/>
  <c r="BI413" i="59" s="1"/>
  <c r="BH667" i="59" l="1"/>
  <c r="BI667" i="59" s="1"/>
  <c r="BH696" i="59"/>
  <c r="BI696" i="59" s="1"/>
  <c r="BH514" i="59" l="1"/>
  <c r="BI514" i="59" s="1"/>
  <c r="BH522" i="59"/>
  <c r="BI522" i="59" s="1"/>
  <c r="BH515" i="59" l="1"/>
  <c r="BI515" i="59" s="1"/>
  <c r="BH523" i="59"/>
  <c r="BI523" i="59" s="1"/>
  <c r="BH524" i="59" l="1"/>
  <c r="BI524" i="59" s="1"/>
  <c r="BH575" i="59" l="1"/>
  <c r="BI575" i="59" s="1"/>
  <c r="BH544" i="59"/>
  <c r="BI544" i="59" s="1"/>
  <c r="BH576" i="59"/>
  <c r="BI576" i="59" s="1"/>
  <c r="BH582" i="59"/>
  <c r="BI582" i="59" s="1"/>
  <c r="BH545" i="59"/>
  <c r="BI545" i="59" s="1"/>
  <c r="BH579" i="59"/>
  <c r="BI579" i="59" s="1"/>
  <c r="BH578" i="59"/>
  <c r="BI578" i="59" s="1"/>
  <c r="BH583" i="59"/>
  <c r="BI583" i="59" s="1"/>
  <c r="BH580" i="59"/>
  <c r="BI580" i="59" s="1"/>
  <c r="BH581" i="59"/>
  <c r="BI581" i="59" s="1"/>
  <c r="BH577" i="59"/>
  <c r="BI577" i="59" s="1"/>
  <c r="BH565" i="59" l="1"/>
  <c r="BI565" i="59" s="1"/>
  <c r="BH564" i="59"/>
  <c r="BI564" i="59" s="1"/>
  <c r="BH551" i="59"/>
  <c r="BI551" i="59" s="1"/>
  <c r="BH566" i="59"/>
  <c r="BI566" i="59" s="1"/>
  <c r="BH227" i="59"/>
  <c r="BI227" i="59" s="1"/>
  <c r="BH563" i="59"/>
  <c r="BI563" i="59" s="1"/>
  <c r="BH567" i="59" l="1"/>
  <c r="BI567" i="59" s="1"/>
  <c r="BH228" i="59"/>
  <c r="BI228" i="59" s="1"/>
  <c r="BH552" i="59"/>
  <c r="BI552" i="59" s="1"/>
  <c r="BH553" i="59" l="1"/>
  <c r="BI553" i="59" s="1"/>
  <c r="BH229" i="59"/>
  <c r="BI229" i="59" s="1"/>
  <c r="BH568" i="59"/>
  <c r="BI568" i="59" s="1"/>
  <c r="BH230" i="59" l="1"/>
  <c r="BI230" i="59" s="1"/>
  <c r="BH569" i="59"/>
  <c r="BI569" i="59" s="1"/>
  <c r="BH547" i="59"/>
  <c r="BI547" i="59" s="1"/>
  <c r="BH570" i="59" l="1"/>
  <c r="BI570" i="59" s="1"/>
  <c r="BH555" i="59"/>
  <c r="BI555" i="59" s="1"/>
  <c r="BH231" i="59"/>
  <c r="BI231" i="59" s="1"/>
  <c r="BH556" i="59" l="1"/>
  <c r="BI556" i="59" s="1"/>
  <c r="BH232" i="59"/>
  <c r="BI232" i="59" s="1"/>
  <c r="BH219" i="59"/>
  <c r="BI219" i="59" s="1"/>
  <c r="BH218" i="59"/>
  <c r="BI218" i="59" s="1"/>
  <c r="BH571" i="59"/>
  <c r="BI571" i="59" s="1"/>
  <c r="BH562" i="59"/>
  <c r="BI562" i="59" s="1"/>
  <c r="BH572" i="59" l="1"/>
  <c r="BI572" i="59" s="1"/>
  <c r="BH558" i="59"/>
  <c r="BI558" i="59" s="1"/>
  <c r="BH233" i="59"/>
  <c r="BI233" i="59" s="1"/>
  <c r="BH680" i="59"/>
  <c r="BI680" i="59" s="1"/>
  <c r="BH557" i="59"/>
  <c r="BI557" i="59" s="1"/>
  <c r="BH543" i="59" l="1"/>
  <c r="BI543" i="59" s="1"/>
  <c r="BH573" i="59"/>
  <c r="BI573" i="59" s="1"/>
  <c r="BH574" i="59"/>
  <c r="BI574" i="59" s="1"/>
  <c r="BH235" i="59"/>
  <c r="BI235" i="59" s="1"/>
  <c r="BH234" i="59"/>
  <c r="BI234" i="59" s="1"/>
  <c r="BH554" i="59"/>
  <c r="BI554" i="59" s="1"/>
  <c r="BH549" i="59" l="1"/>
  <c r="BI549" i="59" s="1"/>
  <c r="BH550" i="59"/>
  <c r="BI550" i="59" s="1"/>
  <c r="BH220" i="59"/>
  <c r="BI220" i="59" s="1"/>
  <c r="BH546" i="59"/>
  <c r="BI546" i="59" s="1"/>
  <c r="BH559" i="59"/>
  <c r="BI559" i="59" s="1"/>
  <c r="BH561" i="59" l="1"/>
  <c r="BI561" i="59" s="1"/>
  <c r="BH560" i="59"/>
  <c r="BI560" i="59" s="1"/>
  <c r="BH221" i="59"/>
  <c r="BI221" i="59" s="1"/>
  <c r="BH548" i="59"/>
  <c r="BI548" i="59" s="1"/>
  <c r="BH243" i="59" l="1"/>
  <c r="BI243" i="59" s="1"/>
  <c r="BH584" i="59"/>
  <c r="BI584" i="59" s="1"/>
  <c r="BH585" i="59" l="1"/>
  <c r="BI585" i="59" s="1"/>
  <c r="BH244" i="59"/>
  <c r="BI244" i="59" s="1"/>
  <c r="BH238" i="59"/>
  <c r="BI238" i="59" s="1"/>
  <c r="BH239" i="59" l="1"/>
  <c r="BI239" i="59" s="1"/>
  <c r="BH586" i="59"/>
  <c r="BI586" i="59" s="1"/>
  <c r="BH587" i="59" l="1"/>
  <c r="BI587" i="59" s="1"/>
  <c r="BH240" i="59"/>
  <c r="BI240" i="59" s="1"/>
  <c r="BH241" i="59" l="1"/>
  <c r="BI241" i="59" s="1"/>
  <c r="BH588" i="59"/>
  <c r="BI588" i="59" s="1"/>
  <c r="BH589" i="59" l="1"/>
  <c r="BI589" i="59" s="1"/>
  <c r="BH258" i="59"/>
  <c r="BI258" i="59" s="1"/>
  <c r="BH262" i="59" l="1"/>
  <c r="BI262" i="59" s="1"/>
  <c r="BH590" i="59"/>
  <c r="BI590" i="59" s="1"/>
  <c r="BH591" i="59" l="1"/>
  <c r="BI591" i="59" s="1"/>
  <c r="BH260" i="59"/>
  <c r="BI260" i="59" s="1"/>
  <c r="BH259" i="59"/>
  <c r="BI259" i="59" s="1"/>
  <c r="BH592" i="59" l="1"/>
  <c r="BI592" i="59" s="1"/>
  <c r="BH593" i="59" l="1"/>
  <c r="BI593" i="59" s="1"/>
  <c r="BH594" i="59" l="1"/>
  <c r="BI594" i="59" s="1"/>
  <c r="BH595" i="59" l="1"/>
  <c r="BI595" i="59" s="1"/>
  <c r="BH608" i="59" l="1"/>
  <c r="BI608" i="59" s="1"/>
  <c r="BH600" i="59" l="1"/>
  <c r="BI600" i="59" s="1"/>
  <c r="BH603" i="59" l="1"/>
  <c r="BI603" i="59" s="1"/>
  <c r="BH609" i="59" l="1"/>
  <c r="BI609" i="59" s="1"/>
  <c r="BH596" i="59" l="1"/>
  <c r="BI596" i="59" s="1"/>
  <c r="BH602" i="59" l="1"/>
  <c r="BI602" i="59" s="1"/>
  <c r="BH636" i="59" l="1"/>
  <c r="BI636" i="59" s="1"/>
  <c r="BH625" i="59" l="1"/>
  <c r="BI625" i="59" s="1"/>
  <c r="BH597" i="59" l="1"/>
  <c r="BI597" i="59" s="1"/>
  <c r="BH651" i="59" l="1"/>
  <c r="BI651" i="59" s="1"/>
  <c r="BH650" i="59" l="1"/>
  <c r="BI650" i="59" s="1"/>
  <c r="BH642" i="59" l="1"/>
  <c r="BI642" i="59" s="1"/>
  <c r="BH598" i="59" l="1"/>
  <c r="BI598" i="59" s="1"/>
  <c r="BH599" i="59" l="1"/>
  <c r="BI599" i="59" s="1"/>
  <c r="BH644" i="59"/>
  <c r="BI644" i="59" s="1"/>
  <c r="BH663" i="59"/>
  <c r="BI663" i="59" s="1"/>
  <c r="BH670" i="59"/>
  <c r="BI670" i="59" s="1"/>
  <c r="BH662" i="59"/>
  <c r="BI662" i="59" s="1"/>
  <c r="BH671" i="59"/>
  <c r="BI671" i="59" s="1"/>
  <c r="BH655" i="59"/>
  <c r="BI655" i="59" s="1"/>
  <c r="BH679" i="59"/>
  <c r="BI679" i="59" s="1"/>
  <c r="BH924" i="59"/>
  <c r="BI924" i="59" s="1"/>
  <c r="BH657" i="59"/>
  <c r="BI657" i="59" s="1"/>
  <c r="BH654" i="59"/>
  <c r="BI654" i="59" s="1"/>
  <c r="BH377" i="59"/>
  <c r="BI377" i="59" s="1"/>
  <c r="BH660" i="59"/>
  <c r="BI660" i="59" s="1"/>
  <c r="BH719" i="59"/>
  <c r="BI719" i="59" s="1"/>
  <c r="BH661" i="59"/>
  <c r="BI661" i="59" s="1"/>
  <c r="BH939" i="59"/>
  <c r="BI939" i="59" s="1"/>
  <c r="BH659" i="59"/>
  <c r="BI659" i="59" s="1"/>
  <c r="BH683" i="59"/>
  <c r="BI683" i="59" s="1"/>
  <c r="BH682" i="59"/>
  <c r="BI682" i="59" s="1"/>
  <c r="BH664" i="59"/>
  <c r="BI664" i="59" s="1"/>
  <c r="BH341" i="59" l="1"/>
  <c r="BI341" i="59" s="1"/>
  <c r="BH378" i="59"/>
  <c r="BI378" i="59" s="1"/>
  <c r="BH379" i="59" l="1"/>
  <c r="BI379" i="59" s="1"/>
  <c r="BH342" i="59"/>
  <c r="BI342" i="59" s="1"/>
  <c r="BH343" i="59"/>
  <c r="BI343" i="59" s="1"/>
  <c r="BH383" i="59" l="1"/>
  <c r="BI383" i="59" s="1"/>
  <c r="BH380" i="59" l="1"/>
  <c r="BI380" i="59" s="1"/>
  <c r="BH382" i="59" l="1"/>
  <c r="BI382" i="59" s="1"/>
  <c r="BH381" i="59"/>
  <c r="BI381" i="59" s="1"/>
  <c r="BH921" i="59" l="1"/>
  <c r="BI921" i="59" s="1"/>
  <c r="BH920" i="59"/>
  <c r="BI920" i="59" s="1"/>
  <c r="BH729" i="59" l="1"/>
  <c r="BI729" i="59" s="1"/>
  <c r="BH736" i="59"/>
  <c r="BI736" i="59" s="1"/>
  <c r="BH674" i="59" l="1"/>
  <c r="BI674" i="59" s="1"/>
  <c r="BH739" i="59"/>
  <c r="BI739" i="59" s="1"/>
  <c r="BH735" i="59" l="1"/>
  <c r="BI735" i="59" s="1"/>
  <c r="BH676" i="59"/>
  <c r="BI676" i="59" s="1"/>
  <c r="BH675" i="59" l="1"/>
  <c r="BI675" i="59" s="1"/>
  <c r="BH881" i="59"/>
  <c r="BI881" i="59" s="1"/>
  <c r="BH744" i="59"/>
  <c r="BI744" i="59" s="1"/>
  <c r="BH738" i="59" l="1"/>
  <c r="BI738" i="59" s="1"/>
  <c r="BH743" i="59"/>
  <c r="BI743" i="59" s="1"/>
  <c r="BH882" i="59"/>
  <c r="BI882" i="59" s="1"/>
  <c r="BH677" i="59"/>
  <c r="BI677" i="59" s="1"/>
  <c r="BH678" i="59" l="1"/>
  <c r="BI678" i="59" s="1"/>
  <c r="BH883" i="59"/>
  <c r="BI883" i="59" s="1"/>
  <c r="BH630" i="59"/>
  <c r="BI630" i="59" s="1"/>
  <c r="BH740" i="59"/>
  <c r="BI740" i="59" s="1"/>
  <c r="BH745" i="59"/>
  <c r="BI745" i="59" s="1"/>
  <c r="BH656" i="59" l="1"/>
  <c r="BI656" i="59" s="1"/>
  <c r="BH742" i="59"/>
  <c r="BI742" i="59" s="1"/>
  <c r="BH884" i="59"/>
  <c r="BI884" i="59" s="1"/>
  <c r="BH672" i="59" l="1"/>
  <c r="BI672" i="59" s="1"/>
  <c r="BH885" i="59"/>
  <c r="BI885" i="59" s="1"/>
  <c r="BH886" i="59"/>
  <c r="BI886" i="59" s="1"/>
  <c r="BH747" i="59"/>
  <c r="BI747" i="59" s="1"/>
  <c r="BH746" i="59"/>
  <c r="BI746" i="59" s="1"/>
  <c r="BH752" i="59" l="1"/>
  <c r="BI752" i="59" s="1"/>
  <c r="BH753" i="59" l="1"/>
  <c r="BI753" i="59" s="1"/>
  <c r="BH890" i="59" l="1"/>
  <c r="BI890" i="59" s="1"/>
  <c r="BH754" i="59"/>
  <c r="BI754" i="59" s="1"/>
  <c r="BH755" i="59" l="1"/>
  <c r="BI755" i="59" s="1"/>
  <c r="BH756" i="59" l="1"/>
  <c r="BI756" i="59" s="1"/>
  <c r="BH757" i="59" l="1"/>
  <c r="BI757" i="59" s="1"/>
  <c r="BH911" i="59" l="1"/>
  <c r="BI911" i="59" s="1"/>
  <c r="BH758" i="59"/>
  <c r="BI758" i="59" s="1"/>
  <c r="BH912" i="59" l="1"/>
  <c r="BI912" i="59" s="1"/>
  <c r="BH759" i="59"/>
  <c r="BI759" i="59" s="1"/>
  <c r="BH760" i="59" l="1"/>
  <c r="BI760" i="59" s="1"/>
  <c r="BH913" i="59"/>
  <c r="BI913" i="59" s="1"/>
  <c r="BH761" i="59" l="1"/>
  <c r="BI761" i="59" s="1"/>
  <c r="BH914" i="59"/>
  <c r="BI914" i="59" s="1"/>
  <c r="BH915" i="59" l="1"/>
  <c r="BI915" i="59" s="1"/>
  <c r="BH762" i="59"/>
  <c r="BI762" i="59" s="1"/>
  <c r="BH763" i="59" l="1"/>
  <c r="BI763" i="59" s="1"/>
  <c r="BH916" i="59"/>
  <c r="BI916" i="59" s="1"/>
  <c r="BH917" i="59" l="1"/>
  <c r="BI917" i="59" s="1"/>
  <c r="BH764" i="59"/>
  <c r="BI764" i="59" s="1"/>
  <c r="BH765" i="59" l="1"/>
  <c r="BI765" i="59" s="1"/>
  <c r="BH918" i="59" l="1"/>
  <c r="BI918" i="59" s="1"/>
  <c r="BH766" i="59"/>
  <c r="BI766" i="59" s="1"/>
  <c r="BH767" i="59" l="1"/>
  <c r="BI767" i="59" s="1"/>
  <c r="BH919" i="59" l="1"/>
  <c r="BI919" i="59" s="1"/>
  <c r="BH768" i="59"/>
  <c r="BI768" i="59" s="1"/>
  <c r="BH769" i="59" l="1"/>
  <c r="BI769" i="59" s="1"/>
  <c r="BH891" i="59"/>
  <c r="BI891" i="59" s="1"/>
  <c r="BH892" i="59" l="1"/>
  <c r="BI892" i="59" s="1"/>
  <c r="BH770" i="59"/>
  <c r="BI770" i="59" s="1"/>
  <c r="BH771" i="59" l="1"/>
  <c r="BI771" i="59" s="1"/>
  <c r="BH893" i="59"/>
  <c r="BI893" i="59" s="1"/>
  <c r="BH894" i="59" l="1"/>
  <c r="BI894" i="59" s="1"/>
  <c r="BH772" i="59"/>
  <c r="BI772" i="59" s="1"/>
  <c r="BH773" i="59" l="1"/>
  <c r="BI773" i="59" s="1"/>
  <c r="BH895" i="59"/>
  <c r="BI895" i="59" s="1"/>
  <c r="BH896" i="59" l="1"/>
  <c r="BI896" i="59" s="1"/>
  <c r="BH774" i="59"/>
  <c r="BI774" i="59" s="1"/>
  <c r="BH775" i="59" l="1"/>
  <c r="BI775" i="59" s="1"/>
  <c r="BH897" i="59"/>
  <c r="BI897" i="59" s="1"/>
  <c r="BH898" i="59" l="1"/>
  <c r="BI898" i="59" s="1"/>
  <c r="BH776" i="59"/>
  <c r="BI776" i="59" s="1"/>
  <c r="BH777" i="59" l="1"/>
  <c r="BI777" i="59" s="1"/>
  <c r="BH899" i="59"/>
  <c r="BI899" i="59" s="1"/>
  <c r="BH900" i="59" l="1"/>
  <c r="BI900" i="59" s="1"/>
  <c r="BH778" i="59" l="1"/>
  <c r="BI778" i="59" s="1"/>
  <c r="BH902" i="59"/>
  <c r="BI902" i="59" s="1"/>
  <c r="BH901" i="59"/>
  <c r="BI901" i="59" s="1"/>
  <c r="BH779" i="59" l="1"/>
  <c r="BI779" i="59" s="1"/>
  <c r="BH780" i="59" l="1"/>
  <c r="BI780" i="59" s="1"/>
  <c r="BH781" i="59" l="1"/>
  <c r="BI781" i="59" s="1"/>
  <c r="BH782" i="59" l="1"/>
  <c r="BI782" i="59" s="1"/>
  <c r="BH783" i="59" l="1"/>
  <c r="BI783" i="59" s="1"/>
  <c r="BH784" i="59" l="1"/>
  <c r="BI784" i="59" s="1"/>
  <c r="BH785" i="59" l="1"/>
  <c r="BI785" i="59" s="1"/>
  <c r="BH786" i="59" l="1"/>
  <c r="BI786" i="59" s="1"/>
  <c r="BH787" i="59" l="1"/>
  <c r="BI787" i="59" s="1"/>
  <c r="BH788" i="59" l="1"/>
  <c r="BI788" i="59" s="1"/>
  <c r="BH789" i="59" l="1"/>
  <c r="BI789" i="59" s="1"/>
  <c r="BH790" i="59" l="1"/>
  <c r="BI790" i="59" s="1"/>
  <c r="BH791" i="59" l="1"/>
  <c r="BI791" i="59" s="1"/>
  <c r="BH792" i="59" l="1"/>
  <c r="BI792" i="59" s="1"/>
  <c r="BH793" i="59" l="1"/>
  <c r="BI793" i="59" s="1"/>
  <c r="BH794" i="59" l="1"/>
  <c r="BI794" i="59" s="1"/>
  <c r="BH795" i="59" l="1"/>
  <c r="BI795" i="59" s="1"/>
  <c r="BH796" i="59" l="1"/>
  <c r="BI796" i="59" s="1"/>
  <c r="BH797" i="59" l="1"/>
  <c r="BI797" i="59" s="1"/>
  <c r="BH798" i="59" l="1"/>
  <c r="BI798" i="59" s="1"/>
  <c r="BH799" i="59" l="1"/>
  <c r="BI799" i="59" s="1"/>
  <c r="BH800" i="59" l="1"/>
  <c r="BI800" i="59" s="1"/>
  <c r="BH801" i="59" l="1"/>
  <c r="BI801" i="59" s="1"/>
  <c r="BH802" i="59" l="1"/>
  <c r="BI802" i="59" s="1"/>
  <c r="BH803" i="59" l="1"/>
  <c r="BI803" i="59" s="1"/>
  <c r="BH804" i="59" l="1"/>
  <c r="BI804" i="59" s="1"/>
  <c r="BH805" i="59" l="1"/>
  <c r="BI805" i="59" s="1"/>
  <c r="BH806" i="59" l="1"/>
  <c r="BI806" i="59" s="1"/>
  <c r="BH807" i="59" l="1"/>
  <c r="BI807" i="59" s="1"/>
  <c r="BH931" i="59" l="1"/>
  <c r="BI931" i="59" s="1"/>
  <c r="BH808" i="59"/>
  <c r="BI808" i="59" s="1"/>
  <c r="BH809" i="59" l="1"/>
  <c r="BI809" i="59" s="1"/>
  <c r="BH810" i="59" l="1"/>
  <c r="BI810" i="59" s="1"/>
  <c r="BH811" i="59" l="1"/>
  <c r="BI811" i="59" s="1"/>
  <c r="BH812" i="59" l="1"/>
  <c r="BI812" i="59" s="1"/>
  <c r="BH813" i="59" l="1"/>
  <c r="BI813" i="59" s="1"/>
  <c r="BH814" i="59" l="1"/>
  <c r="BI814" i="59" s="1"/>
  <c r="BH815" i="59" l="1"/>
  <c r="BI815" i="59" s="1"/>
  <c r="BH816" i="59" l="1"/>
  <c r="BI816" i="59" s="1"/>
  <c r="BH817" i="59" l="1"/>
  <c r="BI817" i="59" s="1"/>
  <c r="BH818" i="59" l="1"/>
  <c r="BI818" i="59" s="1"/>
  <c r="BH819" i="59" l="1"/>
  <c r="BI819" i="59" s="1"/>
  <c r="BH820" i="59" l="1"/>
  <c r="BI820" i="59" s="1"/>
  <c r="BH821" i="59" l="1"/>
  <c r="BI821" i="59" s="1"/>
  <c r="BH822" i="59" l="1"/>
  <c r="BI822" i="59" s="1"/>
  <c r="BH823" i="59" l="1"/>
  <c r="BI823" i="59" s="1"/>
  <c r="BH824" i="59" l="1"/>
  <c r="BI824" i="59" s="1"/>
  <c r="BH825" i="59" l="1"/>
  <c r="BI825" i="59" s="1"/>
  <c r="BH826" i="59" l="1"/>
  <c r="BI826" i="59" s="1"/>
  <c r="BH827" i="59" l="1"/>
  <c r="BI827" i="59" s="1"/>
  <c r="BH828" i="59" l="1"/>
  <c r="BI828" i="59" s="1"/>
  <c r="BH829" i="59" l="1"/>
  <c r="BI829" i="59" s="1"/>
  <c r="BH830" i="59" l="1"/>
  <c r="BI830" i="59" s="1"/>
  <c r="BH831" i="59" l="1"/>
  <c r="BI831" i="59" s="1"/>
  <c r="BH652" i="59" l="1"/>
  <c r="BI652" i="59" s="1"/>
  <c r="BH639" i="59" l="1"/>
  <c r="BI639" i="59" s="1"/>
  <c r="BH525" i="59" l="1"/>
  <c r="BI525" i="59" s="1"/>
  <c r="BH526" i="59" l="1"/>
  <c r="BI526" i="59" s="1"/>
  <c r="BH527" i="59" l="1"/>
  <c r="BI527" i="59" s="1"/>
  <c r="BH528" i="59" l="1"/>
  <c r="BI528" i="59" s="1"/>
  <c r="BH529" i="59" l="1"/>
  <c r="BI529" i="59" s="1"/>
  <c r="BH530" i="59" l="1"/>
  <c r="BI530" i="59" s="1"/>
  <c r="BH531" i="59" l="1"/>
  <c r="BI531" i="59" s="1"/>
  <c r="BH532" i="59" l="1"/>
  <c r="BI532" i="59" s="1"/>
  <c r="BH533" i="59" l="1"/>
  <c r="BI533" i="59" s="1"/>
  <c r="BH534" i="59" l="1"/>
  <c r="BI534" i="59" s="1"/>
  <c r="BH535" i="59" l="1"/>
  <c r="BI535" i="59" s="1"/>
  <c r="BH536" i="59" l="1"/>
  <c r="BI536" i="59" s="1"/>
  <c r="BH537" i="59" l="1"/>
  <c r="BI537" i="59" s="1"/>
  <c r="BH538" i="59" l="1"/>
  <c r="BI538" i="59" s="1"/>
  <c r="BH539" i="59" l="1"/>
  <c r="BI539" i="59" s="1"/>
  <c r="BH540" i="59" l="1"/>
  <c r="BI540" i="59" s="1"/>
  <c r="BH541" i="59" l="1"/>
  <c r="BI541" i="59" s="1"/>
  <c r="BH542" i="59" l="1"/>
  <c r="BI542" i="59" s="1"/>
  <c r="BH929" i="59" l="1"/>
  <c r="BI929" i="59" s="1"/>
  <c r="BH247" i="59"/>
  <c r="BI247" i="59" s="1"/>
  <c r="BH694" i="59"/>
  <c r="BI694" i="59" s="1"/>
  <c r="BH237" i="59"/>
  <c r="BI237" i="59" s="1"/>
  <c r="BH242" i="59"/>
  <c r="BI242" i="59" s="1"/>
  <c r="BH375" i="59"/>
  <c r="BI375" i="59" s="1"/>
  <c r="BH932" i="59"/>
  <c r="BI932" i="59" s="1"/>
  <c r="BH496" i="59"/>
  <c r="BI496" i="59" s="1"/>
  <c r="BH399" i="59"/>
  <c r="BI399" i="59" s="1"/>
  <c r="BH266" i="59"/>
  <c r="BI266" i="59" s="1"/>
  <c r="BH361" i="59"/>
  <c r="BI361" i="59" s="1"/>
  <c r="BH926" i="59"/>
  <c r="BI926" i="59" s="1"/>
  <c r="BH282" i="59"/>
  <c r="BI282" i="59" s="1"/>
  <c r="BH874" i="59"/>
  <c r="BI874" i="59" s="1"/>
  <c r="BH298" i="59"/>
  <c r="BI298" i="59" s="1"/>
  <c r="BH495" i="59"/>
  <c r="BI495" i="59" s="1"/>
  <c r="BH722" i="59"/>
  <c r="BI722" i="59" s="1"/>
  <c r="BH428" i="59"/>
  <c r="BI428" i="59" s="1"/>
  <c r="BH935" i="59"/>
  <c r="BI935" i="59" s="1"/>
  <c r="BH324" i="59"/>
  <c r="BI324" i="59" s="1"/>
  <c r="BH485" i="59"/>
  <c r="BI485" i="59" s="1"/>
  <c r="BH349" i="59"/>
  <c r="BI349" i="59" s="1"/>
  <c r="BH440" i="59"/>
  <c r="BI440" i="59" s="1"/>
  <c r="BH741" i="59"/>
  <c r="BI741" i="59" s="1"/>
  <c r="BH353" i="59"/>
  <c r="BI353" i="59" s="1"/>
  <c r="BH726" i="59"/>
  <c r="BI726" i="59" s="1"/>
  <c r="BH299" i="59"/>
  <c r="BI299" i="59" s="1"/>
  <c r="BH215" i="59"/>
  <c r="BI215" i="59" s="1"/>
  <c r="BH872" i="59"/>
  <c r="BI872" i="59" s="1"/>
  <c r="BH949" i="59"/>
  <c r="BI949" i="59" s="1"/>
  <c r="BH261" i="59"/>
  <c r="BI261" i="59" s="1"/>
  <c r="BH226" i="59"/>
  <c r="BI226" i="59" s="1"/>
  <c r="BH835" i="59"/>
  <c r="BI835" i="59" s="1"/>
  <c r="BH291" i="59"/>
  <c r="BI291" i="59" s="1"/>
  <c r="BH355" i="59"/>
  <c r="BI355" i="59" s="1"/>
  <c r="BH396" i="59"/>
  <c r="BI396" i="59" s="1"/>
  <c r="BH245" i="59"/>
  <c r="BI245" i="59" s="1"/>
  <c r="BH351" i="59"/>
  <c r="BI351" i="59" s="1"/>
  <c r="BH928" i="59"/>
  <c r="BI928" i="59" s="1"/>
  <c r="BH513" i="59"/>
  <c r="BI513" i="59" s="1"/>
  <c r="BH309" i="59"/>
  <c r="BI309" i="59" s="1"/>
  <c r="BH443" i="59"/>
  <c r="BI443" i="59" s="1"/>
  <c r="BH472" i="59"/>
  <c r="BI472" i="59" s="1"/>
  <c r="BH301" i="59"/>
  <c r="BI301" i="59" s="1"/>
  <c r="BH285" i="59"/>
  <c r="BI285" i="59" s="1"/>
  <c r="BH246" i="59"/>
  <c r="BI246" i="59" s="1"/>
  <c r="BH628" i="59"/>
  <c r="BI628" i="59" s="1"/>
  <c r="BH866" i="59"/>
  <c r="BI866" i="59" s="1"/>
  <c r="BH418" i="59"/>
  <c r="BI418" i="59" s="1"/>
  <c r="BH633" i="59"/>
  <c r="BI633" i="59" s="1"/>
  <c r="BH376" i="59"/>
  <c r="BI376" i="59" s="1"/>
  <c r="BH436" i="59"/>
  <c r="BI436" i="59" s="1"/>
  <c r="BH254" i="59"/>
  <c r="BI254" i="59" s="1"/>
  <c r="BH225" i="59"/>
  <c r="BI225" i="59" s="1"/>
  <c r="BH511" i="59"/>
  <c r="BI511" i="59" s="1"/>
  <c r="BH889" i="59"/>
  <c r="BI889" i="59" s="1"/>
  <c r="BH908" i="59"/>
  <c r="BI908" i="59" s="1"/>
  <c r="BH873" i="59"/>
  <c r="BI873" i="59" s="1"/>
  <c r="BH688" i="59"/>
  <c r="BI688" i="59" s="1"/>
  <c r="BH248" i="59"/>
  <c r="BI248" i="59" s="1"/>
  <c r="BH860" i="59"/>
  <c r="BI860" i="59" s="1"/>
  <c r="BH409" i="59"/>
  <c r="BI409" i="59" s="1"/>
  <c r="BH723" i="59"/>
  <c r="BI723" i="59" s="1"/>
  <c r="BH391" i="59"/>
  <c r="BI391" i="59" s="1"/>
  <c r="BH703" i="59"/>
  <c r="BI703" i="59" s="1"/>
  <c r="BH236" i="59"/>
  <c r="BI236" i="59" s="1"/>
  <c r="BH837" i="59"/>
  <c r="BI837" i="59" s="1"/>
  <c r="BH631" i="59"/>
  <c r="BI631" i="59" s="1"/>
  <c r="BH701" i="59"/>
  <c r="BI701" i="59" s="1"/>
  <c r="BH909" i="59"/>
  <c r="BI909" i="59" s="1"/>
  <c r="BH940" i="59"/>
  <c r="BI940" i="59" s="1"/>
  <c r="BH623" i="59"/>
  <c r="BI623" i="59" s="1"/>
  <c r="BH392" i="59"/>
  <c r="BI392" i="59" s="1"/>
  <c r="BH253" i="59"/>
  <c r="BI253" i="59" s="1"/>
  <c r="BH476" i="59"/>
  <c r="BI476" i="59" s="1"/>
  <c r="BH290" i="59"/>
  <c r="BI290" i="59" s="1"/>
  <c r="BH283" i="59"/>
  <c r="BI283" i="59" s="1"/>
  <c r="BH406" i="59"/>
  <c r="BI406" i="59" s="1"/>
  <c r="BH279" i="59"/>
  <c r="BI279" i="59" s="1"/>
  <c r="BH730" i="59"/>
  <c r="BI730" i="59" s="1"/>
  <c r="BH373" i="59"/>
  <c r="BI373" i="59" s="1"/>
  <c r="BH410" i="59"/>
  <c r="BI410" i="59" s="1"/>
  <c r="BH470" i="59"/>
  <c r="BI470" i="59" s="1"/>
  <c r="BH501" i="59"/>
  <c r="BI501" i="59" s="1"/>
  <c r="BH512" i="59"/>
  <c r="BI512" i="59" s="1"/>
  <c r="BH224" i="59"/>
  <c r="BI224" i="59" s="1"/>
  <c r="BH856" i="59"/>
  <c r="BI856" i="59" s="1"/>
  <c r="BH492" i="59"/>
  <c r="BI492" i="59" s="1"/>
  <c r="BH859" i="59"/>
  <c r="BI859" i="59" s="1"/>
  <c r="BH864" i="59"/>
  <c r="BI864" i="59" s="1"/>
  <c r="BH634" i="59"/>
  <c r="BI634" i="59" s="1"/>
  <c r="BH439" i="59"/>
  <c r="BI439" i="59" s="1"/>
  <c r="BH395" i="59"/>
  <c r="BI395" i="59" s="1"/>
  <c r="BH691" i="59"/>
  <c r="BI691" i="59" s="1"/>
  <c r="BH453" i="59"/>
  <c r="BI453" i="59" s="1"/>
  <c r="BH876" i="59"/>
  <c r="BI876" i="59" s="1"/>
  <c r="BH489" i="59"/>
  <c r="BI489" i="59" s="1"/>
  <c r="BH861" i="59"/>
  <c r="BI861" i="59" s="1"/>
  <c r="BH749" i="59"/>
  <c r="BI749" i="59" s="1"/>
  <c r="BH263" i="59"/>
  <c r="BI263" i="59" s="1"/>
  <c r="BH389" i="59"/>
  <c r="BI389" i="59" s="1"/>
  <c r="BH471" i="59"/>
  <c r="BI471" i="59" s="1"/>
  <c r="BH948" i="59"/>
  <c r="BI948" i="59" s="1"/>
  <c r="BH313" i="59"/>
  <c r="BI313" i="59" s="1"/>
  <c r="BH292" i="59"/>
  <c r="BI292" i="59" s="1"/>
  <c r="BH728" i="59"/>
  <c r="BI728" i="59" s="1"/>
  <c r="BH257" i="59"/>
  <c r="BI257" i="59" s="1"/>
  <c r="BH318" i="59"/>
  <c r="BI318" i="59" s="1"/>
  <c r="BH305" i="59"/>
  <c r="BI305" i="59" s="1"/>
  <c r="BH267" i="59"/>
  <c r="BI267" i="59" s="1"/>
  <c r="BH466" i="59"/>
  <c r="BI466" i="59" s="1"/>
  <c r="BH425" i="59"/>
  <c r="BI425" i="59" s="1"/>
  <c r="BH426" i="59"/>
  <c r="BI426" i="59" s="1"/>
  <c r="BH857" i="59"/>
  <c r="BI857" i="59" s="1"/>
  <c r="BH420" i="59"/>
  <c r="BI420" i="59" s="1"/>
  <c r="BH314" i="59"/>
  <c r="BI314" i="59" s="1"/>
  <c r="BH461" i="59"/>
  <c r="BI461" i="59" s="1"/>
  <c r="BH265" i="59"/>
  <c r="BI265" i="59" s="1"/>
  <c r="BH684" i="59"/>
  <c r="BI684" i="59" s="1"/>
  <c r="BH354" i="59"/>
  <c r="BI354" i="59" s="1"/>
  <c r="BH400" i="59"/>
  <c r="BI400" i="59" s="1"/>
  <c r="BH474" i="59"/>
  <c r="BI474" i="59" s="1"/>
  <c r="BH252" i="59"/>
  <c r="BI252" i="59" s="1"/>
  <c r="BH328" i="59"/>
  <c r="BI328" i="59" s="1"/>
  <c r="BH697" i="59"/>
  <c r="BI697" i="59" s="1"/>
  <c r="BH331" i="59"/>
  <c r="BI331" i="59" s="1"/>
  <c r="BH441" i="59"/>
  <c r="BI441" i="59" s="1"/>
  <c r="BH870" i="59"/>
  <c r="BI870" i="59" s="1"/>
  <c r="BH834" i="59"/>
  <c r="BI834" i="59" s="1"/>
  <c r="BH387" i="59"/>
  <c r="BI387" i="59" s="1"/>
  <c r="BH842" i="59"/>
  <c r="BI842" i="59" s="1"/>
  <c r="BH312" i="59"/>
  <c r="BI312" i="59" s="1"/>
  <c r="BH641" i="59"/>
  <c r="BI641" i="59" s="1"/>
  <c r="BH724" i="59"/>
  <c r="BI724" i="59" s="1"/>
  <c r="BH256" i="59"/>
  <c r="BI256" i="59" s="1"/>
  <c r="BH271" i="59"/>
  <c r="BI271" i="59" s="1"/>
  <c r="BH415" i="59"/>
  <c r="BI415" i="59" s="1"/>
  <c r="BH268" i="59"/>
  <c r="BI268" i="59" s="1"/>
  <c r="BH702" i="59"/>
  <c r="BI702" i="59" s="1"/>
  <c r="BH490" i="59"/>
  <c r="BI490" i="59" s="1"/>
  <c r="BH721" i="59"/>
  <c r="BI721" i="59" s="1"/>
  <c r="BH927" i="59"/>
  <c r="BI927" i="59" s="1"/>
  <c r="BH423" i="59"/>
  <c r="BI423" i="59" s="1"/>
  <c r="BH427" i="59"/>
  <c r="BI427" i="59" s="1"/>
  <c r="BH319" i="59"/>
  <c r="BI319" i="59" s="1"/>
  <c r="BH845" i="59"/>
  <c r="BI845" i="59" s="1"/>
  <c r="BH699" i="59"/>
  <c r="BI699" i="59" s="1"/>
  <c r="BH320" i="59"/>
  <c r="BI320" i="59" s="1"/>
  <c r="BH846" i="59"/>
  <c r="BI846" i="59" s="1"/>
  <c r="BH457" i="59"/>
  <c r="BI457" i="59" s="1"/>
  <c r="BH734" i="59"/>
  <c r="BI734" i="59" s="1"/>
  <c r="BH388" i="59"/>
  <c r="BI388" i="59" s="1"/>
  <c r="BH264" i="59"/>
  <c r="BI264" i="59" s="1"/>
  <c r="BH832" i="59"/>
  <c r="BI832" i="59" s="1"/>
  <c r="BH906" i="59"/>
  <c r="BI906" i="59" s="1"/>
  <c r="BH414" i="59"/>
  <c r="BI414" i="59" s="1"/>
  <c r="BH300" i="59"/>
  <c r="BI300" i="59" s="1"/>
  <c r="BH841" i="59"/>
  <c r="BI841" i="59" s="1"/>
  <c r="BH481" i="59"/>
  <c r="BI481" i="59" s="1"/>
  <c r="BH311" i="59"/>
  <c r="BI311" i="59" s="1"/>
  <c r="BH430" i="59"/>
  <c r="BI430" i="59" s="1"/>
  <c r="BH714" i="59"/>
  <c r="BI714" i="59" s="1"/>
  <c r="BH350" i="59"/>
  <c r="BI350" i="59" s="1"/>
  <c r="BH888" i="59"/>
  <c r="BI888" i="59" s="1"/>
  <c r="BH363" i="59"/>
  <c r="BI363" i="59" s="1"/>
  <c r="BH255" i="59"/>
  <c r="BI255" i="59" s="1"/>
  <c r="BH317" i="59"/>
  <c r="BI317" i="59" s="1"/>
  <c r="BH469" i="59"/>
  <c r="BI469" i="59" s="1"/>
  <c r="BH499" i="59"/>
  <c r="BI499" i="59" s="1"/>
  <c r="BH706" i="59"/>
  <c r="BI706" i="59" s="1"/>
  <c r="BH863" i="59"/>
  <c r="BI863" i="59" s="1"/>
  <c r="BH844" i="59"/>
  <c r="BI844" i="59" s="1"/>
  <c r="BH731" i="59"/>
  <c r="BI731" i="59" s="1"/>
  <c r="BH321" i="59"/>
  <c r="BI321" i="59" s="1"/>
  <c r="BH690" i="59"/>
  <c r="BI690" i="59" s="1"/>
  <c r="BH87" i="59"/>
  <c r="BI87" i="59" s="1"/>
  <c r="BH295" i="59"/>
  <c r="BI295" i="59" s="1"/>
  <c r="BH488" i="59"/>
  <c r="BI488" i="59" s="1"/>
  <c r="BH297" i="59"/>
  <c r="BI297" i="59" s="1"/>
  <c r="BH607" i="59"/>
  <c r="BI607" i="59" s="1"/>
  <c r="BH507" i="59"/>
  <c r="BI507" i="59" s="1"/>
  <c r="BH306" i="59"/>
  <c r="BI306" i="59" s="1"/>
  <c r="BH315" i="59"/>
  <c r="BI315" i="59" s="1"/>
  <c r="BH284" i="59"/>
  <c r="BI284" i="59" s="1"/>
  <c r="BH310" i="59"/>
  <c r="BI310" i="59" s="1"/>
  <c r="BH416" i="59"/>
  <c r="BI416" i="59" s="1"/>
  <c r="BH447" i="59"/>
  <c r="BI447" i="59" s="1"/>
  <c r="BH673" i="59"/>
  <c r="BI673" i="59" s="1"/>
  <c r="BH286" i="59"/>
  <c r="BI286" i="59" s="1"/>
  <c r="BH649" i="59"/>
  <c r="BI649" i="59" s="1"/>
  <c r="BH335" i="59"/>
  <c r="BI335" i="59" s="1"/>
  <c r="BH398" i="59"/>
  <c r="BI398" i="59" s="1"/>
  <c r="BH850" i="59"/>
  <c r="BI850" i="59" s="1"/>
  <c r="BH858" i="59"/>
  <c r="BI858" i="59" s="1"/>
  <c r="BH269" i="59"/>
  <c r="BI269" i="59" s="1"/>
  <c r="BH304" i="59"/>
  <c r="BI304" i="59" s="1"/>
  <c r="BH508" i="59"/>
  <c r="BI508" i="59" s="1"/>
  <c r="BH606" i="59"/>
  <c r="BI606" i="59" s="1"/>
  <c r="BH442" i="59"/>
  <c r="BI442" i="59" s="1"/>
  <c r="BH936" i="59"/>
  <c r="BI936" i="59" s="1"/>
  <c r="BH357" i="59"/>
  <c r="BI357" i="59" s="1"/>
  <c r="BH326" i="59"/>
  <c r="BI326" i="59" s="1"/>
  <c r="BH668" i="59"/>
  <c r="BI668" i="59" s="1"/>
  <c r="BH750" i="59"/>
  <c r="BI750" i="59" s="1"/>
  <c r="BH693" i="59"/>
  <c r="BI693" i="59" s="1"/>
  <c r="BH462" i="59"/>
  <c r="BI462" i="59" s="1"/>
  <c r="BH401" i="59"/>
  <c r="BI401" i="59" s="1"/>
  <c r="BH437" i="59"/>
  <c r="BI437" i="59" s="1"/>
  <c r="BH217" i="59"/>
  <c r="BI217" i="59" s="1"/>
  <c r="BH296" i="59"/>
  <c r="BI296" i="59" s="1"/>
  <c r="BH337" i="59"/>
  <c r="BI337" i="59" s="1"/>
  <c r="BH930" i="59"/>
  <c r="BI930" i="59" s="1"/>
  <c r="BH685" i="59"/>
  <c r="BI685" i="59" s="1"/>
  <c r="BH732" i="59"/>
  <c r="BI732" i="59" s="1"/>
  <c r="BH451" i="59"/>
  <c r="BI451" i="59" s="1"/>
  <c r="BH619" i="59"/>
  <c r="BI619" i="59" s="1"/>
  <c r="BH635" i="59"/>
  <c r="BI635" i="59" s="1"/>
  <c r="BH506" i="59"/>
  <c r="BI506" i="59" s="1"/>
  <c r="BH709" i="59"/>
  <c r="BI709" i="59" s="1"/>
  <c r="BH277" i="59"/>
  <c r="BI277" i="59" s="1"/>
  <c r="BH344" i="59"/>
  <c r="BI344" i="59" s="1"/>
  <c r="BH689" i="59"/>
  <c r="BI689" i="59" s="1"/>
  <c r="BH868" i="59"/>
  <c r="BI868" i="59" s="1"/>
  <c r="BH875" i="59"/>
  <c r="BI875" i="59" s="1"/>
  <c r="BH520" i="59"/>
  <c r="BI520" i="59" s="1"/>
  <c r="BH509" i="59"/>
  <c r="BI509" i="59" s="1"/>
  <c r="BH510" i="59"/>
  <c r="BI510" i="59" s="1"/>
  <c r="BH307" i="59"/>
  <c r="BI307" i="59" s="1"/>
  <c r="BH368" i="59"/>
  <c r="BI368" i="59" s="1"/>
  <c r="BH404" i="59"/>
  <c r="BI404" i="59" s="1"/>
  <c r="BH854" i="59"/>
  <c r="BI854" i="59" s="1"/>
  <c r="BH372" i="59"/>
  <c r="BI372" i="59" s="1"/>
  <c r="BH648" i="59"/>
  <c r="BI648" i="59" s="1"/>
  <c r="BH621" i="59"/>
  <c r="BI621" i="59" s="1"/>
  <c r="BH347" i="59"/>
  <c r="BI347" i="59" s="1"/>
  <c r="BH843" i="59"/>
  <c r="BI843" i="59" s="1"/>
  <c r="BH907" i="59"/>
  <c r="BI907" i="59" s="1"/>
  <c r="BH417" i="59"/>
  <c r="BI417" i="59" s="1"/>
  <c r="BH465" i="59"/>
  <c r="BI465" i="59" s="1"/>
  <c r="BH708" i="59"/>
  <c r="BI708" i="59" s="1"/>
  <c r="BH281" i="59"/>
  <c r="BI281" i="59" s="1"/>
  <c r="BH640" i="59"/>
  <c r="BI640" i="59" s="1"/>
  <c r="BH358" i="59"/>
  <c r="BI358" i="59" s="1"/>
  <c r="BH867" i="59"/>
  <c r="BI867" i="59" s="1"/>
  <c r="BH433" i="59"/>
  <c r="BI433" i="59" s="1"/>
  <c r="BH705" i="59"/>
  <c r="BI705" i="59" s="1"/>
  <c r="BH905" i="59"/>
  <c r="BI905" i="59" s="1"/>
  <c r="BH397" i="59"/>
  <c r="BI397" i="59" s="1"/>
  <c r="BH325" i="59"/>
  <c r="BI325" i="59" s="1"/>
  <c r="BH871" i="59"/>
  <c r="BI871" i="59" s="1"/>
  <c r="BH836" i="59"/>
  <c r="BI836" i="59" s="1"/>
  <c r="BH627" i="59"/>
  <c r="BI627" i="59" s="1"/>
  <c r="BH946" i="59"/>
  <c r="BI946" i="59" s="1"/>
  <c r="BH947" i="59"/>
  <c r="BI947" i="59" s="1"/>
  <c r="BH386" i="59"/>
  <c r="BI386" i="59" s="1"/>
  <c r="BH450" i="59"/>
  <c r="BI450" i="59" s="1"/>
  <c r="BH643" i="59"/>
  <c r="BI643" i="59" s="1"/>
  <c r="BH632" i="59"/>
  <c r="BI632" i="59" s="1"/>
  <c r="BH276" i="59"/>
  <c r="BI276" i="59" s="1"/>
  <c r="BH479" i="59"/>
  <c r="BI479" i="59" s="1"/>
  <c r="BH716" i="59"/>
  <c r="BI716" i="59" s="1"/>
  <c r="BH334" i="59"/>
  <c r="BI334" i="59" s="1"/>
  <c r="BH40" i="59"/>
  <c r="BI40" i="59" s="1"/>
  <c r="BH452" i="59"/>
  <c r="BI452" i="59" s="1"/>
  <c r="BH944" i="59"/>
  <c r="BI944" i="59" s="1"/>
  <c r="BH638" i="59"/>
  <c r="BI638" i="59" s="1"/>
  <c r="BH715" i="59"/>
  <c r="BI715" i="59" s="1"/>
  <c r="BH222" i="59"/>
  <c r="BI222" i="59" s="1"/>
  <c r="BH647" i="59"/>
  <c r="BI647" i="59" s="1"/>
  <c r="BH700" i="59"/>
  <c r="BI700" i="59" s="1"/>
  <c r="BH637" i="59"/>
  <c r="BI637" i="59" s="1"/>
  <c r="BH403" i="59"/>
  <c r="BI403" i="59" s="1"/>
  <c r="BH445" i="59"/>
  <c r="BI445" i="59" s="1"/>
  <c r="BH853" i="59"/>
  <c r="BI853" i="59" s="1"/>
  <c r="BH371" i="59"/>
  <c r="BI371" i="59" s="1"/>
  <c r="BH612" i="59"/>
  <c r="BI612" i="59" s="1"/>
  <c r="BH622" i="59"/>
  <c r="BI622" i="59" s="1"/>
  <c r="BH903" i="59"/>
  <c r="BI903" i="59" s="1"/>
  <c r="BH950" i="59"/>
  <c r="BI950" i="59" s="1"/>
  <c r="BH473" i="59"/>
  <c r="BI473" i="59" s="1"/>
  <c r="BH278" i="59"/>
  <c r="BI278" i="59" s="1"/>
  <c r="BH610" i="59"/>
  <c r="BI610" i="59" s="1"/>
  <c r="BH367" i="59"/>
  <c r="BI367" i="59" s="1"/>
  <c r="BH613" i="59"/>
  <c r="BI613" i="59" s="1"/>
  <c r="BH424" i="59"/>
  <c r="BI424" i="59" s="1"/>
  <c r="BH687" i="59"/>
  <c r="BI687" i="59" s="1"/>
  <c r="BH364" i="59"/>
  <c r="BI364" i="59" s="1"/>
  <c r="BH614" i="59"/>
  <c r="BI614" i="59" s="1"/>
  <c r="BH405" i="59"/>
  <c r="BI405" i="59" s="1"/>
  <c r="BH340" i="59"/>
  <c r="BI340" i="59" s="1"/>
  <c r="BH456" i="59"/>
  <c r="BI456" i="59" s="1"/>
  <c r="BH346" i="59"/>
  <c r="BI346" i="59" s="1"/>
  <c r="BH491" i="59"/>
  <c r="BI491" i="59" s="1"/>
  <c r="BH302" i="59"/>
  <c r="BI302" i="59" s="1"/>
  <c r="BH483" i="59"/>
  <c r="BI483" i="59" s="1"/>
  <c r="BH717" i="59"/>
  <c r="BI717" i="59" s="1"/>
  <c r="BH923" i="59"/>
  <c r="BI923" i="59" s="1"/>
  <c r="BH449" i="59"/>
  <c r="BI449" i="59" s="1"/>
  <c r="BH516" i="59"/>
  <c r="BI516" i="59" s="1"/>
  <c r="BH504" i="59"/>
  <c r="BI504" i="59" s="1"/>
  <c r="BH712" i="59"/>
  <c r="BI712" i="59" s="1"/>
  <c r="BH339" i="59"/>
  <c r="BI339" i="59" s="1"/>
  <c r="BH938" i="59"/>
  <c r="BI938" i="59" s="1"/>
  <c r="BH352" i="59"/>
  <c r="BI352" i="59" s="1"/>
  <c r="BH478" i="59"/>
  <c r="BI478" i="59" s="1"/>
  <c r="BH922" i="59"/>
  <c r="BI922" i="59" s="1"/>
  <c r="BH39" i="59"/>
  <c r="BI39" i="59" s="1"/>
  <c r="BH725" i="59"/>
  <c r="BI725" i="59" s="1"/>
  <c r="BH943" i="59"/>
  <c r="BI943" i="59" s="1"/>
  <c r="BH727" i="59"/>
  <c r="BI727" i="59" s="1"/>
  <c r="BH519" i="59"/>
  <c r="BI519" i="59" s="1"/>
  <c r="BH658" i="59"/>
  <c r="BI658" i="59" s="1"/>
  <c r="BH390" i="59"/>
  <c r="BI390" i="59" s="1"/>
  <c r="BH713" i="59"/>
  <c r="BI713" i="59" s="1"/>
  <c r="BH733" i="59"/>
  <c r="BI733" i="59" s="1"/>
  <c r="BH862" i="59"/>
  <c r="BI862" i="59" s="1"/>
  <c r="BH293" i="59"/>
  <c r="BI293" i="59" s="1"/>
  <c r="BH402" i="59"/>
  <c r="BI402" i="59" s="1"/>
  <c r="BH270" i="59"/>
  <c r="BI270" i="59" s="1"/>
  <c r="BH446" i="59"/>
  <c r="BI446" i="59" s="1"/>
  <c r="BH698" i="59"/>
  <c r="BI698" i="59" s="1"/>
  <c r="BH852" i="59"/>
  <c r="BI852" i="59" s="1"/>
  <c r="BH431" i="59"/>
  <c r="BI431" i="59" s="1"/>
  <c r="BH275" i="59"/>
  <c r="BI275" i="59" s="1"/>
  <c r="BH945" i="59"/>
  <c r="BI945" i="59" s="1"/>
  <c r="BH704" i="59"/>
  <c r="BI704" i="59" s="1"/>
  <c r="BH475" i="59"/>
  <c r="BI475" i="59" s="1"/>
  <c r="BH482" i="59"/>
  <c r="BI482" i="59" s="1"/>
  <c r="BH216" i="59"/>
  <c r="BI216" i="59" s="1"/>
  <c r="BH362" i="59"/>
  <c r="BI362" i="59" s="1"/>
  <c r="BH904" i="59"/>
  <c r="BI904" i="59" s="1"/>
  <c r="BH878" i="59"/>
  <c r="BI878" i="59" s="1"/>
  <c r="BH366" i="59"/>
  <c r="BI366" i="59" s="1"/>
  <c r="BH869" i="59"/>
  <c r="BI869" i="59" s="1"/>
  <c r="BH345" i="59"/>
  <c r="BI345" i="59" s="1"/>
  <c r="BH294" i="59"/>
  <c r="BI294" i="59" s="1"/>
  <c r="BH272" i="59"/>
  <c r="BI272" i="59" s="1"/>
  <c r="BH464" i="59"/>
  <c r="BI464" i="59" s="1"/>
  <c r="BH419" i="59"/>
  <c r="BI419" i="59" s="1"/>
  <c r="BH849" i="59"/>
  <c r="BI849" i="59" s="1"/>
  <c r="BH323" i="59"/>
  <c r="BI323" i="59" s="1"/>
  <c r="BH665" i="59"/>
  <c r="BI665" i="59" s="1"/>
  <c r="BH308" i="59"/>
  <c r="BI308" i="59" s="1"/>
  <c r="BH435" i="59"/>
  <c r="BI435" i="59" s="1"/>
  <c r="BH718" i="59"/>
  <c r="BI718" i="59" s="1"/>
  <c r="BH839" i="59"/>
  <c r="BI839" i="59" s="1"/>
  <c r="BH448" i="59"/>
  <c r="BI448" i="59" s="1"/>
  <c r="BH616" i="59"/>
  <c r="BI616" i="59" s="1"/>
  <c r="BH605" i="59"/>
  <c r="BI605" i="59" s="1"/>
  <c r="BH503" i="59"/>
  <c r="BI503" i="59" s="1"/>
  <c r="BH710" i="59"/>
  <c r="BI710" i="59" s="1"/>
  <c r="BH274" i="59"/>
  <c r="BI274" i="59" s="1"/>
  <c r="BH338" i="59"/>
  <c r="BI338" i="59" s="1"/>
  <c r="BH937" i="59"/>
  <c r="BI937" i="59" s="1"/>
  <c r="BH484" i="59"/>
  <c r="BI484" i="59" s="1"/>
  <c r="BH645" i="59"/>
  <c r="BI645" i="59" s="1"/>
  <c r="BH38" i="59"/>
  <c r="BI38" i="59" s="1"/>
  <c r="BH91" i="59"/>
  <c r="BI91" i="59" s="1"/>
  <c r="BH751" i="59"/>
  <c r="BI751" i="59" s="1"/>
  <c r="BH933" i="59"/>
  <c r="BI933" i="59" s="1"/>
  <c r="BH925" i="59"/>
  <c r="BI925" i="59" s="1"/>
  <c r="BH666" i="59"/>
  <c r="BI666" i="59" s="1"/>
  <c r="BH421" i="59"/>
  <c r="BI421" i="59" s="1"/>
  <c r="BH303" i="59"/>
  <c r="BI303" i="59" s="1"/>
  <c r="BH505" i="59"/>
  <c r="BI505" i="59" s="1"/>
  <c r="BH408" i="59"/>
  <c r="BI408" i="59" s="1"/>
  <c r="BH370" i="59"/>
  <c r="BI370" i="59" s="1"/>
  <c r="BH486" i="59"/>
  <c r="BI486" i="59" s="1"/>
  <c r="BH280" i="59"/>
  <c r="BI280" i="59" s="1"/>
  <c r="BH934" i="59"/>
  <c r="BI934" i="59" s="1"/>
  <c r="BH720" i="59"/>
  <c r="BI720" i="59" s="1"/>
  <c r="BH412" i="59"/>
  <c r="BI412" i="59" s="1"/>
  <c r="BH855" i="59"/>
  <c r="BI855" i="59" s="1"/>
  <c r="BH365" i="59"/>
  <c r="BI365" i="59" s="1"/>
  <c r="BH356" i="59"/>
  <c r="BI356" i="59" s="1"/>
  <c r="BH444" i="59"/>
  <c r="BI444" i="59" s="1"/>
  <c r="BH455" i="59"/>
  <c r="BI455" i="59" s="1"/>
  <c r="BH429" i="59"/>
  <c r="BI429" i="59" s="1"/>
  <c r="BH494" i="59"/>
  <c r="BI494" i="59" s="1"/>
  <c r="BH223" i="59"/>
  <c r="BI223" i="59" s="1"/>
  <c r="BH646" i="59"/>
  <c r="BI646" i="59" s="1"/>
  <c r="BH251" i="59"/>
  <c r="BI251" i="59" s="1"/>
  <c r="BH385" i="59"/>
  <c r="BI385" i="59" s="1"/>
  <c r="BH686" i="59"/>
  <c r="BI686" i="59" s="1"/>
  <c r="BH438" i="59"/>
  <c r="BI438" i="59" s="1"/>
  <c r="BH880" i="59"/>
  <c r="BI880" i="59" s="1"/>
  <c r="BH287" i="59"/>
  <c r="BI287" i="59" s="1"/>
  <c r="BH348" i="59"/>
  <c r="BI348" i="59" s="1"/>
  <c r="BH393" i="59"/>
  <c r="BI393" i="59" s="1"/>
  <c r="BH459" i="59"/>
  <c r="BI459" i="59" s="1"/>
  <c r="BH434" i="59"/>
  <c r="BI434" i="59" s="1"/>
  <c r="BH487" i="59"/>
  <c r="BI487" i="59" s="1"/>
  <c r="BH374" i="59"/>
  <c r="BI374" i="59" s="1"/>
  <c r="BH327" i="59"/>
  <c r="BI327" i="59" s="1"/>
  <c r="BH865" i="59"/>
  <c r="BI865" i="59" s="1"/>
  <c r="BH330" i="59"/>
  <c r="BI330" i="59" s="1"/>
  <c r="BH833" i="59"/>
  <c r="BI833" i="59" s="1"/>
  <c r="BH615" i="59"/>
  <c r="BI615" i="59" s="1"/>
  <c r="BH601" i="59"/>
  <c r="BI601" i="59" s="1"/>
  <c r="BH604" i="59"/>
  <c r="BI604" i="59" s="1"/>
  <c r="BH502" i="59"/>
  <c r="BI502" i="59" s="1"/>
  <c r="BH711" i="59"/>
  <c r="BI711" i="59" s="1"/>
  <c r="BH273" i="59"/>
  <c r="BI273" i="59" s="1"/>
  <c r="BH336" i="59"/>
  <c r="BI336" i="59" s="1"/>
  <c r="BH695" i="59"/>
  <c r="BI695" i="59" s="1"/>
  <c r="BH851" i="59"/>
  <c r="BI851" i="59" s="1"/>
  <c r="BH468" i="59"/>
  <c r="BI468" i="59" s="1"/>
  <c r="BH214" i="59"/>
  <c r="BI214" i="59" s="1"/>
  <c r="BH88" i="59"/>
  <c r="BI88" i="59" s="1"/>
  <c r="BH497" i="59"/>
  <c r="BI497" i="59" s="1"/>
  <c r="BH37" i="59"/>
  <c r="BI37" i="59" s="1"/>
  <c r="BH941" i="59"/>
  <c r="BI941" i="59" s="1"/>
  <c r="BH737" i="59"/>
  <c r="BI737" i="59" s="1"/>
  <c r="BH748" i="59"/>
  <c r="BI748" i="59" s="1"/>
  <c r="BH624" i="59"/>
  <c r="BI624" i="59" s="1"/>
  <c r="BH620" i="59"/>
  <c r="BI620" i="59" s="1"/>
  <c r="BH463" i="59"/>
  <c r="BI463" i="59" s="1"/>
  <c r="BH611" i="59"/>
  <c r="BI611" i="59" s="1"/>
  <c r="BH626" i="59"/>
  <c r="BI626" i="59" s="1"/>
  <c r="BH360" i="59"/>
  <c r="BI360" i="59" s="1"/>
  <c r="BH369" i="59"/>
  <c r="BI369" i="59" s="1"/>
  <c r="BH407" i="59"/>
  <c r="BI407" i="59" s="1"/>
  <c r="BH707" i="59"/>
  <c r="BI707" i="59" s="1"/>
  <c r="BH887" i="59"/>
  <c r="BI887" i="59" s="1"/>
  <c r="BH617" i="59"/>
  <c r="BI617" i="59" s="1"/>
  <c r="BH359" i="59"/>
  <c r="BI359" i="59" s="1"/>
  <c r="BH249" i="59"/>
  <c r="BI249" i="59" s="1"/>
  <c r="BH618" i="59"/>
  <c r="BI618" i="59" s="1"/>
  <c r="BH681" i="59"/>
  <c r="BI681" i="59" s="1"/>
  <c r="BH28" i="59"/>
  <c r="BI28" i="59" s="1"/>
  <c r="BH35" i="59"/>
  <c r="BI35" i="59" s="1"/>
  <c r="BH41" i="59"/>
  <c r="BI41" i="59" s="1"/>
  <c r="BH411" i="59"/>
  <c r="BI411" i="59" s="1"/>
  <c r="BH289" i="59"/>
  <c r="BI289" i="59" s="1"/>
  <c r="BH422" i="59"/>
  <c r="BI422" i="59" s="1"/>
  <c r="BH500" i="59"/>
  <c r="BI500" i="59" s="1"/>
  <c r="BH458" i="59"/>
  <c r="BI458" i="59" s="1"/>
  <c r="BH910" i="59"/>
  <c r="BI910" i="59" s="1"/>
  <c r="BH493" i="59"/>
  <c r="BI493" i="59" s="1"/>
  <c r="BH288" i="59"/>
  <c r="BI288" i="59" s="1"/>
  <c r="BH847" i="59"/>
  <c r="BI847" i="59" s="1"/>
  <c r="BH838" i="59"/>
  <c r="BI838" i="59" s="1"/>
  <c r="BH250" i="59"/>
  <c r="BI250" i="59" s="1"/>
  <c r="BH384" i="59"/>
  <c r="BI384" i="59" s="1"/>
  <c r="BH316" i="59"/>
  <c r="BI316" i="59" s="1"/>
  <c r="BH477" i="59"/>
  <c r="BI477" i="59" s="1"/>
  <c r="BH848" i="59"/>
  <c r="BI848" i="59" s="1"/>
  <c r="BH879" i="59"/>
  <c r="BI879" i="59" s="1"/>
  <c r="BH329" i="59"/>
  <c r="BI329" i="59" s="1"/>
  <c r="BH480" i="59"/>
  <c r="BI480" i="59" s="1"/>
  <c r="BH333" i="59"/>
  <c r="BI333" i="59" s="1"/>
  <c r="BH394" i="59"/>
  <c r="BI394" i="59" s="1"/>
  <c r="BH432" i="59"/>
  <c r="BI432" i="59" s="1"/>
  <c r="BH460" i="59"/>
  <c r="BI460" i="59" s="1"/>
  <c r="BH840" i="59"/>
  <c r="BI840" i="59" s="1"/>
  <c r="BH202" i="59"/>
  <c r="BI202" i="59" s="1"/>
  <c r="BH942" i="59"/>
  <c r="BI942" i="59" s="1"/>
  <c r="BH692" i="59"/>
  <c r="BI692" i="59" s="1"/>
  <c r="BH454" i="59"/>
  <c r="BI454" i="59" s="1"/>
  <c r="BH27" i="59"/>
  <c r="BI27" i="59" s="1"/>
  <c r="BH467" i="59"/>
  <c r="BI467" i="59" s="1"/>
  <c r="BH653" i="59"/>
  <c r="BI653" i="59" s="1"/>
  <c r="BH332" i="59"/>
  <c r="BI332" i="59" s="1"/>
  <c r="BH877" i="59"/>
  <c r="BI877" i="59" s="1"/>
  <c r="BH101" i="59" l="1"/>
  <c r="BI101" i="59" s="1"/>
  <c r="BH72" i="59"/>
  <c r="BI72" i="59" s="1"/>
  <c r="BH89" i="59"/>
  <c r="BI89" i="59" s="1"/>
  <c r="BH36" i="59"/>
  <c r="BI36" i="59" s="1"/>
  <c r="BH100" i="59"/>
  <c r="BI100" i="59" s="1"/>
  <c r="BH90" i="59" l="1"/>
  <c r="BI90" i="59" s="1"/>
  <c r="BH44" i="59"/>
  <c r="BI44" i="59" s="1"/>
  <c r="BH102" i="59"/>
  <c r="BI102" i="59" s="1"/>
  <c r="BH103" i="59" l="1"/>
  <c r="BI103" i="59" s="1"/>
  <c r="BH76" i="59"/>
  <c r="BI76" i="59" s="1"/>
  <c r="BH92" i="59"/>
  <c r="BI92" i="59" s="1"/>
  <c r="BH93" i="59" l="1"/>
  <c r="BI93" i="59" s="1"/>
  <c r="BH45" i="59"/>
  <c r="BI45" i="59" s="1"/>
  <c r="BH104" i="59"/>
  <c r="BI104" i="59" s="1"/>
  <c r="BH105" i="59" l="1"/>
  <c r="BI105" i="59" s="1"/>
  <c r="BH43" i="59"/>
  <c r="BI43" i="59" s="1"/>
  <c r="BH94" i="59"/>
  <c r="BI94" i="59" s="1"/>
  <c r="BH95" i="59" l="1"/>
  <c r="BI95" i="59" s="1"/>
  <c r="BH42" i="59"/>
  <c r="BI42" i="59" s="1"/>
  <c r="BH106" i="59"/>
  <c r="BI106" i="59" s="1"/>
  <c r="BH107" i="59"/>
  <c r="BI107" i="59" s="1"/>
  <c r="BH49" i="59" l="1"/>
  <c r="BI49" i="59" s="1"/>
  <c r="BH97" i="59"/>
  <c r="BI97" i="59" s="1"/>
  <c r="BH99" i="59" l="1"/>
  <c r="BI99" i="59" s="1"/>
  <c r="BH98" i="59"/>
  <c r="BI98" i="59" s="1"/>
  <c r="BH79" i="59"/>
  <c r="BI79" i="59" s="1"/>
  <c r="BH51" i="59" l="1"/>
  <c r="BI51" i="59" s="1"/>
  <c r="BH48" i="59" l="1"/>
  <c r="BI48" i="59" s="1"/>
  <c r="BH47" i="59" l="1"/>
  <c r="BI47" i="59" s="1"/>
  <c r="BH46" i="59" l="1"/>
  <c r="BI46" i="59" s="1"/>
  <c r="BH67" i="59" l="1"/>
  <c r="BI67" i="59" s="1"/>
  <c r="BH68" i="59" l="1"/>
  <c r="BI68" i="59" s="1"/>
  <c r="BH52" i="59" l="1"/>
  <c r="BI52" i="59" s="1"/>
  <c r="BH53" i="59" l="1"/>
  <c r="BI53" i="59" s="1"/>
  <c r="BH50" i="59" l="1"/>
  <c r="BI50" i="59" s="1"/>
  <c r="BH56" i="59" l="1"/>
  <c r="BI56" i="59" s="1"/>
  <c r="BH57" i="59" l="1"/>
  <c r="BI57" i="59" s="1"/>
  <c r="BH80" i="59" l="1"/>
  <c r="BI80" i="59" s="1"/>
  <c r="BH62" i="59" l="1"/>
  <c r="BI62" i="59" s="1"/>
  <c r="BH63" i="59" l="1"/>
  <c r="BI63" i="59" s="1"/>
  <c r="BH54" i="59" l="1"/>
  <c r="BI54" i="59" s="1"/>
  <c r="BH55" i="59" l="1"/>
  <c r="BI55" i="59" s="1"/>
  <c r="BH66" i="59" l="1"/>
  <c r="BI66" i="59" s="1"/>
  <c r="BH73" i="59" l="1"/>
  <c r="BI73" i="59" s="1"/>
  <c r="BH74" i="59" l="1"/>
  <c r="BI74" i="59" s="1"/>
  <c r="BH71" i="59" l="1"/>
  <c r="BI71" i="59" s="1"/>
  <c r="BH81" i="59" l="1"/>
  <c r="BI81" i="59" s="1"/>
  <c r="BH64" i="59" l="1"/>
  <c r="BI64" i="59" s="1"/>
  <c r="BI78" i="59" l="1"/>
  <c r="BH84" i="59" l="1"/>
  <c r="BI84" i="59" s="1"/>
  <c r="BH69" i="59" l="1"/>
  <c r="BI69" i="59" s="1"/>
  <c r="BH60" i="59" l="1"/>
  <c r="BI60" i="59" s="1"/>
  <c r="BH61" i="59" l="1"/>
  <c r="BI61" i="59" s="1"/>
  <c r="BH70" i="59" l="1"/>
  <c r="BI70" i="59" s="1"/>
  <c r="BH58" i="59" l="1"/>
  <c r="BI58" i="59" s="1"/>
  <c r="BH59" i="59" l="1"/>
  <c r="BI59" i="59" s="1"/>
  <c r="BH77" i="59" l="1"/>
  <c r="BI77" i="59" s="1"/>
  <c r="BH75" i="59" l="1"/>
  <c r="BI75" i="59" s="1"/>
  <c r="BH65" i="59" l="1"/>
  <c r="BI65" i="59" s="1"/>
  <c r="BH82" i="59" l="1"/>
  <c r="BI82" i="59" s="1"/>
  <c r="BH83" i="59" l="1"/>
  <c r="BI83" i="59" s="1"/>
  <c r="BH86" i="59" l="1"/>
  <c r="BI86" i="59" s="1"/>
  <c r="BH85" i="59"/>
  <c r="BI85" i="59" s="1"/>
  <c r="BH132" i="59"/>
  <c r="BI132" i="59" s="1"/>
  <c r="BH201" i="59"/>
  <c r="BI201" i="59" s="1"/>
  <c r="BH213" i="59"/>
  <c r="BI213" i="59" s="1"/>
  <c r="BH209" i="59"/>
  <c r="BI209" i="59" s="1"/>
  <c r="BH114" i="59"/>
  <c r="BI114" i="59" s="1"/>
  <c r="BH188" i="59"/>
  <c r="BI188" i="59" s="1"/>
  <c r="BH110" i="59"/>
  <c r="BI110" i="59" s="1"/>
  <c r="BH180" i="59"/>
  <c r="BI180" i="59" s="1"/>
  <c r="BH125" i="59"/>
  <c r="BI125" i="59" s="1"/>
  <c r="BH199" i="59"/>
  <c r="BI199" i="59" s="1"/>
  <c r="BH195" i="59"/>
  <c r="BI195" i="59" s="1"/>
  <c r="BH181" i="59"/>
  <c r="BI181" i="59" s="1"/>
  <c r="BH176" i="59"/>
  <c r="BI176" i="59" s="1"/>
  <c r="BH203" i="59"/>
  <c r="BI203" i="59" s="1"/>
  <c r="BH115" i="59"/>
  <c r="BI115" i="59" s="1"/>
  <c r="BH122" i="59"/>
  <c r="BI122" i="59" s="1"/>
  <c r="BH186" i="59"/>
  <c r="BI186" i="59" s="1"/>
  <c r="BH117" i="59"/>
  <c r="BI117" i="59" s="1"/>
  <c r="BH191" i="59"/>
  <c r="BI191" i="59" s="1"/>
  <c r="BH121" i="59"/>
  <c r="BI121" i="59" s="1"/>
  <c r="BH118" i="59"/>
  <c r="BI118" i="59" s="1"/>
  <c r="BH96" i="59"/>
  <c r="BI96" i="59" s="1"/>
  <c r="BH177" i="59"/>
  <c r="BI177" i="59" s="1"/>
  <c r="BH182" i="59"/>
  <c r="BI182" i="59" s="1"/>
  <c r="BH185" i="59"/>
  <c r="BI185" i="59" s="1"/>
  <c r="BH184" i="59"/>
  <c r="BI184" i="59" s="1"/>
  <c r="BH183" i="59"/>
  <c r="BI183" i="59" s="1"/>
  <c r="BH194" i="59"/>
  <c r="BI194" i="59" s="1"/>
  <c r="BH129" i="59"/>
  <c r="BI129" i="59" s="1"/>
  <c r="BH131" i="59"/>
  <c r="BI131" i="59" s="1"/>
  <c r="BH192" i="59"/>
  <c r="BI192" i="59" s="1"/>
  <c r="BH126" i="59"/>
  <c r="BI126" i="59" s="1"/>
  <c r="BH190" i="59"/>
  <c r="BI190" i="59" s="1"/>
  <c r="BH207" i="59"/>
  <c r="BI207" i="59" s="1"/>
  <c r="BH120" i="59"/>
  <c r="BI120" i="59" s="1"/>
  <c r="BH127" i="59"/>
  <c r="BI127" i="59" s="1"/>
  <c r="BH108" i="59"/>
  <c r="BI108" i="59" s="1"/>
  <c r="BH208" i="59"/>
  <c r="BI208" i="59" s="1"/>
  <c r="BH112" i="59"/>
  <c r="BI112" i="59" s="1"/>
  <c r="BH187" i="59"/>
  <c r="BI187" i="59" s="1"/>
  <c r="BH212" i="59"/>
  <c r="BI212" i="59" s="1"/>
  <c r="BH113" i="59"/>
  <c r="BI113" i="59" s="1"/>
  <c r="BH205" i="59"/>
  <c r="BI205" i="59" s="1"/>
  <c r="BH196" i="59"/>
  <c r="BI196" i="59" s="1"/>
  <c r="BH130" i="59"/>
  <c r="BI130" i="59" s="1"/>
  <c r="BH211" i="59"/>
  <c r="BI211" i="59" s="1"/>
  <c r="BH198" i="59"/>
  <c r="BI198" i="59" s="1"/>
  <c r="BH193" i="59"/>
  <c r="BI193" i="59" s="1"/>
  <c r="BH197" i="59"/>
  <c r="BI197" i="59" s="1"/>
  <c r="BH124" i="59"/>
  <c r="BI124" i="59" s="1"/>
  <c r="BH128" i="59"/>
  <c r="BI128" i="59" s="1"/>
  <c r="BH109" i="59"/>
  <c r="BI109" i="59" s="1"/>
  <c r="BH189" i="59"/>
  <c r="BI189" i="59" s="1"/>
  <c r="BH206" i="59"/>
  <c r="BI206" i="59" s="1"/>
  <c r="BH210" i="59"/>
  <c r="BI210" i="59" s="1"/>
  <c r="BH119" i="59"/>
  <c r="BI119" i="59" s="1"/>
  <c r="BH116" i="59"/>
  <c r="BI116" i="59" s="1"/>
  <c r="BH204" i="59"/>
  <c r="BI204" i="59" s="1"/>
  <c r="BH111" i="59"/>
  <c r="BI111" i="59" s="1"/>
  <c r="BH123" i="59"/>
  <c r="BI123" i="59" s="1"/>
  <c r="BH200" i="59"/>
  <c r="BI200" i="5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tc={AF5DE922-BA3F-49D5-9D0D-21D6E3BF6D98}</author>
    <author>tc={DF42D297-C691-4CF1-80BC-0E2BBA4914DF}</author>
    <author>tc={ACD00D3A-F24C-4FC4-8E5A-6AA1F73C0F63}</author>
    <author>tc={A63FA476-08C0-493B-9E2C-B0CA5CAFA0B8}</author>
    <author>tc={6F617354-9539-44D3-9006-2FF78B935FBF}</author>
    <author>Jutamart Sungsiangsoong (AHR)</author>
    <author>tc={18E25774-3EFA-4525-A407-45AD92E84BAA}</author>
    <author>tc={C9C9DE69-7D6B-4219-84B0-05E300BBD826}</author>
    <author>tc={4F23BE32-78E4-4366-A96B-0A70C8F7B789}</author>
    <author>tc={FFB8C82F-0B61-433D-BA30-CA552EAA5B48}</author>
    <author>tc={E5A1EA0E-8239-4D35-910E-0748B2C74BA8}</author>
    <author>tc={D9A98555-B6AA-417A-AF17-A31735685296}</author>
    <author>tc={D97C01CF-FD8E-49ED-8F30-E2BBFAEA2AF3}</author>
    <author>tc={CFF1D069-BA86-42C0-9397-3DE36DB87AE0}</author>
    <author>tc={16643C83-8914-4919-8E63-48596CCE4977}</author>
    <author>tc={D14A6210-6BB4-485B-8CFB-E7A7AB222129}</author>
    <author>tc={B7D5926C-2232-4C78-A268-63D45D33F57A}</author>
    <author>tc={7FCF3D91-99C9-41C4-9336-52D855DF8DF5}</author>
    <author>tc={20B99563-6F39-482F-ADB8-29BB8242C2E1}</author>
    <author>tc={BCE98CEE-0F60-46EA-BFE8-534082DE0DB6}</author>
    <author>tc={02CE0826-C98A-4592-AC0B-1FFBECC089D3}</author>
    <author>tc={4A0A4C2A-BF9A-455B-931B-E05A74D371B9}</author>
    <author>tc={7F5C0FD4-7970-4199-965A-35DA11E4EEE5}</author>
    <author>tc={16C507C2-507E-4A6B-920C-81B04275BAB6}</author>
    <author>tc={F0D00E9D-6C65-4598-819E-F9C85F5EE08E}</author>
    <author>tc={417DAE0C-AA9A-46E6-9595-F6F9D0EED485}</author>
    <author>tc={72FAF3A3-821E-47BF-BF62-533EAC22FD00}</author>
    <author>tc={013A79E8-6C16-44D6-80DE-8A66F49A8143}</author>
    <author>tc={0EACC6A7-435F-4DAB-9B80-80662AC69A90}</author>
    <author>tc={8878D2D9-0A9F-46EF-9E94-89AC81A7A2F6}</author>
  </authors>
  <commentList>
    <comment ref="G68" authorId="0" shapeId="0" xr:uid="{AF5DE922-BA3F-49D5-9D0D-21D6E3BF6D98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เลิกผลิต</t>
      </text>
    </comment>
    <comment ref="H97" authorId="1" shapeId="0" xr:uid="{DF42D297-C691-4CF1-80BC-0E2BBA4914DF}">
      <text>
        <t>[Threaded comment]
Your version of Excel allows you to read this threaded comment; however, any edits to it will get removed if the file is opened in a newer version of Excel. Learn more: https://go.microsoft.com/fwlink/?linkid=870924
Comment:
    ใช้กับ Wia Die clamp ด้วย เปลี่ยนจาก SOLENOID VALVE \ VQ7-08-FG-D-9NR \ SMC</t>
      </text>
    </comment>
    <comment ref="G172" authorId="2" shapeId="0" xr:uid="{ACD00D3A-F24C-4FC4-8E5A-6AA1F73C0F63}">
      <text>
        <t>[Threaded comment]
Your version of Excel allows you to read this threaded comment; however, any edits to it will get removed if the file is opened in a newer version of Excel. Learn more: https://go.microsoft.com/fwlink/?linkid=870924
Comment:
    Swing 1 
Reply:
    เกิน 1 Pcs.</t>
      </text>
    </comment>
    <comment ref="AJ184" authorId="3" shapeId="0" xr:uid="{A63FA476-08C0-493B-9E2C-B0CA5CAFA0B8}">
      <text>
        <t>[Threaded comment]
Your version of Excel allows you to read this threaded comment; however, any edits to it will get removed if the file is opened in a newer version of Excel. Learn more: https://go.microsoft.com/fwlink/?linkid=870924
Comment:
    Improvement work 20 Pcs.</t>
      </text>
    </comment>
    <comment ref="J240" authorId="4" shapeId="0" xr:uid="{6F617354-9539-44D3-9006-2FF78B935FBF}">
      <text>
        <t>[Threaded comment]
Your version of Excel allows you to read this threaded comment; however, any edits to it will get removed if the file is opened in a newer version of Excel. Learn more: https://go.microsoft.com/fwlink/?linkid=870924
Comment:
    (เกิน 1 ชิ้น)</t>
      </text>
    </comment>
    <comment ref="G256" authorId="5" shapeId="0" xr:uid="{D5302AE5-5B57-4FF1-B84A-10E1BE933832}">
      <text>
        <r>
          <rPr>
            <b/>
            <sz val="9"/>
            <color indexed="81"/>
            <rFont val="Tahoma"/>
            <family val="2"/>
          </rPr>
          <t>(Die Clamp Wia)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3" authorId="5" shapeId="0" xr:uid="{788DFBE2-E9FA-4ECB-A299-0B4F36C55B03}">
      <text>
        <r>
          <rPr>
            <b/>
            <sz val="9"/>
            <color indexed="81"/>
            <rFont val="Tahoma"/>
            <family val="2"/>
          </rPr>
          <t>Jutamart Sungsiangsoong (AHR):
MSP0014488A</t>
        </r>
        <r>
          <rPr>
            <sz val="9"/>
            <color indexed="81"/>
            <rFont val="Tahoma"/>
            <family val="2"/>
          </rPr>
          <t xml:space="preserve">
POWER SUPPLY P/N:919-23-07740 (PBA600F-24-N) \ KOMATSU \ KOMATSU CONTROL CABINATE UNIT (รอของ MSP0023963A PR-30440306)</t>
        </r>
      </text>
    </comment>
    <comment ref="J356" authorId="6" shapeId="0" xr:uid="{18E25774-3EFA-4525-A407-45AD92E84BAA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On hand = 1 Pcs.</t>
      </text>
    </comment>
    <comment ref="H369" authorId="7" shapeId="0" xr:uid="{C9C9DE69-7D6B-4219-84B0-05E300BBD826}">
      <text>
        <t>[Threaded comment]
Your version of Excel allows you to read this threaded comment; however, any edits to it will get removed if the file is opened in a newer version of Excel. Learn more: https://go.microsoft.com/fwlink/?linkid=870924
Comment:
    แกน 6</t>
      </text>
    </comment>
    <comment ref="G384" authorId="5" shapeId="0" xr:uid="{3540DFBD-694D-42CA-9E68-0A837E4A08BA}">
      <text>
        <r>
          <rPr>
            <b/>
            <sz val="9"/>
            <color indexed="81"/>
            <rFont val="Tahoma"/>
            <family val="2"/>
          </rPr>
          <t>(หาตรงรุ่นให้ไม่ได้ขาย Yoken Model:BSG-03-2B3B-A110-471 ให้)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2" authorId="8" shapeId="0" xr:uid="{4F23BE32-78E4-4366-A96B-0A70C8F7B789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เกินสองอัน</t>
      </text>
    </comment>
    <comment ref="AK419" authorId="9" shapeId="0" xr:uid="{FFB8C82F-0B61-433D-BA30-CA552EAA5B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เพิ่มในตู้ MDB </t>
      </text>
    </comment>
    <comment ref="J430" authorId="10" shapeId="0" xr:uid="{E5A1EA0E-8239-4D35-910E-0748B2C74BA8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2 PCs..</t>
      </text>
    </comment>
    <comment ref="J438" authorId="5" shapeId="0" xr:uid="{43043600-AC53-4B7D-8A39-6C3A7D83ECB8}">
      <text>
        <r>
          <rPr>
            <b/>
            <sz val="9"/>
            <color indexed="81"/>
            <rFont val="Tahoma"/>
            <family val="2"/>
          </rPr>
          <t>Jutamart Sungsiangsoong (AHR):</t>
        </r>
        <r>
          <rPr>
            <sz val="9"/>
            <color indexed="81"/>
            <rFont val="Tahoma"/>
            <family val="2"/>
          </rPr>
          <t xml:space="preserve">
เกิน On-hand = 1 Pcs.</t>
        </r>
      </text>
    </comment>
    <comment ref="BF438" authorId="5" shapeId="0" xr:uid="{C23E3C48-7B4F-45B3-9BFE-6497A3A9D63C}">
      <text>
        <r>
          <rPr>
            <b/>
            <sz val="9"/>
            <color indexed="81"/>
            <rFont val="Tahoma"/>
            <family val="2"/>
          </rPr>
          <t>Jutamart Sungsiangsoong (AHR):</t>
        </r>
        <r>
          <rPr>
            <sz val="9"/>
            <color indexed="81"/>
            <rFont val="Tahoma"/>
            <family val="2"/>
          </rPr>
          <t xml:space="preserve">
24/8/26</t>
        </r>
      </text>
    </comment>
    <comment ref="J444" authorId="11" shapeId="0" xr:uid="{D9A98555-B6AA-417A-AF17-A31735685296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เกิน1</t>
      </text>
    </comment>
    <comment ref="J447" authorId="12" shapeId="0" xr:uid="{D97C01CF-FD8E-49ED-8F30-E2BBFAEA2AF3}">
      <text>
        <t>[Threaded comment]
Your version of Excel allows you to read this threaded comment; however, any edits to it will get removed if the file is opened in a newer version of Excel. Learn more: https://go.microsoft.com/fwlink/?linkid=870924
Comment:
    (เกิน 1 ชิ้น)</t>
      </text>
    </comment>
    <comment ref="J510" authorId="5" shapeId="0" xr:uid="{E27B84FB-11B0-4866-8FA4-54F96CA93F0E}">
      <text>
        <r>
          <rPr>
            <b/>
            <sz val="9"/>
            <color indexed="81"/>
            <rFont val="Tahoma"/>
            <family val="2"/>
          </rPr>
          <t>Jutamart Sungsiangsoong (AHR):</t>
        </r>
        <r>
          <rPr>
            <sz val="9"/>
            <color indexed="81"/>
            <rFont val="Tahoma"/>
            <family val="2"/>
          </rPr>
          <t xml:space="preserve">
เกิน 1 Pcs</t>
        </r>
      </text>
    </comment>
    <comment ref="G610" authorId="13" shapeId="0" xr:uid="{CFF1D069-BA86-42C0-9397-3DE36DB8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After PM Inspection.</t>
      </text>
    </comment>
    <comment ref="H684" authorId="14" shapeId="0" xr:uid="{16643C83-8914-4919-8E63-48596CCE4977}">
      <text>
        <t>[Threaded comment]
Your version of Excel allows you to read this threaded comment; however, any edits to it will get removed if the file is opened in a newer version of Excel. Learn more: https://go.microsoft.com/fwlink/?linkid=870924
Comment:
    Diaphragm AA ยืม 31 Aug 26.</t>
      </text>
    </comment>
    <comment ref="J714" authorId="15" shapeId="0" xr:uid="{D14A6210-6BB4-485B-8CFB-E7A7AB222129}">
      <text>
        <t>[Threaded comment]
Your version of Excel allows you to read this threaded comment; however, any edits to it will get removed if the file is opened in a newer version of Excel. Learn more: https://go.microsoft.com/fwlink/?linkid=870924
Comment:
    มี Sensor มาด้วย</t>
      </text>
    </comment>
    <comment ref="J715" authorId="16" shapeId="0" xr:uid="{B7D5926C-2232-4C78-A268-63D45D33F57A}">
      <text>
        <t>[Threaded comment]
Your version of Excel allows you to read this threaded comment; however, any edits to it will get removed if the file is opened in a newer version of Excel. Learn more: https://go.microsoft.com/fwlink/?linkid=870924
Comment:
    มี Sensor มาด้วย</t>
      </text>
    </comment>
    <comment ref="J719" authorId="17" shapeId="0" xr:uid="{7FCF3D91-99C9-41C4-9336-52D855DF8DF5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On-hand 1 Pcs.</t>
      </text>
    </comment>
    <comment ref="J743" authorId="18" shapeId="0" xr:uid="{20B99563-6F39-482F-ADB8-29BB8242C2E1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On-hand 1 Pcs.</t>
      </text>
    </comment>
    <comment ref="AK745" authorId="19" shapeId="0" xr:uid="{BCE98CEE-0F60-46EA-BFE8-534082DE0DB6}">
      <text>
        <t>[Threaded comment]
Your version of Excel allows you to read this threaded comment; however, any edits to it will get removed if the file is opened in a newer version of Excel. Learn more: https://go.microsoft.com/fwlink/?linkid=870924
Comment:
    Jig Robot 2 cell 1 sidesill</t>
      </text>
    </comment>
    <comment ref="J747" authorId="20" shapeId="0" xr:uid="{02CE0826-C98A-4592-AC0B-1FFBECC089D3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On-hand 1 Pcs.</t>
      </text>
    </comment>
    <comment ref="G827" authorId="21" shapeId="0" xr:uid="{4A0A4C2A-BF9A-455B-931B-E05A74D371B9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 magnetic LM-NP 540 เป็นแผ่นแม่เหล็กถาวรของแกนfeeder no1-3f</t>
      </text>
    </comment>
    <comment ref="G828" authorId="22" shapeId="0" xr:uid="{7F5C0FD4-7970-4199-965A-35DA11E4EEE5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 motor LM-NP4G 46P ตัวนี้น่าจะเป็น มอเตอร์แกน feed 1-3F</t>
      </text>
    </comment>
    <comment ref="AK831" authorId="23" shapeId="0" xr:uid="{16C507C2-507E-4A6B-920C-81B04275BAB6}">
      <text>
        <t>[Threaded comment]
Your version of Excel allows you to read this threaded comment; however, any edits to it will get removed if the file is opened in a newer version of Excel. Learn more: https://go.microsoft.com/fwlink/?linkid=870924
Comment:
    Komatsu feeder Unloader</t>
      </text>
    </comment>
    <comment ref="AK845" authorId="24" shapeId="0" xr:uid="{F0D00E9D-6C65-4598-819E-F9C85F5EE0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Stationary SW#24</t>
      </text>
    </comment>
    <comment ref="G851" authorId="25" shapeId="0" xr:uid="{417DAE0C-AA9A-46E6-9595-F6F9D0EED485}">
      <text>
        <t>[Threaded comment]
Your version of Excel allows you to read this threaded comment; however, any edits to it will get removed if the file is opened in a newer version of Excel. Learn more: https://go.microsoft.com/fwlink/?linkid=870924
Comment:
    700B control แกนTILT</t>
      </text>
    </comment>
    <comment ref="S912" authorId="26" shapeId="0" xr:uid="{72FAF3A3-821E-47BF-BF62-533EAC22FD00}">
      <text>
        <t>[Threaded comment]
Your version of Excel allows you to read this threaded comment; however, any edits to it will get removed if the file is opened in a newer version of Excel. Learn more: https://go.microsoft.com/fwlink/?linkid=870924
Comment:
    16 March 2026.</t>
      </text>
    </comment>
    <comment ref="Y912" authorId="27" shapeId="0" xr:uid="{013A79E8-6C16-44D6-80DE-8A66F49A814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11/5/26 โก๋ 40kg</t>
      </text>
    </comment>
    <comment ref="AQ912" authorId="28" shapeId="0" xr:uid="{0EACC6A7-435F-4DAB-9B80-80662AC69A90}">
      <text>
        <t>[Threaded comment]
Your version of Excel allows you to read this threaded comment; however, any edits to it will get removed if the file is opened in a newer version of Excel. Learn more: https://go.microsoft.com/fwlink/?linkid=870924
Comment:
    24/11/25</t>
      </text>
    </comment>
    <comment ref="J933" authorId="29" shapeId="0" xr:uid="{8878D2D9-0A9F-46EF-9E94-89AC81A7A2F6}">
      <text>
        <t>[Threaded comment]
Your version of Excel allows you to read this threaded comment; however, any edits to it will get removed if the file is opened in a newer version of Excel. Learn more: https://go.microsoft.com/fwlink/?linkid=870924
Comment:
    ถอดมาจาก Robot Nachi No.8</t>
      </text>
    </comment>
  </commentList>
</comments>
</file>

<file path=xl/sharedStrings.xml><?xml version="1.0" encoding="utf-8"?>
<sst xmlns="http://schemas.openxmlformats.org/spreadsheetml/2006/main" count="4768" uniqueCount="2085">
  <si>
    <t>JCM0003249A</t>
  </si>
  <si>
    <t>SOLENOID VALVE\VFR3210-5DZ\SMC</t>
  </si>
  <si>
    <t>PCS</t>
  </si>
  <si>
    <t>SET</t>
  </si>
  <si>
    <t>MSP0006162A</t>
  </si>
  <si>
    <t>WIA PRESS 800T PARTS \ DISTRIBUTION UNIT \ INDUCTIVE PROXIMITY SENSOR : PRWT08-1.5DO \ AUTONICS</t>
  </si>
  <si>
    <t>MSP0005419A</t>
  </si>
  <si>
    <t>MSP0008725A</t>
  </si>
  <si>
    <t>FILTER/REGULATOR:AW30-03G-A\SMC</t>
  </si>
  <si>
    <t>MSP0007928A</t>
  </si>
  <si>
    <t>KOMATSU PRESS PARTS \SLIDING DOORS UNIT \AIR CYLINDER :CDA2L50-900Z \SMC</t>
  </si>
  <si>
    <t>MSP0008368A</t>
  </si>
  <si>
    <t>NUT FEEDER PART\AIR CYLINDER:CJPB10-10D-B\SMC</t>
  </si>
  <si>
    <t>MSP0008641A</t>
  </si>
  <si>
    <t>MSP0005326A</t>
  </si>
  <si>
    <t>SEYI COMMON PART \ OVERLOAD VALVE : SVAMA010124 \ HONG CHING</t>
  </si>
  <si>
    <t>MSP0006174A</t>
  </si>
  <si>
    <t>PLC CONTROL PANEL PARTS \ CPU MODULES : Q02HCPU \ MITSUBISHI</t>
  </si>
  <si>
    <t>JCM0002671A</t>
  </si>
  <si>
    <t>LIMIT SWITCH\TZ-5108\TEND</t>
  </si>
  <si>
    <t>AFS0003885A</t>
  </si>
  <si>
    <t>VP3185-141DLA1\ SOLINOID VALVE</t>
  </si>
  <si>
    <t>MSP0008239A</t>
  </si>
  <si>
    <t>KOMATSU PRESS PARTS\VACUUM PAD PARTS\VACUUM SWITCH:93V-85-13561</t>
  </si>
  <si>
    <t>MSP0007652A</t>
  </si>
  <si>
    <t>MSP0008599A</t>
  </si>
  <si>
    <t>SAFETY RELAY:PNOZ X4 100 VAC 3 N/O 1N/C \PILZ</t>
  </si>
  <si>
    <t>MSP0005530A</t>
  </si>
  <si>
    <t>WIA PRESS 800T PARTS \ M/B UNIT \ LIMIT SWITCH PARTS \ PLUNGER SWITCH : WL-7H300 \ OMRON</t>
  </si>
  <si>
    <t>MSP0005428A</t>
  </si>
  <si>
    <t>ARO MANUAL GUN \ CONTROL CABINET PARTS \ 101006476 DIFFERENTIAL CIRCUIT BREAKER \ AVITRA</t>
  </si>
  <si>
    <t>MSP0008824A</t>
  </si>
  <si>
    <t>MSP0007990A</t>
  </si>
  <si>
    <t>UNI</t>
  </si>
  <si>
    <t>MSP0006963A</t>
  </si>
  <si>
    <t>ARO MANUAL GUN \ GUNS PARTS \ 17310204 STRAIGHT INSTANT CONNECTOR : R1/4-8 3675 08 13 \ AVITRA</t>
  </si>
  <si>
    <t>MSP0008342A</t>
  </si>
  <si>
    <t>SUMERSIBLE SEMI-VORTEX SEWAGE PUMP PART\CONNECTOR LS50+STAINLESS STEEL CHAIN\EBARA</t>
  </si>
  <si>
    <t>MSP0008039A</t>
  </si>
  <si>
    <t>MSP0008205A</t>
  </si>
  <si>
    <t>SOLENOID VALVE VP3185-141 PART\MAINTENANCE KIT MODEL:KT-VP3185\SMC</t>
  </si>
  <si>
    <t>MSP0008589A</t>
  </si>
  <si>
    <t>ARO MANUAL GUN\299680:MODULE ARTICULATION PARTS\54890:WASHER\AVITRA</t>
  </si>
  <si>
    <t>MSP0006202A</t>
  </si>
  <si>
    <t>PLC CONTROL PANEL PARTS \ CC-LINK REMOTE OUTPUT MODULE : AJ65SBTB1-32T \ MITSUBISHI</t>
  </si>
  <si>
    <t>MSP0008050A</t>
  </si>
  <si>
    <t>WIA PARTS\SAFETY LIGHT CURTAIN MODEL:E0S4 454X\</t>
  </si>
  <si>
    <t>MSP0008379A</t>
  </si>
  <si>
    <t>MSP0007502A</t>
  </si>
  <si>
    <t>MSP0008036A</t>
  </si>
  <si>
    <t>ARO MANUAL GUN\GUN PARTS\HPM50001:SEAL KIT\AVITRA</t>
  </si>
  <si>
    <t>JCM0006843A</t>
  </si>
  <si>
    <t>LIMIT SWITCH\WLH12-LD\OMRON</t>
  </si>
  <si>
    <t>MSP0008084A</t>
  </si>
  <si>
    <t>DESTACKER PARTS\D/F MG CHAIN PARTS\#2060 TRIANGULAR LINK ASSY\KOMATSU</t>
  </si>
  <si>
    <t>MSP0007926A</t>
  </si>
  <si>
    <t>KOMATSU PRESS 1200T PARTS \SLIDE ADJUST UNIT \SOLENOID VALVE :VO307-1AZ1 \SMC</t>
  </si>
  <si>
    <t>MSP0008152A</t>
  </si>
  <si>
    <t>MSP0005768A</t>
  </si>
  <si>
    <t>MSP0007653A</t>
  </si>
  <si>
    <t>WIA PRESS 400T PARTS\AUTO DRAIN:AD402-04\SMC</t>
  </si>
  <si>
    <t>MSP0008597A</t>
  </si>
  <si>
    <t>MSP0006282A</t>
  </si>
  <si>
    <t>ARO MANUAL GUN \ GUNS PARTS \ F2163793 HANDLE SUPPORT \ AVITRA</t>
  </si>
  <si>
    <t>MSP0005480A</t>
  </si>
  <si>
    <t>CO2 ROBOT AII-NB4 \ MANIPULATOR PARTS \ L-10638B00 COAXIAL POWER CABLE \ OTC DAIHEN</t>
  </si>
  <si>
    <t>JCM0006327A</t>
  </si>
  <si>
    <t>HAND VALVE\VHS30-03A\SMC</t>
  </si>
  <si>
    <t>MSP0006182A</t>
  </si>
  <si>
    <t>MSP0008592A</t>
  </si>
  <si>
    <t>ARO MANUAL GUN\299629:MODULE ARTICULATION PARTS\10920250:SCREW CHC M6-10\AVITRA</t>
  </si>
  <si>
    <t>MSP0005700A</t>
  </si>
  <si>
    <t>WIA PRESS 800T PARTS \ LUBRICATION UNIT \ ELEMENT FILTER : 0160-RS-125-W \ HYDAC</t>
  </si>
  <si>
    <t>MSP0008350A</t>
  </si>
  <si>
    <t>ARO MANUAL GUN PART\CYLINDER X GUN PART\WIRE SPRING MODEL:WL22-100\MISUMI</t>
  </si>
  <si>
    <t>MSP0008083A</t>
  </si>
  <si>
    <t>KOMATSU PRESS PARTS\SWING AXIG UNIT\CONSUMABLE PARTS\KOMATSU</t>
  </si>
  <si>
    <t>MSP0006967A</t>
  </si>
  <si>
    <t>MSP0007043A</t>
  </si>
  <si>
    <t>ABB SPOT ROBOT PARTS \ COOLING CONTROL UNIT \ FLOW SWITCH : IFW510-04-00 \ SMC</t>
  </si>
  <si>
    <t>MSP0005417A</t>
  </si>
  <si>
    <t>ARO MANUAL GUN \ GUNS PARTS \ 15512101 TOGGLE SWITCH \ AVITRA</t>
  </si>
  <si>
    <t>MSP0008838A</t>
  </si>
  <si>
    <t>MAGNETIC CONTACTOR:MODEL SH4/G DC24V 4A\FUJI</t>
  </si>
  <si>
    <t>DCM0004533A</t>
  </si>
  <si>
    <t>SPEED CONTORL\AS4000-03S\SMC.</t>
  </si>
  <si>
    <t>MSP0006901A</t>
  </si>
  <si>
    <t>MSP0006913A</t>
  </si>
  <si>
    <t>COOLING TOWER PARTS \ COOLING FAN : LRC-TS 125RT \</t>
  </si>
  <si>
    <t>MSP0008726A</t>
  </si>
  <si>
    <t>SPACER:Y300T-A\SMC</t>
  </si>
  <si>
    <t>MSP0008595A</t>
  </si>
  <si>
    <t>ARO MANUAL GUN\299629:MODULE ARTICULATION PARTS\68677:CONNECTOR\AVITRA</t>
  </si>
  <si>
    <t>MSP0008366A</t>
  </si>
  <si>
    <t>ARO MANUAL GUN PART\CYLINDER X GUN PART\ROUND WIRE COIL SPRING:WH 22-25\MISUMI</t>
  </si>
  <si>
    <t>MSP0007839A</t>
  </si>
  <si>
    <t>BREAKER : NF125-CV 2P 100A 10KA\MITSUBISHI</t>
  </si>
  <si>
    <t>MSP0004491A</t>
  </si>
  <si>
    <t>PUSH BUTTON \ PRESS 600 \ 97262-02003 \ KOMATSU</t>
  </si>
  <si>
    <t>MSP0006975A</t>
  </si>
  <si>
    <t>MSP0005285A</t>
  </si>
  <si>
    <t>SMALL PRESS NC FEEDER PART \ OIL VALVE : DFA-02-3C4-DC24 \ HONG CHING</t>
  </si>
  <si>
    <t>MSP0007088A</t>
  </si>
  <si>
    <t>WIA PRESS 400T PARTS\HYDRAULIC POWER UNIT\PRESSURE SWITCH : PSJ250R-311-LI2UPN8X-H1141\TAIHEI BOEKI</t>
  </si>
  <si>
    <t>MSP0006011A</t>
  </si>
  <si>
    <t>PLC CONTROL PANEL PARTS \ POWER SUPPLY MODULES : Q61P \ MITSUBISHI</t>
  </si>
  <si>
    <t>MSP0008301A</t>
  </si>
  <si>
    <t>MSP0006196A</t>
  </si>
  <si>
    <t>MSP0008380A</t>
  </si>
  <si>
    <t>MSP0005703A</t>
  </si>
  <si>
    <t>MSP0008587A</t>
  </si>
  <si>
    <t>MSP0008839A</t>
  </si>
  <si>
    <t>AUXILIARY CONTACT:MODEL SZ-A22 2A2B\FUJI</t>
  </si>
  <si>
    <t>MSP0007797A</t>
  </si>
  <si>
    <t>CABLE FOR LIGHT CURTAIN\MODEL GL-RP5NS\KEYENCE</t>
  </si>
  <si>
    <t>MSP0008323A</t>
  </si>
  <si>
    <t>SOLENOID VALVE\VF5244K-3DZ1-02\SMC</t>
  </si>
  <si>
    <t>MSP0007929A</t>
  </si>
  <si>
    <t>KOMATSU PRESS PARTS \SLIDING DOORS UNIT \SOLENOID VALVE :VFR5100-3FZ \SMC</t>
  </si>
  <si>
    <t>MSP0008325A</t>
  </si>
  <si>
    <t>ARO SPOT WELDING GUN PART\FUTTING MODULE KIT:103003665KIT\AVITRA</t>
  </si>
  <si>
    <t>AFS0003676A</t>
  </si>
  <si>
    <t>MSP0005657A</t>
  </si>
  <si>
    <t>MSP0005429A</t>
  </si>
  <si>
    <t>MSP0008554A</t>
  </si>
  <si>
    <t>WIA CUSHION PART\PRESSURE GAUGE:MODEL P258\WISE</t>
  </si>
  <si>
    <t>MSP0008427A</t>
  </si>
  <si>
    <t>MSP0007993A</t>
  </si>
  <si>
    <t>PHOTO SENSOR : E3JK-RR12-C\OMRON</t>
  </si>
  <si>
    <t>MSP0004525A</t>
  </si>
  <si>
    <t>TILT  TIMING BELT \ TANDUM 1 ROBOT \ 93V-46-02942 \ KOMATSU</t>
  </si>
  <si>
    <t>MSP0006193A</t>
  </si>
  <si>
    <t>PLC CONTROL PANEL PARTS \ DIGITAL INPUT MODULES : QH42P \ MITSUBISHI</t>
  </si>
  <si>
    <t>MSP0005771A</t>
  </si>
  <si>
    <t>MSP0005549A</t>
  </si>
  <si>
    <t>CIRCUIT BREAKER \ 2 POLES : BH-D6-2P-63A 400VAC 63A \ MITSUBISHI</t>
  </si>
  <si>
    <t>MSP0008594A</t>
  </si>
  <si>
    <t>MSP0007866A</t>
  </si>
  <si>
    <t>CPU UNIT PARTS\SRAM CARD:Q2MEM-1MBS\MITSUBISHI</t>
  </si>
  <si>
    <t>MSP0005334A</t>
  </si>
  <si>
    <t>SEYI COMMON PART \ EMERGENCY BUTTON : 01A014048AQ \ HONG CHING</t>
  </si>
  <si>
    <t>MSP0004312A</t>
  </si>
  <si>
    <t>SEYI 300 TON PART: BALANCE U-PACKING (UPNY060)\</t>
  </si>
  <si>
    <t>MSP0001604A</t>
  </si>
  <si>
    <t>MSP0006968A</t>
  </si>
  <si>
    <t>ARO MANUAL GUN \ GUNS PARTS \ 90030973 BENT INSTANT CONNECTOR : 90 8-1/4 3609-08-13 \ AVITRA</t>
  </si>
  <si>
    <t>JCM0003169A</t>
  </si>
  <si>
    <t>MSP0007867A</t>
  </si>
  <si>
    <t>WIA PRESS PARTS\FLY WHEEL BRAKE UNIT PARTS\SOLENOID VALVE:VP342-5DZ1-02A (DC24)</t>
  </si>
  <si>
    <t>MSP0008255A</t>
  </si>
  <si>
    <t>ARO MANUAL GUN\SINGLE RELAY:REL-MR-24DC\21-2961105\PHOENIX CONTACT</t>
  </si>
  <si>
    <t>MSP0008591A</t>
  </si>
  <si>
    <t>ARO MANUAL GUN\299680:MODULE ARTICULATION PARTS\103053948KIT:STROKE ADJUSTMENT KIT\AVITRA</t>
  </si>
  <si>
    <t>MSP0006280A</t>
  </si>
  <si>
    <t>ARO MANUAL GUN \ GUNS PARTS \ 56855 SLEEVE  \ AVITRA</t>
  </si>
  <si>
    <t>MSP0007198A</t>
  </si>
  <si>
    <t>KOMATSU PRESS CONTROL PANEL PARTS \ ELECTRIC FAN FOR BOX AIR CONDITION UNIT : 15038PB-A0L-EP-00 \ NMB</t>
  </si>
  <si>
    <t>MSP0001393A</t>
  </si>
  <si>
    <t>MSP0008171A</t>
  </si>
  <si>
    <t>SEYI COMMON PART\PRESSURE GAUGE FOR POWER UNIT Q.D.C.\HONG CHING</t>
  </si>
  <si>
    <t>MSP0002825A</t>
  </si>
  <si>
    <t>CRANE PART : CONTACTOR LC1-D40008E7 50/60HZ 48V \</t>
  </si>
  <si>
    <t>MSP0005528A</t>
  </si>
  <si>
    <t>WIA PRESS 400T PARTS \ OVER LOAD UNIT \ DIRECTIONAL CONTROL VALVE : D3W20BNYWK-400 COIL 110VAC-DC \ PARKER</t>
  </si>
  <si>
    <t>MSP0005559A</t>
  </si>
  <si>
    <t>MSP0008231A</t>
  </si>
  <si>
    <t>ARO MANUAL X GUN\GUN PARTS\WASHER D70-25 EP=2 MM\AVITRA</t>
  </si>
  <si>
    <t>MSP0008035A</t>
  </si>
  <si>
    <t>ARO MANUAL GUN\GUN PARTS\HPM50000:SEAL KIT\AVITRA</t>
  </si>
  <si>
    <t>MSP0005039A</t>
  </si>
  <si>
    <t>MSP0008341A</t>
  </si>
  <si>
    <t>SUMERSIBLE SEMI-VORTEX SEWAGE PUMP : MODEL 50 DVS 5.75(2")\EBARA</t>
  </si>
  <si>
    <t>MSP0008085A</t>
  </si>
  <si>
    <t>DESTACKER PARTS\D/F MG CHAIN PARTS\#60H HALF PITCH OUTER LINK\KOMATSU</t>
  </si>
  <si>
    <t>MSP0006186A</t>
  </si>
  <si>
    <t>PLC CONTROL PANEL PARTS \ A/D CONVERTER MODULES : Q68ADI \ MITSUBISHI</t>
  </si>
  <si>
    <t>MSP0007930A</t>
  </si>
  <si>
    <t>WIA PRESS PARTS \AIR BALANCER BOOTER UNIT \SEAL KIT :KT-VBA40A-1 \SMC</t>
  </si>
  <si>
    <t>MSP0004585A</t>
  </si>
  <si>
    <t>SLIDE ARM TIMING BELT \ TANDUM 1 ROBOT \ 93V-15-01522 \ KOMATSU</t>
  </si>
  <si>
    <t>MSP0005788A</t>
  </si>
  <si>
    <t>MSP0008081A</t>
  </si>
  <si>
    <t>WIA PARTS\SAFETY LIGHT CURTAIN MODEL EOS4R-454 PART\CABLE GL-RP5P\KEYENCE</t>
  </si>
  <si>
    <t>MSP0003460A</t>
  </si>
  <si>
    <t>MSP0008324A</t>
  </si>
  <si>
    <t>JCM0004368A</t>
  </si>
  <si>
    <t>MSP0008148A</t>
  </si>
  <si>
    <t>MSP0008588A</t>
  </si>
  <si>
    <t>ARO MANUAL GUN\299680:MODULE ARTICULATION PARTS\54137:WASHER\AVITRA</t>
  </si>
  <si>
    <t>MSP0008053A</t>
  </si>
  <si>
    <t>MSP0008169A</t>
  </si>
  <si>
    <t>THERMAL OVERLOAD RELAY:TH-T1866A (5.2-8A)\MITSUBISHI</t>
  </si>
  <si>
    <t>JCM0000446A</t>
  </si>
  <si>
    <t>MSP0005772A</t>
  </si>
  <si>
    <t>MSP0006178A</t>
  </si>
  <si>
    <t>MSP0005887A</t>
  </si>
  <si>
    <t>MSP0005849A</t>
  </si>
  <si>
    <t>MSP0006185A</t>
  </si>
  <si>
    <t>PLC CONTROL PANEL PARTS \ A/D CONVERTER MODULES : Q64AD \ MITSUBISHI</t>
  </si>
  <si>
    <t>MSP0006197A</t>
  </si>
  <si>
    <t>PLC CONTROL PANEL PARTS \ OUTPUT MODULES : QY42P \ MITSUBISHI</t>
  </si>
  <si>
    <t>MSP0005324A</t>
  </si>
  <si>
    <t>SEYI COMMON PART \ C/B DUAL VALVE : SVR0390411A01 \ HONG CHING</t>
  </si>
  <si>
    <t>MSP0007927A</t>
  </si>
  <si>
    <t>WIA PRESS 1000T PARTS \AIR CUSHION UNIT \KIT PACKING :KT1-VEX3901 \SMC</t>
  </si>
  <si>
    <t>MSP0006181A</t>
  </si>
  <si>
    <t>PLC CONTROL PANEL PARTS \ SERIAL COMMUNICATION MODULES : QJ71C24N-R4 \ MITSUBISHI</t>
  </si>
  <si>
    <t>MSP0007865A</t>
  </si>
  <si>
    <t>MSP0005550A</t>
  </si>
  <si>
    <t>CIRCUIT BREAKER \ 3 POLES : BH-D6-3P-63A 400VAC 63A \ MITSUBISHI</t>
  </si>
  <si>
    <t>MSP0005885A</t>
  </si>
  <si>
    <t>KOMATSU PRESS FEEDER NO.1 PARTS \ TILT BELT DETECTION UNIT \ CSR-TOUCH SENSOR : CSRNATNAC-L3G \ METROL</t>
  </si>
  <si>
    <t>MSP0007197A</t>
  </si>
  <si>
    <t>MSP0006188A</t>
  </si>
  <si>
    <t>PLC CONTROL PANEL PARTS \ INPUT MODULES : QX40 \ MITSUBISHI</t>
  </si>
  <si>
    <t>MSP0006199A</t>
  </si>
  <si>
    <t>PLC CONTROL PANEL PARTS \ CC-LINK REMOTE INPUT MODULE : AJ65SBTB1-32D \ MITSUBISHI</t>
  </si>
  <si>
    <t>MSP0003648A</t>
  </si>
  <si>
    <t>KO-2500T LUB. OIL TANK(UL-08A-20u-EV) PART: FILTER ELEMENT PN.9199915782 \KOMATSU</t>
  </si>
  <si>
    <t>MSP0004568A</t>
  </si>
  <si>
    <t>MSP0008326A</t>
  </si>
  <si>
    <t>ARO SPOT WELDING GUN PART\CONDUCTOR KIT:103003667KIT\AVITRA</t>
  </si>
  <si>
    <t>MSP0005699A</t>
  </si>
  <si>
    <t>WIA PRESS 800T PARTS \ LUBRICATION UNIT \ ELEMENT FILTER : 0110-RS-125-W \ HYDAC</t>
  </si>
  <si>
    <t>MSP0005698A</t>
  </si>
  <si>
    <t>WIA PRESS 800T PARTS \ LUBRICATION UNIT \ ELEMENT FILTER : 0060-RS-125-W \ HYDAC</t>
  </si>
  <si>
    <t>MSP0006243A</t>
  </si>
  <si>
    <t>MSP0008274A</t>
  </si>
  <si>
    <t>MSP0005527A</t>
  </si>
  <si>
    <t>WIA PRESS 1000T PARTS \ AIR BALANCER UNIT \ SOLINOID VALVE : VP3185-123DLA1 \ SMC</t>
  </si>
  <si>
    <t>MSP0005420A</t>
  </si>
  <si>
    <t>JCM0006615A</t>
  </si>
  <si>
    <t>GENERAL PURPOSE RELAYS +SOCKETS \LY4N 220VAC+PTF14A-E\OMRON</t>
  </si>
  <si>
    <t>MSP0006175A</t>
  </si>
  <si>
    <t>MSP0005328A</t>
  </si>
  <si>
    <t>MSP0006790A</t>
  </si>
  <si>
    <t>MSP0008038A</t>
  </si>
  <si>
    <t>MSP0008429A</t>
  </si>
  <si>
    <t>MSP0007530A</t>
  </si>
  <si>
    <t>WIA PRESS 400T PARTS \CLUTCH UNIT \ROTARY JOINT : KR2215-50A</t>
  </si>
  <si>
    <t>MSP0008464A</t>
  </si>
  <si>
    <t>MSP0008502A</t>
  </si>
  <si>
    <t>AC MOTOR:DV112M4/BMG/HF PART\BRAKE CONTROLLER:BGE 1.5 P/N:825 385 4\SEW-EURODRIVE</t>
  </si>
  <si>
    <t>JCM0004213A</t>
  </si>
  <si>
    <t>SENSOR OF POWER CLAMP\8EA-022-4\DE-STA-CO</t>
  </si>
  <si>
    <t>MSP0005532A</t>
  </si>
  <si>
    <t>WIA PRESS 800T PARTS \ M/B UNIT \ LIMIT SWITCH : WLD3 \ OMRON</t>
  </si>
  <si>
    <t>MSP0008327A</t>
  </si>
  <si>
    <t>ARO SPOT WELDING GUN PART\FLEXIBLE SHUT KIT:103027268 KIT\AVITRA</t>
  </si>
  <si>
    <t>MSP0005773A</t>
  </si>
  <si>
    <t>ARO MANUAL GUN \ GUNS PARTS \ 101002113 GREEN PUSH BUTTON SWITCH \ AVITRA</t>
  </si>
  <si>
    <t>MSP0008452A</t>
  </si>
  <si>
    <t>MSP0005533A</t>
  </si>
  <si>
    <t>MSP0008151A</t>
  </si>
  <si>
    <t>MSP0006195A</t>
  </si>
  <si>
    <t>MSP0005300A</t>
  </si>
  <si>
    <t>MSP0005286A</t>
  </si>
  <si>
    <t>SMALL PRESS NC FEEDER PART \ OIL VALVE : DFA-03-3C4-DC24 \ HONG CHING</t>
  </si>
  <si>
    <t>MSP0006498A</t>
  </si>
  <si>
    <t>WIA PRESS 1000T PARTS\MAIN LINE FILTER\LUBRICATION UNIT\ELEMENT FILTER : 0160-D-010\HYDAC</t>
  </si>
  <si>
    <t>MSP0008690A</t>
  </si>
  <si>
    <t>POWER SUPPLY:MODEL ABL8REM24050 (INPUT:100-240 VAC OUTPUT:24VDC/5A)\SCHNEIDER</t>
  </si>
  <si>
    <t>MSP0005701A</t>
  </si>
  <si>
    <t>MSP0006244A</t>
  </si>
  <si>
    <t>MSP0005577A</t>
  </si>
  <si>
    <t>MSP0005531A</t>
  </si>
  <si>
    <t>WIA PRESS 800T PARTS \ M/B UNIT \ LIMIT SWITCH : WLD2-TS \ OMRON</t>
  </si>
  <si>
    <t>MSP0006961A</t>
  </si>
  <si>
    <t>DESTACKER PARTS \ STACK TABLE PARTS \ CLAMP HANDLE FOR SIDE GUIDE BLOCK \ KOMATSU</t>
  </si>
  <si>
    <t>MSP0006789A</t>
  </si>
  <si>
    <t>MSP0008317A</t>
  </si>
  <si>
    <t>MSP0006245A</t>
  </si>
  <si>
    <t>STATIONARY PARTS \ AIR LUBRICATOR SET \ MODULAR LUBRICATOR : AL40-04-A \ SMC</t>
  </si>
  <si>
    <t>MSP0006189A</t>
  </si>
  <si>
    <t>PLC CONTROL PANEL PARTS \ INPUT MODULES : QX10 \ MITSUBISHI</t>
  </si>
  <si>
    <t>MSP0008590A</t>
  </si>
  <si>
    <t>ARO MANUAL GUN\299680:MODULE ARTICULATION PARTS\54319:CRANK\AVITRA</t>
  </si>
  <si>
    <t>MSP0004602A</t>
  </si>
  <si>
    <t>MSP0008204A</t>
  </si>
  <si>
    <t>KOMATSU PRESS PARTS\POWER VALVE VEX3701-101DZ-BN PART\MAINTENANCE KIT MODEL:KT1-VEX3701\SMC</t>
  </si>
  <si>
    <t>MSP0006194A</t>
  </si>
  <si>
    <t>Receive.</t>
  </si>
  <si>
    <t>Requisition</t>
  </si>
  <si>
    <t>Balance</t>
  </si>
  <si>
    <t>Beginning</t>
  </si>
  <si>
    <t>UOM</t>
  </si>
  <si>
    <t>No.</t>
  </si>
  <si>
    <t>Description</t>
  </si>
  <si>
    <t>Level</t>
  </si>
  <si>
    <t>Wia</t>
  </si>
  <si>
    <t>Facility</t>
  </si>
  <si>
    <t>Cooling Tower</t>
  </si>
  <si>
    <t>Jig</t>
  </si>
  <si>
    <t>Stationary</t>
  </si>
  <si>
    <t>Komatsu</t>
  </si>
  <si>
    <t>Robot</t>
  </si>
  <si>
    <t>Aro Manual Gun</t>
  </si>
  <si>
    <t>ABB Robot</t>
  </si>
  <si>
    <t>Crane</t>
  </si>
  <si>
    <t xml:space="preserve">Coil Feed Shung Dar </t>
  </si>
  <si>
    <t>Seyi</t>
  </si>
  <si>
    <t>Scrap Conveyor</t>
  </si>
  <si>
    <t>Co2 Robot</t>
  </si>
  <si>
    <t>MSP0008563A</t>
  </si>
  <si>
    <t>DIGITAL FLOW SENSOR: P/N FD-Q32C\KEYENCE</t>
  </si>
  <si>
    <t>Robot Nachi</t>
  </si>
  <si>
    <t>MSP0008695A</t>
  </si>
  <si>
    <t>WIA PARTS\DIE AUTOMATION AIR PARTS\AIR AUTO COUPLING:359-4277\KONAN</t>
  </si>
  <si>
    <t>MSP0008836A</t>
  </si>
  <si>
    <t>WIA 1000TONS PARTS\DIE CUSHION PARTS\POWER VALVE:VEX3902-143DZ-B\SMC</t>
  </si>
  <si>
    <t>MSP0008658A</t>
  </si>
  <si>
    <t>KOMATSU PARTS\SWING 1 AXIS PARTS\INPUT GEAR:P/N 9A-4-0345611\KOMATSU</t>
  </si>
  <si>
    <t>MSP0008837A</t>
  </si>
  <si>
    <t>KOMATSU 1200TONS PARTS\UPPER DIE CLAMP PARTS\PRESSURE SWITCH:MODEL SAA210PF\PASCAL</t>
  </si>
  <si>
    <t>Roll</t>
  </si>
  <si>
    <t>MSP0008339A</t>
  </si>
  <si>
    <t>SUMERSIBLE SEMI-VORTEX SEWAGE PUMP : MODEL 80 DVS 53.7(3")\EBARA</t>
  </si>
  <si>
    <t>MSP0008714A</t>
  </si>
  <si>
    <t>ARO MANUAL GUN PARTS\GUN PARTS\50087466:CYLINDER D80 C70/50 2E C\AVITRA</t>
  </si>
  <si>
    <t>Column1</t>
  </si>
  <si>
    <t>Column2</t>
  </si>
  <si>
    <t>Column46</t>
  </si>
  <si>
    <t>Column3</t>
  </si>
  <si>
    <t>Column4</t>
  </si>
  <si>
    <t>Column47</t>
  </si>
  <si>
    <t>Column5</t>
  </si>
  <si>
    <t>Column6</t>
  </si>
  <si>
    <t>Column7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</si>
  <si>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</si>
  <si>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</si>
  <si>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</si>
  <si>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</si>
  <si>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</si>
  <si>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</si>
  <si>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</si>
  <si>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</si>
  <si>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</si>
  <si>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</si>
  <si>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</si>
  <si>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</si>
  <si>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</si>
  <si>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</si>
  <si>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</si>
  <si>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</si>
  <si>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</si>
  <si>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</si>
  <si>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</si>
  <si>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</si>
  <si>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</si>
  <si>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</si>
  <si>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</si>
  <si>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</si>
  <si>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</si>
  <si>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</si>
  <si>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</si>
  <si>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</si>
  <si>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</si>
  <si>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</si>
  <si>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</si>
  <si>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</si>
  <si>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</si>
  <si>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</si>
  <si>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</si>
  <si>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</si>
  <si>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pcs</t>
  </si>
  <si>
    <t>MSP0008645A</t>
  </si>
  <si>
    <t>MSP0008716A</t>
  </si>
  <si>
    <t>ARO MANUAL GUN\50087466 CYLINDER PARTS\57117:WASHER(PART#40)\AVITRA</t>
  </si>
  <si>
    <t>MSP0008709A</t>
  </si>
  <si>
    <t>ARO MANUAL GUN\50087466 CYLINDER PARTS\5018106:EXTERIOR WIPER RING(PART#16)\AVITRA</t>
  </si>
  <si>
    <t>MSP0008708A</t>
  </si>
  <si>
    <t>MSP0008742A</t>
  </si>
  <si>
    <t>MSP0008907A</t>
  </si>
  <si>
    <t>KOMATSU PARTS\ENCLOSURE FEEDER CONTROL PARTS\POWER SUPPLY(TEMPORARY PARTS) P/N:92X-02-42080-L\KOMATSU</t>
  </si>
  <si>
    <t>JCM0002419A</t>
  </si>
  <si>
    <t>GAUGE\G36-10-01\SMC</t>
  </si>
  <si>
    <t>MSP0008801A</t>
  </si>
  <si>
    <t>MSP0008037A</t>
  </si>
  <si>
    <t>MSP0008715A</t>
  </si>
  <si>
    <t>MSP0008878A</t>
  </si>
  <si>
    <t>ARO MANUAL GUN PARTS\69175:SUPPORT(PART NO.11 OF DRAWING 191460)\AVITRA</t>
  </si>
  <si>
    <t>MSP0007989A</t>
  </si>
  <si>
    <t>CO2 ROBOT ALL-NB4\WELDING FEEDER PART\CONDUIT 5M\L10597E00</t>
  </si>
  <si>
    <t>MSP0006501A</t>
  </si>
  <si>
    <t>KOMATSU PRESS\UNLOADER PARTS\TILT AXIS\P/N 93V-46-02240 : PULLEY FOR SERVO MOTOR\KOMATSU</t>
  </si>
  <si>
    <t>MSP0008879A</t>
  </si>
  <si>
    <t>ABB ROBOT PARTS\DSQC 664 DRIVE UNIT:P/N 3HAC030923-001\ABB</t>
  </si>
  <si>
    <t>MSP0008381A</t>
  </si>
  <si>
    <t>PLC CONTROL PANEL PARTS\ETHERNET INTERFACE MODULE:QJ71E71-100\MISUBISHI</t>
  </si>
  <si>
    <t>MSP0009008A</t>
  </si>
  <si>
    <t>ROBOT CO2 PARTS\CONTROL PANEL PARTS\ELECTRIC FAN:FP.108 EX 220 V.S1BW\COMMON WEALTH</t>
  </si>
  <si>
    <t>MSP0008093A</t>
  </si>
  <si>
    <t>MSP0008870A</t>
  </si>
  <si>
    <t>ARO MANUAL GUN/GUNS PARTS/299353:BASIC MODULE/AVITRA</t>
  </si>
  <si>
    <t>MSP0008880A</t>
  </si>
  <si>
    <t>MSP0008963A</t>
  </si>
  <si>
    <t>ARO MANUAL GUN \ ARM XMA PARTS \ 48330:INSULATION SLEEVE(PT.#6,DWG.299680) \ AVITRA</t>
  </si>
  <si>
    <t>MSP0008965A</t>
  </si>
  <si>
    <t>ARO MANUAL GUN \ ARM XMA PARTS \ 55469:PLATE (PT.#8,DWG.299680) \ AVITRA</t>
  </si>
  <si>
    <t>MSP0008964A</t>
  </si>
  <si>
    <t>ARO MANUAL GUN \ ARM XMA PARTS \ 55468:INSULATION (PT.#7,DWG.299680) \ AVITRA</t>
  </si>
  <si>
    <t>MSP0008966A</t>
  </si>
  <si>
    <t>ARO MANUAL GUN \ ARM XMA PARTS \ 54097:INSULATION SLEEVE(PT.#10,DWG.299680) \ AVITRA</t>
  </si>
  <si>
    <t>MSP0008972A</t>
  </si>
  <si>
    <t>RELAY:MY4-GS 12VDC \OMRON</t>
  </si>
  <si>
    <t>MSP0000021A</t>
  </si>
  <si>
    <t>RELAY:MY4 100/110VAC \OMRON</t>
  </si>
  <si>
    <t>MSP0000023A</t>
  </si>
  <si>
    <t>RELAY:MY4 24VDC \OMRON</t>
  </si>
  <si>
    <t>MSP0008975A</t>
  </si>
  <si>
    <t>RELAY:MY4-GS 220/240VAC \OMRON</t>
  </si>
  <si>
    <t>MSP0005439A</t>
  </si>
  <si>
    <t>SOLINOID VALVE : VT315-021T \ SMC</t>
  </si>
  <si>
    <t>JCM0004342A</t>
  </si>
  <si>
    <t>MSP0006191A</t>
  </si>
  <si>
    <t>MSP0006198A</t>
  </si>
  <si>
    <t>MSP0006173A</t>
  </si>
  <si>
    <t>PLC CONTROL PANEL PARTS \ INPUT MODULES : QX42 \ MITSUBISHI</t>
  </si>
  <si>
    <t>PLC CONTROL PANEL PARTS \ OUTPUT MODULES : QY10 \ MITSUBISHI</t>
  </si>
  <si>
    <t>MSP0008984A</t>
  </si>
  <si>
    <t>KOMATSU PARTS\SAFETY LIGHT CURTAIN AND CONSUMABLE PARTS\KEYENCE</t>
  </si>
  <si>
    <t>MSP0008974A</t>
  </si>
  <si>
    <t>RELAY:MY2-GS 200/220VAC \OMRON</t>
  </si>
  <si>
    <t>MSP0008203A</t>
  </si>
  <si>
    <t>MSP0008202A</t>
  </si>
  <si>
    <t>MSP0009009A</t>
  </si>
  <si>
    <t>MSP0008958A</t>
  </si>
  <si>
    <t>COOLING TOWER PARTS\:MOTOR FOOT:5 HPX4 P (380 VOLT/3 PHASE / 50 HZ)\LIANG CHI</t>
  </si>
  <si>
    <t>MSP0000303A</t>
  </si>
  <si>
    <t>MSP0004616A</t>
  </si>
  <si>
    <t>SWING DRIVE LEDUCER \ TANDUM 1 ROBOT \ 93V-53-07540 \ KOMATSU</t>
  </si>
  <si>
    <t>MSP0009068A</t>
  </si>
  <si>
    <t>COIL FEED SHUNG DAR PARTS\AIR REGULATOR:MODEL AR40K-04G-B\SMC</t>
  </si>
  <si>
    <t>COIL FEED SHUNG DAR PARTS\SPACER :MODEL Y600T-A\SMC</t>
  </si>
  <si>
    <t>MSP0009071A</t>
  </si>
  <si>
    <t>MSP0008913A</t>
  </si>
  <si>
    <t>KOMATSU PARTS\HYDRAULIC PARTS\PISTON PUMP:AR22-FR01C-22T\YUKEN</t>
  </si>
  <si>
    <t>KOMATSU PARTS\HYDRAULIC PARTS\DIRECTION CONTROL VALVE:DSG-01-3C4-D24-70\YUKEN</t>
  </si>
  <si>
    <t>MSP0008912A</t>
  </si>
  <si>
    <t>MSP0009031A</t>
  </si>
  <si>
    <t>WIA PRESS PARTS\COUNTER BALANCE AIR PARTS\BOOSTER REGULATOR:VBA40A-04GN\SMC</t>
  </si>
  <si>
    <t>MSP0009077A</t>
  </si>
  <si>
    <t>MSP0009079A</t>
  </si>
  <si>
    <t>PILOT LAMP LED MODEL:AD16-22DS (RED)\ONPOW</t>
  </si>
  <si>
    <t>MSP0009078A</t>
  </si>
  <si>
    <t>PILOT LAMP LED MODEL:AD16-22DS (YELLOW)\ONPOW</t>
  </si>
  <si>
    <t>MSP0009080A</t>
  </si>
  <si>
    <t>MSP0008057A</t>
  </si>
  <si>
    <t>COMMAND SWITCH MODEL:AR30B3R-11B\FUJI</t>
  </si>
  <si>
    <t>ARO MANUAL GUN \ GUNS PARTS \ 103003666 CONDUCTOR \ AVITRA</t>
  </si>
  <si>
    <t>MSP0007041A</t>
  </si>
  <si>
    <t>MSP0007897A</t>
  </si>
  <si>
    <t>JCM0001286A</t>
  </si>
  <si>
    <t>SOLENOID VALVE VFS5110-5DZ\SMC</t>
  </si>
  <si>
    <t>SILENCER\AN500-06\SMC 3/4"</t>
  </si>
  <si>
    <t>AFS0006300A</t>
  </si>
  <si>
    <t>BUZZER (RED) MODEL:AD16-22SM (24V โค 20 MA)\ONPOW</t>
  </si>
  <si>
    <t>MSP0009131A</t>
  </si>
  <si>
    <t>Pcs</t>
  </si>
  <si>
    <t>MSP0008783A</t>
  </si>
  <si>
    <t>TORCH BODY # L10605B00 FOR ROBOT WELDING CO2.</t>
  </si>
  <si>
    <t>WIA PRESS PARTS\CONTROL PANEL PARTS\MAGNETIC CONTACTOR:ST-10 110V\MITSUBISHI</t>
  </si>
  <si>
    <t>ARO MANUAL GUN PARTS\GUN PARTS\103083414:CYLINDER D80 C40/20 5E X\AVITRA</t>
  </si>
  <si>
    <t>Belt Conveyor</t>
  </si>
  <si>
    <t>Aro Robot Gun</t>
  </si>
  <si>
    <t>WIA PRESS PARTS\CLUTCH &amp; BRAKE UNIT\AIR REGULATOR:AR60-10BG-B\SMC</t>
  </si>
  <si>
    <t>MSP0009164A</t>
  </si>
  <si>
    <t>MSP0008909A</t>
  </si>
  <si>
    <t>KOMATSU PARTS\ENCLOSURE FEEDER CONTROL PARTS\UPS PARTS\OPTION CARD: P/N 92X-03-89050\KOMATSU</t>
  </si>
  <si>
    <t>Pcs.</t>
  </si>
  <si>
    <t>ARO MANUAL GUN \ CONTROL CABINET PARTS \ 15729650:AC THYRISTER \ AVITRA</t>
  </si>
  <si>
    <t>JCM0007068A</t>
  </si>
  <si>
    <t>CIRCUIT BREAKER\NF250-CV 3P 200A\MITSUBISHI</t>
  </si>
  <si>
    <t>MSP0000155A</t>
  </si>
  <si>
    <t>MSP0008906A</t>
  </si>
  <si>
    <t>KOMATSU PARTS\ENCLOSURE FEEDER CONTROL PARTS\POWER SUPPLY(ORIGINAL PARTS) P/N:92X-02-42080-K\KOMATSU</t>
  </si>
  <si>
    <t>MSP0009011A</t>
  </si>
  <si>
    <t>KOMATSU PARTS\SWING AXIS UNIT\ENCODER:P/N OSA18-130\KOMATSU</t>
  </si>
  <si>
    <t>MSP0005325A</t>
  </si>
  <si>
    <t>ELEMENT FILTER\ EP220-010N</t>
  </si>
  <si>
    <t>MSP0009229A</t>
  </si>
  <si>
    <t>MSP0000162A</t>
  </si>
  <si>
    <t>AFA0002419A</t>
  </si>
  <si>
    <t>WIA SHUTTER DOOR PARTS\SOLENOID VALVE:VQ7-8-FG-D-5NR\SMC</t>
  </si>
  <si>
    <t>MSP0009208A</t>
  </si>
  <si>
    <t>MSP0009173A</t>
  </si>
  <si>
    <t>ARO MANUAL GUN\FLEXIBLE SHUNT C GUN PARTS\54813:WEDGE\AVITRA</t>
  </si>
  <si>
    <t>MSP0005418A</t>
  </si>
  <si>
    <t>ARO MANUAL GUN \ GUNS PARTS \ 103011658 CONTROL HANDLE \ AVITRA</t>
  </si>
  <si>
    <t>MSP0005646A</t>
  </si>
  <si>
    <t>ARO MANUAL GUN \ ROBOT GUNS PARTS \ 103027043 SERVO MOTOR \ AVITRA</t>
  </si>
  <si>
    <t>JCM0006376A</t>
  </si>
  <si>
    <t>MSP0009272A</t>
  </si>
  <si>
    <t>SAFETY RELAY:PNOZ X4 24 VDC 3 N/O 1N/C \PILZ</t>
  </si>
  <si>
    <t>MSP0009363A</t>
  </si>
  <si>
    <t>MINIATURE CIRCUIT BREAKER:ACTI9-IK60N-1P-40A (A9K24140)\MERLIN</t>
  </si>
  <si>
    <t>MSP0009339A</t>
  </si>
  <si>
    <t>WIA PRESS PARTS\MAINT HYDRAULIC POWER UNIT\RELIEF VALVE:RI-G03-3-10\NACHI</t>
  </si>
  <si>
    <t>MSP0009273A</t>
  </si>
  <si>
    <t>NEEDLE ROLLER BEARING\HK-1014-2RS\SKF</t>
  </si>
  <si>
    <t>MSP0009386A</t>
  </si>
  <si>
    <t>LIMIT SWITCH:WLCA2-LD-N\OMRON</t>
  </si>
  <si>
    <t xml:space="preserve">MSP0009407A  </t>
  </si>
  <si>
    <t>RELAY:LY2N 100/110VAC \OMRON</t>
  </si>
  <si>
    <t>MSP0007516A</t>
  </si>
  <si>
    <t>ARO MANUAL GUN\GUN PART\F2083015 ARM CMA D45 FIX\AVITRA</t>
  </si>
  <si>
    <t>MSP0004032A</t>
  </si>
  <si>
    <t>KOMATSU TRANFER 1200 TON PART:MINIATURE SAFETY SWITCH TYPE HS5B-02B IEC60947-5-1 AC-15 3A/250V\IDEC</t>
  </si>
  <si>
    <t>WIA PRESS 400T PARTS \ LUBRICATION UNIT \ SOLINOID VALVE : SS-G01-C6-R-C1-31 \ NACHI</t>
  </si>
  <si>
    <t>MSP0009409A</t>
  </si>
  <si>
    <t>KOMATSU PARTS\FEEDER ENCLOUSER PARTS\BRACKET\KOMATSU</t>
  </si>
  <si>
    <t>MSP0009244A</t>
  </si>
  <si>
    <t>MSP0009401A</t>
  </si>
  <si>
    <t>MSP0009402A</t>
  </si>
  <si>
    <t>MSP0009403A</t>
  </si>
  <si>
    <t>MSP0009404A</t>
  </si>
  <si>
    <t>MSP0009405A</t>
  </si>
  <si>
    <t>ARO MANUAL GUN \ 294057 MODULE FIXATION PARTS \ 56705:GUDGEON M6 L267 (pt.#1)\ AVITRA</t>
  </si>
  <si>
    <t>ARO MANUAL GUN \ 294057 MODULE FIXATION PARTS \ 3062041:SAFETY WASHER (pt.#3)\ AVITRA</t>
  </si>
  <si>
    <t>ARO MANUAL GUN \ 294057 MODULE FIXATION PARTS \ 2081006:LOCK NUT (pt.#4)\ AVITRA</t>
  </si>
  <si>
    <t>ARO MANUAL GUN \ 294057 MODULE FIXATION PARTS \ 54604:NUT CHC M6 L=20MM (pt.#9)\ AVITRA</t>
  </si>
  <si>
    <t>ARO MANUAL GUN \ 294057 MODULE FIXATION PARTS \ 54605:SHOE H=10MM (pt.#10)\ AVITRA</t>
  </si>
  <si>
    <t>MSP0002664A</t>
  </si>
  <si>
    <t>AIR COMPRESSURE MODEL ML132-2S PART : OIL FILTER ELEMENT CCN.39911631 \</t>
  </si>
  <si>
    <t>MSP0007165A</t>
  </si>
  <si>
    <t>AIR COMPRESSOR PART \ CONTACTOR ASSY (39251046) \ PREMIUM</t>
  </si>
  <si>
    <t>MSP0008735A</t>
  </si>
  <si>
    <t>AIR COMPRESSOR PART \ INTERLOCK MECHANICAL (39251196) \ PREMIUM</t>
  </si>
  <si>
    <t>MSP0007856A</t>
  </si>
  <si>
    <t>AIR COMPRESSOR PART \ AUXILIARY CONTACT 1NO/1NC (39251180) \ PREMIUM</t>
  </si>
  <si>
    <t>MSP0007857A</t>
  </si>
  <si>
    <t>AIR COMPRESSOR PART \ AUXILIARY CONTACT 2NO (39251182) \ PREMIUM</t>
  </si>
  <si>
    <t>Air Dryer</t>
  </si>
  <si>
    <t>MSP0008045A</t>
  </si>
  <si>
    <t>AIR COMPRESSOR PART DISCHARGE CHECK VALVE (39479852)\PREMIUM</t>
  </si>
  <si>
    <t>MSP0004451A</t>
  </si>
  <si>
    <t>MSP0006341A</t>
  </si>
  <si>
    <t>AIR COMPRESSOR PART \ PRESSURE SWITCH (39880745) \ PREMIUM</t>
  </si>
  <si>
    <t>MSP0002663A</t>
  </si>
  <si>
    <t>MSP0003544A</t>
  </si>
  <si>
    <t>MSP0004822A</t>
  </si>
  <si>
    <t>AIR DRYER PART : FILTER ELEMENT P300 CCN.P300</t>
  </si>
  <si>
    <t>MSP0008416A</t>
  </si>
  <si>
    <t>AIR DRYER MODEL:PD3500 PART:FILTER ELEMENT S300</t>
  </si>
  <si>
    <t>MSP0006987A</t>
  </si>
  <si>
    <t>AIR COMPRESSOR PART/FAN BLADE (39911649)/PREMIUM</t>
  </si>
  <si>
    <t>MSP0009180A</t>
  </si>
  <si>
    <t>AIR COMPRESSOR PART \ OVERLOAD RELAY (39251103) \ PREMIUM</t>
  </si>
  <si>
    <t>MSP0007991A</t>
  </si>
  <si>
    <t>COOLING TOWER PARTS\ WATER PUMP : 100 x 80 FS2GA\ EBARA</t>
  </si>
  <si>
    <t>MSP0006484A</t>
  </si>
  <si>
    <t>MSP0006485A</t>
  </si>
  <si>
    <t>MSP0005693A</t>
  </si>
  <si>
    <t>WATER TREATMENT : SALT 2O KG \</t>
  </si>
  <si>
    <t>MSP0008650A</t>
  </si>
  <si>
    <t>MSP0003911A</t>
  </si>
  <si>
    <t>BREAKER:NF250-CW 250A  3P  \MITSUBISHI</t>
  </si>
  <si>
    <t>MSP0009417A</t>
  </si>
  <si>
    <t>ILLUMINATED PUSH BUTTON SWITCH:XB5โ€AW34B5 1N/O+1N/C(RED)\TELE</t>
  </si>
  <si>
    <t>MSP0009416A</t>
  </si>
  <si>
    <t>MSP0009418A</t>
  </si>
  <si>
    <t>MSP0009501A</t>
  </si>
  <si>
    <t>KEY SWITCH:AR22JR-2\FUJI</t>
  </si>
  <si>
    <t>MSP0009451A</t>
  </si>
  <si>
    <t>MSP0009452A</t>
  </si>
  <si>
    <t>MSP0009453A</t>
  </si>
  <si>
    <t>MSP0009454A</t>
  </si>
  <si>
    <t>MSP0009455A</t>
  </si>
  <si>
    <t>EMERGENCY STOP SWITCH:AR22V0R-01R\FUJI</t>
  </si>
  <si>
    <t>PUSH BUTTOM SWITCH:AR22F0R-10B\FUJI(ดำ)</t>
  </si>
  <si>
    <t>PUSH BUTTOM SWITCH:AR22F0R-10R\FUJI(แดง)</t>
  </si>
  <si>
    <t>SEYI SN1-110TONS PARTS\SOLENOID VALVE OF QDC(1.2.3)\SEYI</t>
  </si>
  <si>
    <t>AFS0006170A</t>
  </si>
  <si>
    <t>HOLDER KTWH-12\ROBOT HANDLING</t>
  </si>
  <si>
    <t>AFS0006171A</t>
  </si>
  <si>
    <t>CUTTER KTW-12\ROBOT HANDLING</t>
  </si>
  <si>
    <t>MSP0009234A</t>
  </si>
  <si>
    <t>ROBOT CO2 PARTS\MECHANICAL VALVE:MVM63A\</t>
  </si>
  <si>
    <t>AFA0002420A</t>
  </si>
  <si>
    <t>MSP0008536A</t>
  </si>
  <si>
    <t>WIA 1000T ADDITIONNAL STAND PART:RELAY MY4N-DC24 AND SOCKET\</t>
  </si>
  <si>
    <t>MSP0002559A</t>
  </si>
  <si>
    <t>MSP0002560A</t>
  </si>
  <si>
    <t>MSP0009568A</t>
  </si>
  <si>
    <t>MSP0009584A</t>
  </si>
  <si>
    <t>JCM0000874A</t>
  </si>
  <si>
    <t>MSP0009589A</t>
  </si>
  <si>
    <t>VALVE:COIL SOLENOID VT317 24 VDC \SMC</t>
  </si>
  <si>
    <t>MSP0008051A</t>
  </si>
  <si>
    <t>MSP0009434A</t>
  </si>
  <si>
    <t>MSP0005516A</t>
  </si>
  <si>
    <t>CO2 ROBOT AII-NB4 \ WELDING UNIT DM-500 PARTS \ P10261Q00 PRINTED CIRCUIT BOARD \ OTC DAIHEN</t>
  </si>
  <si>
    <t>PILOT LIGHT : APS-116DN-R 110VAC 25MM\ IDEC(seyi200tons/160tons)</t>
  </si>
  <si>
    <t>PILOT LIGHT : APS-116DN-G 110VAC 25MM\ IDEC(seyi200tons/160tons)</t>
  </si>
  <si>
    <t>MSP0009450A</t>
  </si>
  <si>
    <t>MSP0008451A</t>
  </si>
  <si>
    <t>ARO MANUAL GUN PART\294776:HOUSING PROTECTOR FOR XMA GUN\AVITRA</t>
  </si>
  <si>
    <t>MSP0007199A</t>
  </si>
  <si>
    <t>ARO MANUAL GUN \ GUNS PARTS \ 103041837 COMPLETE ASSEMBLY FIXED ARM \ AVITRA</t>
  </si>
  <si>
    <t>MSP0009520A</t>
  </si>
  <si>
    <t>ARO SPOT WELDING GUN PART\ARO SERVO ROBOT GUN PARTS\103030976:CONNECTORS KIT\AVITRA</t>
  </si>
  <si>
    <t>MSP0009521A</t>
  </si>
  <si>
    <t>MSP0009522A</t>
  </si>
  <si>
    <t>MSP0009510A</t>
  </si>
  <si>
    <t>ARO SPOT WELDING GUN PART\MODULE CONDUCTER KIT:103003665 PARTS\32760531:RING (pt. # 1)\AVITRA</t>
  </si>
  <si>
    <t>ARO SPOT WELDING GUN PART\103041771 MODULE ELECTRIC PARTS\10920210:NUT (pt. # 7)\AVITRA</t>
  </si>
  <si>
    <t>P/B-SW\XB4-BA31(HEAD+BODY)\TELE(เขียว)</t>
  </si>
  <si>
    <t>MSP0009609A</t>
  </si>
  <si>
    <t>SOLENOID VALVE:VS7-8-FG-S-1Z\SMC</t>
  </si>
  <si>
    <t>AFS0006216A</t>
  </si>
  <si>
    <t>AIR CYLINDER\CJ2ZB15-15-X1281\SMC</t>
  </si>
  <si>
    <t>komatsu</t>
  </si>
  <si>
    <t>COMMAND SWITCH MODEL:AR30B3R-11G\FUJI</t>
  </si>
  <si>
    <t>MSP0009646A</t>
  </si>
  <si>
    <t>SEYI 160 TON PART\DIE CLAMP \FORWELL</t>
  </si>
  <si>
    <t>SEYI SN1-200 TONS BALANCER PARTS\F03 PISTON ROD\SEYI</t>
  </si>
  <si>
    <t>SEYI SN1-200 TONS BALANCER PARTS\F03-3 NUT\SEYI</t>
  </si>
  <si>
    <t>MSP0009552A</t>
  </si>
  <si>
    <t>MSP0009553A</t>
  </si>
  <si>
    <t>MSP0009575A</t>
  </si>
  <si>
    <t>KOMATSU PARTS\UNDER MB PARTS\COUPLING P/N:919-48-04657\KOMATSU</t>
  </si>
  <si>
    <t>MSP0009429A</t>
  </si>
  <si>
    <t>WIA FLYWHEEL PARTS\LIMIT SWITCH:XE-Q22-2\OMRON</t>
  </si>
  <si>
    <t>MSP0004607A</t>
  </si>
  <si>
    <t>SWING DRIVE PULLY \ TANDUM 1 ROBOT \ 93V-53-06601 \ KOMATSU</t>
  </si>
  <si>
    <t>MSP0007086A</t>
  </si>
  <si>
    <t>WIA PRESS 400T PARTS\HYDRAULIC POWER UNIT\MOTOR OF LUBRICATION PUMP : 1LE1002-1BB22-2AA4\SIEMENS</t>
  </si>
  <si>
    <t>MSP0005576A</t>
  </si>
  <si>
    <t>KOMATSU PRESS \ FEDDER PARTS \ TILT BELT DETECTION SENSOR : E2EM-X4X1 2M \ OMRON</t>
  </si>
  <si>
    <t>JCM0003719A</t>
  </si>
  <si>
    <t>MSP0009230A</t>
  </si>
  <si>
    <t>COUNTER : MODEL H7CX-A4D-N\OMRON</t>
  </si>
  <si>
    <t>MSP0008249A</t>
  </si>
  <si>
    <t>wia</t>
  </si>
  <si>
    <t>MSP0009720A</t>
  </si>
  <si>
    <t>WIA PRESS PARTS\SAFETY LIGHT CURTAIN PART\PRE-WIRED CABLE WITH M12 8-POLE STRAIGHT CONNECTOR MODEL:C8D5(5M.)\</t>
  </si>
  <si>
    <t>MSP0009722A</t>
  </si>
  <si>
    <t>WIA PRESS PARTS\SAFETY LIGHT CURTAIN PART\PRE-WIRED CABLE WITH M12 5-POLE STRAIGHT CONNECTOR MODEL:CD5\</t>
  </si>
  <si>
    <t>MSP0009611A</t>
  </si>
  <si>
    <t>MSP0005787A</t>
  </si>
  <si>
    <t>WIA PRESS 400T PARTS \ HYDRAULIC TANK UNIT \ GEAR PUMP (IP PUMP) : IPH-3B-10-20 \ NACHI</t>
  </si>
  <si>
    <t>MSP0008869A</t>
  </si>
  <si>
    <t>WIA PRESS PARTS\HYDRAULIC TANK UNIT\IP PUMP MODEL:IPH23B-3.5-10-11\NACHI</t>
  </si>
  <si>
    <t>MSP0005561A</t>
  </si>
  <si>
    <t>WIA PRESS 400T PARTS \ LUBRICATION UNIT \ SOLINOID VALVE : SS-G01-A3X-R-C1-31 \ NACHI</t>
  </si>
  <si>
    <t>MSP0009290A</t>
  </si>
  <si>
    <t>MSP0008373A</t>
  </si>
  <si>
    <t>TIMER H3CR-A8 24-48VDC</t>
  </si>
  <si>
    <t>MSP0008319A</t>
  </si>
  <si>
    <t>ARO SPOT WELDING GUN \103034147 ARTICULATION MOBILE ARM SUB-ASSEMBLY\AVITRA</t>
  </si>
  <si>
    <t>MSP0006365A</t>
  </si>
  <si>
    <t>STATIONARY PARTS \ NUT FEEDER UNIT \ AIR CYLINDER : CJ2B16-5Z \ SMC</t>
  </si>
  <si>
    <t>MSP0009757A</t>
  </si>
  <si>
    <t>MSP0009797A</t>
  </si>
  <si>
    <t>MSP0009796A</t>
  </si>
  <si>
    <t>SELECTOR SWITCH:AR30PCR-3174B\FUJI</t>
  </si>
  <si>
    <t>MSP0005202A</t>
  </si>
  <si>
    <t>MSP0007807A</t>
  </si>
  <si>
    <t>Robot ABB</t>
  </si>
  <si>
    <t>JCM0006442A</t>
  </si>
  <si>
    <t>MSP0008497A</t>
  </si>
  <si>
    <t>MSP0009411A</t>
  </si>
  <si>
    <t>KOMATSU TRANSFER 1200T CONTROL CIRCUIT PART : RELAY G7S-4A2B-E DC24 \OMRON</t>
  </si>
  <si>
    <t>MSP0008731A</t>
  </si>
  <si>
    <t>FEEDER 300T PART:PROXIMITY SENSOR RN O4-NP\RIKO</t>
  </si>
  <si>
    <t>MSP0009412A</t>
  </si>
  <si>
    <t>AUTO TORCH CLEANER ROBOT CO2 PART\WIRE CUTTER:NCOP-WC03D(DAI 20-10L)\KYOKUTOH</t>
  </si>
  <si>
    <t>JCM0000476A</t>
  </si>
  <si>
    <t>AIR OPERATE VALVE\VS7-6-FJG-D-3NM\SMC</t>
  </si>
  <si>
    <t>MSP0007908A</t>
  </si>
  <si>
    <t>MSP0008821A</t>
  </si>
  <si>
    <t>KOMATSU PARTS\FEEDER PARTS\SLIDE AXIS PARTS\CYLINDER :P/N 93V-15-02205\KOMATSU</t>
  </si>
  <si>
    <t>MSP0004601A</t>
  </si>
  <si>
    <t>MSP0008457A</t>
  </si>
  <si>
    <t>ROBOT CO2 PART\NOZZLE CLEANER PART\REAMER:NCAM-AR13\KYOKUTOH</t>
  </si>
  <si>
    <t>MSP0006977A</t>
  </si>
  <si>
    <t>ARO MANUAL GUN \ GUNS PARTS \ 72710226 FILTER : 60-2/ETS \ AVITRA</t>
  </si>
  <si>
    <t>MSP0009810A</t>
  </si>
  <si>
    <t>ARO MANUAL GUN \ GUNS PARTS \55698 PLUG G1/2 CYL \</t>
  </si>
  <si>
    <t xml:space="preserve">MSP0009515A </t>
  </si>
  <si>
    <t xml:space="preserve">MSP0009513A </t>
  </si>
  <si>
    <t>MSP0004475A</t>
  </si>
  <si>
    <t>SWING DRIVE OIL SEAL \ TANDUM 1 ROBOT \ 07012-00058 \ KOMATSU</t>
  </si>
  <si>
    <t>MSP0004483A</t>
  </si>
  <si>
    <t>SWING DRIVE O-RING \ TANDUM 1 ROBOT \ P/N 07000-15300 \ KOMATSU</t>
  </si>
  <si>
    <t>MSP0007362A</t>
  </si>
  <si>
    <t>KOMATSU PRESS \LOADER PARTS \GASKET : 93V-53-07440 \KOMATSU</t>
  </si>
  <si>
    <t>MSP0007365A</t>
  </si>
  <si>
    <t>KOMATSU PRESS \LOADER UNIT PARTS \P/N 01252-70895 : BOLT \KOMATSU</t>
  </si>
  <si>
    <t>Destacker Komatsu</t>
  </si>
  <si>
    <t>MSP0008547A</t>
  </si>
  <si>
    <t>KOMATSU TRANSFER 1200T DISTRACKER PART :SOLENOID VALVE VP542R-5DZ1-03A</t>
  </si>
  <si>
    <t>JCM0005549A</t>
  </si>
  <si>
    <t>MSP0009971A</t>
  </si>
  <si>
    <t>WIA HYDRAULIC PUMP UNIT PARTS\CHAIN COUPLING KC-5016\SUMO</t>
  </si>
  <si>
    <t>PPX-R10N - 6M - KA \ PRESSURE SENSOR</t>
  </si>
  <si>
    <t xml:space="preserve">SOLENOID VALVE AB21-02-2-DC24V\CKD </t>
  </si>
  <si>
    <t>AFS0004034A</t>
  </si>
  <si>
    <t>ARO MANUAL GUN\TRANSFORMER PARTS\20980019:MESAURING TOROIDAL COIL 148.9M\AVITRA</t>
  </si>
  <si>
    <t>TILT  PULLY \ TANDUM 1 ROBOT \ 93V-46-02250 \ KOMATSU</t>
  </si>
  <si>
    <t>MSP0009944A</t>
  </si>
  <si>
    <t>SAFETY RELAY:PNOZ X3 24VAC 24VDC 3N/O 1N/C \PILZ</t>
  </si>
  <si>
    <t>PLC CONTROL PANEL PARTS \ CPU MODULES : Q12HCPU \ MITSUBISHI</t>
  </si>
  <si>
    <t>MSP0003821A</t>
  </si>
  <si>
    <t>MSP0009858A</t>
  </si>
  <si>
    <t>KOMATSU PARTS\FEEDER PARTS\BAR CARRIER DRIVE MOTOR PARTS\INVERTOR P/N:92X-05-31700\</t>
  </si>
  <si>
    <t>MSP0005850A</t>
  </si>
  <si>
    <t>MSP0009997A</t>
  </si>
  <si>
    <t>SOLENOID VALVE:4M320-08-B DC24V 5/2 1/4" \ AIRTAC</t>
  </si>
  <si>
    <t>MSP0006880A</t>
  </si>
  <si>
    <t>MSP0006881A</t>
  </si>
  <si>
    <t>DESTACKER PARTS \ D/F CONTROL PANEL PARTS \ POWER SUPPLY UNIT : PNOZ XV2 24VDC 2NO 2NC 774502\ PILZ</t>
  </si>
  <si>
    <t>MSP0006966A</t>
  </si>
  <si>
    <t>MSP0005427A</t>
  </si>
  <si>
    <t>MSP0008170A</t>
  </si>
  <si>
    <t>WIA PRESS 1000T PARTS\SAFETY VALVE\TYPE:JSV-LT12 (SER P.10.5 kgf/cm2)</t>
  </si>
  <si>
    <t>MSP0010011A</t>
  </si>
  <si>
    <t>KOMATSU PARTS \ MATERIAL STACK PARTS \ HANDLE \</t>
  </si>
  <si>
    <t>MSP0009940A</t>
  </si>
  <si>
    <t>ARO MANUAL GUN PARTS\AS132400 : PROGRAMMING POCKET\</t>
  </si>
  <si>
    <t>Column210</t>
  </si>
  <si>
    <t>C2</t>
  </si>
  <si>
    <t>A1</t>
  </si>
  <si>
    <t>A2</t>
  </si>
  <si>
    <t>MSP0009946A</t>
  </si>
  <si>
    <t>PUMP HYDRAULIC PARTS\JAW COUPLING HUB:PHE L100NR\SKF</t>
  </si>
  <si>
    <t>MSP0010054A</t>
  </si>
  <si>
    <t>ELECTRIC WIRE : 60227 IEC 06 IV 1*0.5 SQ.MM  (100 METERS)\ YAZAKI</t>
  </si>
  <si>
    <t>Column211</t>
  </si>
  <si>
    <t>MSP0007790A</t>
  </si>
  <si>
    <t>MSP0010092A</t>
  </si>
  <si>
    <t>KOMATSU HYDRAULIC UNIT PARTS\ DOUBLE VALVE COIL 100 VAC TYPE : 3573A4735\ROSS</t>
  </si>
  <si>
    <t>MSP0008598A</t>
  </si>
  <si>
    <t>ARO MANUAL GUN\CONTROL CABINET PARTS\15582010:THERMOSWITCH\AVITRA</t>
  </si>
  <si>
    <t>V.S. MOTOR : MODEL EDVSKA 4P - 20HP VARIABLE SPEED RANGE 120-1200 RPM,FOOT - MOUNTED TYPE, 3PHASE, 380V., 50HZ\TECO</t>
  </si>
  <si>
    <t>MSP0008044A</t>
  </si>
  <si>
    <t>SEYI SN1-160 TONS PART\CON ROD PARTS\CON ROD PARTS\PIN PN:B05\</t>
  </si>
  <si>
    <t>MSP0010187A</t>
  </si>
  <si>
    <t>MSP0010188A</t>
  </si>
  <si>
    <t>AIR SUCTION FILTER:ZFA200-02R\SMC</t>
  </si>
  <si>
    <t>SOLENOID VALVE:VF3330-5DZ1-01\SMC</t>
  </si>
  <si>
    <t>POWER VALVE\VEX3311-035DZ-X2\SMC</t>
  </si>
  <si>
    <t>MSP0002217A</t>
  </si>
  <si>
    <t>Nachi Robot</t>
  </si>
  <si>
    <t>MSP0010126A</t>
  </si>
  <si>
    <t>MSP0009861A</t>
  </si>
  <si>
    <t>KOMATSU PARTS\FEEDER SLIDE AXIS PARTS\LINEAR GUIDE P/N: 93V-15-02210\</t>
  </si>
  <si>
    <t>MSP0009733A</t>
  </si>
  <si>
    <t>KOMATSU PARTS\SOLENOID CONTROLLED VALVE:KSO-G03-2BA-20-EN (VOLT:AC100 V50/60HZ)\DAIKIN</t>
  </si>
  <si>
    <t>MSP0009734A</t>
  </si>
  <si>
    <t>KOMATSU PARTS\SOLENOID CONTROLLED VALVE:KSO-G03-2DA-20-EN (VOLT:AC100 V50/60HZ)\DAIKIN</t>
  </si>
  <si>
    <t>MSP0010132A</t>
  </si>
  <si>
    <t>ARO MANUAL GUN PARTS\MODULE ARTICULATION PARTS\HPM50061:ADAPTATION KIT CMA GUN\</t>
  </si>
  <si>
    <t>ARO GUN ROBOT PARTS\SERVO MOTOR PARTS\ 103012703:COUPLING ASSEMBLY\AVITRA</t>
  </si>
  <si>
    <t>MSP0010208A</t>
  </si>
  <si>
    <t>ARO MANUAL GUN\299680:MODULE ARTICULATION PARTS\HPM50050:INSULATION KIT \AVITRA</t>
  </si>
  <si>
    <t>MSP0010201A</t>
  </si>
  <si>
    <t>MSP0010209A</t>
  </si>
  <si>
    <t>ARO MANUAL GUN\299680:MODULE ARTICULATION PARTS\54096:VIDE \AVITRA</t>
  </si>
  <si>
    <t>MSP0010250A</t>
  </si>
  <si>
    <t>KOMATSU PARTS\UNLOADER AND LOADER PARTS\SLIDE DOOR UNIT\AIR CYLINDER:CA2L50-945Z\SMC</t>
  </si>
  <si>
    <t>MSP0010161A</t>
  </si>
  <si>
    <t>MANIFOLD VALVE\M4GA240R-06-E23-3-3\CKD</t>
  </si>
  <si>
    <t>MSP0005242A</t>
  </si>
  <si>
    <t>Aro Manual  Gun 1</t>
  </si>
  <si>
    <t>Aro Manual  Gun 2</t>
  </si>
  <si>
    <t>MSP0010202A</t>
  </si>
  <si>
    <t>WIA PARTS\CUSHION UNIT PARTS\AIR OPERATED VALVE:VNB702A-50F\SMC</t>
  </si>
  <si>
    <t>AFS0005897A</t>
  </si>
  <si>
    <t>AIR CYLINDER CDQ2B25-20DZ/SMC</t>
  </si>
  <si>
    <t>AFS0005898A</t>
  </si>
  <si>
    <t>AIR CYLINDER CDQ2B25-25DZ/SMC</t>
  </si>
  <si>
    <t>JCM0003192A</t>
  </si>
  <si>
    <t>N/A</t>
  </si>
  <si>
    <t>AFS0001706A</t>
  </si>
  <si>
    <t>AFS0004502A</t>
  </si>
  <si>
    <t>AFS0004507A</t>
  </si>
  <si>
    <t>PART IN PLUG\ MALE: NCS-254-PM (FOR DIE)\ NANABOSHI</t>
  </si>
  <si>
    <t>PLUG NANABOSHI \ NCS-254RF</t>
  </si>
  <si>
    <t>PUSHBUTTON\XB4-BA51\SCHNEIDER(เหลือง)</t>
  </si>
  <si>
    <t>MSP0010162A</t>
  </si>
  <si>
    <t>MSP0002102A</t>
  </si>
  <si>
    <t>MSP0002100A</t>
  </si>
  <si>
    <t>MSP0010343A</t>
  </si>
  <si>
    <t>MSP0010593A</t>
  </si>
  <si>
    <t>ILLUMINATED PUSHBUTTONS WITH PLASTIC BEZEL \  MODEL:YW1L-M2E11Q4G (GREEN) 24VDC \ IDEC \ COIL FEED SHUNG DAR CONTROL PANEL</t>
  </si>
  <si>
    <t>MSP0010594A</t>
  </si>
  <si>
    <t>ILLUMINATED PUSHBUTTONS WITH PLASTIC BEZEL \  MODEL:YW1L-M2E11Q4W (WHITE) 24VDC \ IDEC \ COIL FEED SHUNG DAR CONTROL PANEL</t>
  </si>
  <si>
    <t>MSP0010572A</t>
  </si>
  <si>
    <t>RELAY:HH52P-FL DC24V\FUJI</t>
  </si>
  <si>
    <t>MSP0010573A</t>
  </si>
  <si>
    <t>RELAY:HH54P-FL DC24V\FUJI</t>
  </si>
  <si>
    <t>AFS0005684A</t>
  </si>
  <si>
    <t>MSP0010243A</t>
  </si>
  <si>
    <t>SOLENOID VALVE:4V320-08-A-W AC220V\AIRTAC</t>
  </si>
  <si>
    <t>MSP0010600A</t>
  </si>
  <si>
    <t>PRINTED CARD RT \ P/N:949-07-07103 \ KOMATSU 800TONS \ CONTROL CABINATE UNIT</t>
  </si>
  <si>
    <t>MSP0010591A</t>
  </si>
  <si>
    <t>ELEMENT FOR ZFA200 \ MODEL:EJ101H-030N \ SMC \ KOMATSU FEEDER TILT AXIS \ AIR SUCTION FILTER UNIT</t>
  </si>
  <si>
    <t>Set</t>
  </si>
  <si>
    <t>Drum</t>
  </si>
  <si>
    <t>Pail</t>
  </si>
  <si>
    <t>Meters</t>
  </si>
  <si>
    <t>Lites</t>
  </si>
  <si>
    <t>MSP0010637A</t>
  </si>
  <si>
    <t>MSP0010623A</t>
  </si>
  <si>
    <t>BATTERY \PLC FX2N MODEL F2-40BL\MITSUBISHI\KO-400T LINE 2</t>
  </si>
  <si>
    <t>AFS0003886A</t>
  </si>
  <si>
    <t>MSP0002101A</t>
  </si>
  <si>
    <t>MSP0010650A</t>
  </si>
  <si>
    <t>GEAR PUMP (IP PUMP) \ MODEL:IPH-3B-13-20 \ NACHI \ WIA 400TONS \ HYDRAULIC TANK UNIT</t>
  </si>
  <si>
    <t>MSP0010599A</t>
  </si>
  <si>
    <t>MOTOR 1 PHASE \ MODEL:EFO-KT 1/3HP 4P 220V 50HZ \ HITACHI \ HACK SAWING MACHINE SIZE 14" PARTS</t>
  </si>
  <si>
    <t>MSP0010713A</t>
  </si>
  <si>
    <t>MSP0010703A</t>
  </si>
  <si>
    <t xml:space="preserve">AC SERVO AMPLIFIER \ MODEL:MR-J2S-200B-ED \ MITSUBISHI \ KOMATSU \  FEEDER TILT CONTROL CABINATE </t>
  </si>
  <si>
    <t>MSP0010708A</t>
  </si>
  <si>
    <t>MECHANICAL VALVE \ MVM42-R (ROLLER TYPES) \ OTC WELDING ROBOT</t>
  </si>
  <si>
    <t>MSP0010726A</t>
  </si>
  <si>
    <t>MSP0010727A</t>
  </si>
  <si>
    <t>COOLING TOWER\CHEMICAL\SCALE PROTECTOR : TAS-C-074\TASTAC</t>
  </si>
  <si>
    <t>MSP0008443A</t>
  </si>
  <si>
    <t>ABB SPOT ROBOT PART\SMB BOARD:3HAC046686-001\ABB</t>
  </si>
  <si>
    <t>MSP0007480A</t>
  </si>
  <si>
    <t>SOLENOLD VALVE\MODEL SY5140-5G\SMC</t>
  </si>
  <si>
    <t>MSP0008663A</t>
  </si>
  <si>
    <t>KOMATSU TRANSFER 1200T PRESS CONTROL PART:RELAY SRB301ST-24V-(V.2)\SCHMERSAL</t>
  </si>
  <si>
    <t>MSP0010643A</t>
  </si>
  <si>
    <t>SHAFT GEAR (OUT) \ SIZE 45*200 MM MATSKH3 HRC 60-62 AND GRINDING \ GEAR PUMP:IPH23B-3.5-10-11 \ WIA</t>
  </si>
  <si>
    <t>MSP0010644A</t>
  </si>
  <si>
    <t>SHAFT GEAR (IN) \ SIZE 45*50 MM MATSKH3 HRC 60-62 AND GRINDING \ GEAR PUMP:IPH23B-3.5-10-11 \ WIA</t>
  </si>
  <si>
    <t>MSP0013658A</t>
  </si>
  <si>
    <t>WIA HYDRAULIC UNIT PARTS \ PRESSURE GAUGE \ MODEL: EN 837-1 (DIA 63*250K,BD-TYPE) \ WIKA</t>
  </si>
  <si>
    <t xml:space="preserve">SOLENOID VALVE\SY5220-5LZ-C6\SMC </t>
  </si>
  <si>
    <t>MSP0013754A</t>
  </si>
  <si>
    <t>MECHANICAL VALVE \ MVM62-R \ OTC WELDING ROBOT</t>
  </si>
  <si>
    <t>AFS0006270A</t>
  </si>
  <si>
    <t>YAJIMA PUSH ROD MODEL:NF-0006-IS5-1</t>
  </si>
  <si>
    <t>AFS0006003A</t>
  </si>
  <si>
    <t>AFS0006269A</t>
  </si>
  <si>
    <t>MSP0013990A</t>
  </si>
  <si>
    <t>KOMATSU MB TANK PARTS \ REGULATOR \ MG-02P-2-55 \ DAIKIN</t>
  </si>
  <si>
    <t xml:space="preserve">Komatsu </t>
  </si>
  <si>
    <t>FLOW SENSOR \ FSM3-L500U1CH1D1N-BH \ CKD \ STUD WELDING GUN</t>
  </si>
  <si>
    <t>FLOW SENSOR \ FSM3-L500U1DH1D1N-BH \ CKD \ CO2 ROBOT</t>
  </si>
  <si>
    <t>KOMATSU MB TANK PARTS \ S.CONTROL VALE \ MT-02W-55 \ DAIKIN</t>
  </si>
  <si>
    <t>MSP0013989A</t>
  </si>
  <si>
    <t>KOMATSU MB TANK PARTS \ BLOCK \ BG-02AB-55 \ DAIKIN</t>
  </si>
  <si>
    <t>MSP0013991A</t>
  </si>
  <si>
    <t>MSP0013998A</t>
  </si>
  <si>
    <t>KOMATSU MB TANK PARTS \ RELIEF VALVE \ MG-02B-1-55 \ DAIKIN</t>
  </si>
  <si>
    <t>WIA PARTS \ LAPP KABLE : OLFLEX CLASSIC FD 810 34G1 \</t>
  </si>
  <si>
    <t>MSP0013931A</t>
  </si>
  <si>
    <t>CO2 REGULATOR \ TYPE HEATER 220 V\SUMO</t>
  </si>
  <si>
    <t>POWER SUPPLY\S8VS-06024 \OMRON</t>
  </si>
  <si>
    <t>BEARING\6002-2Z\SKF</t>
  </si>
  <si>
    <t>PRESSURE GAUGE \ G46-10-02 \ SMC</t>
  </si>
  <si>
    <t>POWER SUPPLY \ S8JX-G05024CD \OMRON</t>
  </si>
  <si>
    <t>AIR FILTER ELEMENT \CCN.39903281 MODEL ML132-2S \AIR COMPRESSURE</t>
  </si>
  <si>
    <t>MAGNETIC CONTACTOR\S-N21 220V \MITSUBISHI</t>
  </si>
  <si>
    <t>SEYI SN1-110 TONS PART \ AUTO GREASE PUMP : EGP505BM1IH \</t>
  </si>
  <si>
    <t>EJECT&amp;AIR TOOL VALVE \ SVAMA220311 \ HONG CHING\SEYI COMMON PART</t>
  </si>
  <si>
    <t>BATTERY MODEL Q6BAT\ MITSUBISHI\PLC Q SERIES PARTS</t>
  </si>
  <si>
    <t>POWER SUPPLY MODULES \ Q61P \ MITSUBISHI\PLC CONTROL PANEL PARTS</t>
  </si>
  <si>
    <t>MELSECNET\H MODULES \ QJ71BR11 \ MITSUBISHI\PLC CONTROL PANEL PARTS \</t>
  </si>
  <si>
    <t>CC-LINK MASTER/LOCAL MODULES \ QJ61BT11N \ MITSUBISHI\PLC CONTROL PANEL PARTS</t>
  </si>
  <si>
    <t>OUTPUT MODULES \ QY40P \ MITSUBISHI\PLC CONTROL PANEL PARTS</t>
  </si>
  <si>
    <t>PISTON PUMP V15A1RX-95 \DIAKIN\KOMATSU TANDEM 1000T FLYWHEEL PART \</t>
  </si>
  <si>
    <t>SOLENOID VALVE KSO-G02-2BA-30 \DAIKIN\KOMATSU 400T ADJUST LOCK UNIT PART\KOMATSU 400T ADJUST LOCK UNIT PART\</t>
  </si>
  <si>
    <t>SEYI SN1-160 TONS PART\ QDC PUMP MODEL:FP63080 D170800486 \FORWELL</t>
  </si>
  <si>
    <t>MSP0014256A</t>
  </si>
  <si>
    <t>MOTOR: FT4-3HP-L 3HP 3(2.2)HP(KW) 220/380/415V-50HZ \ TOSHIBA</t>
  </si>
  <si>
    <t>MSP0013988A</t>
  </si>
  <si>
    <t>MSP0013987A</t>
  </si>
  <si>
    <t>MSP0007808A</t>
  </si>
  <si>
    <t>MSP0007809A</t>
  </si>
  <si>
    <t>KOMATSU MB TANK PARTS \ CHECK VALVE \ MP-02W-20-55 \ DAIKIN</t>
  </si>
  <si>
    <t>KOMATSU MB TANK PARTS \ CHECK VALVE \ MC-02T-05-65 \ DAIKIN</t>
  </si>
  <si>
    <t>CHECK VALVE MC-02P-05-65 \DAIKIN\KOMATSU 400T ADJUST LOCK UNIT PART\</t>
  </si>
  <si>
    <t>REGULATOR MG-02P-1-55 \DAIKIN\KOMATSU 400T ADJUST LOCK UNIT PART\</t>
  </si>
  <si>
    <t>MSP0011149A</t>
  </si>
  <si>
    <t>FAN \ U7556KX-TP 230VAC INPUT 43/40W \ IKURA \ KOMATSU CONTROL CABINATE</t>
  </si>
  <si>
    <t>202577 Z-SWIVELS/GRACO</t>
  </si>
  <si>
    <t>AFS0005953A</t>
  </si>
  <si>
    <t>MSP0014485A</t>
  </si>
  <si>
    <t>MSP0014527A</t>
  </si>
  <si>
    <t>THERMAL OVERLOAD MODEL:TH-N20 0.5A RELAY JIS C8201-4-1 \ MITSUBISHI</t>
  </si>
  <si>
    <t>WIA PART\BALANCE CYLINDER PARTS\PRESSURE TRANSMITTER:VKRQ-A3-10K-4C\NIHON SANSHO</t>
  </si>
  <si>
    <t>MSP0013947A</t>
  </si>
  <si>
    <t>SOLENOID VALVE \ VP342-5D1-02B \ SMC \ COIL FEED SHUNG DAR</t>
  </si>
  <si>
    <t>MSP0012489A</t>
  </si>
  <si>
    <t>EXTENSION INPUT UNIT, 16 POINT MODEL:FX2N-16EX-ES/UL</t>
  </si>
  <si>
    <t>MSP0007789A</t>
  </si>
  <si>
    <t>Seyi 200T</t>
  </si>
  <si>
    <t>BRACKET P/N:91Y-75-55740 (FOR PBA300F-24-N) \ KOMATSU \ KOMATSU CONTROL CABINATE UNIT</t>
  </si>
  <si>
    <t>MSP0014486A</t>
  </si>
  <si>
    <t>MSP0010674A</t>
  </si>
  <si>
    <t>MSP0010675A</t>
  </si>
  <si>
    <t>POWER SUPPLY \ P/N:92X-07-12540 (PBA300F-24-M \ COSEL) \ KOMATSU</t>
  </si>
  <si>
    <t>MSP0012492A</t>
  </si>
  <si>
    <t>BASE UNIT, 64 INPUT, OUTPUT MODEL:FX3U-128MR/ES-A</t>
  </si>
  <si>
    <t>MSP0014872A</t>
  </si>
  <si>
    <t>PRESSURE SWITCH \ JCS-02N AC250V-3A DC24V-20MA \ HYDROTECH</t>
  </si>
  <si>
    <t>ARO MANUAL GUN PARTS\CYLINDER X GUN PARTS\68653:ROD C.40+20\AVITRA</t>
  </si>
  <si>
    <t>MSP0014727A</t>
  </si>
  <si>
    <t>ARO MANUAL GUN PARTS\CYLINDER C GUN PARTS\69528:ROD D.22\AVITRA</t>
  </si>
  <si>
    <t>MSP0008747A</t>
  </si>
  <si>
    <t>HYDRAULIC OIL MORLINA S2 B 32\ D209L\ SHELL</t>
  </si>
  <si>
    <t>HYDRAULIC OIL MORLINA S2 B 150\ D209L\ SHELL</t>
  </si>
  <si>
    <t>MSP0013736A</t>
  </si>
  <si>
    <t>KOMATSU PARTS \ LINER MOTOR \ LM-NP4O-54O-X0 \ P/N:92X-01-91860 \</t>
  </si>
  <si>
    <t>MSP0013735A</t>
  </si>
  <si>
    <t>KOMATSU PARTS \ LINER MOTOR \ LM-NP4G-46P-X4 \ P/N:92X-01-91841 \</t>
  </si>
  <si>
    <t>Komatsu Destacker</t>
  </si>
  <si>
    <t>MSP0006043A</t>
  </si>
  <si>
    <t>PLC CONTROL PANEL PARTS \ CC-LINK REMOTE COMBINED I/O MODULE : AJ65SBTB1-32DT3 \ MITSUBISHI</t>
  </si>
  <si>
    <t>MSP0007487A</t>
  </si>
  <si>
    <t>SOLENOID VALVE SY7220-5MOZ-02\KOMATSU TRANSFER 2500T FEEDER DISTACKER PART\</t>
  </si>
  <si>
    <t>MSP0010326A</t>
  </si>
  <si>
    <t>HYDRAULIC OIL TELLUS S2 MX 46\ D209L\ SHELL</t>
  </si>
  <si>
    <t>BREAKER : SACE FORMULA A1N 125 100A 2 POLE.\ABB</t>
  </si>
  <si>
    <t>Seyi 160T</t>
  </si>
  <si>
    <t>MSP0008149A</t>
  </si>
  <si>
    <t>SEYI COMMON PART\PRESSURE GAUGE REGULATOR PN:PGA021NU\</t>
  </si>
  <si>
    <t>MSP0014505A</t>
  </si>
  <si>
    <t>SUMERSIBLE SEMI-VORTEX SEWAGE PUMP : MODEL 50 DVS 51.5 (1.5 KW. 2P / 380V / 3HP / 50HZ.)\ EBARA</t>
  </si>
  <si>
    <t>MSP0014506A</t>
  </si>
  <si>
    <t>SUMERSIBLE SEMI-VORTEX SEWAGE PUMP PART\CONNECTOR LS50+STAINLESS STEEL CHAIN 3M.\EBARA</t>
  </si>
  <si>
    <t>MSP0006896A</t>
  </si>
  <si>
    <t>MAINT SWITCH BREAKER:OT40FT3 \ ABB</t>
  </si>
  <si>
    <t>MSP0015595A</t>
  </si>
  <si>
    <t>AFS0006433A</t>
  </si>
  <si>
    <t>AIR CYLINDER\CDM2B20-150Z\SMC</t>
  </si>
  <si>
    <t>AFS0007044A</t>
  </si>
  <si>
    <t>JCM0003112A</t>
  </si>
  <si>
    <t>MSP0006887A</t>
  </si>
  <si>
    <t>SEYI SN2-160T PARTS \ COUNTER PN:01A016011RQ \</t>
  </si>
  <si>
    <t>DCM0002955A</t>
  </si>
  <si>
    <t>PROXIMITY SENSOR\E2E-X10D1-N 2M\OMRON</t>
  </si>
  <si>
    <t>MSP0006054A</t>
  </si>
  <si>
    <t>WIA PRESS PARTS \ OPERATION PANEL PARTS \ ILLUMINATED PUSH BUTTON SWITCH : KBL-25MP-L3CG10 (1NO GREEN) \ KOINO</t>
  </si>
  <si>
    <t>COOLING TOWER PARTS\WATER PUMP PARTS\CROWN PIN COUPLING\</t>
  </si>
  <si>
    <t>MSP0009504A</t>
  </si>
  <si>
    <t>Cooling tower</t>
  </si>
  <si>
    <t>MSP0015907A</t>
  </si>
  <si>
    <t>COOLING TOWER PARTS \ MOTOR PUMP : TFO-KK 160M2 -15-50 15KW. 2POLE 380V. \ HITACHI</t>
  </si>
  <si>
    <t>MSP0015925A</t>
  </si>
  <si>
    <t>MSP0015961A</t>
  </si>
  <si>
    <t>TIMING RELAY: RE22R1QCMU \ SCHNEIDER</t>
  </si>
  <si>
    <t>JCM0002941A</t>
  </si>
  <si>
    <t>GUIDE CYL\MGPM16-25Z\SMC</t>
  </si>
  <si>
    <t>SEYI SN1-160 TONS PART \ F05-2 O-RING\SEYI</t>
  </si>
  <si>
    <t>SEYI SN1-160 TONS BALANCER PART\F05-1 U-PACKING\SEYI</t>
  </si>
  <si>
    <t>SEYI SN1-160 TONS BALANCER PART\F06-3 U-PACKING\SEYI</t>
  </si>
  <si>
    <t>SEYI COMMON PART \F06-1 O-RING\SEYI</t>
  </si>
  <si>
    <t>SEYI SN1-160 TONS BALANCER PART\F03 PISTON ROD\SEYI</t>
  </si>
  <si>
    <t>SEYI SN1-160 TONS BALANCER PART\F03-3 NUT\SEYI</t>
  </si>
  <si>
    <t>MSP0005303A</t>
  </si>
  <si>
    <t>MSP0008430A</t>
  </si>
  <si>
    <t>MSP0008432A</t>
  </si>
  <si>
    <t>MSP0005315A</t>
  </si>
  <si>
    <t>MSP0008428A</t>
  </si>
  <si>
    <t>MSP0008433A</t>
  </si>
  <si>
    <t>OVERLOAD RELAY :LR-D22 (16-24A) \ SCHNEIDER</t>
  </si>
  <si>
    <t>MSP0016084A</t>
  </si>
  <si>
    <t>OUTPUT MODULES \ QY22 \ MITSUBISHI\PLC CONTROL PANEL PARTS</t>
  </si>
  <si>
    <t>CONDUIT\ L10597D00\3M\WIRE FEEDER\CO2 ROBOT ALL-NB4</t>
  </si>
  <si>
    <t>WIA PARTS\SAFETY LIGHT CURTAIN MODEL:E0S4 304X\</t>
  </si>
  <si>
    <t>MSP0010052A</t>
  </si>
  <si>
    <t>PLC FX-SERIES\FX3U-64MR/ES\MITSUBISHI</t>
  </si>
  <si>
    <t>JCM0006412A</t>
  </si>
  <si>
    <t>MSP0007996A</t>
  </si>
  <si>
    <t xml:space="preserve">PUSH BUTTOM SWITCH:AR22F0R-10Y\FUJI(เหลือง) </t>
  </si>
  <si>
    <t>MSP0015647A</t>
  </si>
  <si>
    <t>AIR COMPRESSOR PART \ CCN#39495189 :COUPLING,INLET VALVE) \ PREMIUM</t>
  </si>
  <si>
    <t>Column8</t>
  </si>
  <si>
    <t>ผลรวม (SUM)</t>
  </si>
  <si>
    <t>นับจำนวน (Count)</t>
  </si>
  <si>
    <t>ค่าสูงสุด(Max)</t>
  </si>
  <si>
    <t>ค่าต่ำสุด(Min)</t>
  </si>
  <si>
    <t>ค่าเฉลี่ย (Average)</t>
  </si>
  <si>
    <t>Column9</t>
  </si>
  <si>
    <t>Column48</t>
  </si>
  <si>
    <t>Column49</t>
  </si>
  <si>
    <t>Column50</t>
  </si>
  <si>
    <t>Column51</t>
  </si>
  <si>
    <t>Column52</t>
  </si>
  <si>
    <t>Column53</t>
  </si>
  <si>
    <t>Column54</t>
  </si>
  <si>
    <t>MSP0015979A</t>
  </si>
  <si>
    <t>ARO MANUAL GUN \ GUNS PARTS \ 103006085: POWER CABLE COMPLETE ASSEMBLY (10 M.) \ AVITRA</t>
  </si>
  <si>
    <t>JCM0007065A</t>
  </si>
  <si>
    <t>CIRCUIT BREAKER\NF32-SV 3P 16A\MITSUBISHI</t>
  </si>
  <si>
    <t>JCM0007066A</t>
  </si>
  <si>
    <t>JCM0006163A</t>
  </si>
  <si>
    <t>CIRCUIT BREAKER\NF32-SV 2P 10A\MITSUBISHI</t>
  </si>
  <si>
    <t>JCM0007063A</t>
  </si>
  <si>
    <t>CIRCUIT BREAKER\NF32-SV 2P 16A\MITSUBISHI</t>
  </si>
  <si>
    <t>JCM0007064A</t>
  </si>
  <si>
    <t>CIRCUIT BREAKER\NF32-SV 2P 20A\MITSUBISHI</t>
  </si>
  <si>
    <t>Column55</t>
  </si>
  <si>
    <t>OTC WELDING ROBOT PARTS \ LINER FOR COAXIAL CABLE (1.2-1.6) \ L6611D01 \ OTC</t>
  </si>
  <si>
    <t>MSP0016400A</t>
  </si>
  <si>
    <t>MSP0010149A</t>
  </si>
  <si>
    <t>HYDRAULIC GEAR PUMP :MODEL SDY1-275L896 \ SHIMADZU</t>
  </si>
  <si>
    <t>AFS0006541A</t>
  </si>
  <si>
    <t>STEM,VALVE 236234 / GRACO</t>
  </si>
  <si>
    <t>JCM0004348A</t>
  </si>
  <si>
    <t>AUTO SWITCH\D-A93L\SMC</t>
  </si>
  <si>
    <t>OTC Robot</t>
  </si>
  <si>
    <t>FEED ROLL 1.2/1.2 (ROBOT) MODEL NAME:K5439B05</t>
  </si>
  <si>
    <t>MSP0012499A</t>
  </si>
  <si>
    <t>CO2 ROBOT PARTS \ MIDDLE GEAR : L10595P00 \ OTC DAIHEN</t>
  </si>
  <si>
    <t>MSP0016590A</t>
  </si>
  <si>
    <t>MSP0016591A</t>
  </si>
  <si>
    <t>CO2 ROBOT PARTS \ DRIVE GEAR:L10595Q00 \ OTC DAIHEN</t>
  </si>
  <si>
    <t>CO2 ROBOT PARTS \ PRESSURE ROLL:K5439C00 \ OTC DAIHEN</t>
  </si>
  <si>
    <t>MSP0016592A</t>
  </si>
  <si>
    <t>ARO GUN PARTS\TRANSFORMER 41852992:XCMA-45KVA-400V-50H\AVITRA</t>
  </si>
  <si>
    <t>Crane Demag</t>
  </si>
  <si>
    <t>AFS0004127A</t>
  </si>
  <si>
    <t>DIE ID PLUG\ MALE: NCS-4412-SPM (FOR DIE)\ NANABOSHI</t>
  </si>
  <si>
    <t>VP3185-141DLB1\ SOLINOID VALVE</t>
  </si>
  <si>
    <t>CONTROL PANEL UNIT \ MODULE \ QJ71C24N \ MITSUBISHI\KOMATSU PRESS 600T PARTS</t>
  </si>
  <si>
    <t>AIR BALANCER UNIT \ DIFFERENTIAL PRESSURE INDICATOR \ CB-49H \ SMC\KOMATSU PRESS 1200T PARTS \</t>
  </si>
  <si>
    <t>MSP0009514A</t>
  </si>
  <si>
    <t>MSP0009962A</t>
  </si>
  <si>
    <t>MSP0010189A</t>
  </si>
  <si>
    <t>MSP0014646A</t>
  </si>
  <si>
    <t>ABB ROBOT PART \ WRIST FOUNDRY PLUS:3HAC059479-001 \ ABB</t>
  </si>
  <si>
    <t>Kaizen Work</t>
  </si>
  <si>
    <t>MSP0007708A</t>
  </si>
  <si>
    <t>ABB ROBOTICS EXCHANGE :COMPUTER UNIT ARTICLE NUMBER : E3HAC041443-003</t>
  </si>
  <si>
    <t>MSP0014508A</t>
  </si>
  <si>
    <t>PRESSURE SWITCH:ZSE20CF-S-M-C01-W  (VOL.12-24 VDC)  \ SMC</t>
  </si>
  <si>
    <t>MSP0016213A</t>
  </si>
  <si>
    <t>MSP0005471A</t>
  </si>
  <si>
    <t>SPOT WELDING ROBOT \ SXTPU3 CABLE 10 M. : AN. 3HAC031683-001 \ ABB</t>
  </si>
  <si>
    <t>MSP0016134A</t>
  </si>
  <si>
    <t>KOMATSU 1200T PARTS \ CLUTCH UNITS \ SOLENOID VALVE :TYPE 3573A8709L CF30 PORT SIZE 11/2 EXHAUST 21/2 COIL 24DC, LED \ ROSS</t>
  </si>
  <si>
    <t xml:space="preserve">ARO MANUAL GUN PARTS\C GUN PARTS\HPM50058:SHUNT KIT\AVITRA </t>
  </si>
  <si>
    <t xml:space="preserve">OVERLOAD RELAY:LRD21: 12-18A \SCHNEIDER </t>
  </si>
  <si>
    <t>MSP0008300A</t>
  </si>
  <si>
    <t>CRANE PARTS\REMOTE PARTS\BATTERY IKUSI\ONVALLA</t>
  </si>
  <si>
    <t xml:space="preserve">ARO SPOT WELDING GUN PARTS\FLEXIBLE SHUNT PARTS\103014574:SHUNT KIT\AVITRA </t>
  </si>
  <si>
    <t>ARO MANUAL GUN \ CONTROL CABINET PARTS \ 101002792 PNEUMATIC EQUIPMENT QIM0078-A-01 \ AVITRA</t>
  </si>
  <si>
    <t>ARO MANUAL GUN PART \103009979:MADIFOLD X/A D.C.A.C. DN12\AVITRA</t>
  </si>
  <si>
    <t>MSP0016826A</t>
  </si>
  <si>
    <t>MSP0016970A</t>
  </si>
  <si>
    <t>BOLT FEEDER PARTS \ VACCUM HOLDER (M6) \ YAJIMA</t>
  </si>
  <si>
    <t>MSP0012744A</t>
  </si>
  <si>
    <t>"YAJIMA" PC BOARD P/N:NF21M FOR NUT FEEDER</t>
  </si>
  <si>
    <t>PCs</t>
  </si>
  <si>
    <t>MCP</t>
  </si>
  <si>
    <t>SCRAP CONVEYOR PARTS \ CONTROL PANEL PARTS \ MAGNETIC CONTACTOR : S-N35 220V \ MITSUBISHI</t>
  </si>
  <si>
    <t xml:space="preserve">DESTACKER PARTS\MAGNETIC CHAIN FEED\BEARING\626 ZZ1MC3E\NSK </t>
  </si>
  <si>
    <t xml:space="preserve">ILLUMINATED PUSH BUTTON SWITCH:XB5โ€AW35B5 1N/O+1N/C(YELLOW)\TELE </t>
  </si>
  <si>
    <t xml:space="preserve">ILLUMINATED PUSH BUTTON SWITCH:XB5โ€AW33B5 1N/O+1N/C(GREEN)\TELE </t>
  </si>
  <si>
    <t xml:space="preserve">COMMAND SWITCH:AR30MOR-10Y\FUJI </t>
  </si>
  <si>
    <t xml:space="preserve">RELAY \MY2N-GS 24VDC \OMRON </t>
  </si>
  <si>
    <t>JCM0007069A</t>
  </si>
  <si>
    <t>CIRCUIT PROTECTOR \CP30-BA-1P-1M-2A \MITSUBISHI</t>
  </si>
  <si>
    <t>JCM0007887A</t>
  </si>
  <si>
    <t>CIRCUIT PROTECTION\CP30-BA-1P 3A\MITSUBISHI</t>
  </si>
  <si>
    <t>JCM0006605A</t>
  </si>
  <si>
    <t>CIRCUIT PROTECTION\CP30BA-1P 5A\MITSUBISHI</t>
  </si>
  <si>
    <t>MSP0012808A</t>
  </si>
  <si>
    <t>CIRCUIT PROTECTOR \CP30-BA-7A 1P \MITSUBISHI</t>
  </si>
  <si>
    <t>MSP0012807A</t>
  </si>
  <si>
    <t>CIRCUIT PROTECTOR \CP30-BA-10A 1P \MITSUBISHI</t>
  </si>
  <si>
    <t xml:space="preserve">WIA PRESS 1000T PARTS \ UPRIGHT UNIT \ LIMIT SWITCH : WLSD3 \ OMRON </t>
  </si>
  <si>
    <t>TIMER SPOT WELDING PARTS \ TROIDAL COIL:R4023A00 \ OTC DAIHEN</t>
  </si>
  <si>
    <t>MSP0017467A</t>
  </si>
  <si>
    <t>n/a</t>
  </si>
  <si>
    <t>MSP0017839A</t>
  </si>
  <si>
    <t>MAGNETIC CONTACTOR\MSO-T25 110V 22A \MITSUBISHI</t>
  </si>
  <si>
    <t>PLC CONTROL PANEL PARTS \ CPU MODULES : Q03UDECPU \ MITSUBISHI</t>
  </si>
  <si>
    <t>MSP0006177A</t>
  </si>
  <si>
    <t>PLC CONTROL PANEL PARTS \ MELSECNET/H MODULES : QJ71LP21-25 \ MITSUBISHI</t>
  </si>
  <si>
    <t>MSP0006179A</t>
  </si>
  <si>
    <t>MSP0008164A</t>
  </si>
  <si>
    <t>DIGITAL INVERTER TYPE V1000 MODEL CIMR-VT4A0007BAA 380-480V 50HZ 3PHASE HEAVY DUTY POWER 2.2 KW\DIE SPOTTING 200T PART</t>
  </si>
  <si>
    <t>MSP0018057A</t>
  </si>
  <si>
    <t>MAGNETIC CONTACTOR \ MODEL:SC-4-0 JIS C 8201 COIL 110 VAC 25AMP.\ FUJI</t>
  </si>
  <si>
    <t>JCM0004341A</t>
  </si>
  <si>
    <t>PROXIMITY SWITCH\IGR203\IGB2006BARKG\AM\SC\0.3M\US\2LED(Range 6 mm)M18\IFM</t>
  </si>
  <si>
    <t>Improvement work</t>
  </si>
  <si>
    <t>JCM0004233A</t>
  </si>
  <si>
    <t>PLC CONTROL PANEL PARTS \ A/D CONVERTER MODULES : Q62DAN \ MITSUBISHI</t>
  </si>
  <si>
    <t>PLC CONTROL PANEL PARTS \ INPUT MODULES : QX41 \ MITSUBISHI</t>
  </si>
  <si>
    <t>PLC CONTROL PANEL PARTS \ INPUT MODULES : QX81 \ MITSUBISHI</t>
  </si>
  <si>
    <t>MSP0006187A</t>
  </si>
  <si>
    <t>MSP0006190A</t>
  </si>
  <si>
    <t>MSP0006192A</t>
  </si>
  <si>
    <t>MSP0015615A</t>
  </si>
  <si>
    <t>JCM0006610A</t>
  </si>
  <si>
    <t>CONTROL BOX\CH12-22A(W200xH200xD120)\NITTO</t>
  </si>
  <si>
    <t>MSP0018418A</t>
  </si>
  <si>
    <t>MAGNETIC\ SC-N1 COIL  110VAC 50A \FUJI</t>
  </si>
  <si>
    <t>MSP0018419A</t>
  </si>
  <si>
    <t>MAGNETIC\ SC-5-1 COIL 110VAC 32A FUJI</t>
  </si>
  <si>
    <t>MSP0018420A</t>
  </si>
  <si>
    <t>MAGNETIC\ SC-0 COIL 110VAC 20A \FUJI</t>
  </si>
  <si>
    <t>MSP0015427A</t>
  </si>
  <si>
    <t>TAISEI KOGYO OIL FILTER FOR MODULAR VALVES MODEL:MVF-01-8C-I</t>
  </si>
  <si>
    <t>JCM0008014A</t>
  </si>
  <si>
    <t>PROXIMITY SWITCH WITH CONNECTOR\IER205\IFM(Range 2 mm Cable 5 M)M8</t>
  </si>
  <si>
    <t>JCM0006119A</t>
  </si>
  <si>
    <t>INDUCTIVE SENSORS\IGR205\IFM(M18)</t>
  </si>
  <si>
    <t>INDUCTIVE SENSOR \ MODEL:IFR204 M12 CABLE 3M. \ IFM</t>
  </si>
  <si>
    <t>MSP0018078A</t>
  </si>
  <si>
    <t>INDUCTIVE SENSOR \ MODEL:IFR205 M12 CABLE 5M. \ IFM</t>
  </si>
  <si>
    <t>MSP0018079A</t>
  </si>
  <si>
    <t>INDUCTIVE SENSOR RECTANGULAR \ MODEL:IQW200 \ IFM</t>
  </si>
  <si>
    <t>MSP0018080A</t>
  </si>
  <si>
    <t>CRANE ABUS PARTS \ MAGNETIC LC1-D65E7  P/N:SP21-INMT-D65AE7 \ ONVALLA</t>
  </si>
  <si>
    <t>MSP0018055A</t>
  </si>
  <si>
    <t>MSP0013743A</t>
  </si>
  <si>
    <t>CIRCUIT PROTECTOR \CP30-BA-1P-1M-15A \MITSUBISHI</t>
  </si>
  <si>
    <t>MSP0018163A</t>
  </si>
  <si>
    <t>CIRCUIT PROTECTOR \ GCP-32A AC/DC 10A \ HONEYWELL</t>
  </si>
  <si>
    <t>CIRCUIT PROTECTOR \ GCP-31A AC/DC 5A \ HONEYWELL</t>
  </si>
  <si>
    <t>MSP0018164A</t>
  </si>
  <si>
    <t>MSP0018385A</t>
  </si>
  <si>
    <t>TIMING BELT \ S14M-1190-60MM \ BANDO</t>
  </si>
  <si>
    <t>ELEMENT FILTER \ EM301H-149N \ SMC</t>
  </si>
  <si>
    <t>KOMATSU PRESS \ M/B CLAMP PARTS \ ELEMENT FILTER : EP910-020N \ SMC</t>
  </si>
  <si>
    <t>MSP0005123A</t>
  </si>
  <si>
    <t>MSP0006082A</t>
  </si>
  <si>
    <t>FLOW CONTROL VALVE : FG-01-4-N-11C\YUKEN (แทน FG-01-4-N-11)</t>
  </si>
  <si>
    <t xml:space="preserve">M12 ALL METAL PROXIMITY SWITCH\DW-AD-703-M12\CONTRINEX </t>
  </si>
  <si>
    <t xml:space="preserve">STATIONARY PARTS \ AIR LUBRICATOR SET \ MODULAR LUBRICATOR : AL20-01-A \ SMC </t>
  </si>
  <si>
    <t>CIRCUIT BREAKER \ EZC100B 3P 50A \ SCHNEIDER</t>
  </si>
  <si>
    <t>MSP0018472A</t>
  </si>
  <si>
    <t>MAGNETS\HXF13\MISUMI</t>
  </si>
  <si>
    <t>AFS0011209A</t>
  </si>
  <si>
    <t>THRUST WASHER\MPWZ25\MISUMI</t>
  </si>
  <si>
    <t>JCM0000635A</t>
  </si>
  <si>
    <t>MSP0005481A</t>
  </si>
  <si>
    <t>FEEDING ROLL (0.9-1.0/1.2)CO2 ROBOT AII-NB4 \ MANIPULATOR PARTS \ K5439B12 FEEDING ROLL \ OTC DAIHEN</t>
  </si>
  <si>
    <t>MSP0018539A</t>
  </si>
  <si>
    <t>PUSH BUTTON SWITCH (EMERGENCY STOP):KH-3046ER (250VAC) \ KOINO</t>
  </si>
  <si>
    <t>MSP0018497A</t>
  </si>
  <si>
    <t>PILOT LAMP (PUSH BUTTON)\ A30FTG10011 110V (GREEN)\ FUJI</t>
  </si>
  <si>
    <t>JCM0003753A</t>
  </si>
  <si>
    <t>MSP0018496A</t>
  </si>
  <si>
    <t>SEYI SN1-160 TONS PARTS \ BALANCER \</t>
  </si>
  <si>
    <t>MSP0015247A</t>
  </si>
  <si>
    <t>MSP0015248A</t>
  </si>
  <si>
    <t>MSP0015249A</t>
  </si>
  <si>
    <t>MSP0015256A</t>
  </si>
  <si>
    <t>MSP0015257A</t>
  </si>
  <si>
    <t>MSP0015245A</t>
  </si>
  <si>
    <t>MSP0015246A</t>
  </si>
  <si>
    <t>MSP0017929A</t>
  </si>
  <si>
    <t>SEYI SN2-300 TONS PART \ O-RING (ORCS150) \</t>
  </si>
  <si>
    <t>SEYI SN2-300 TONS PART \ BALL SCREW (20105920S019) \</t>
  </si>
  <si>
    <t>SEYI 300T</t>
  </si>
  <si>
    <t>DIE HEIGHT INDICATOR B34-2 PHD-140 R.300-400 MM. \ SEYI 160T RAM PART</t>
  </si>
  <si>
    <t>MSP0009661A</t>
  </si>
  <si>
    <t>SEYI 160T</t>
  </si>
  <si>
    <t>SEYI PARTS \ SN1-200 PARTS \ DIE HEIGHT INDICATOR \</t>
  </si>
  <si>
    <t>MSP0018498A</t>
  </si>
  <si>
    <t>SEYI 200T</t>
  </si>
  <si>
    <t>MSP0008634A</t>
  </si>
  <si>
    <t>KOMATSU TRANSFER 1200T DISTRACKER PART:RELAY G7SA-3A1B DC24\OMRON</t>
  </si>
  <si>
    <t>MSP0018517A</t>
  </si>
  <si>
    <t>SPRAY GUN PART \ FLUID HOSE:223756 (HOSE, COUPLED, 1/4 X 15) \ GRACO</t>
  </si>
  <si>
    <t>Sealant Gun</t>
  </si>
  <si>
    <t>MSP0018771A</t>
  </si>
  <si>
    <t>SAFETY LIGHT CURTAIN TYPE 4 SF4B-H80-01 \ PANASONIC SUNX</t>
  </si>
  <si>
    <t>MSP0018499A</t>
  </si>
  <si>
    <t>SEYI PARTS \ SN1-300 PARTS \ DIE HEIGHT INDICATOR \</t>
  </si>
  <si>
    <t>Box</t>
  </si>
  <si>
    <t>MSP0019085A</t>
  </si>
  <si>
    <t>MAGNETIC CONTACTOR\S-T20 220V \MITSUBISHI</t>
  </si>
  <si>
    <t>MSP0019011A</t>
  </si>
  <si>
    <t>NACHI ROBOT PARTS \ LINEAR GUIDE (SLIM-LINE BLOCK, STD L) \ BRD45-R0Z0-N0S-00 \</t>
  </si>
  <si>
    <t>AFS0006705A</t>
  </si>
  <si>
    <t>PAIL PACK HAT</t>
  </si>
  <si>
    <t>WIA FLYWHEEL PARTS\LIMIT SWITCH:XE-Q22-2(OMRON)\TECH SANSHO</t>
  </si>
  <si>
    <t xml:space="preserve">PROXIMITY SENSOR : MODEL E2E-X5E1 2M\OMRON </t>
  </si>
  <si>
    <t>MSP0018781A</t>
  </si>
  <si>
    <t>NUT FEEDER PARTS \ VNS-00-HC22-8-DLH-B (NUT W520772) PARTS \ TBS-1325-03S FEED TUBE \ DENGENSHA</t>
  </si>
  <si>
    <t>MSP0018780A</t>
  </si>
  <si>
    <t>NUT FEEDER PARTS \ VNS-00-HC18-5.5-DLH-B (NUT W520781) PARTS \ TBS-0820-03S FEED TUBE \ DENGENSHA</t>
  </si>
  <si>
    <t>MSP0018782A</t>
  </si>
  <si>
    <t>NUT FEEDER PARTS \ VNS-00-CG16-6-DLH-B (NUT W520702) PARTS \ TBS-0717-03S FEED TUBE \ DENGENSHA</t>
  </si>
  <si>
    <t>MSP0018783A</t>
  </si>
  <si>
    <t>NUT FEEDER PARTS \ VNS-00-CG22-8-DLH-B (NUT W520703) PARTS \ TBS-0823-03S FEED TUBE \ DENGENSHA</t>
  </si>
  <si>
    <t>AFA0003179A</t>
  </si>
  <si>
    <t>AIR CYLINDER \ SCA2-CB-80B-50-T0H3-D-YB3 \ CKD</t>
  </si>
  <si>
    <t>MSP0018834A</t>
  </si>
  <si>
    <t>AIR CYLINDER \ SSD2-L-50-30-T0H-D \ CKD</t>
  </si>
  <si>
    <t>MSP0018833A</t>
  </si>
  <si>
    <t>JCM0008788A</t>
  </si>
  <si>
    <t>JCM0008819A</t>
  </si>
  <si>
    <t>MSP0018832A</t>
  </si>
  <si>
    <t>AIR CYLINDER \ STG-M-50-50-T0H-D \ CKD</t>
  </si>
  <si>
    <t>AIR CYLINDER \ STG-M-63-200-T0H-D \ CKD</t>
  </si>
  <si>
    <t>JCM0007973A</t>
  </si>
  <si>
    <t>AIR CYLINDER \ STG-MG4-50-50-T2YD5-D \ CKD</t>
  </si>
  <si>
    <t>MSP0018831A</t>
  </si>
  <si>
    <t>POWER CLAMP \ PWC-P-40EG-1S02 \ CKD</t>
  </si>
  <si>
    <t>POWER CLAMP \ PWC-D1-50EG-1S05 \ CKD</t>
  </si>
  <si>
    <t>POWER CLAMP \ PWC-D1-50EG-1S06 \ CKD</t>
  </si>
  <si>
    <t>JCM0009776A</t>
  </si>
  <si>
    <t>POWER CLAMP \ PWC-P-50EG-1S02 \ CKD</t>
  </si>
  <si>
    <t>Jig New</t>
  </si>
  <si>
    <t>MSP0008186A</t>
  </si>
  <si>
    <t>MSP0010374A</t>
  </si>
  <si>
    <t>MSP0010375A</t>
  </si>
  <si>
    <t>MSP0010378A</t>
  </si>
  <si>
    <t>MSP0010381A</t>
  </si>
  <si>
    <t>MSP0010376A</t>
  </si>
  <si>
    <t>MSP0010377A</t>
  </si>
  <si>
    <t>SEYI SN1-160 TONS PART\CON ROD PARTS\OIL GAUGE PN:B04-4\</t>
  </si>
  <si>
    <t>SEYI 160T CONNECTING ROD PART : U-PACKING B04-01 \SEYI</t>
  </si>
  <si>
    <t>SEYI 160T CONNECTING ROD PART : PIN SLEEVE B09 \SEYI</t>
  </si>
  <si>
    <t>SEYI 160T CONNECTING ROD PART : RUBBER COVER B44 \SEYI</t>
  </si>
  <si>
    <t>SEYI 160T CONNECTING ROD PART : BALL SCREW B07 \SEYI</t>
  </si>
  <si>
    <t>SEYI 160T CONNECTING ROD PART : BALL PIN B08 \SEYI</t>
  </si>
  <si>
    <t>AFA0003180A</t>
  </si>
  <si>
    <t>TILT REDUCER \ TANDUM 1 ROBOT \ 93V-46-02200 \ KOMATSU</t>
  </si>
  <si>
    <t>POWER SUPPLY \ P/N:919-23-07270 (PBA100F-24-M \ COSEL) \ KOMATSU</t>
  </si>
  <si>
    <t>AIR CYL\STG-M-50-25-T0H-D\CKD</t>
  </si>
  <si>
    <t>AIR CYL\STG-M-50-25-T2YD3-D\CKD</t>
  </si>
  <si>
    <t>AIR CYL\STG-M-63-50-T2YD3-D\CKD</t>
  </si>
  <si>
    <t>AIR CYLINDER \ SSD2-L-63-50-T0H-D-N-CB-Y \ CKD</t>
  </si>
  <si>
    <t>MSP0019045A</t>
  </si>
  <si>
    <t>SAFETY SWITCH \ IEC 947-5-1 EN 60947-5-1 \ TELEMECANIQUE</t>
  </si>
  <si>
    <t>JCM0008139A</t>
  </si>
  <si>
    <t>POWER CLAMP WITH SENSOR BORE.40\PWC-P-40EG-1S01(PNP)\CKD</t>
  </si>
  <si>
    <t>JCM0009754A</t>
  </si>
  <si>
    <t>POWER CLAMP WITH SENSOR BORE.63\PWC-P-63EG-1S01\CKD</t>
  </si>
  <si>
    <t>MSP0018829A</t>
  </si>
  <si>
    <t>POWER CLAMP \ PWC-P-63EG-1S02  \ CKD</t>
  </si>
  <si>
    <t>MSP0018830A</t>
  </si>
  <si>
    <t>AIR CYLINDER \ STG-M-40-25-T0H-D \ CKD</t>
  </si>
  <si>
    <t>Kgs.</t>
  </si>
  <si>
    <t>MSP0019227A</t>
  </si>
  <si>
    <t>MSP0019369A</t>
  </si>
  <si>
    <t>DIGITAL PRESSURE SENSOR:GP-M010 (SET:A WITH M12 4 PIN L-SHAPED,CONNECTOR CABLE 2M (OP-75722),ADAPTER (OP-87286)) \ KEYENCE</t>
  </si>
  <si>
    <t>JCM0006118A</t>
  </si>
  <si>
    <t>DIGITAL FLOW SENSOR\FD-Q20C,FD-QP1,OP75722\KEYENCE</t>
  </si>
  <si>
    <t>MSP0019318A</t>
  </si>
  <si>
    <t>ARO ROBOT GUN \ GUNS PARTS \ 103011592 COOLED JUMPER FOR C-GUN \ AVITRA</t>
  </si>
  <si>
    <t xml:space="preserve">ARO MANUAL GUN \ GUNS PARTS \ 101002081 MALE CABLE \ AVITRA </t>
  </si>
  <si>
    <t xml:space="preserve">ARO MANUAL GUN\GUN PARTS\53646 SEAL\AVITRA </t>
  </si>
  <si>
    <t xml:space="preserve">ARO MANUAL GUN PART\103049998:HOUSING PROTECTOR FOR CMA GUN\AVITRA </t>
  </si>
  <si>
    <t xml:space="preserve">KOMATSU PRESS CONTROL PANEL PARTS \ BATTERY FOR PLC UNIT : A6BAT \ MITSUBISHI  </t>
  </si>
  <si>
    <t xml:space="preserve">KOMATSU TENDUM:SOLENOID VALVE MODEL KSO-G02-2DA-30-E\DAIKIN </t>
  </si>
  <si>
    <t xml:space="preserve">WIA PRESS PART\PIPE COUPLING MODEL:MF-RL(SIZE 50A,O.D 60.5)\YN </t>
  </si>
  <si>
    <t xml:space="preserve">SOLENOID VALVE\SY5220-5DZ-01\SMC </t>
  </si>
  <si>
    <t xml:space="preserve">WIA PRESS 800T PARTS \ LUBRICATION UNIT \ ELEMENT FILTER : 0240-D-020 \ HYDAC </t>
  </si>
  <si>
    <t>MSP0019507A</t>
  </si>
  <si>
    <t>PROXIMITY SENSOR \ E2E-X10MC118 2M \ OMRON</t>
  </si>
  <si>
    <t>AFS0002565A</t>
  </si>
  <si>
    <t xml:space="preserve">ARO MANUAL GUN\299680:MODULE ARTICULATION PARTS\54320:FOLK JOINT\AVITRA </t>
  </si>
  <si>
    <t>MSP0019394A</t>
  </si>
  <si>
    <t>STUD WELDING SOYER BMK-12W PARTS \ SOY/E01071:MAIN SWITCH \</t>
  </si>
  <si>
    <t xml:space="preserve">ARO MANUAL GUN\GUN PARTS\HPM50013:WEARING KIT\AVITRA </t>
  </si>
  <si>
    <t xml:space="preserve">GUIDE CYL\MGPM20-25Z\SMC </t>
  </si>
  <si>
    <t xml:space="preserve">CJP2B10-10D-B AIR CYLINDER   </t>
  </si>
  <si>
    <t>SEYI SN1-160 TONS PART\GREASE DISTRIBUTOR SEYI P/N:LUDCV11CY\</t>
  </si>
  <si>
    <t>SOLENOID VALVE:VP544-3DZ1-03B\SMC (ใช้กับ Fly Wheel)</t>
  </si>
  <si>
    <t xml:space="preserve">PROXIMITY SENSOR:E2E-C06N04-WC-C1 2M\OMRON </t>
  </si>
  <si>
    <t>MSP0012787A</t>
  </si>
  <si>
    <t>BRASS SIGHT GLASS 3/4" \</t>
  </si>
  <si>
    <t>MSP0019378A</t>
  </si>
  <si>
    <t>ARO ROBOT WELDING GUN PART \ 103123196 ONLY ARM WITHOUT SHANK AND WITHOUT COOLING TUBE \ AVITRA</t>
  </si>
  <si>
    <t>MSP0010325A</t>
  </si>
  <si>
    <t>HYDRAULIC OIL (ISO VG 100) \ TELLUS S2 MX 100\ D209L\ SHELL</t>
  </si>
  <si>
    <t>MSP0010036A</t>
  </si>
  <si>
    <t>MOBIL ATF 220\20 LITERS</t>
  </si>
  <si>
    <t>KOMATSU FEEDER PARTS \ CONVERTOR \ MR-HP55KA4 \ MITSUBISHI (ถอดของเก่า)</t>
  </si>
  <si>
    <t>KOMATSU FEEDER PARTS \TITL AXIS UNIT \ SERVO AMP \  MR-J2S-200B-ED \ MITSUBISHI (ถอดของเก่า)</t>
  </si>
  <si>
    <t>MSP0003266A</t>
  </si>
  <si>
    <t>PROXIMITY SENSOR\E2E-X7D1-M1G\OMRON</t>
  </si>
  <si>
    <t>ARO MANUAL GUN PARTS\CONTROL CABINATE PARTS\ELECTRO PNEUMATIC REGULATOR:ITV2050-33F3N3\SMC</t>
  </si>
  <si>
    <t>MSP0009919A</t>
  </si>
  <si>
    <t>Stationary Panasonic</t>
  </si>
  <si>
    <t>STATIONARY PANASONIC PARTS \ SUPPORT LOWER ELECTRIC HOLDER P/N:TSM07084 \</t>
  </si>
  <si>
    <t>MSP0019386A</t>
  </si>
  <si>
    <t xml:space="preserve">ARO SPOT WELDING GUN PART\FITTING MODULE KIT:103001375KIT\AVITRA </t>
  </si>
  <si>
    <t>MSP0018301A</t>
  </si>
  <si>
    <t>SAFETY RELAY \ PNOZ M1P #773100 \PILZ</t>
  </si>
  <si>
    <t xml:space="preserve">SEYI 160 TON PART\DIE CLAMP PART\KIT PN:SE V0058\ </t>
  </si>
  <si>
    <t xml:space="preserve">ARO MANUAL GUN \ GUNS PARTS \ 55288 COOLING TUBE \ AVITRA </t>
  </si>
  <si>
    <t xml:space="preserve">CIRCUIT BREAKER\NF32-SV 3P 32A\MITSUBISHI </t>
  </si>
  <si>
    <t>SERVO AMP:MR-J2S-500B-ED\MITSUBISHI (Swing 2 Axis )</t>
  </si>
  <si>
    <t>KOMATSU PRESS PARTS\SWING AXIS UNIT\AC SERVO MOTOR : 92X-02-26290\KOMATSU (HC-RFS353BK)</t>
  </si>
  <si>
    <t>KOMATSU PRESS PARTS\TITL AXIS UNIT\SERVO MOTOR:92X-02-26300\KOMATSU (HC-RFS103BK)</t>
  </si>
  <si>
    <t xml:space="preserve">ARO MANUAL GUN \ GUNS PARTS \ 201280 COOLING TUBE : D6x8 L50 \ AVITRA </t>
  </si>
  <si>
    <t xml:space="preserve">ARO MANUAL GUN\299629:MODULE ARTICULATION PARTS\68676:CONNECTOR\AVITRA </t>
  </si>
  <si>
    <t>AIR COMPRESSURE MODEL ML132-2S PART \ 38459582:ULTRA COOLANT  (20LITER) \ PREMIUM</t>
  </si>
  <si>
    <t>AIR COMPRESSURE MODEL ML132-2S PART \ 22173629:SOLENOID OIL STOP VALVE (39318233) \ PREMIUM</t>
  </si>
  <si>
    <t>AIR COMPRESSURE MODEL ML132-2S PART \ 39572383 :HOSE ASSY (SEQ.TO AFTER COOLER) \ PREMIUM</t>
  </si>
  <si>
    <t>AIR COMPRESSURE MODEL ML132-2S PART \ 39572110 :HOSE ASSY (BLOW VALVE TO INLET) \ PREMIUM</t>
  </si>
  <si>
    <t>DESTACKER PARTS \ D/F CONTROL PANEL PARTS \ RELAY UNIT : PNOZ S4 24VDC 3NO 1NC #751104 \ PILZ</t>
  </si>
  <si>
    <t>MSP0020151A</t>
  </si>
  <si>
    <t>PRESET COUNTERS \ RC-13 \ KEYENCE</t>
  </si>
  <si>
    <t>AFS0005628A</t>
  </si>
  <si>
    <t>MSP0008530A</t>
  </si>
  <si>
    <t>COIL FEEDER SEYI 300 TONS PART\AIR REGLULATOR:AR50-10G-B\SMC</t>
  </si>
  <si>
    <t>MSP0009070A</t>
  </si>
  <si>
    <t>COIL FEED SHUNG DAR PARTS\AIR LUBRICATOR:MODEL AL50-10-A\SMC</t>
  </si>
  <si>
    <t>GREASE:GADUS S2 V220 NO.0 (180 KG)\SHELL</t>
  </si>
  <si>
    <t>MSP0008094A</t>
  </si>
  <si>
    <t>Column56</t>
  </si>
  <si>
    <t>REED SWITCH \ SW-T2YD \ CKD</t>
  </si>
  <si>
    <t>MSP0019433A</t>
  </si>
  <si>
    <t>AIR COMPRESSURE MODEL ML132-2S PART \ 39572482:HOSE ASSY (THERMO TO OIL FILTER) \ PREMIUM</t>
  </si>
  <si>
    <t>MSP0020152A</t>
  </si>
  <si>
    <t>WIRE FEEDER \ MODEL:YW-35KB3HAK \ PANASONIC</t>
  </si>
  <si>
    <t>AFA0003177A</t>
  </si>
  <si>
    <t>MSP0006883A</t>
  </si>
  <si>
    <t>MAGNETIC CONTACTOR\ LS  MC-9B AV220V</t>
  </si>
  <si>
    <t>MSP0018947A</t>
  </si>
  <si>
    <t>MSP0020058A</t>
  </si>
  <si>
    <t>KOMATSU PARTS \ BRAKING UNIT \ P/N:CDBR-4220DM \</t>
  </si>
  <si>
    <t>MSP0008522A</t>
  </si>
  <si>
    <t>MSP0020401A</t>
  </si>
  <si>
    <t>Hydraulic hose \ R7-4*L65 CM. (With spring protect)\</t>
  </si>
  <si>
    <t>SEYI</t>
  </si>
  <si>
    <t>Seyi 110T</t>
  </si>
  <si>
    <t>SEYI SN2-160T PARTS \ REGULATOR PN:FLR0401DP\</t>
  </si>
  <si>
    <t>SEYI 300TONS/160TONS PARTS \ U-PACKING OF BALL SEAT (?0250??275?H18) \</t>
  </si>
  <si>
    <t>SEYI COMMON PART\EMERGENCY STOP PN:01A014310TQ\ SEYI</t>
  </si>
  <si>
    <t>Komatsu destacker</t>
  </si>
  <si>
    <t>TOUCH SCREEN PANEL \ MODEL:PFXGP4601TAD \PROFACE</t>
  </si>
  <si>
    <t>TOUCH SCREEN PANEL \ MODEL:PFXGP4501TADW \PROFACE</t>
  </si>
  <si>
    <t>Nachi</t>
  </si>
  <si>
    <t>AFS0009950A</t>
  </si>
  <si>
    <t>CONTROL BOX SET NMJ-005-C</t>
  </si>
  <si>
    <t>AFS0010905A</t>
  </si>
  <si>
    <t>NMJ-005 MAIN CABLE NMJ-005K-MPC-2.5M.(NMJ2-W1)</t>
  </si>
  <si>
    <t>MSP0020476A</t>
  </si>
  <si>
    <t>MSP0020728A</t>
  </si>
  <si>
    <t>DOUBLE PUSHTTONS SWITCH M22-K10 EATON</t>
  </si>
  <si>
    <t>MSP0020120A</t>
  </si>
  <si>
    <t>PISTON PUMP \ V38A3R10X \ YEOSHE</t>
  </si>
  <si>
    <t>ARO SPOT WELDING GUN PART\103041771 MODULE ELECTRIC PARTS\103023765:ADAPTOR\AVITRA</t>
  </si>
  <si>
    <t>ARO SPOT WELDING GUN PART\103041771 MODULE ELECTRIC PARTS\ 88741205:CABLE GLAND (PT. # 10)\AVITRA</t>
  </si>
  <si>
    <t>ARO GUN PARTS\TRANSFORMER 41852984:XCMA-36KVA-400V-50H\AVITRA (ซ่อม 2 ตัว)</t>
  </si>
  <si>
    <t>MSP0020891A</t>
  </si>
  <si>
    <t>MSP0020892A</t>
  </si>
  <si>
    <t>MSP0008503A</t>
  </si>
  <si>
    <t>KOMATSU DESTACKER PART\UPPER MG CHAIN(CENTER):2060 WIDE SECOND LINK TYPE 150 LINKS\KOMATSU</t>
  </si>
  <si>
    <t>MSP0008930A</t>
  </si>
  <si>
    <t>CRANE PART \ SMART RELAY SR2B261B 24VAC \ DEMAG</t>
  </si>
  <si>
    <t>MSP0000865A</t>
  </si>
  <si>
    <t>MAGNETIC\SC-05 COIL 220V \FUJI</t>
  </si>
  <si>
    <t>THERMAL OVERLOAD RELAY\TH-ON/3 2.2-3.4A \FUJI</t>
  </si>
  <si>
    <t>MSP0000867A</t>
  </si>
  <si>
    <t>Komatsu 1200T</t>
  </si>
  <si>
    <t>CC-LINK REMOTE OUTPUT MODULE \ AJ65SBTB2N-16R \ MITSUBISHI\PLC CONTROL PANEL PARTS \</t>
  </si>
  <si>
    <t>MSP0006207A</t>
  </si>
  <si>
    <t>PLC CPU\MODEL Q03UDVCPU HIGH-SPEED UNIVERSAL MODEL QCPU,NO OF I/O=4096 POINTS,PROGRAM CAPACITY=30K STEPS\MITSUBISHI</t>
  </si>
  <si>
    <t>MSP0010225A</t>
  </si>
  <si>
    <t>MSP0020860A</t>
  </si>
  <si>
    <t>EMERGENCY STOP 22MM 1NC (XB7-NS8442) \ SCHNEIDER</t>
  </si>
  <si>
    <t>PILOT LAMP LED \ AD16-22DS (WHITE) 220VAC \ONPOW</t>
  </si>
  <si>
    <t>PILOT LAMP LED \ AD16-22DS (RED) 220VAC \ ONPOW</t>
  </si>
  <si>
    <t>ARO MANUAL GUN \ GUNS PARTS \ 70080998 DISTRIBUTOR : 4M320-08-F05 G1/4 24VDC \ AVITRA</t>
  </si>
  <si>
    <t>Column57</t>
  </si>
  <si>
    <t>Column58</t>
  </si>
  <si>
    <t>MSP0013203A</t>
  </si>
  <si>
    <t>OTC WELDING ROBOT PART \ DC-GEARED MOTOR \  MODEL:W-W03729 \ OTC DAIHEN</t>
  </si>
  <si>
    <t>MSP0005529A</t>
  </si>
  <si>
    <t>WIA PRESS 800T PARTS \ M/B UNIT \ LIMIT SWITCH PARTS \ PLUNGER SWITCH : WL-7H200 \ OMRON</t>
  </si>
  <si>
    <t xml:space="preserve">WIA PRESS PARTS\MAINT HYDRAULIC OIL UNIT\RELIEF VALVE\RIS-G03-AQ3-C1-10 </t>
  </si>
  <si>
    <t xml:space="preserve">SEAM WELDING PART:PROXIMITY SENSOR MODEL E2E-X7D1-N 2M\OMRON / </t>
  </si>
  <si>
    <t xml:space="preserve">MECHANICAL VALVE\VM130-01-33A\SMC </t>
  </si>
  <si>
    <t xml:space="preserve">Jig </t>
  </si>
  <si>
    <t>MSP0020988A</t>
  </si>
  <si>
    <t>CYLINDER \ GDC-TH80*60-A54-1 \ PARKER</t>
  </si>
  <si>
    <t>RELIEF VALVE \  EDG-01-C \ DOFLUID</t>
  </si>
  <si>
    <t>MSP0020999A</t>
  </si>
  <si>
    <t>MSP0018723A</t>
  </si>
  <si>
    <t>NUT FEEDER PARTS \ VNS-00-HC18-5.5-DLH-B (NUT W520781) PARTS \ PFU-0026-{L} DOUBLE HINGE SPRING \ DENGENSHA</t>
  </si>
  <si>
    <t>MSP0018724A</t>
  </si>
  <si>
    <t>NUT FEEDER PARTS\ VNS-00-HC18-5.5-DLH-B (NUT W520781) PARTS \ PFU-0026-{R} DOUBLE HINGE SPRING \ DENGENSHA</t>
  </si>
  <si>
    <t>MSP0018725A</t>
  </si>
  <si>
    <t>NUT FEEDER PARTS \ VNS-00-HC18-5.5-DLH-B (NUT W520781) PARTS \ PFC-0048R-{077-110-029} NUT STOPPER \ DENGENSHA</t>
  </si>
  <si>
    <t>MSP0018726A</t>
  </si>
  <si>
    <t>NUT FEEDER PARTS \ VNS-00-HC18-5.5-DLH-B (NUT W520781) PARTS \ PFU-0067-{055-6X8} SQUARE SPINDLE ASSY \ DENGENSHA</t>
  </si>
  <si>
    <t>MSP0018728A</t>
  </si>
  <si>
    <t>NUT FEEDER PARTS \ VNS-00-HC22-8-DLH-B (NUT W520772) PARTS \ PFU-0026-12-{L} DOUBLE HINGE SPRING \ DENGENSHA</t>
  </si>
  <si>
    <t>MSP0018729A</t>
  </si>
  <si>
    <t>NUT FEEDER PARTS \ VNS-00-HC22-8-DLH-B (NUT W520772) PARTS \ PFU-0026-12-{R} DOUBLE HINGE SPRING \ DENGENSHA</t>
  </si>
  <si>
    <t>MSP0018730A</t>
  </si>
  <si>
    <t>NUT FEEDER PARTS \ VNS-00-HC22-8-DLH-B (NUT W520772) PARTS \ PFC-0048R-{109-150-035} NUT STOPPER \ DENGENSHA</t>
  </si>
  <si>
    <t>MSP0018731A</t>
  </si>
  <si>
    <t>NUT FEEDER PARTS \ VNS-00-HC22-8-DLH-B (NUT W520772) PARTS \ PFU-0028-{130-064-8X10} SQUARE SPINDLE ASSY \ DENGENSHA</t>
  </si>
  <si>
    <t>MSP0018732A</t>
  </si>
  <si>
    <t>NUT FEEDER PARTS \ VNS-00-CG16-6-DLH-B (NUT W520702) PARTS \ PFU-0431WH-{CGM06-053-223-163} DOUBLE HINGE PLATE ASSY \ DENGENSHA</t>
  </si>
  <si>
    <t>MSP0018733A</t>
  </si>
  <si>
    <t>NUT FEEDER PARTS \ VNS-00-CG16-6-DLH-B (NUT W520702) PARTS \ PFC-0423-{053-163} NUT STOPPER \ DENGENSHA</t>
  </si>
  <si>
    <t>MSP0018734A</t>
  </si>
  <si>
    <t>NUT FEEDER PARTS \ VNS-00-CG16-6-DLH-B (NUT W520702) PARTS \ PFU-0067-{M06-10X12} SQUARE SPINDLE ASSY \ DENGENSHA</t>
  </si>
  <si>
    <t>MSP0018735A</t>
  </si>
  <si>
    <t>NUT FEEDER PARTS \ VNS-00-CG22-8-DLH-B (NUT W520703) PARTS \ PFU-0431WH-{CGM08-067-219} DOUBLE HINGE PLATE ASSY \ DENGENSHA</t>
  </si>
  <si>
    <t>MSP0018736A</t>
  </si>
  <si>
    <t>NUT FEEDER PARTS \ VNS-00-CG22-8-DLH-B (NUT W520703) PARTS \ PFC-0423-{067-219} NUT STOPPER \ DENGENSHA</t>
  </si>
  <si>
    <t>MSP0018737A</t>
  </si>
  <si>
    <t>NUT FEEDER PARTS \ VNS-00-CG22-8-DLH-B (NUT W520703) PARTS \ PFU-0067-{M08-12X14} SQUARE SPINDLE ASSY \ DENGENSHA</t>
  </si>
  <si>
    <t>MSP0018836A</t>
  </si>
  <si>
    <t>MSP0018837A</t>
  </si>
  <si>
    <t>MSP0018838A</t>
  </si>
  <si>
    <t>MSP0018842A</t>
  </si>
  <si>
    <t>MSP0018843A</t>
  </si>
  <si>
    <t>MSP0020204A</t>
  </si>
  <si>
    <t>NUT FEEDER YAJIMA \ MODEL:NF SIC-0010-IS5-1 S/N:59-0049 PART \ SPRING (M10)</t>
  </si>
  <si>
    <t>MSP0020206A</t>
  </si>
  <si>
    <t>NUT FEEDER YAJIMA \ MODEL:NF SIC-0006-IS5-1 S/N:57-0023 PART \ HOSE V05/3M</t>
  </si>
  <si>
    <t>MSP0020208A</t>
  </si>
  <si>
    <t>NUT FEEDER YAJIMA \ MODEL:NF SIC-0006-IS5-1 S/N:57-0023 PART \ SPRING (M6)</t>
  </si>
  <si>
    <t>MSP0020209A</t>
  </si>
  <si>
    <t>NUT FEEDER YAJIMA \ MODEL:NF SIC-0006-IS5-1 S/N:57-0023 PART \ SWITCH ST 315E</t>
  </si>
  <si>
    <t>MSP0020211A</t>
  </si>
  <si>
    <t>NUT FEEDER YAJIMA \ MODEL:NF SIF-0006-IS5-1 S/N:55-0013 PART \ HOSE V29/2M</t>
  </si>
  <si>
    <t>MSP0020215A</t>
  </si>
  <si>
    <t>NUT FEEDER YAJIMA \ MODEL:NF SIC-0008-IS5-1 S/N:56-0002 PART \ HOSE U-62/2M</t>
  </si>
  <si>
    <t>MSP0020217A</t>
  </si>
  <si>
    <t>NUT FEEDER YAJIMA \ MODEL:NF SIC-0008-IS5-1 S/N:56-0002 PART \ SPRING (M8)</t>
  </si>
  <si>
    <t>MSP0020219A</t>
  </si>
  <si>
    <t>NUT FEEDER YAJIMA \ MODEL:NF SIF-0008-IS5-1 S/N:57-0232 PART \ HOSE V10/3M</t>
  </si>
  <si>
    <t>MSP0020223A</t>
  </si>
  <si>
    <t>NUT FEEDER YAJIMA \ MODEL:NF SIC-0006-IS5-1 S/N:59-0012 PART \ HOSE U144/2M</t>
  </si>
  <si>
    <t>MSP0020227A</t>
  </si>
  <si>
    <t>Sealant Pump</t>
  </si>
  <si>
    <t>ARO MANUAL GUN PARTS\X GUN PARTS\HPM50060:SHUNT KIT XMA GUN\AVITRA  (เกิน on-hand 3 pcs.)</t>
  </si>
  <si>
    <t>MSP0002572A</t>
  </si>
  <si>
    <t>SMALL PRESS FLY WHEEL PART \ C07-2 X-RING (XR430V) \ SEYI</t>
  </si>
  <si>
    <t>MSP0002577A</t>
  </si>
  <si>
    <t>SMALL PRESS FLY WHEEL PART \ C09-1 O-RING (ORG280) \ SEYI</t>
  </si>
  <si>
    <t>MSP0002579A</t>
  </si>
  <si>
    <t>SMALL PRESS FLY WHEEL PART \ D01-3 O-RING (ORCAS568392R) \ SEYI</t>
  </si>
  <si>
    <t>MSP0002582A</t>
  </si>
  <si>
    <t>SMALL PRESS FLY WHEEL PART \ D01-7 OIL SEAL (TSC210A16) \ SEYI</t>
  </si>
  <si>
    <t>MSP0002583A</t>
  </si>
  <si>
    <t>SMALL PRESS FLY WHEEL PART \ D04-1 O-RING (ORG145) \ SEYI</t>
  </si>
  <si>
    <t>MSP0002585A</t>
  </si>
  <si>
    <t>SMALL PRESS FLY WHEEL PART \ D08-1 X-RING (XR461V) \ SEYI</t>
  </si>
  <si>
    <t>MSP0002586A</t>
  </si>
  <si>
    <t>SMALL PRESS FLY WHEEL PART \ D11 CLUTCH LINING (432D11D) \ SEYI</t>
  </si>
  <si>
    <t>MSP0002587A</t>
  </si>
  <si>
    <t>SMALL PRESS FLY WHEEL PART \ D12 BRAKE LINING (432D12D) \ SEYI</t>
  </si>
  <si>
    <t>MSP0002588A</t>
  </si>
  <si>
    <t>SMALL PRESS FLY WHEEL PART \ D13 DISC (432D13D) \ SEYI</t>
  </si>
  <si>
    <t>MSP0002590A</t>
  </si>
  <si>
    <t>SMALL PRESS FLY WHEEL PART \ E01-1 BEARING (BG6005ZZN) \ SEYI</t>
  </si>
  <si>
    <t>MSP0002591A</t>
  </si>
  <si>
    <t>SMALL PRESS FLY WHEEL PART \ E02-2 OIL SEAL (DRS25H000) \ SEYI</t>
  </si>
  <si>
    <t>MSP0010613A</t>
  </si>
  <si>
    <t>SMALL PRESS FLY WHEEL PART \ O-RING (ORCAS568031R) \ SEYI</t>
  </si>
  <si>
    <t>MSP0010701A</t>
  </si>
  <si>
    <t>SMALL PRESS FLY WHEEL PART \ E01-2 SNAP RING (CSS025) \ SEYI</t>
  </si>
  <si>
    <t>MSP0010700A</t>
  </si>
  <si>
    <t>SMALL PRESS FLY WHEEL PART \ E01 AIR INLET SHAFT (EWE01) \ SEYI</t>
  </si>
  <si>
    <t>MSP0010699A</t>
  </si>
  <si>
    <t>SMALL PRESS FLY WHEEL PART \ D08-3 WASHER (M8) (01ZB20004-1) \ SEYI</t>
  </si>
  <si>
    <t>MSP0010702A</t>
  </si>
  <si>
    <t>SMALL PRESS FLY WHEEL PART \ E02 COLLAR (392E02) \ SEYI</t>
  </si>
  <si>
    <t>MSP0002571A</t>
  </si>
  <si>
    <t>SMALL PRESS FLY WHEEL PART \ C07-1 -O-RING (ORG135) \ SEYI</t>
  </si>
  <si>
    <t>MSP0002573A</t>
  </si>
  <si>
    <t>SMALL PRESS FLY WHEEL PART \ C07-3 BEARING (BG23030CDE4CNP0) \ SEYI</t>
  </si>
  <si>
    <t>MSP0002574A</t>
  </si>
  <si>
    <t>SMALL PRESS FLY WHEEL PART \ C07-4 BEARING BASE (453C29011) \ SEYI</t>
  </si>
  <si>
    <t>MSP0002575A</t>
  </si>
  <si>
    <t>SMALL PRESS FLY WHEEL PART \ C08-1 OIL SEAL (TSC280A20I) \ SEYI</t>
  </si>
  <si>
    <t>MSP0002576A</t>
  </si>
  <si>
    <t>SMALL PRESS FLY WHEEL PART \ C08-2 BEARING (BG6948CNP0) \ SEYI</t>
  </si>
  <si>
    <t>MSP0002578A</t>
  </si>
  <si>
    <t>SMALL PRESS FLY WHEEL PART \ C09-2 OIL SEAL (TSC150A14) \ SEYI</t>
  </si>
  <si>
    <t>MSP0002580A</t>
  </si>
  <si>
    <t>SMALL PRESS FLY WHEEL PART \ D01-5 BEARING (BG7228BCNP0) \ SEYI</t>
  </si>
  <si>
    <t>MSP0020492A</t>
  </si>
  <si>
    <t>SMALL PRESS FLY WHEEL PART \ D17 COLLER (432D17) \ SEYI</t>
  </si>
  <si>
    <t>MSP0020617A</t>
  </si>
  <si>
    <t>SMALL PRESS FLY WHEEL PART \ BUSHING (453C30011) \ SEYI</t>
  </si>
  <si>
    <t>T.M.C</t>
  </si>
  <si>
    <t>MSP0020944A</t>
  </si>
  <si>
    <t>KOMATSU TILT AXIS PART \ SERVO MOTOR \ HC-RFS103BK \ MITSUBISHI</t>
  </si>
  <si>
    <t>BOLT FEEDER YAJIMA \ MODEL:BF VIC-0623-NIS5-1 S/N:64-0048 \ VACCUM HOLDER M6</t>
  </si>
  <si>
    <t>Bolt feeder Yajima</t>
  </si>
  <si>
    <t>MSP0021161A</t>
  </si>
  <si>
    <t>COIL FEEDER SHUNG DAR PART \  OIL FILTER \ SFW-10-J \</t>
  </si>
  <si>
    <t>MSP0021162A</t>
  </si>
  <si>
    <t>COIL FEEDER SHUNG DAR PART \  RETURN FILTER \ UFI-RA-32CC-A25L \</t>
  </si>
  <si>
    <t>MSP0021322A</t>
  </si>
  <si>
    <t>AFS0006556A</t>
  </si>
  <si>
    <t>AIR CYLINDER\CQ2B25-30D\SMC</t>
  </si>
  <si>
    <t>MSP0021485A</t>
  </si>
  <si>
    <t>INVERTER \ MODEL FR-D720S-0.75K \ MITSUBISHI</t>
  </si>
  <si>
    <t>MSP0016205A</t>
  </si>
  <si>
    <t>CKD / POWER CLAMP MODEL:PWC-P-63NG</t>
  </si>
  <si>
    <t xml:space="preserve">AIR CYLINDER\CDM2B20-200Z\SMC </t>
  </si>
  <si>
    <t xml:space="preserve">ARO MANUAL GUN \ GUNS PARTS \ 101002111 BLACK PUSH BUTTON SWITCH \ AVITRA </t>
  </si>
  <si>
    <t>Air compressor</t>
  </si>
  <si>
    <t>Pump Toilet Assy</t>
  </si>
  <si>
    <t>Pump Office Toilet</t>
  </si>
  <si>
    <t>Pump Canteen Toilet</t>
  </si>
  <si>
    <t>MSP0021487A</t>
  </si>
  <si>
    <t>CHAIN \ N0.100-1R (LENGTH=10 FEET) \ SUMO</t>
  </si>
  <si>
    <t>MSP0021490A</t>
  </si>
  <si>
    <t>KOMATSU FEEDER PART \ INVERTER \ FR-E740-0.4K \ MITSUBISHI</t>
  </si>
  <si>
    <t>MSP0021373A</t>
  </si>
  <si>
    <t>SEYI 110T PART \ SOLENOID VALVE:VO301-003DL(110) \ SEYI</t>
  </si>
  <si>
    <t xml:space="preserve"> WALL FAN (HIGH POWER) DF750-TW 30</t>
  </si>
  <si>
    <t>MSP0021218A</t>
  </si>
  <si>
    <t>PRESSURE GAUGE \ MODEL: P258 100MM. 1/2NPT (M) 0-1.5MPA \ WISE</t>
  </si>
  <si>
    <t>A3</t>
  </si>
  <si>
    <t>A4</t>
  </si>
  <si>
    <t>B1</t>
  </si>
  <si>
    <t>B2</t>
  </si>
  <si>
    <t>C1</t>
  </si>
  <si>
    <t>B3</t>
  </si>
  <si>
    <t>C3</t>
  </si>
  <si>
    <t>B4</t>
  </si>
  <si>
    <t>C4</t>
  </si>
  <si>
    <t>C5</t>
  </si>
  <si>
    <t>D1</t>
  </si>
  <si>
    <t>D2</t>
  </si>
  <si>
    <t>D3</t>
  </si>
  <si>
    <t>Shelf 2</t>
  </si>
  <si>
    <t>AC SERVO AMP:MODEL MR-J2S-700B4-S902U111 P/N92X-03-50310\(มีตัวซ่อม 2 ตัว)Motor Swing 1</t>
  </si>
  <si>
    <t>Middle Room</t>
  </si>
  <si>
    <t>Shelf 3</t>
  </si>
  <si>
    <t>E3</t>
  </si>
  <si>
    <t>Oil Starage</t>
  </si>
  <si>
    <t>SLIDE ARM PULLEY \ TANDUM 1 ROBOT \ 93V-15-01531 \ KOMATSU</t>
  </si>
  <si>
    <t>MSP0021309A</t>
  </si>
  <si>
    <t>WIA 1000T PART \ COUPLING MODEL: MF-RS SIZE100A \ YN-PIPE COUPLING</t>
  </si>
  <si>
    <t>EVAP.FAN FOR 70ACU / XXX (EP-03-615) \ WIA CONTROL CABINATE PARTS \</t>
  </si>
  <si>
    <t>Air Dindan</t>
  </si>
  <si>
    <t>STATIONARY PANASONIC PARTS \ PRESSURE HEAD P/N:TSM93142 \</t>
  </si>
  <si>
    <t>MSP0020056A</t>
  </si>
  <si>
    <t>SEYI 160T PART \ SENSOR PART \ REFLECTOR (01A033003SQ) \ SEYI</t>
  </si>
  <si>
    <t>MSP0021704A</t>
  </si>
  <si>
    <t>Seyi 300T</t>
  </si>
  <si>
    <t xml:space="preserve"> SPRING BALANCER \EWF-9\ENDO</t>
  </si>
  <si>
    <t>MSP0020515A</t>
  </si>
  <si>
    <t>OTC / SPOT TIMER   MODEL: VX-300K</t>
  </si>
  <si>
    <t>Stationary OTC</t>
  </si>
  <si>
    <t>MSP0021918A</t>
  </si>
  <si>
    <t>KOMATSU DESTACKER PARTS \ LIGHT CURTAIN SUNX PARTS \ CABLE SFB-CCB3,FOR SF4B-CORE BOTTOM CAP CABLE, 3M \</t>
  </si>
  <si>
    <t>MSP0021324A</t>
  </si>
  <si>
    <t>MSP0021753A</t>
  </si>
  <si>
    <t>CIRCUIT BREAKER\NF32-SV 2P 5A\MITSUBISHI</t>
  </si>
  <si>
    <t>MSP0021754A</t>
  </si>
  <si>
    <t>MSP0021752A</t>
  </si>
  <si>
    <t>WIA PRESS PARTS \ OPERATION PANEL PARTS \ PUSH BUTTON SWITCH : KH-3046ER-12 (1NO 2NC) \ KOINO</t>
  </si>
  <si>
    <t>V-BELT\5V2000 \</t>
  </si>
  <si>
    <t xml:space="preserve">KOMATSU PRESS \ FEEDER PARTS \ CROSS BAR CONNECT SENSOR : TL-Q5MC1 2M \ OMRON  </t>
  </si>
  <si>
    <t>MSP0021936A</t>
  </si>
  <si>
    <t>BOLT FEEDER PARTS \ VACCUM HOLDER M8 \ YAJIMA</t>
  </si>
  <si>
    <t>MSP0021935A</t>
  </si>
  <si>
    <t>BOLT FEEDER PARTS \ SHIFTER M8 \ YAJIMA</t>
  </si>
  <si>
    <t>Bolt Feeder Yajima</t>
  </si>
  <si>
    <t>MSP0017201A</t>
  </si>
  <si>
    <t>TEACH PANDANT CABLE 15M. MODEL L21501E\NACHI ROBOT</t>
  </si>
  <si>
    <t>MSP0021716A</t>
  </si>
  <si>
    <t>NACHI ROBOT PART \ DEVICE NET I/F MASTER 1CH P/N:NACCFD-OP131-A  \</t>
  </si>
  <si>
    <t>Wia 800T</t>
  </si>
  <si>
    <t>AIR CYLINDER \CQ2B20-45DM \ SMC</t>
  </si>
  <si>
    <t>MSP0021998A</t>
  </si>
  <si>
    <t>MSP0014618A</t>
  </si>
  <si>
    <t>CO-AXIAL POWER CABLE 0.9M FD-B6 P/N:L-11709</t>
  </si>
  <si>
    <t>Co2 Robot welding</t>
  </si>
  <si>
    <t>AFS0003883A</t>
  </si>
  <si>
    <t>VP744-1DZ1-03B\ SOLINOID VALVE</t>
  </si>
  <si>
    <t>MSP0020136A</t>
  </si>
  <si>
    <t>KOMATSU 600T PART \ INVERTER G7 \ MODEL:CIMR-G7A4090 \ YASKAWA</t>
  </si>
  <si>
    <t>Komatsu 600T</t>
  </si>
  <si>
    <t>MSP0022345A</t>
  </si>
  <si>
    <t>MSP0017526A</t>
  </si>
  <si>
    <t>MSP0021582A</t>
  </si>
  <si>
    <t>KOMATSU FEEDER PARTS \ CONTACTOR P/N:92X-01-79381 \ KOMATSU</t>
  </si>
  <si>
    <t>INVERTER \ PM240 FSF 110KW 6SL3224-1PE32-5UL0 \ SIEMENS</t>
  </si>
  <si>
    <t>MSP0018679A</t>
  </si>
  <si>
    <t>MSP0021941A</t>
  </si>
  <si>
    <t>MSP0021940A</t>
  </si>
  <si>
    <t>SEY 200T PART \ CON ROD PART \ WORM GEAR \ SEYI</t>
  </si>
  <si>
    <t>MSP0022524A</t>
  </si>
  <si>
    <t>FILTER ELEMENT \ MODEL :P-UL-08A-20U \ TAISE</t>
  </si>
  <si>
    <t>MSP0018680A</t>
  </si>
  <si>
    <t>INVERTER \ PM240-2 FSF 55KW 6SL3210-1PE31-5UL0 \ SIEMENS</t>
  </si>
  <si>
    <t>JCM0006606A</t>
  </si>
  <si>
    <t>TOUCH SCREEN 12"\GT2712-STBA\MITSUBISHI</t>
  </si>
  <si>
    <t>MSP0022311A</t>
  </si>
  <si>
    <t>CRANEDMAG 16/8 T PARTS \ DRIVE AMK30DD-M0-35-1-55.7-ZBF P/N:92137246 \</t>
  </si>
  <si>
    <t>Crane 16/8T</t>
  </si>
  <si>
    <t xml:space="preserve">KOMATSU DESTACKER PARTS \ INVERTER MODEL:MI FR-E720 0.75K \MITSUBISHI </t>
  </si>
  <si>
    <t>MSP0022915A</t>
  </si>
  <si>
    <t>AIR CYLINDER \CQ2B20-50DM \ SMC</t>
  </si>
  <si>
    <t>MSP0022889A</t>
  </si>
  <si>
    <t>MOTOR AC  MULLER  11 KW (15 HP) 4 POLE 380/660 V 22.4/12.0 A 1465/1465 RPM 50/50 HZ</t>
  </si>
  <si>
    <t>Co2 Robot (Smoke)</t>
  </si>
  <si>
    <t>MSP0022174A</t>
  </si>
  <si>
    <t>STATIONARY 50KVA PARTS \ CYLINDER P/N:SJ601-25075 \ OTC DAIHEN</t>
  </si>
  <si>
    <t>MSP0022304A</t>
  </si>
  <si>
    <t>KOMATSU 1200T PARTS \ SOLENOID VALVE P/N:98035-13640 \ KOMATSU</t>
  </si>
  <si>
    <t>MSP0022032A</t>
  </si>
  <si>
    <t>MSP0022033A</t>
  </si>
  <si>
    <t>MSP0022034A</t>
  </si>
  <si>
    <t>MSP0022035A</t>
  </si>
  <si>
    <t>MSP0022036A</t>
  </si>
  <si>
    <t>SEYI 200T PARTS \ CON ROD BUSHING PARTS \ CON ROD CAP \ SEYI</t>
  </si>
  <si>
    <t>SEYI 200T PARTS \ CON ROD BUSHING PARTS \ CON ROD BASE  \ SEYI</t>
  </si>
  <si>
    <t>SEYI 200T PARTS \ CON ROD BUSHING PARTS \ O-RING \ SEYI</t>
  </si>
  <si>
    <t>SEYI 200T PARTS \ CON ROD BUSHING PARTS \ PIN \ SEYI</t>
  </si>
  <si>
    <t>SEYI 200T PARTS \ CON ROD BUSHING \ SEYI</t>
  </si>
  <si>
    <t>MSP0006168A</t>
  </si>
  <si>
    <t>MSP0006169A</t>
  </si>
  <si>
    <t>MSP0006171A</t>
  </si>
  <si>
    <t>PLC CONTROL PANEL PARTS \ BASE UNIT : Q312B \ MITSUBISHI</t>
  </si>
  <si>
    <t>PLC CONTROL PANEL PARTS \ BASE UNIT : Q612B \ MITSUBISHI</t>
  </si>
  <si>
    <t>PLC CONTROL PANEL PARTS \ BASE UNIT : Q65B \ MITSUBISHI</t>
  </si>
  <si>
    <t xml:space="preserve">WIA PRESS 400T PARTS\SLIDE ADJUST UNIT\SSI CONVERTOR : CNV9101-0200 18VDC\ERMA ELECTRONIC </t>
  </si>
  <si>
    <t>MSP0023141A</t>
  </si>
  <si>
    <t>ROLLER CONVEYOR PART \ STEEL ROLLER:DIA 50-1.5 MMT LENGTH EL 499 MM AGL 523 MM \</t>
  </si>
  <si>
    <t>MSP0023399A</t>
  </si>
  <si>
    <t>MSP0023398A</t>
  </si>
  <si>
    <t>CMOS SENSOR \ LR-ZH500CP (WITH CABLE 2 M OP-73864) \ KEYENCE</t>
  </si>
  <si>
    <t>PHOTO SENSOR \ PZ-G51CB (WITH CABLE 2 M OP-75721) \ KEYENCE</t>
  </si>
  <si>
    <t xml:space="preserve">Converyor Tray </t>
  </si>
  <si>
    <t xml:space="preserve">PLC CONTROL PANEL PARTS\CPU MODULES:Q173CPUN\MISUBISHI  </t>
  </si>
  <si>
    <t>MSP0022763A</t>
  </si>
  <si>
    <t>KOMATSU 1F 2F 3F PARTS \ AIR HOSE P/N: 9811A-10340 \ KOMATSU</t>
  </si>
  <si>
    <t>Komatsu Robot Feeder</t>
  </si>
  <si>
    <t>MSP0023023A</t>
  </si>
  <si>
    <t>ARO MANUAL GUN PART \ 56704 GUDGEON*M6 L232 (FOR X GUN) \ AVITRA</t>
  </si>
  <si>
    <t>MSP0015816A</t>
  </si>
  <si>
    <t>PLC : FX5U-32MR/ES MAIN UNITS 220V 32 I\O (RELAY)\MITSUBISHI</t>
  </si>
  <si>
    <t>STATIONARY 75,90 KVA PARTS \ CYLINDER P/N:SJ6101-60100 \ OTC DAIHEN</t>
  </si>
  <si>
    <t>MSP0022175A</t>
  </si>
  <si>
    <t>MSP0022116A</t>
  </si>
  <si>
    <t>STATIONARY PARTS \ TRANSFORMER 50KVA P/N:SJ3501-72601 \ OTC DAIHEN</t>
  </si>
  <si>
    <t>Komatsu 800T 600T</t>
  </si>
  <si>
    <t>Wia (Belt Conveyor)</t>
  </si>
  <si>
    <t>Project</t>
  </si>
  <si>
    <t>MSP0007132A</t>
  </si>
  <si>
    <t>INVERTER MODEL FR-D740-3.7K \MITSUBISHI\SCRAP COVEYOR PART</t>
  </si>
  <si>
    <t>Jig (Poka-Yoke)</t>
  </si>
  <si>
    <t>Stationary (Panasonic)</t>
  </si>
  <si>
    <t>MSP0023513A</t>
  </si>
  <si>
    <t>DIGITAL SPEED CONTROLLER:FX1000A</t>
  </si>
  <si>
    <t>MSP0023612A</t>
  </si>
  <si>
    <t>PUMP MODEL:X6308S-B (REPLACE OLD MODEL:HPH6308) \ PASCAL</t>
  </si>
  <si>
    <t>JCM0009836A</t>
  </si>
  <si>
    <t>COMPACT EJECTOR VACUUM\SCPSi 10 G02 NC M12-5\SCHMALZ</t>
  </si>
  <si>
    <t>MSP0023089A</t>
  </si>
  <si>
    <t xml:space="preserve">PILOT LAMP LED MODEL:AD16-22DS (WHITE)\ONPOW </t>
  </si>
  <si>
    <t>MSP0023796A</t>
  </si>
  <si>
    <t>PLC CPU \ Q04UDVCPU \ MITSUBISHI.</t>
  </si>
  <si>
    <t>MSP0023767A</t>
  </si>
  <si>
    <t>ARO MANUAL GUN PART \CYLINDER 50087466 PARTS \ 7091080:SEAL (PT#5) \ AVITRA</t>
  </si>
  <si>
    <t>MSP0023766A</t>
  </si>
  <si>
    <t>ARO MANUAL GUN PART \CYLINDER 50087466 PARTS \ 53969:PISTON D80 (PT#15) \ AVITRA</t>
  </si>
  <si>
    <t>MSP0015531A</t>
  </si>
  <si>
    <t>AIR CYLINDER MODEL:CMK2-FA-25200-FL249201</t>
  </si>
  <si>
    <t>OTC Welding Robot</t>
  </si>
  <si>
    <t>E2</t>
  </si>
  <si>
    <t>MSP0005827A</t>
  </si>
  <si>
    <t>MSP0005828A</t>
  </si>
  <si>
    <t>SEYI 110T</t>
  </si>
  <si>
    <t>กล่องกระดษ กลางห้อง</t>
  </si>
  <si>
    <t>AIR CYL\STG-M-40-50\CKD</t>
  </si>
  <si>
    <t>AIR CYL\STG-M-50-100\CKD</t>
  </si>
  <si>
    <t>ARM CLAMP BORE.63 (RIGHT)\PWC-Q2202\CKD</t>
  </si>
  <si>
    <t>POWER CLAMP \ PWC-D1-63EG-1S01 \ CKD</t>
  </si>
  <si>
    <t>AIR CYLINDER \ SSD2-63-50 \ CKD</t>
  </si>
  <si>
    <t>CLAMP ARM \ PWC-Q2201 \ CKD</t>
  </si>
  <si>
    <t>AIR CYLINDER \ SSD2-63-100 \ CKD</t>
  </si>
  <si>
    <t>CLAMP ARM \ PWC-Q2203 \ CKD</t>
  </si>
  <si>
    <t>JCM0007969A</t>
  </si>
  <si>
    <t>JCM0007972A</t>
  </si>
  <si>
    <t>JCM0010640A</t>
  </si>
  <si>
    <t>MSP0023825A</t>
  </si>
  <si>
    <t>MSP0023826A</t>
  </si>
  <si>
    <t>MSP0023828A</t>
  </si>
  <si>
    <t>MSP0023827A</t>
  </si>
  <si>
    <t>MSP0023829A</t>
  </si>
  <si>
    <t>Jig BYD</t>
  </si>
  <si>
    <t>MSP0023628A</t>
  </si>
  <si>
    <t>AIR CYLINDER \ SCS2-LN-LB-125B-1000-JY \ CKD</t>
  </si>
  <si>
    <t xml:space="preserve">Aro Manual  Gun 1 </t>
  </si>
  <si>
    <t>Relay</t>
  </si>
  <si>
    <t>SPEED CONTROLLER \ AS900-14 \ SMC</t>
  </si>
  <si>
    <t>MSP0023769A</t>
  </si>
  <si>
    <t>MSP0007212A</t>
  </si>
  <si>
    <t>SEAL KIT FOR STRAINGHTEN  PNEUMATIC CYLINDER (MCQA-200X100) \HONGCHING\SHUNG DAR COIL FEEDER PART \</t>
  </si>
  <si>
    <t>MSP0007213A</t>
  </si>
  <si>
    <t>SHUNG DAR COIL FEEDER PART :SEAL KIT FOR ENTRANCE PNEUMATIC CYLINDER (MCQA-125X50)  \HONGCHING</t>
  </si>
  <si>
    <t>MSP0009189A</t>
  </si>
  <si>
    <t>COIL FEED SHUNG DAR PARTS \ SEAL KITS :441MCQA-200-PS \ HONG CHING</t>
  </si>
  <si>
    <t>Seyi 200T (Clutch &amp; Brake Unit.)</t>
  </si>
  <si>
    <t>Nut Feeder "Yajima"</t>
  </si>
  <si>
    <t>Nut Feeder "Dengensha"</t>
  </si>
  <si>
    <t>STATIONARY PARTS \ AIR LUBRICATOR SET \ MODULAR LUBRICATOR : AL30-03-D \ SMC</t>
  </si>
  <si>
    <t xml:space="preserve">PLC CONTROL PANEL PARTS \ OUTPUT MODULES : QY50 \ MITSUBISHI </t>
  </si>
  <si>
    <t>MSP0023983A</t>
  </si>
  <si>
    <t>NACHI ROBOT PARTS \ TEACH PANDANT PARTS \ TOUCH PANEL PLATE FD:OTCW-L02140 \ NACHI</t>
  </si>
  <si>
    <t>Tech pandent</t>
  </si>
  <si>
    <t>MSP0023989A</t>
  </si>
  <si>
    <t>PLUG CONECTOR \ NCS-4412-RF \ NANABOSHI</t>
  </si>
  <si>
    <t>Komatsu MB</t>
  </si>
  <si>
    <t>MSP0022118A</t>
  </si>
  <si>
    <t>STATIONARY PARTS \ TRANSFORMER 90KVA P/N:SJ9001-72000 \ OTC DAIHEN</t>
  </si>
  <si>
    <t>NMJ-005 MAIN CABLE \ NMJ-005K-SCC-2.5M.(NMJ2-W2) \ สายแจ็ค</t>
  </si>
  <si>
    <t>KOMATSU SHUTTER DOOR PART \ SWITCH LIMIT : TBD_SL \ KOMATSU</t>
  </si>
  <si>
    <t>MSP0023777A</t>
  </si>
  <si>
    <t>WIA PARTS\CLUTCH &amp; BRAKE PARTS\FACING 250*50T:P/N AAP01-CC0-14D-0\</t>
  </si>
  <si>
    <t>JCM0009453A</t>
  </si>
  <si>
    <t>SLIDE RAIL\RSR40-1800-S1\MISUMI</t>
  </si>
  <si>
    <t>MSP0006974A</t>
  </si>
  <si>
    <t>ARO MANUAL GUN \ GUNS PARTS \ 64150202 STOP : AX5 50x70 + C/P3 \ AVITRA</t>
  </si>
  <si>
    <t>MSP0023788A</t>
  </si>
  <si>
    <t>MAGNETIC CONTACTOR \ SC-M01/G (WITH AUXILILY CONTACTOR :SZ-MAZZ) \ FUJI</t>
  </si>
  <si>
    <t>Wia \ Komatsu</t>
  </si>
  <si>
    <t>MSP0024399A</t>
  </si>
  <si>
    <t>PLC CONTROL UNIT \ BATTERY LITHIUM #ER 3V/3.6V+WIRE \ TOSHIBA</t>
  </si>
  <si>
    <t>MSP0024343A</t>
  </si>
  <si>
    <t>PIN FOR CHAIN SCRAP CONVEYOR \ DIA :20 X 83mm. (MAT S45 C 54 -57 HRC) \</t>
  </si>
  <si>
    <t xml:space="preserve">SEYI SN.160 TONS PART\BRAKE SLIDE ADJUST PART\BRAKE MOTOR PN:UAA4075RC13\HONG CHING </t>
  </si>
  <si>
    <t>MSP0024378A</t>
  </si>
  <si>
    <t>FUSE NH1 gG/gl 250A 500V \ SIBA</t>
  </si>
  <si>
    <t>MDB</t>
  </si>
  <si>
    <t>MSP0024219A</t>
  </si>
  <si>
    <t>WIA PRESS 400T PARTS \ BRAKE UNIT \ DIAPHRAGM : A10011-CB-C21-0 \ WIA</t>
  </si>
  <si>
    <t>Wia 400T</t>
  </si>
  <si>
    <t>MSP0007824A</t>
  </si>
  <si>
    <t>WIA PRESS 400T PARTS\CLUTCH UNIT\DIAPHRAM\AAP03-CC0-17D-0\WIA</t>
  </si>
  <si>
    <t>MSP0024449A</t>
  </si>
  <si>
    <t>SAFETY&amp;RELIEF 2" AL5150(E) BB \ YOSHITAKE</t>
  </si>
  <si>
    <t>FILTER REGULATOR \ AW40-04-A \ SMC</t>
  </si>
  <si>
    <t>MSP0024537A</t>
  </si>
  <si>
    <t>SOLENOID VALVE \ VS7-6-FG-S-1Z (COIL AC 100V) \ SMC</t>
  </si>
  <si>
    <t>Stationary OTC 50Kva</t>
  </si>
  <si>
    <t>JCM0009789A</t>
  </si>
  <si>
    <t>PLC CONTROL PANEL PARTS\IQ-R CC-LINK IE-FIELD REMOTE OUTPUT MODULE: NZ2GF2B1-32TE\MITSUBISHI</t>
  </si>
  <si>
    <t>MSP0023963A</t>
  </si>
  <si>
    <t>SOLENOID VALVE \ VP744-1TZ1-04A \ SMC</t>
  </si>
  <si>
    <t>MSP0024521A</t>
  </si>
  <si>
    <t>MSP0022117A</t>
  </si>
  <si>
    <t>STATIONARY PARTS \ TRANSFORMER 75KVA P/N:SJ5001-72000 \ OTC DAIHEN</t>
  </si>
  <si>
    <t xml:space="preserve">Stationary </t>
  </si>
  <si>
    <t>กล่องกระดษ ใหญ่</t>
  </si>
  <si>
    <t>ST WELDING SOYER PH-3N</t>
  </si>
  <si>
    <t>MSP0024723A</t>
  </si>
  <si>
    <t>BB SIGHT GLASS #400 3/4" (SCRD) \ YOSHITAKE</t>
  </si>
  <si>
    <t>Komatsu \ Seyi</t>
  </si>
  <si>
    <t>MSP0024799A</t>
  </si>
  <si>
    <t>SAFETY RELIEF VALVE \ AL-150 (T) SIZE 1" (0.97 MPa) \ YOSHITAKE</t>
  </si>
  <si>
    <t xml:space="preserve">KOMATSU PRESS FEEDER NO.1 PARTS \ SLIDER AXIS UNIT \ BALLSCREW : 93V-15-02230 \ KOMATSU </t>
  </si>
  <si>
    <t>WIA PRESS 400T PARTS \ HYDRAULIC TANK UNIT \ GEAR PUMP (IP PUMP) : IPH-2B-3.5-11 \ NACHI</t>
  </si>
  <si>
    <t>JCM0011619A</t>
  </si>
  <si>
    <t>HYDRAULIC CYLINDER\CHDKDLD63-100M-M9BL\SMC</t>
  </si>
  <si>
    <t>MSP0024800A</t>
  </si>
  <si>
    <t>THERMAL OVERLOAD RELAY:TR-ON/3 6-9 A \ FUJI</t>
  </si>
  <si>
    <t>MSP0024523A</t>
  </si>
  <si>
    <t>SOLENOID VALVE \ AV210-08-B 24VDC \ AIRTAC</t>
  </si>
  <si>
    <t>Small Press</t>
  </si>
  <si>
    <t>MSP0024862A</t>
  </si>
  <si>
    <t>THERMAL OVERLOAD RELAY \ TR-N2/3 18-26A \ FUJI</t>
  </si>
  <si>
    <t>THERMAL OVERLOAD RELAY \ TR-ON/3 1.4-2.2 A \ FUJI</t>
  </si>
  <si>
    <t>MSP0024863A</t>
  </si>
  <si>
    <t>MSP0012468A</t>
  </si>
  <si>
    <t>JCM0011307A</t>
  </si>
  <si>
    <t>DIRECTIONAL CONTROL VALVE\VQ7-6-FJG-D-3N\SMC</t>
  </si>
  <si>
    <t>Jig ChangAn.</t>
  </si>
  <si>
    <t>MSP0024791A</t>
  </si>
  <si>
    <t>MSP0024792A</t>
  </si>
  <si>
    <t>OTC WELDING ROBOT PART \ FUSE ( 3.2A ) P/N:100-1628 \ OTC DAIHEN</t>
  </si>
  <si>
    <t>OTC WELDING ROBOT PART \ FUSE (1 A) P/N:100-3613 \ OTC DAIHEN</t>
  </si>
  <si>
    <t>MSP0023338A</t>
  </si>
  <si>
    <t>ROBOT NACHI PART \ CONTROLLER FD-11 PART \ DEVICE NET BOARD MASTER \ CFD-OP129A \</t>
  </si>
  <si>
    <t>MSP0023340A</t>
  </si>
  <si>
    <t>ROBOT NACHI PART \ J5 ROLLER CABLE SUPPORT ASSY \ SPJ-W-ATP-1000 \</t>
  </si>
  <si>
    <t>MSP0019284A</t>
  </si>
  <si>
    <t>ARO MANUAL GUN \ GUNS PARTS \ 191460 SUPPORT MODULE \ AVITRA</t>
  </si>
  <si>
    <t>Air Comp</t>
  </si>
  <si>
    <t>MSP0024268A</t>
  </si>
  <si>
    <t>LOAD TEST PART \ SWITCH FOR PUJ1201E MODEL:E1500002 \</t>
  </si>
  <si>
    <t>MSP0023609A</t>
  </si>
  <si>
    <t>LASER SENSOR \ LR-XH100 (LR-XH100,LR-XN11P,OP-88499,LR-XB1) \ KEYENCE</t>
  </si>
  <si>
    <t>MSP0024861A</t>
  </si>
  <si>
    <t>BREAKER \ MCCB FORMULA A1A125 3P 30A \ ABB</t>
  </si>
  <si>
    <t>กล่องไม้</t>
  </si>
  <si>
    <t>MSP0007840A</t>
  </si>
  <si>
    <t>BREAKER : NF125-CV 3P 100A\MITSUBISHI</t>
  </si>
  <si>
    <t>MSP0024527A</t>
  </si>
  <si>
    <t>I/O BOARD 32 INPUT /32 OUTPUT  (CFD-OP125-A) \ROBOT CFD CONTROLLER CHAMFER IMV PART (เอามาจากชั้นสอง)</t>
  </si>
  <si>
    <t>JCM0007967A</t>
  </si>
  <si>
    <t>AIR CYL\STG-M-40-25\CKD</t>
  </si>
  <si>
    <t>MSP0024164A</t>
  </si>
  <si>
    <t>FOOT SWITCH \ SJ6022-08800 \</t>
  </si>
  <si>
    <t>MSP0024522A</t>
  </si>
  <si>
    <t>Robot AII-NB4 \ SHOCK SENSOR:L10601B00 \ OTC</t>
  </si>
  <si>
    <t>MSP0023960A</t>
  </si>
  <si>
    <t>WIA 1000T 800T PARTS \ BRAKE &amp; CLUTCH UNIT \ SOLENOID VALVE:AD-SL231D-712B-M2(40A) AC110V \TOYOOKI</t>
  </si>
  <si>
    <t>JCM0005851A</t>
  </si>
  <si>
    <t>PUSH BUTTON\ABGW411-B\IDEC</t>
  </si>
  <si>
    <t>INSULATING BRACKET P/N:L10620F00</t>
  </si>
  <si>
    <t>MSP0015041A</t>
  </si>
  <si>
    <t>JCM0009367A</t>
  </si>
  <si>
    <t>ROBOT TORCH\RT5000H\OTC</t>
  </si>
  <si>
    <t>SAFETY LIGHT CURTAIN \ GL-R16H  L=320mm .(WITH GL-R16H SENSOR , GL-RP5PS , GL-RB21 ) \ KEYENCE</t>
  </si>
  <si>
    <t>MSP0024184A</t>
  </si>
  <si>
    <t>KOMATSU 1200TONS PARTS\CLUTCH &amp; BRAKE UNIT PARTS\ OIL SEAL P/N : 92A-00-90040 \ KOMATSU</t>
  </si>
  <si>
    <t>MSP0024180A</t>
  </si>
  <si>
    <t>KOMATSU 1200TONS PARTS\CLUTCH &amp; BRAKE UNIT PARTS\ PIN DOWEL P/N : 04022-12030 \ KOMATSU</t>
  </si>
  <si>
    <t>MSP0024182A</t>
  </si>
  <si>
    <t>KOMATSU 1200TONS PARTS\CLUTCH &amp; BRAKE UNIT PARTS\ O-RING P/N : 07000-15200 \ KOMATSU</t>
  </si>
  <si>
    <t>MSP0024179A</t>
  </si>
  <si>
    <t>KOMATSU 1200TONS PARTS\CLUTCH &amp; BRAKE UNIT PARTS\ WASHER P/N : 01643-32460 \ KOMATSU</t>
  </si>
  <si>
    <t>MSP0024187A</t>
  </si>
  <si>
    <t>KOMATSU 1200TONS PARTS\CLUTCH &amp; BRAKE UNIT PARTS\ O-RING P/N : 07000-15180 \ KOMATSU</t>
  </si>
  <si>
    <t>MSP0024188A</t>
  </si>
  <si>
    <t>KOMATSU 1200TONS PARTS\CLUTCH &amp; BRAKE UNIT PARTS\ SHIM P/N : 90232-4-1590 \ KOMATSU</t>
  </si>
  <si>
    <t>MSP0024186A</t>
  </si>
  <si>
    <t>KOMATSU 1200TONS PARTS\CLUTCH &amp; BRAKE UNIT PARTS\ BOLT P/N : 01011-62455 \ KOMATSU</t>
  </si>
  <si>
    <t>MSP0024178A</t>
  </si>
  <si>
    <t>KOMATSU 1200TONS PARTS\CLUTCH &amp; BRAKE UNIT PARTS\ BOLT P/N : 01011-62430 \ KOMATSU</t>
  </si>
  <si>
    <t>MSP0024181A</t>
  </si>
  <si>
    <t>KOMATSU 1200TONS PARTS\CLUTCH &amp; BRAKE UNIT PARTS\ SHIM P/N : 90212-4-1590 \ KOMATSU</t>
  </si>
  <si>
    <t>MSP0024183A</t>
  </si>
  <si>
    <t>KOMATSU 1200TONS PARTS\CLUTCH &amp; BRAKE UNIT PARTS\ O-RING P/N : 98360-15530 \ KOMATSU</t>
  </si>
  <si>
    <t>MSP0024185A</t>
  </si>
  <si>
    <t>KOMATSU 1200TONS PARTS\CLUTCH &amp; BRAKE UNIT PARTS\ O-RING P/N : 07000-15370 \ KOMATSU</t>
  </si>
  <si>
    <t>MSP0024948A</t>
  </si>
  <si>
    <t>DUST COLLECTOR AVT K5 B-M0T01L00 PART \ CARTRIDGE FILTER MODEL:M17-325/660 \</t>
  </si>
  <si>
    <t>Hood Robot Co2</t>
  </si>
  <si>
    <t xml:space="preserve">WIA PRESS 800T PARTS \ M/B UNIT \ LIMIT SWITCH : WLD2-LDK13 \ OMRON </t>
  </si>
  <si>
    <t>JCM0003846A</t>
  </si>
  <si>
    <t>SPRING BALANCER \EWS-5\ENDO</t>
  </si>
  <si>
    <t>MSP0025406A</t>
  </si>
  <si>
    <t>WIA MB PARTS \ INVERTER MODEL: LSLV0040G100-4EOFN 3.7-4 kW(5HP), 3phase, 380-480VAC\</t>
  </si>
  <si>
    <t>SEYI SN1-160 TONS BALANCER PART\PIN:F03-4\ SEYI</t>
  </si>
  <si>
    <t>SEYI SN1-160 TONS BALANCER PART\COLLAR/NUT:F09\ SEYI</t>
  </si>
  <si>
    <t>MSP0024668A</t>
  </si>
  <si>
    <t>SEYI SN1-160 TONS BALANCER PART\F10-1 NUT \ SEYI</t>
  </si>
  <si>
    <t>SEYI SN2-300 TONS PART \ OIL SEAL (OGASKL190W) \</t>
  </si>
  <si>
    <t>SEYI SN2-300 TONS PART \ U-PACKING (UBG0150A0) \</t>
  </si>
  <si>
    <t>SEYI SN2-300 TONS PART \ PIN (392B05) \</t>
  </si>
  <si>
    <t>SEYI SN2-300 TONS PART \ CON ROD (572B04) \</t>
  </si>
  <si>
    <t>SEYI SN2-300 TONS PART \ PIN SLEEVE (43B27S01) \</t>
  </si>
  <si>
    <t>SEYI SN2-300 TONS PART \ BALL PIN (43B3705) \</t>
  </si>
  <si>
    <t>MSP0024833A</t>
  </si>
  <si>
    <t>SEYI SN2-300 TONS PART \ RUBBER COVER (B07-1) \</t>
  </si>
  <si>
    <t>MSP0014520A</t>
  </si>
  <si>
    <t>WIA PARTS \ CAM SWITCH (7-STEP) \</t>
  </si>
  <si>
    <t>Seyi 160T#2</t>
  </si>
  <si>
    <t>MSP0025096A</t>
  </si>
  <si>
    <t>NUT FFEDER YAJIMA PARTS \ TRANSFORMER 380V/220 \</t>
  </si>
  <si>
    <t>MSP0011373A</t>
  </si>
  <si>
    <t>"ENDO" AIR HOIST MODEL:EHW-120R (120 KG)</t>
  </si>
  <si>
    <t>Robot OTC</t>
  </si>
  <si>
    <t xml:space="preserve">REPAIR KIT 235829 </t>
  </si>
  <si>
    <t>กล่องกระดาษ</t>
  </si>
  <si>
    <t>BOX#001</t>
  </si>
  <si>
    <t xml:space="preserve">BOX#004 </t>
  </si>
  <si>
    <t xml:space="preserve">BOX#002 </t>
  </si>
  <si>
    <t xml:space="preserve">BOX#003 </t>
  </si>
  <si>
    <t>BOX#003</t>
  </si>
  <si>
    <t>BOX#005</t>
  </si>
  <si>
    <t>MSP0023331A</t>
  </si>
  <si>
    <t>AIRTAC/ELECTRIC SENSOR SWITCH/MODEL : DS169AM</t>
  </si>
  <si>
    <t>MSP0025494A</t>
  </si>
  <si>
    <t>SPEED CONTROLER FITTING (GRAY) \ PTL10-04A \ AIRTAC</t>
  </si>
  <si>
    <t xml:space="preserve">OTC ROBOT PARTS \ TEACH PENDANT CABLE (15M.) \ P/N:FD19RB-3015 \ OTC </t>
  </si>
  <si>
    <t xml:space="preserve">OTC Robot (FD-19) </t>
  </si>
  <si>
    <t>JCM0007971A</t>
  </si>
  <si>
    <t>AIR CYL\STG-M-50-25\CKD</t>
  </si>
  <si>
    <t>MSP0025591A</t>
  </si>
  <si>
    <t>LIMIT SWITCH \ SL1-A \ YAMATAKE</t>
  </si>
  <si>
    <t>MSP0025206A</t>
  </si>
  <si>
    <t>INDUCTIVE PROXIBITY SENSOR \ IME12-04BPSZC0S M12/PNP/NO #1040764 \ SICK</t>
  </si>
  <si>
    <t>MSP0025207A</t>
  </si>
  <si>
    <t>INDUCTIVE PROXIBITY SENSOR \ IME18-08BPSZC0K M18/PNP/NO#1040965 \ SICK</t>
  </si>
  <si>
    <t>MSP0025208A</t>
  </si>
  <si>
    <t>INDUCTIVE PROXIBITY SENSOR \ IME30-15BPSZC0S M30/PNP/NO #1041030 \ SICK</t>
  </si>
  <si>
    <t>JCM0006701A</t>
  </si>
  <si>
    <t>BULKHEAD HOUSING 1L-COVER-16P \CHI 16 LS\ILME</t>
  </si>
  <si>
    <t>JCM0006702A</t>
  </si>
  <si>
    <t>MALE INSERT 1-72,72P\250V,34P\400V,17P\500V+E\CDDM 72\ILME</t>
  </si>
  <si>
    <t>JCM0006703A</t>
  </si>
  <si>
    <t>MALE - SIVER-CRIMP-CONTACT-10A-0,7MM.2 \CDMA 0.7</t>
  </si>
  <si>
    <t>JCM0008641A</t>
  </si>
  <si>
    <t>10A CRIMP CONTACT\CDFA 0.7\ILME</t>
  </si>
  <si>
    <t>MSP0008707A</t>
  </si>
  <si>
    <t>KOMATSU PARTS\DESTACKER PARTS\AIR CYLINER:CDG1BN25-220Z-C73ZS\SMC</t>
  </si>
  <si>
    <t>MSP0009833A</t>
  </si>
  <si>
    <t>FEMALE INSERT\MODEL CDDF 72 72P-10A-250V CRIMP CONNECTIONS\ILME</t>
  </si>
  <si>
    <t>MSP0009834A</t>
  </si>
  <si>
    <t>HOOD\MODEL MHO 16 L32 1L-16P-M32 SIDE ENTRY\ILME</t>
  </si>
  <si>
    <t>MSP0025204A</t>
  </si>
  <si>
    <t>I/O MODULE \ FX5-16EYR/ES FX-16EYR/E \ MITSUBISHI</t>
  </si>
  <si>
    <t>MSP0025209A</t>
  </si>
  <si>
    <t>SENSOR/ACTUATOR CABLE \ YG2A14-050VB3XLEAX M12/4-PIN/TYPE ELBOW #2095897 \ SICK</t>
  </si>
  <si>
    <t>MSP0025389A</t>
  </si>
  <si>
    <t>PRESSURE SWITCH \ SPS-8T-O \ SANWA</t>
  </si>
  <si>
    <t>CONTROL BOX DIA.22MM\KGNW111Y\IDEC</t>
  </si>
  <si>
    <t>JCM0002701A</t>
  </si>
  <si>
    <t>MSP0025095A</t>
  </si>
  <si>
    <t>NUT FFEDER YAJIMA PARTS \ VIBRATION COIL 220V \</t>
  </si>
  <si>
    <t>POWER SUPPLY \ PBA600F-24-M \ COSEL</t>
  </si>
  <si>
    <t xml:space="preserve">AUTO SWITCH \D-P4DWL\SMC </t>
  </si>
  <si>
    <t xml:space="preserve">ARO SPOT WELDING GUN PARTS\103074099:ASSEMBLY FIXED ARM\AVITRA </t>
  </si>
  <si>
    <t xml:space="preserve">AIR OPERATE VALVE\PV5G-6-FG-D-3-N\CKD </t>
  </si>
  <si>
    <t xml:space="preserve">KOMATSU PART \ MAGNETIC CONTACTOR \ BD-N65 DC24V \ MITSUBISHI </t>
  </si>
  <si>
    <t>E4</t>
  </si>
  <si>
    <t xml:space="preserve">SEY 160T PART \ CON ROD PART \ WORM GEAR \ SEYI </t>
  </si>
  <si>
    <t>ตัวใหญ่ ใกล้ตู Air</t>
  </si>
  <si>
    <t xml:space="preserve">KOMATSU TANDEM 1000T MB TANK PART :PISTON PUMP V15C23RHX-95 \DAIKIN </t>
  </si>
  <si>
    <t>MSP0023699A</t>
  </si>
  <si>
    <t>SAFETY LIGHT CURTAIN \ GL-R28H  L=560MM .(WITH GL-R28H SENSOR , GL-RP5PS , GL-RB21 ) \ KEYENCE</t>
  </si>
  <si>
    <t xml:space="preserve">ลังกระดาษ </t>
  </si>
  <si>
    <t xml:space="preserve">BOX#007 </t>
  </si>
  <si>
    <t>BOX#006</t>
  </si>
  <si>
    <t>Shelf 4</t>
  </si>
  <si>
    <t>Shelf Spare</t>
  </si>
  <si>
    <t>MSP0025427A</t>
  </si>
  <si>
    <t>KOMATSU 600TONS PARTS \ TIMING BELT P/N:98542-25125 \</t>
  </si>
  <si>
    <t>MSP0014488A</t>
  </si>
  <si>
    <t>POWER SUPPLY \ P/N:919-23-07740  (PBA600F-24-M \ COSEL) \ KOMATSU</t>
  </si>
  <si>
    <t>ALARM FUSE HM3.2A</t>
  </si>
  <si>
    <t>MSP0025590A</t>
  </si>
  <si>
    <t>FUSE GP150/15A 250V</t>
  </si>
  <si>
    <t>MSP0025589A</t>
  </si>
  <si>
    <t>SEYI COMMON PART \ PRESSURE SWITCH : PSA01N0 \ HONG CHING</t>
  </si>
  <si>
    <t>MSP0008548A</t>
  </si>
  <si>
    <t>KOMATSU TRANSFER 1200T DISTRACKER PART :SOLENOID VALVE VP544-5DZ1-A \</t>
  </si>
  <si>
    <t>YAJIMA PUSH ROD MODEL : NF-SIF-0008-IS5-1  (ใช้โคต้า AFS0006269A = 2 Pcs.)</t>
  </si>
  <si>
    <t>Load test</t>
  </si>
  <si>
    <t>MSP0025635A</t>
  </si>
  <si>
    <t>SEYI 300T PARTS \ B38-6 OIL SEAL \ SEYI</t>
  </si>
  <si>
    <t>MSP0025633A</t>
  </si>
  <si>
    <t>SEYI 300T PARTS \ B37-2 OIL SEAL \ SEYI</t>
  </si>
  <si>
    <t>MSP0025634A</t>
  </si>
  <si>
    <t>SEYI 300T PARTS \ B38-2 OIL SEAL \ SEYI</t>
  </si>
  <si>
    <t>MSP0016801A</t>
  </si>
  <si>
    <t>B34-4 OIL SEAL\SEYI 160T PART</t>
  </si>
  <si>
    <t>SEYI 160TS</t>
  </si>
  <si>
    <t>CIRCUIT BREAKER\NF63-SV 2P 30A\MITSUBISHI</t>
  </si>
  <si>
    <t>MSP0024273A</t>
  </si>
  <si>
    <t>NACHI ROBOT PARTS \ TEACH PENDANT PARTS \ LCD P/N:OTC100-1905 \</t>
  </si>
  <si>
    <t>Seyi \ Komatsu</t>
  </si>
  <si>
    <t>MSP0009083A</t>
  </si>
  <si>
    <t>KOMATSU 600TONS PARTS\MAIN MOTOR PART: V-BELT P/N:98541-22650 \KOMATSU</t>
  </si>
  <si>
    <t>OTC Control Unti</t>
  </si>
  <si>
    <t>AC COOLING FAN \ SAN ACE 172 MODEL:109-311 \ SANYO DENKI รอเปลี่ยน</t>
  </si>
  <si>
    <t>MSP0026083A</t>
  </si>
  <si>
    <t xml:space="preserve">WIA PRESS PART \ LAPP UNITRONIC (TP) 4x2x0.5 \ </t>
  </si>
  <si>
    <t>MSP0011148A</t>
  </si>
  <si>
    <t>MULTI POWER SUPPLY UNIT JH01G P/N:NACJH01G\ ROBOT SPOT SRA-166\NACHI</t>
  </si>
  <si>
    <t>JCM0003327A</t>
  </si>
  <si>
    <t>GUIDE CYL\MGPM32-25-P4DWL\SMC</t>
  </si>
  <si>
    <t>MSP0026391A</t>
  </si>
  <si>
    <t>SOLENOID VALVE \ VS4134-W9E002 \ SMC (SPECIAL VALVE)</t>
  </si>
  <si>
    <t>Station Panasonic</t>
  </si>
  <si>
    <t xml:space="preserve">ARO MANUAL GUN PART \103011791:MADIFOLD C/A D.C.A.C. DN12\AVITRA </t>
  </si>
  <si>
    <t>MSP0019064A</t>
  </si>
  <si>
    <t>POWER UNIT DIE LIFTER\MODEL FP6308U-3-2CD\SEYI</t>
  </si>
  <si>
    <t>MSP0026443A</t>
  </si>
  <si>
    <t>AIR CYLINDER \ MGPM32-25Z-P4DWL \ SMC</t>
  </si>
  <si>
    <t>Jig Robot</t>
  </si>
  <si>
    <t>JCM0009969A</t>
  </si>
  <si>
    <t>GOT 8.4"\GT2708-STBA-040\MITSUBISHI</t>
  </si>
  <si>
    <t>MSP0005041A</t>
  </si>
  <si>
    <t>AIR DRYER PART: DIFFERENTIAL PRESSURE GAUGE CCN#ESG2</t>
  </si>
  <si>
    <t>Robot Water Unit</t>
  </si>
  <si>
    <t>KOMATSU \ PRESSURE GAUGE 98462-K0000\KOMATSU</t>
  </si>
  <si>
    <t>MSP0026441A</t>
  </si>
  <si>
    <t>SEYI 160T PARTS \ ANGLE GEAR UNIT \ SEYI</t>
  </si>
  <si>
    <t>MSP0026442A</t>
  </si>
  <si>
    <t>SEYI 160T PARTS \ UNIVERSAL JOINT \ SEYI</t>
  </si>
  <si>
    <t>SCRAP CONVEYOR PARTS \ CONTROL PANEL PARTS \ MAGNETIC CONTACTOR : S-T50 220V \ MITSUBISHI</t>
  </si>
  <si>
    <t>MSP0026535A</t>
  </si>
  <si>
    <t>SERVO MOTOR \ MR-J4-500B \ MITSUBISHI</t>
  </si>
  <si>
    <t>MSP0026536A</t>
  </si>
  <si>
    <t>SERVO AMP \ HG-SR502 \ MITSUBISHI</t>
  </si>
  <si>
    <t>JCM0011398A</t>
  </si>
  <si>
    <t>SOLENOID VALVE 5/3 +BASE 1CH\VQ7-8-FJG-D-3N-A04\SMC</t>
  </si>
  <si>
    <t>JCM0006614A</t>
  </si>
  <si>
    <t>RELAY 24DC\G6B-4BND\OMRON</t>
  </si>
  <si>
    <t>B5</t>
  </si>
  <si>
    <t>MSP0026177A</t>
  </si>
  <si>
    <t>NACHI CONTROL UNIT PART \ FAN MOTOR:NAC11938MB-B2N-EA-00 \</t>
  </si>
  <si>
    <t>MSP0026178A</t>
  </si>
  <si>
    <t>NACHI CONTROL UNIT PART \ FAN MOTOR:NAC11938SB-B2N-QA-00 \</t>
  </si>
  <si>
    <t>Nachi Robot Control Unit.</t>
  </si>
  <si>
    <t>Pokayoke \ Dot Mark</t>
  </si>
  <si>
    <t>MSP0026445A</t>
  </si>
  <si>
    <t>SOLENOID VALVE \ VFR2210-1DZ-02-X95 \ SMC</t>
  </si>
  <si>
    <t>Komatsu Die Clamp</t>
  </si>
  <si>
    <t>Nachi Control</t>
  </si>
  <si>
    <t>MSP0026579A</t>
  </si>
  <si>
    <t>NOZZLE CLEANER PART \ REAMER FOR NOZZLE STATION:NS01-DR13-20L \ KYOKUTOH</t>
  </si>
  <si>
    <t>ChangAn</t>
  </si>
  <si>
    <t>Conveyor Robot</t>
  </si>
  <si>
    <t>Robot MCP</t>
  </si>
  <si>
    <t>Shelf 6</t>
  </si>
  <si>
    <t>Shelf 5</t>
  </si>
  <si>
    <t>MSP0021418A</t>
  </si>
  <si>
    <t>COIL FEED SHUNG DAR  PART \ CYLINDER:MCQA-11-125-50+TAXA07 \ MINDMAN</t>
  </si>
  <si>
    <t>MSP0026793A</t>
  </si>
  <si>
    <t>MAGNETIC CONTACTOR \ SC-N2/G COIL DC24V 60A \ FUJI</t>
  </si>
  <si>
    <t>Co2 Robot FTM/AAT</t>
  </si>
  <si>
    <t>MSP0022253A</t>
  </si>
  <si>
    <t>NACHI ROBOT FOR SEYI PART \ REDUCTION GEAR FOR MZ12H (J5) P/N:NAC007-0619-000 \ NACHI</t>
  </si>
  <si>
    <t>ห้องใต้บันได</t>
  </si>
  <si>
    <t>Machine</t>
  </si>
  <si>
    <t>Lead Time (Months)</t>
  </si>
  <si>
    <t>Column59</t>
  </si>
  <si>
    <t>Dead Stock</t>
  </si>
  <si>
    <t>Reorder Point</t>
  </si>
  <si>
    <t>End Date (Year)</t>
  </si>
  <si>
    <t>Year Receipt</t>
  </si>
  <si>
    <t>Inv. in Stock.(Day)</t>
  </si>
  <si>
    <t>In Of Year</t>
  </si>
  <si>
    <t>Out Of Year</t>
  </si>
  <si>
    <r>
      <t>SOLENOID VALVE \ MODEL:VFS4110-5D \ SMC \ COIL FEED SHUNG DAR PARTS</t>
    </r>
    <r>
      <rPr>
        <sz val="10"/>
        <color rgb="FFFF0000"/>
        <rFont val="Aptos Narrow"/>
        <family val="2"/>
      </rPr>
      <t xml:space="preserve"> </t>
    </r>
  </si>
  <si>
    <r>
      <t xml:space="preserve">PLC CONTROL PANEL PARTS\SYNCHRONOUS ENCODER:Q172EX\MISUBISHI </t>
    </r>
    <r>
      <rPr>
        <sz val="10"/>
        <color rgb="FF0000FF"/>
        <rFont val="Aptos Narrow"/>
        <family val="2"/>
      </rPr>
      <t>(Control J2S)</t>
    </r>
  </si>
  <si>
    <r>
      <t>SOLENOID VALVE:SY3240-1H\SMC</t>
    </r>
    <r>
      <rPr>
        <sz val="10"/>
        <color rgb="FFFF0000"/>
        <rFont val="Aptos Narrow"/>
        <family val="2"/>
      </rPr>
      <t xml:space="preserve"> </t>
    </r>
  </si>
  <si>
    <r>
      <t>KOMATSU HYDRAULIC PUMP PARTS\PRESSURE SWITCH:MODEL CE-6\ACT</t>
    </r>
    <r>
      <rPr>
        <sz val="10"/>
        <color rgb="FFFF0000"/>
        <rFont val="Aptos Narrow"/>
        <family val="2"/>
      </rPr>
      <t xml:space="preserve"> </t>
    </r>
  </si>
  <si>
    <r>
      <t xml:space="preserve">KOMATSU 2500T FEEDER ENCORDER FOR FEED DRIVE PART:SERVO MOTOR PN.92X0162970\KOMATSU </t>
    </r>
    <r>
      <rPr>
        <sz val="10"/>
        <color rgb="FF0000FF"/>
        <rFont val="Aptos Narrow"/>
        <family val="2"/>
      </rPr>
      <t>(AC Servo Motor:HC-MFS053D)</t>
    </r>
  </si>
  <si>
    <r>
      <t xml:space="preserve">PUSH BUTTOM SWITCH:AR22F0R-10G\FUJI(เขียว) </t>
    </r>
    <r>
      <rPr>
        <sz val="10"/>
        <color rgb="FFFF0000"/>
        <rFont val="Aptos Narrow"/>
        <family val="2"/>
      </rPr>
      <t xml:space="preserve"> </t>
    </r>
  </si>
  <si>
    <r>
      <t>PILOT LAMP LED MODEL:AD16-22DS (GREEN)\ONPOW</t>
    </r>
    <r>
      <rPr>
        <sz val="10"/>
        <color rgb="FFFF0000"/>
        <rFont val="Aptos Narrow"/>
        <family val="2"/>
      </rPr>
      <t xml:space="preserve"> </t>
    </r>
  </si>
  <si>
    <r>
      <t xml:space="preserve">ARO MANUAL GUN \ GUNS PARTS \ 70080999 DISTRIBUTOR : </t>
    </r>
    <r>
      <rPr>
        <sz val="10"/>
        <color rgb="FF0000FF"/>
        <rFont val="Aptos Narrow"/>
        <family val="2"/>
      </rPr>
      <t>4M310-</t>
    </r>
    <r>
      <rPr>
        <sz val="10"/>
        <rFont val="Aptos Narrow"/>
        <family val="2"/>
      </rPr>
      <t xml:space="preserve">08-F00 G1/4 24VDC \ AVITRA </t>
    </r>
  </si>
  <si>
    <r>
      <t>ARO MANUAL GUN\GUN PARTS\HPM50014:WEARING KIT\AVITRA</t>
    </r>
    <r>
      <rPr>
        <sz val="10"/>
        <color rgb="FF0000FF"/>
        <rFont val="Aptos Narrow"/>
        <family val="2"/>
      </rPr>
      <t xml:space="preserve"> </t>
    </r>
  </si>
  <si>
    <r>
      <t>STATIONARY PARTS\NUT FEEDER UNIT\SOLEN</t>
    </r>
    <r>
      <rPr>
        <sz val="10"/>
        <rFont val="Aptos Narrow"/>
        <family val="2"/>
      </rPr>
      <t xml:space="preserve">OID VALVE:SY5140-1LP\SMC </t>
    </r>
  </si>
  <si>
    <r>
      <t>YAJIMA PUSH ROD MODEL:NF-0010-IS5-1  (ไม่เกลียว 2 / เกลียว 2)</t>
    </r>
    <r>
      <rPr>
        <sz val="10"/>
        <color rgb="FFFF0000"/>
        <rFont val="Aptos Narrow"/>
        <family val="2"/>
      </rPr>
      <t xml:space="preserve"> </t>
    </r>
  </si>
  <si>
    <r>
      <t xml:space="preserve">ARO MANUAL GUN \ GUNS PARTS \ 101000631 DISTRIBUTOR \ AVITRA </t>
    </r>
    <r>
      <rPr>
        <sz val="10"/>
        <color rgb="FF0000FF"/>
        <rFont val="Aptos Narrow"/>
        <family val="2"/>
      </rPr>
      <t>ตูดปืน</t>
    </r>
  </si>
  <si>
    <r>
      <t>ARO MANUAL GUN PARTS\297845:BUSH\AVITRA</t>
    </r>
    <r>
      <rPr>
        <sz val="10"/>
        <color rgb="FFFF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 xml:space="preserve"> </t>
    </r>
  </si>
  <si>
    <r>
      <t>AC SERVO MOTOR</t>
    </r>
    <r>
      <rPr>
        <sz val="10"/>
        <color rgb="FF0000FF"/>
        <rFont val="Aptos Narrow"/>
        <family val="2"/>
      </rPr>
      <t xml:space="preserve"> AXIS 6</t>
    </r>
    <r>
      <rPr>
        <sz val="10"/>
        <color rgb="FFFF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>MODEL NAME:W-L02147</t>
    </r>
  </si>
  <si>
    <r>
      <t>SEYI SN1-160 TONS PART \ OVERLOAD PROTECTOR \ P/N HLPVS10760S</t>
    </r>
    <r>
      <rPr>
        <sz val="10"/>
        <color rgb="FF0000FF"/>
        <rFont val="Aptos Narrow"/>
        <family val="2"/>
      </rPr>
      <t>277</t>
    </r>
    <r>
      <rPr>
        <sz val="10"/>
        <color theme="1"/>
        <rFont val="Aptos Narrow"/>
        <family val="2"/>
      </rPr>
      <t xml:space="preserve"> \ SANOSUN</t>
    </r>
  </si>
  <si>
    <r>
      <t>SEYI SN1-110 TONS PART \ OVERLOAD PROTECTOR : P/N HLPVS10760S</t>
    </r>
    <r>
      <rPr>
        <sz val="10"/>
        <color rgb="FF0000FF"/>
        <rFont val="Aptos Narrow"/>
        <family val="2"/>
      </rPr>
      <t>288</t>
    </r>
    <r>
      <rPr>
        <sz val="10"/>
        <color theme="1"/>
        <rFont val="Aptos Narrow"/>
        <family val="2"/>
      </rPr>
      <t xml:space="preserve"> \ SANOSUN</t>
    </r>
  </si>
  <si>
    <r>
      <t>SEYI SN1-200 TONS PART \ OVERLOAD PROTECTOR \ P/N HLPVS10760S</t>
    </r>
    <r>
      <rPr>
        <sz val="10"/>
        <color rgb="FF0000FF"/>
        <rFont val="Aptos Narrow"/>
        <family val="2"/>
      </rPr>
      <t>310</t>
    </r>
    <r>
      <rPr>
        <sz val="10"/>
        <color theme="1"/>
        <rFont val="Aptos Narrow"/>
        <family val="2"/>
      </rPr>
      <t xml:space="preserve"> \ SANOSUN</t>
    </r>
  </si>
  <si>
    <r>
      <t>SEYI SN2-300 TONS PART \ OVERLOAD PROTECTOR \ P/N HLPVS10760S</t>
    </r>
    <r>
      <rPr>
        <sz val="10"/>
        <color rgb="FF0000FF"/>
        <rFont val="Aptos Narrow"/>
        <family val="2"/>
      </rPr>
      <t>261</t>
    </r>
    <r>
      <rPr>
        <sz val="10"/>
        <color theme="1"/>
        <rFont val="Aptos Narrow"/>
        <family val="2"/>
      </rPr>
      <t xml:space="preserve"> \ SANDSUN</t>
    </r>
  </si>
  <si>
    <r>
      <t>PROXIMITY SWITCH\IER204\IEB2002BARKG\AM\SC\3M\2LED\IFM(</t>
    </r>
    <r>
      <rPr>
        <sz val="10"/>
        <color rgb="FF0000FF"/>
        <rFont val="Aptos Narrow"/>
        <family val="2"/>
      </rPr>
      <t>M8</t>
    </r>
    <r>
      <rPr>
        <sz val="10"/>
        <color theme="1"/>
        <rFont val="Aptos Narrow"/>
        <family val="2"/>
      </rPr>
      <t>X1) สองสาย</t>
    </r>
  </si>
  <si>
    <r>
      <t xml:space="preserve">PROXIMITY SWITCH WITH CONNECTOR\IFR203\IFB2004BARKG\AM\SC\0.3M\US\2LED\IFM(Range 4 mm) </t>
    </r>
    <r>
      <rPr>
        <sz val="10"/>
        <color rgb="FF0000FF"/>
        <rFont val="Aptos Narrow"/>
        <family val="2"/>
      </rPr>
      <t>M12</t>
    </r>
  </si>
  <si>
    <r>
      <t xml:space="preserve">ARGON GAS REGULATOR </t>
    </r>
    <r>
      <rPr>
        <sz val="10"/>
        <color rgb="FFFF0000"/>
        <rFont val="Aptos Narrow"/>
        <family val="2"/>
      </rPr>
      <t>ตาแอ๋มยืม</t>
    </r>
  </si>
  <si>
    <r>
      <t>PRESSURE REGULATOR \ AR825-14G \ SMC</t>
    </r>
    <r>
      <rPr>
        <sz val="10"/>
        <rFont val="Aptos Narrow"/>
        <family val="2"/>
      </rPr>
      <t xml:space="preserve"> (CONTROL CLUTCH BRAKE KOMATSU 1200T)</t>
    </r>
  </si>
  <si>
    <r>
      <t xml:space="preserve">KOMATSU FEEDER PARTS \ SLIDE AXIS UNIT \ SERVO AMP \ MR-J2S-15KB4-PX901U113 \ MITSUBISHI </t>
    </r>
    <r>
      <rPr>
        <sz val="10"/>
        <color rgb="FF0000FF"/>
        <rFont val="Aptos Narrow"/>
        <family val="2"/>
      </rPr>
      <t>(ลอง Test.)</t>
    </r>
  </si>
  <si>
    <r>
      <t>ROBOT NACHI PART \ AC SERVO MOTOR:MSME202S2V3 \ NACHI</t>
    </r>
    <r>
      <rPr>
        <sz val="10"/>
        <color rgb="FFFF0000"/>
        <rFont val="Aptos Narrow"/>
        <family val="2"/>
      </rPr>
      <t xml:space="preserve"> (Axis 4 5 6 Robot Spot)</t>
    </r>
  </si>
  <si>
    <r>
      <t>NACHI SPOT ROBOT PARTS \ AC SERVO MOTOR:MFMA452D5V3 \</t>
    </r>
    <r>
      <rPr>
        <sz val="10"/>
        <color rgb="FFFF0000"/>
        <rFont val="Aptos Narrow"/>
        <family val="2"/>
      </rPr>
      <t xml:space="preserve"> (MC-50)</t>
    </r>
  </si>
  <si>
    <r>
      <t xml:space="preserve">WIA PRESS 1000T PARTS \ CLUTCH UNIT \ DIAPHRAGM : MRD2CC020D0 \ WIA </t>
    </r>
    <r>
      <rPr>
        <sz val="10"/>
        <color rgb="FF0000FF"/>
        <rFont val="Aptos Narrow"/>
        <family val="2"/>
      </rPr>
      <t>(NIHON SANSHO CO., LTD.)</t>
    </r>
  </si>
  <si>
    <r>
      <t xml:space="preserve">WIA PRESS 1000T PARTS \ BRAKE UNIT \ DIAPHRAGM : AAP01CB012D0 \ WIA </t>
    </r>
    <r>
      <rPr>
        <sz val="10"/>
        <color rgb="FF0000FF"/>
        <rFont val="Aptos Narrow"/>
        <family val="2"/>
      </rPr>
      <t>(NIHON SANSHO CO., LTD.)</t>
    </r>
  </si>
  <si>
    <r>
      <t xml:space="preserve">SEYI 160T CONNECTING ROD PART : </t>
    </r>
    <r>
      <rPr>
        <b/>
        <sz val="10"/>
        <color rgb="FF0000FF"/>
        <rFont val="Aptos Narrow"/>
        <family val="2"/>
      </rPr>
      <t>CON ROD</t>
    </r>
    <r>
      <rPr>
        <sz val="10"/>
        <color theme="1"/>
        <rFont val="Aptos Narrow"/>
        <family val="2"/>
      </rPr>
      <t xml:space="preserve"> B04 \SEYI</t>
    </r>
  </si>
  <si>
    <r>
      <t>KOMATSU PRESS PARTS\SLIDE AXIS UNIT\AC SERVO MOTOR : 92X-02-77351\KOMATSU</t>
    </r>
    <r>
      <rPr>
        <sz val="10"/>
        <color rgb="FF0000FF"/>
        <rFont val="Aptos Narrow"/>
        <family val="2"/>
      </rPr>
      <t>(HA-LFS15K24BK)</t>
    </r>
  </si>
  <si>
    <r>
      <t xml:space="preserve">WIA PARTS \ DIE CLAMP PARTS  \ HYDRAULIC TUBE:SIZE OD 13mm*1/4"X 1,980MM \ </t>
    </r>
    <r>
      <rPr>
        <sz val="10"/>
        <color rgb="FF0000FF"/>
        <rFont val="Aptos Narrow"/>
        <family val="2"/>
      </rPr>
      <t>สายยาว</t>
    </r>
  </si>
  <si>
    <r>
      <t xml:space="preserve">FUME EXTRACTOR PARTS \ PRE FILTER SYNTHETIC WITH EXTRUDED FRAME ALUMINIUM \ DUST CONTROL </t>
    </r>
    <r>
      <rPr>
        <sz val="10"/>
        <color rgb="FFFF0000"/>
        <rFont val="Aptos Narrow"/>
        <family val="2"/>
      </rPr>
      <t>(เกิน 2 Pcs.)</t>
    </r>
  </si>
  <si>
    <r>
      <t>COOLING TOWER\CHEMICAL\SLIME CONTROL : TAS-C-073\TASTAC(</t>
    </r>
    <r>
      <rPr>
        <sz val="10"/>
        <color rgb="FF0000FF"/>
        <rFont val="Aptos Narrow"/>
        <family val="2"/>
      </rPr>
      <t>ตะไคร่</t>
    </r>
    <r>
      <rPr>
        <sz val="10"/>
        <color theme="1"/>
        <rFont val="Aptos Narrow"/>
        <family val="2"/>
      </rPr>
      <t>)</t>
    </r>
  </si>
  <si>
    <r>
      <t xml:space="preserve">AC SERVO MOTOR \ MDMU402S2V3 \ NACHI ROBOT MODEL SRA166-01 \ </t>
    </r>
    <r>
      <rPr>
        <sz val="10"/>
        <color rgb="FF0000FF"/>
        <rFont val="Aptos Narrow"/>
        <family val="2"/>
      </rPr>
      <t>(Control Axis 1 2 3 )</t>
    </r>
  </si>
  <si>
    <t>Column60</t>
  </si>
  <si>
    <t>Current Stock</t>
  </si>
  <si>
    <t>Item code</t>
  </si>
  <si>
    <t>Unit Price (THB)</t>
  </si>
  <si>
    <t>3 (#001) กล่องกระดาษ</t>
  </si>
  <si>
    <t>3 #002 (กล่องกระดาษ)</t>
  </si>
  <si>
    <t>MSP0023427A</t>
  </si>
  <si>
    <t>ENERPAC PRESSURE GAUGE MODEL G-2535L</t>
  </si>
  <si>
    <t>MSP0017585A</t>
  </si>
  <si>
    <t>TEACH PENDANT / FDTPDSJN-1L08 /ROBOT CO2 CONTROL  FD11 PART /</t>
  </si>
  <si>
    <t>OTC Robot FD-11</t>
  </si>
  <si>
    <t>E1</t>
  </si>
  <si>
    <t>D4</t>
  </si>
  <si>
    <t>C6</t>
  </si>
  <si>
    <t>E3/05</t>
  </si>
  <si>
    <t>MSP0026726A</t>
  </si>
  <si>
    <t>WIA 800T PARTS \ AIR FLOW CONTROL VALVE MODEL:AF-12006 \ TOYOOKI</t>
  </si>
  <si>
    <t>MSP0026692A</t>
  </si>
  <si>
    <t>NUT MANEGER /NMJ-006S-22-B-P (DAI 32 ) \ KYOKUTOH</t>
  </si>
  <si>
    <t>MSP0024255A</t>
  </si>
  <si>
    <t>KEYENCE SENSOR HEAD MODEL : LR-XH250</t>
  </si>
  <si>
    <t>JCM0012088A</t>
  </si>
  <si>
    <t>COMPACT LASER SENSOR HEAD\LR-XH100\KEYENCE</t>
  </si>
  <si>
    <t>Jig Co2.</t>
  </si>
  <si>
    <t>MSP0025636A</t>
  </si>
  <si>
    <t>Stud Auto</t>
  </si>
  <si>
    <t>STUDE WELDER BMK-16I PARTS \ PH-3A GUN P/N:P02207 \ SOYER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</si>
</sst>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B1mmm\-yy"/>
    <numFmt numFmtId="166" formatCode="[$-409]d\-mmm\-yy;@"/>
    <numFmt numFmtId="167" formatCode="_(* #,##0_);_(* \(#,##0\);_(* &quot;-&quot;??_);_(@_)"/>
  </numFmts>
  <fonts count="41"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0"/>
      <color theme="3"/>
      <name val="Cambria"/>
      <family val="2"/>
      <scheme val="major"/>
    </font>
    <font>
      <sz val="8"/>
      <name val="Calibri"/>
      <family val="2"/>
      <charset val="222"/>
      <scheme val="minor"/>
    </font>
    <font>
      <sz val="10"/>
      <color theme="0"/>
      <name val="Aptos Narrow"/>
      <family val="2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b/>
      <sz val="9"/>
      <color theme="0"/>
      <name val="Aptos Narrow"/>
      <family val="2"/>
    </font>
    <font>
      <sz val="10"/>
      <color rgb="FF0000FF"/>
      <name val="Aptos Narrow"/>
      <family val="2"/>
    </font>
    <font>
      <sz val="10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strike/>
      <sz val="10"/>
      <color theme="1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10"/>
      <color rgb="FF0000FF"/>
      <name val="Aptos Narrow"/>
      <family val="2"/>
    </font>
    <font>
      <b/>
      <sz val="10"/>
      <color theme="1"/>
      <name val="Aptos Narrow"/>
      <family val="2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</fonts>
  <fills count="6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3079">
    <xf numFmtId="0" fontId="0" fillId="0" borderId="0"/>
    <xf numFmtId="0" fontId="5" fillId="0" borderId="0" applyNumberFormat="0" applyFill="0" applyBorder="0" applyAlignment="0" applyProtection="0"/>
    <xf numFmtId="0" fontId="6" fillId="0" borderId="31" applyNumberFormat="0" applyFill="0" applyAlignment="0" applyProtection="0"/>
    <xf numFmtId="0" fontId="7" fillId="0" borderId="32" applyNumberFormat="0" applyFill="0" applyAlignment="0" applyProtection="0"/>
    <xf numFmtId="0" fontId="8" fillId="0" borderId="33" applyNumberFormat="0" applyFill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34" applyNumberFormat="0" applyAlignment="0" applyProtection="0"/>
    <xf numFmtId="0" fontId="13" fillId="10" borderId="35" applyNumberFormat="0" applyAlignment="0" applyProtection="0"/>
    <xf numFmtId="0" fontId="14" fillId="10" borderId="34" applyNumberFormat="0" applyAlignment="0" applyProtection="0"/>
    <xf numFmtId="0" fontId="15" fillId="0" borderId="36" applyNumberFormat="0" applyFill="0" applyAlignment="0" applyProtection="0"/>
    <xf numFmtId="0" fontId="16" fillId="11" borderId="37" applyNumberFormat="0" applyAlignment="0" applyProtection="0"/>
    <xf numFmtId="0" fontId="17" fillId="0" borderId="0" applyNumberFormat="0" applyFill="0" applyBorder="0" applyAlignment="0" applyProtection="0"/>
    <xf numFmtId="0" fontId="4" fillId="12" borderId="3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39" applyNumberFormat="0" applyFill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20" fillId="36" borderId="0" applyNumberFormat="0" applyBorder="0" applyAlignment="0" applyProtection="0"/>
    <xf numFmtId="0" fontId="2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164" fontId="2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4" fillId="12" borderId="38" applyNumberFormat="0" applyFon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9" fillId="0" borderId="3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4" fillId="10" borderId="34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0" fontId="16" fillId="11" borderId="37" applyNumberFormat="0" applyAlignment="0" applyProtection="0"/>
    <xf numFmtId="164" fontId="22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6" fillId="0" borderId="31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7" fillId="0" borderId="32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33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2" fillId="9" borderId="34" applyNumberFormat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5" fillId="0" borderId="36" applyNumberFormat="0" applyFill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22" fillId="0" borderId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13" fillId="10" borderId="35" applyNumberFormat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2" fillId="0" borderId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44" fontId="22" fillId="0" borderId="0" applyFon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4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2" fillId="0" borderId="0"/>
    <xf numFmtId="164" fontId="22" fillId="0" borderId="0" applyFont="0" applyFill="0" applyBorder="0" applyAlignment="0" applyProtection="0"/>
    <xf numFmtId="0" fontId="22" fillId="0" borderId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4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22" fillId="0" borderId="0"/>
    <xf numFmtId="164" fontId="22" fillId="0" borderId="0" applyFon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164" fontId="22" fillId="0" borderId="0" applyFon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164" fontId="2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2" fillId="0" borderId="0"/>
    <xf numFmtId="164" fontId="22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3" fillId="12" borderId="38" applyNumberFormat="0" applyFont="0" applyAlignment="0" applyProtection="0"/>
    <xf numFmtId="164" fontId="23" fillId="0" borderId="0" applyFont="0" applyFill="0" applyBorder="0" applyAlignment="0" applyProtection="0"/>
    <xf numFmtId="0" fontId="1" fillId="0" borderId="39" applyNumberFormat="0" applyFill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4" fillId="0" borderId="0" applyNumberFormat="0" applyFill="0" applyBorder="0" applyAlignment="0" applyProtection="0"/>
    <xf numFmtId="0" fontId="23" fillId="12" borderId="38" applyNumberFormat="0" applyFont="0" applyAlignment="0" applyProtection="0"/>
    <xf numFmtId="0" fontId="23" fillId="12" borderId="38" applyNumberFormat="0" applyFon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23" fillId="12" borderId="38" applyNumberFormat="0" applyFont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1" fillId="0" borderId="3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52">
    <xf numFmtId="0" fontId="0" fillId="0" borderId="0" xfId="0"/>
    <xf numFmtId="0" fontId="26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vertical="center"/>
    </xf>
    <xf numFmtId="165" fontId="26" fillId="3" borderId="40" xfId="0" applyNumberFormat="1" applyFont="1" applyFill="1" applyBorder="1" applyAlignment="1">
      <alignment horizontal="center" vertical="center"/>
    </xf>
    <xf numFmtId="165" fontId="26" fillId="3" borderId="41" xfId="0" applyNumberFormat="1" applyFont="1" applyFill="1" applyBorder="1" applyAlignment="1">
      <alignment horizontal="center" vertical="center"/>
    </xf>
    <xf numFmtId="165" fontId="26" fillId="3" borderId="2" xfId="0" applyNumberFormat="1" applyFont="1" applyFill="1" applyBorder="1" applyAlignment="1">
      <alignment horizontal="center" vertical="center" wrapText="1"/>
    </xf>
    <xf numFmtId="165" fontId="26" fillId="3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horizontal="right" vertical="center"/>
    </xf>
    <xf numFmtId="166" fontId="26" fillId="3" borderId="2" xfId="0" applyNumberFormat="1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9" fillId="62" borderId="19" xfId="0" applyFont="1" applyFill="1" applyBorder="1" applyAlignment="1">
      <alignment horizontal="center"/>
    </xf>
    <xf numFmtId="0" fontId="26" fillId="62" borderId="19" xfId="0" applyFont="1" applyFill="1" applyBorder="1" applyAlignment="1">
      <alignment horizontal="center"/>
    </xf>
    <xf numFmtId="0" fontId="27" fillId="62" borderId="19" xfId="0" applyFont="1" applyFill="1" applyBorder="1" applyAlignment="1">
      <alignment horizontal="center"/>
    </xf>
    <xf numFmtId="0" fontId="26" fillId="62" borderId="19" xfId="0" applyFont="1" applyFill="1" applyBorder="1"/>
    <xf numFmtId="165" fontId="27" fillId="62" borderId="20" xfId="0" applyNumberFormat="1" applyFont="1" applyFill="1" applyBorder="1" applyAlignment="1">
      <alignment horizontal="center"/>
    </xf>
    <xf numFmtId="165" fontId="26" fillId="62" borderId="21" xfId="0" applyNumberFormat="1" applyFont="1" applyFill="1" applyBorder="1" applyAlignment="1">
      <alignment horizontal="center" vertical="center"/>
    </xf>
    <xf numFmtId="165" fontId="26" fillId="62" borderId="11" xfId="0" applyNumberFormat="1" applyFont="1" applyFill="1" applyBorder="1" applyAlignment="1">
      <alignment horizontal="center" vertical="center"/>
    </xf>
    <xf numFmtId="165" fontId="26" fillId="62" borderId="20" xfId="0" applyNumberFormat="1" applyFont="1" applyFill="1" applyBorder="1" applyAlignment="1">
      <alignment horizontal="center"/>
    </xf>
    <xf numFmtId="165" fontId="26" fillId="62" borderId="20" xfId="0" applyNumberFormat="1" applyFont="1" applyFill="1" applyBorder="1" applyAlignment="1">
      <alignment horizontal="center" wrapText="1"/>
    </xf>
    <xf numFmtId="165" fontId="26" fillId="62" borderId="21" xfId="0" applyNumberFormat="1" applyFont="1" applyFill="1" applyBorder="1" applyAlignment="1">
      <alignment horizontal="center" vertical="center" wrapText="1"/>
    </xf>
    <xf numFmtId="165" fontId="26" fillId="62" borderId="11" xfId="0" applyNumberFormat="1" applyFont="1" applyFill="1" applyBorder="1" applyAlignment="1">
      <alignment horizontal="center" vertical="center" wrapText="1"/>
    </xf>
    <xf numFmtId="165" fontId="26" fillId="62" borderId="22" xfId="0" applyNumberFormat="1" applyFont="1" applyFill="1" applyBorder="1" applyAlignment="1">
      <alignment horizontal="center" vertical="center"/>
    </xf>
    <xf numFmtId="0" fontId="26" fillId="63" borderId="3" xfId="0" applyFont="1" applyFill="1" applyBorder="1" applyAlignment="1">
      <alignment horizontal="center"/>
    </xf>
    <xf numFmtId="0" fontId="26" fillId="63" borderId="0" xfId="0" applyFont="1" applyFill="1" applyAlignment="1">
      <alignment horizontal="center" wrapText="1"/>
    </xf>
    <xf numFmtId="0" fontId="26" fillId="63" borderId="0" xfId="0" applyFont="1" applyFill="1" applyAlignment="1">
      <alignment horizontal="center"/>
    </xf>
    <xf numFmtId="166" fontId="26" fillId="63" borderId="0" xfId="0" applyNumberFormat="1" applyFont="1" applyFill="1" applyAlignment="1">
      <alignment horizontal="right"/>
    </xf>
    <xf numFmtId="166" fontId="26" fillId="63" borderId="0" xfId="0" applyNumberFormat="1" applyFont="1" applyFill="1" applyAlignment="1">
      <alignment horizontal="center"/>
    </xf>
    <xf numFmtId="0" fontId="28" fillId="0" borderId="0" xfId="0" applyFont="1"/>
    <xf numFmtId="0" fontId="28" fillId="0" borderId="2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27" fillId="62" borderId="1" xfId="0" applyFont="1" applyFill="1" applyBorder="1" applyAlignment="1">
      <alignment horizontal="center" vertical="center"/>
    </xf>
    <xf numFmtId="0" fontId="27" fillId="62" borderId="23" xfId="0" applyFont="1" applyFill="1" applyBorder="1" applyAlignment="1">
      <alignment horizontal="center" vertical="center"/>
    </xf>
    <xf numFmtId="0" fontId="27" fillId="62" borderId="24" xfId="0" applyFont="1" applyFill="1" applyBorder="1" applyAlignment="1">
      <alignment horizontal="left" vertical="center"/>
    </xf>
    <xf numFmtId="0" fontId="27" fillId="62" borderId="25" xfId="0" applyFont="1" applyFill="1" applyBorder="1" applyAlignment="1">
      <alignment horizontal="center" vertical="center"/>
    </xf>
    <xf numFmtId="0" fontId="27" fillId="62" borderId="24" xfId="0" applyFont="1" applyFill="1" applyBorder="1" applyAlignment="1">
      <alignment horizontal="center" vertical="center"/>
    </xf>
    <xf numFmtId="0" fontId="27" fillId="62" borderId="8" xfId="0" applyFont="1" applyFill="1" applyBorder="1" applyAlignment="1">
      <alignment horizontal="center" vertical="center"/>
    </xf>
    <xf numFmtId="0" fontId="27" fillId="62" borderId="16" xfId="0" applyFont="1" applyFill="1" applyBorder="1" applyAlignment="1">
      <alignment horizontal="center" vertical="center"/>
    </xf>
    <xf numFmtId="0" fontId="27" fillId="62" borderId="40" xfId="0" applyFont="1" applyFill="1" applyBorder="1" applyAlignment="1">
      <alignment horizontal="center" vertical="center"/>
    </xf>
    <xf numFmtId="0" fontId="27" fillId="62" borderId="23" xfId="0" applyFont="1" applyFill="1" applyBorder="1" applyAlignment="1">
      <alignment horizontal="left" vertical="center"/>
    </xf>
    <xf numFmtId="0" fontId="27" fillId="62" borderId="24" xfId="0" applyFont="1" applyFill="1" applyBorder="1" applyAlignment="1">
      <alignment vertical="center"/>
    </xf>
    <xf numFmtId="0" fontId="27" fillId="63" borderId="1" xfId="0" applyFont="1" applyFill="1" applyBorder="1" applyAlignment="1">
      <alignment horizontal="center" vertical="center" wrapText="1"/>
    </xf>
    <xf numFmtId="0" fontId="27" fillId="63" borderId="50" xfId="0" applyFont="1" applyFill="1" applyBorder="1" applyAlignment="1">
      <alignment horizontal="center" vertical="center" wrapText="1"/>
    </xf>
    <xf numFmtId="0" fontId="27" fillId="63" borderId="40" xfId="0" applyFont="1" applyFill="1" applyBorder="1" applyAlignment="1">
      <alignment horizontal="center" vertical="center" wrapText="1"/>
    </xf>
    <xf numFmtId="166" fontId="27" fillId="63" borderId="40" xfId="0" applyNumberFormat="1" applyFont="1" applyFill="1" applyBorder="1" applyAlignment="1">
      <alignment horizontal="center" vertical="center" wrapText="1"/>
    </xf>
    <xf numFmtId="43" fontId="27" fillId="62" borderId="40" xfId="13078" applyFont="1" applyFill="1" applyBorder="1" applyAlignment="1">
      <alignment horizontal="center" vertical="center" wrapText="1"/>
    </xf>
    <xf numFmtId="0" fontId="28" fillId="5" borderId="0" xfId="0" applyFont="1" applyFill="1"/>
    <xf numFmtId="0" fontId="28" fillId="50" borderId="14" xfId="0" applyFont="1" applyFill="1" applyBorder="1" applyAlignment="1">
      <alignment horizontal="center"/>
    </xf>
    <xf numFmtId="0" fontId="28" fillId="50" borderId="3" xfId="0" applyFont="1" applyFill="1" applyBorder="1" applyAlignment="1">
      <alignment horizontal="center"/>
    </xf>
    <xf numFmtId="0" fontId="29" fillId="62" borderId="3" xfId="0" applyFont="1" applyFill="1" applyBorder="1" applyAlignment="1">
      <alignment horizontal="center"/>
    </xf>
    <xf numFmtId="0" fontId="28" fillId="40" borderId="3" xfId="0" applyFont="1" applyFill="1" applyBorder="1" applyAlignment="1">
      <alignment horizontal="center"/>
    </xf>
    <xf numFmtId="0" fontId="28" fillId="41" borderId="1" xfId="0" applyFont="1" applyFill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29" xfId="0" applyFont="1" applyBorder="1"/>
    <xf numFmtId="0" fontId="30" fillId="0" borderId="29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5" borderId="17" xfId="0" applyFont="1" applyFill="1" applyBorder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31" fillId="37" borderId="50" xfId="0" applyFont="1" applyFill="1" applyBorder="1" applyAlignment="1">
      <alignment horizontal="center"/>
    </xf>
    <xf numFmtId="0" fontId="31" fillId="56" borderId="12" xfId="0" applyFont="1" applyFill="1" applyBorder="1" applyAlignment="1">
      <alignment horizontal="center"/>
    </xf>
    <xf numFmtId="0" fontId="31" fillId="51" borderId="12" xfId="0" applyFont="1" applyFill="1" applyBorder="1" applyAlignment="1">
      <alignment horizontal="center"/>
    </xf>
    <xf numFmtId="0" fontId="31" fillId="52" borderId="12" xfId="0" applyFont="1" applyFill="1" applyBorder="1" applyAlignment="1">
      <alignment horizontal="center"/>
    </xf>
    <xf numFmtId="0" fontId="31" fillId="53" borderId="12" xfId="0" applyFont="1" applyFill="1" applyBorder="1" applyAlignment="1">
      <alignment horizontal="center"/>
    </xf>
    <xf numFmtId="0" fontId="31" fillId="54" borderId="12" xfId="0" applyFont="1" applyFill="1" applyBorder="1" applyAlignment="1">
      <alignment horizontal="center"/>
    </xf>
    <xf numFmtId="0" fontId="31" fillId="55" borderId="50" xfId="0" applyFont="1" applyFill="1" applyBorder="1" applyAlignment="1">
      <alignment horizontal="center"/>
    </xf>
    <xf numFmtId="0" fontId="31" fillId="5" borderId="50" xfId="0" applyFont="1" applyFill="1" applyBorder="1" applyAlignment="1">
      <alignment horizontal="center"/>
    </xf>
    <xf numFmtId="166" fontId="31" fillId="37" borderId="50" xfId="0" applyNumberFormat="1" applyFont="1" applyFill="1" applyBorder="1" applyAlignment="1">
      <alignment horizontal="right"/>
    </xf>
    <xf numFmtId="166" fontId="31" fillId="37" borderId="29" xfId="0" applyNumberFormat="1" applyFont="1" applyFill="1" applyBorder="1" applyAlignment="1">
      <alignment horizontal="center"/>
    </xf>
    <xf numFmtId="167" fontId="31" fillId="37" borderId="29" xfId="13078" applyNumberFormat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50" borderId="2" xfId="0" applyFont="1" applyFill="1" applyBorder="1" applyAlignment="1">
      <alignment horizontal="center"/>
    </xf>
    <xf numFmtId="0" fontId="28" fillId="50" borderId="1" xfId="0" applyFont="1" applyFill="1" applyBorder="1" applyAlignment="1">
      <alignment horizontal="center"/>
    </xf>
    <xf numFmtId="0" fontId="29" fillId="62" borderId="1" xfId="0" applyFont="1" applyFill="1" applyBorder="1" applyAlignment="1">
      <alignment horizontal="center"/>
    </xf>
    <xf numFmtId="0" fontId="28" fillId="40" borderId="1" xfId="0" applyFont="1" applyFill="1" applyBorder="1" applyAlignment="1">
      <alignment horizontal="center"/>
    </xf>
    <xf numFmtId="0" fontId="28" fillId="48" borderId="1" xfId="0" applyFont="1" applyFill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28" fillId="0" borderId="12" xfId="0" applyFont="1" applyBorder="1"/>
    <xf numFmtId="0" fontId="30" fillId="0" borderId="12" xfId="0" applyFont="1" applyBorder="1" applyAlignment="1">
      <alignment horizontal="center"/>
    </xf>
    <xf numFmtId="0" fontId="31" fillId="37" borderId="12" xfId="0" applyFont="1" applyFill="1" applyBorder="1" applyAlignment="1">
      <alignment horizontal="center"/>
    </xf>
    <xf numFmtId="0" fontId="31" fillId="55" borderId="12" xfId="0" applyFont="1" applyFill="1" applyBorder="1" applyAlignment="1">
      <alignment horizontal="center"/>
    </xf>
    <xf numFmtId="0" fontId="31" fillId="5" borderId="12" xfId="0" applyFont="1" applyFill="1" applyBorder="1" applyAlignment="1">
      <alignment horizontal="center"/>
    </xf>
    <xf numFmtId="166" fontId="31" fillId="37" borderId="12" xfId="0" applyNumberFormat="1" applyFont="1" applyFill="1" applyBorder="1" applyAlignment="1">
      <alignment horizontal="right"/>
    </xf>
    <xf numFmtId="167" fontId="31" fillId="0" borderId="12" xfId="13078" applyNumberFormat="1" applyFont="1" applyFill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28" fillId="0" borderId="28" xfId="0" applyFont="1" applyBorder="1"/>
    <xf numFmtId="0" fontId="28" fillId="0" borderId="2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3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28" fillId="5" borderId="7" xfId="0" applyFont="1" applyFill="1" applyBorder="1" applyAlignment="1">
      <alignment horizontal="center"/>
    </xf>
    <xf numFmtId="0" fontId="28" fillId="5" borderId="4" xfId="0" applyFont="1" applyFill="1" applyBorder="1" applyAlignment="1">
      <alignment horizontal="center"/>
    </xf>
    <xf numFmtId="0" fontId="31" fillId="37" borderId="2" xfId="0" applyFont="1" applyFill="1" applyBorder="1" applyAlignment="1">
      <alignment horizontal="center"/>
    </xf>
    <xf numFmtId="0" fontId="31" fillId="37" borderId="28" xfId="0" applyFont="1" applyFill="1" applyBorder="1" applyAlignment="1">
      <alignment horizontal="center"/>
    </xf>
    <xf numFmtId="0" fontId="31" fillId="56" borderId="28" xfId="0" applyFont="1" applyFill="1" applyBorder="1" applyAlignment="1">
      <alignment horizontal="center"/>
    </xf>
    <xf numFmtId="0" fontId="31" fillId="51" borderId="28" xfId="0" applyFont="1" applyFill="1" applyBorder="1" applyAlignment="1">
      <alignment horizontal="center"/>
    </xf>
    <xf numFmtId="0" fontId="31" fillId="52" borderId="28" xfId="0" applyFont="1" applyFill="1" applyBorder="1" applyAlignment="1">
      <alignment horizontal="center"/>
    </xf>
    <xf numFmtId="0" fontId="31" fillId="53" borderId="28" xfId="0" applyFont="1" applyFill="1" applyBorder="1" applyAlignment="1">
      <alignment horizontal="center"/>
    </xf>
    <xf numFmtId="0" fontId="31" fillId="54" borderId="28" xfId="0" applyFont="1" applyFill="1" applyBorder="1" applyAlignment="1">
      <alignment horizontal="center"/>
    </xf>
    <xf numFmtId="167" fontId="31" fillId="0" borderId="28" xfId="13078" applyNumberFormat="1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28" fillId="0" borderId="12" xfId="0" applyFont="1" applyBorder="1" applyAlignment="1">
      <alignment horizontal="left"/>
    </xf>
    <xf numFmtId="167" fontId="31" fillId="37" borderId="12" xfId="13078" applyNumberFormat="1" applyFont="1" applyFill="1" applyBorder="1" applyAlignment="1">
      <alignment horizontal="center"/>
    </xf>
    <xf numFmtId="0" fontId="28" fillId="40" borderId="1" xfId="0" applyFont="1" applyFill="1" applyBorder="1" applyAlignment="1">
      <alignment horizontal="left"/>
    </xf>
    <xf numFmtId="167" fontId="31" fillId="37" borderId="28" xfId="13078" applyNumberFormat="1" applyFont="1" applyFill="1" applyBorder="1" applyAlignment="1">
      <alignment horizontal="center"/>
    </xf>
    <xf numFmtId="0" fontId="28" fillId="44" borderId="1" xfId="0" applyFont="1" applyFill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3" fillId="0" borderId="12" xfId="0" applyFont="1" applyBorder="1"/>
    <xf numFmtId="0" fontId="28" fillId="42" borderId="5" xfId="0" applyFont="1" applyFill="1" applyBorder="1" applyAlignment="1">
      <alignment horizontal="center"/>
    </xf>
    <xf numFmtId="0" fontId="28" fillId="42" borderId="1" xfId="0" applyFont="1" applyFill="1" applyBorder="1" applyAlignment="1">
      <alignment horizontal="center"/>
    </xf>
    <xf numFmtId="0" fontId="28" fillId="0" borderId="12" xfId="42" applyFont="1" applyBorder="1" applyAlignment="1">
      <alignment horizontal="center"/>
    </xf>
    <xf numFmtId="0" fontId="35" fillId="0" borderId="12" xfId="0" applyFont="1" applyBorder="1"/>
    <xf numFmtId="0" fontId="28" fillId="47" borderId="1" xfId="0" applyFont="1" applyFill="1" applyBorder="1" applyAlignment="1">
      <alignment horizontal="center"/>
    </xf>
    <xf numFmtId="0" fontId="33" fillId="0" borderId="28" xfId="0" applyFont="1" applyBorder="1"/>
    <xf numFmtId="0" fontId="28" fillId="4" borderId="1" xfId="0" applyFont="1" applyFill="1" applyBorder="1" applyAlignment="1">
      <alignment horizontal="center"/>
    </xf>
    <xf numFmtId="0" fontId="33" fillId="0" borderId="28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left"/>
    </xf>
    <xf numFmtId="0" fontId="31" fillId="37" borderId="1" xfId="0" applyFont="1" applyFill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38" borderId="1" xfId="0" applyFont="1" applyFill="1" applyBorder="1" applyAlignment="1">
      <alignment horizontal="center"/>
    </xf>
    <xf numFmtId="0" fontId="31" fillId="57" borderId="12" xfId="0" applyFont="1" applyFill="1" applyBorder="1" applyAlignment="1">
      <alignment horizontal="center"/>
    </xf>
    <xf numFmtId="0" fontId="28" fillId="5" borderId="12" xfId="0" applyFont="1" applyFill="1" applyBorder="1" applyAlignment="1">
      <alignment horizontal="center"/>
    </xf>
    <xf numFmtId="0" fontId="33" fillId="0" borderId="29" xfId="0" applyFont="1" applyBorder="1"/>
    <xf numFmtId="0" fontId="28" fillId="0" borderId="14" xfId="0" applyFont="1" applyBorder="1" applyAlignment="1">
      <alignment horizontal="center"/>
    </xf>
    <xf numFmtId="0" fontId="28" fillId="2" borderId="45" xfId="0" applyFont="1" applyFill="1" applyBorder="1" applyAlignment="1">
      <alignment horizontal="center"/>
    </xf>
    <xf numFmtId="0" fontId="33" fillId="0" borderId="29" xfId="0" applyFont="1" applyBorder="1" applyAlignment="1">
      <alignment horizontal="center"/>
    </xf>
    <xf numFmtId="0" fontId="28" fillId="0" borderId="2" xfId="0" applyFont="1" applyBorder="1"/>
    <xf numFmtId="0" fontId="28" fillId="44" borderId="3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3" fillId="0" borderId="12" xfId="42" applyFont="1" applyBorder="1" applyAlignment="1">
      <alignment horizontal="center"/>
    </xf>
    <xf numFmtId="0" fontId="28" fillId="49" borderId="1" xfId="0" applyFont="1" applyFill="1" applyBorder="1" applyAlignment="1">
      <alignment horizontal="center"/>
    </xf>
    <xf numFmtId="0" fontId="28" fillId="45" borderId="3" xfId="0" applyFont="1" applyFill="1" applyBorder="1" applyAlignment="1">
      <alignment horizontal="center"/>
    </xf>
    <xf numFmtId="0" fontId="28" fillId="45" borderId="1" xfId="0" applyFont="1" applyFill="1" applyBorder="1" applyAlignment="1">
      <alignment horizontal="center"/>
    </xf>
    <xf numFmtId="0" fontId="28" fillId="59" borderId="1" xfId="0" applyFont="1" applyFill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2" xfId="0" applyFont="1" applyBorder="1"/>
    <xf numFmtId="0" fontId="28" fillId="46" borderId="1" xfId="0" applyFont="1" applyFill="1" applyBorder="1" applyAlignment="1">
      <alignment horizontal="center"/>
    </xf>
    <xf numFmtId="0" fontId="28" fillId="39" borderId="1" xfId="0" applyFont="1" applyFill="1" applyBorder="1" applyAlignment="1">
      <alignment horizontal="center"/>
    </xf>
    <xf numFmtId="0" fontId="28" fillId="39" borderId="3" xfId="0" applyFont="1" applyFill="1" applyBorder="1" applyAlignment="1">
      <alignment horizontal="center"/>
    </xf>
    <xf numFmtId="0" fontId="28" fillId="42" borderId="3" xfId="0" applyFont="1" applyFill="1" applyBorder="1" applyAlignment="1">
      <alignment horizontal="left"/>
    </xf>
    <xf numFmtId="0" fontId="28" fillId="43" borderId="3" xfId="0" applyFont="1" applyFill="1" applyBorder="1" applyAlignment="1">
      <alignment horizontal="left"/>
    </xf>
    <xf numFmtId="0" fontId="28" fillId="43" borderId="1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1" fillId="37" borderId="54" xfId="0" applyFont="1" applyFill="1" applyBorder="1" applyAlignment="1">
      <alignment horizontal="center"/>
    </xf>
    <xf numFmtId="0" fontId="28" fillId="5" borderId="5" xfId="0" applyFont="1" applyFill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12" xfId="0" applyFont="1" applyBorder="1"/>
    <xf numFmtId="0" fontId="28" fillId="5" borderId="30" xfId="0" applyFont="1" applyFill="1" applyBorder="1" applyAlignment="1">
      <alignment horizontal="center"/>
    </xf>
    <xf numFmtId="0" fontId="28" fillId="0" borderId="48" xfId="0" applyFont="1" applyBorder="1"/>
    <xf numFmtId="0" fontId="28" fillId="2" borderId="12" xfId="0" applyFont="1" applyFill="1" applyBorder="1" applyAlignment="1">
      <alignment horizontal="center"/>
    </xf>
    <xf numFmtId="0" fontId="28" fillId="61" borderId="2" xfId="0" applyFont="1" applyFill="1" applyBorder="1" applyAlignment="1">
      <alignment horizontal="center"/>
    </xf>
    <xf numFmtId="0" fontId="28" fillId="61" borderId="1" xfId="0" applyFont="1" applyFill="1" applyBorder="1" applyAlignment="1">
      <alignment horizontal="center"/>
    </xf>
    <xf numFmtId="0" fontId="28" fillId="61" borderId="14" xfId="0" applyFont="1" applyFill="1" applyBorder="1" applyAlignment="1">
      <alignment horizontal="center"/>
    </xf>
    <xf numFmtId="0" fontId="28" fillId="61" borderId="3" xfId="0" applyFont="1" applyFill="1" applyBorder="1" applyAlignment="1">
      <alignment horizontal="center"/>
    </xf>
    <xf numFmtId="0" fontId="28" fillId="61" borderId="4" xfId="0" applyFont="1" applyFill="1" applyBorder="1" applyAlignment="1">
      <alignment horizontal="center"/>
    </xf>
    <xf numFmtId="0" fontId="32" fillId="0" borderId="29" xfId="0" applyFont="1" applyBorder="1"/>
    <xf numFmtId="0" fontId="28" fillId="2" borderId="4" xfId="0" applyFont="1" applyFill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2" borderId="17" xfId="0" applyFont="1" applyFill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5" borderId="17" xfId="0" applyFont="1" applyFill="1" applyBorder="1" applyAlignment="1">
      <alignment horizontal="center"/>
    </xf>
    <xf numFmtId="0" fontId="33" fillId="2" borderId="7" xfId="0" applyFont="1" applyFill="1" applyBorder="1" applyAlignment="1">
      <alignment horizontal="center"/>
    </xf>
    <xf numFmtId="0" fontId="33" fillId="37" borderId="12" xfId="0" applyFont="1" applyFill="1" applyBorder="1" applyAlignment="1">
      <alignment horizontal="center"/>
    </xf>
    <xf numFmtId="0" fontId="33" fillId="0" borderId="0" xfId="0" applyFont="1"/>
    <xf numFmtId="0" fontId="28" fillId="39" borderId="50" xfId="0" applyFont="1" applyFill="1" applyBorder="1" applyAlignment="1">
      <alignment horizontal="left"/>
    </xf>
    <xf numFmtId="0" fontId="28" fillId="39" borderId="50" xfId="0" applyFont="1" applyFill="1" applyBorder="1" applyAlignment="1">
      <alignment horizontal="center"/>
    </xf>
    <xf numFmtId="0" fontId="28" fillId="39" borderId="12" xfId="0" applyFont="1" applyFill="1" applyBorder="1" applyAlignment="1">
      <alignment horizontal="left"/>
    </xf>
    <xf numFmtId="0" fontId="28" fillId="39" borderId="12" xfId="0" applyFont="1" applyFill="1" applyBorder="1" applyAlignment="1">
      <alignment horizontal="center"/>
    </xf>
    <xf numFmtId="0" fontId="28" fillId="39" borderId="46" xfId="0" applyFont="1" applyFill="1" applyBorder="1" applyAlignment="1">
      <alignment horizontal="left"/>
    </xf>
    <xf numFmtId="0" fontId="28" fillId="39" borderId="46" xfId="0" applyFont="1" applyFill="1" applyBorder="1" applyAlignment="1">
      <alignment horizontal="center"/>
    </xf>
    <xf numFmtId="0" fontId="28" fillId="45" borderId="50" xfId="0" applyFont="1" applyFill="1" applyBorder="1" applyAlignment="1">
      <alignment horizontal="center"/>
    </xf>
    <xf numFmtId="0" fontId="28" fillId="45" borderId="12" xfId="0" applyFont="1" applyFill="1" applyBorder="1" applyAlignment="1">
      <alignment horizontal="center"/>
    </xf>
    <xf numFmtId="0" fontId="28" fillId="0" borderId="43" xfId="0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5" borderId="45" xfId="0" applyFont="1" applyFill="1" applyBorder="1" applyAlignment="1">
      <alignment horizontal="center"/>
    </xf>
    <xf numFmtId="0" fontId="28" fillId="2" borderId="42" xfId="0" applyFont="1" applyFill="1" applyBorder="1" applyAlignment="1">
      <alignment horizontal="center"/>
    </xf>
    <xf numFmtId="0" fontId="28" fillId="61" borderId="50" xfId="0" applyFont="1" applyFill="1" applyBorder="1" applyAlignment="1">
      <alignment horizontal="center"/>
    </xf>
    <xf numFmtId="0" fontId="28" fillId="61" borderId="12" xfId="0" applyFont="1" applyFill="1" applyBorder="1" applyAlignment="1">
      <alignment horizontal="center"/>
    </xf>
    <xf numFmtId="0" fontId="28" fillId="61" borderId="46" xfId="0" applyFont="1" applyFill="1" applyBorder="1" applyAlignment="1">
      <alignment horizontal="center"/>
    </xf>
    <xf numFmtId="0" fontId="28" fillId="2" borderId="50" xfId="0" applyFont="1" applyFill="1" applyBorder="1" applyAlignment="1">
      <alignment horizontal="left"/>
    </xf>
    <xf numFmtId="0" fontId="28" fillId="2" borderId="50" xfId="0" applyFont="1" applyFill="1" applyBorder="1" applyAlignment="1">
      <alignment horizontal="center"/>
    </xf>
    <xf numFmtId="0" fontId="28" fillId="2" borderId="12" xfId="0" applyFont="1" applyFill="1" applyBorder="1" applyAlignment="1">
      <alignment horizontal="left"/>
    </xf>
    <xf numFmtId="0" fontId="28" fillId="2" borderId="46" xfId="0" applyFont="1" applyFill="1" applyBorder="1" applyAlignment="1">
      <alignment horizontal="left"/>
    </xf>
    <xf numFmtId="0" fontId="28" fillId="2" borderId="46" xfId="0" applyFont="1" applyFill="1" applyBorder="1" applyAlignment="1">
      <alignment horizontal="center"/>
    </xf>
    <xf numFmtId="0" fontId="28" fillId="60" borderId="50" xfId="0" applyFont="1" applyFill="1" applyBorder="1" applyAlignment="1">
      <alignment horizontal="left"/>
    </xf>
    <xf numFmtId="0" fontId="28" fillId="60" borderId="50" xfId="0" applyFont="1" applyFill="1" applyBorder="1" applyAlignment="1">
      <alignment horizontal="center"/>
    </xf>
    <xf numFmtId="0" fontId="28" fillId="60" borderId="12" xfId="0" applyFont="1" applyFill="1" applyBorder="1" applyAlignment="1">
      <alignment horizontal="left"/>
    </xf>
    <xf numFmtId="0" fontId="28" fillId="60" borderId="12" xfId="0" applyFont="1" applyFill="1" applyBorder="1" applyAlignment="1">
      <alignment horizontal="center"/>
    </xf>
    <xf numFmtId="0" fontId="28" fillId="60" borderId="46" xfId="0" applyFont="1" applyFill="1" applyBorder="1" applyAlignment="1">
      <alignment horizontal="left"/>
    </xf>
    <xf numFmtId="0" fontId="28" fillId="60" borderId="46" xfId="0" applyFont="1" applyFill="1" applyBorder="1" applyAlignment="1">
      <alignment horizontal="center"/>
    </xf>
    <xf numFmtId="0" fontId="28" fillId="46" borderId="1" xfId="0" applyFont="1" applyFill="1" applyBorder="1"/>
    <xf numFmtId="0" fontId="28" fillId="49" borderId="1" xfId="0" applyFont="1" applyFill="1" applyBorder="1" applyAlignment="1">
      <alignment horizontal="left"/>
    </xf>
    <xf numFmtId="0" fontId="28" fillId="46" borderId="1" xfId="0" applyFont="1" applyFill="1" applyBorder="1" applyAlignment="1">
      <alignment horizontal="left"/>
    </xf>
    <xf numFmtId="0" fontId="28" fillId="38" borderId="3" xfId="0" applyFont="1" applyFill="1" applyBorder="1" applyAlignment="1">
      <alignment horizontal="left"/>
    </xf>
    <xf numFmtId="0" fontId="28" fillId="38" borderId="1" xfId="0" applyFont="1" applyFill="1" applyBorder="1" applyAlignment="1">
      <alignment horizontal="left"/>
    </xf>
    <xf numFmtId="0" fontId="28" fillId="0" borderId="52" xfId="0" applyFont="1" applyBorder="1" applyAlignment="1">
      <alignment horizontal="left"/>
    </xf>
    <xf numFmtId="0" fontId="28" fillId="2" borderId="12" xfId="0" applyFont="1" applyFill="1" applyBorder="1"/>
    <xf numFmtId="0" fontId="31" fillId="37" borderId="29" xfId="0" applyFont="1" applyFill="1" applyBorder="1" applyAlignment="1">
      <alignment horizontal="center"/>
    </xf>
    <xf numFmtId="0" fontId="31" fillId="56" borderId="2" xfId="0" applyFont="1" applyFill="1" applyBorder="1" applyAlignment="1">
      <alignment horizontal="center"/>
    </xf>
    <xf numFmtId="0" fontId="31" fillId="51" borderId="2" xfId="0" applyFont="1" applyFill="1" applyBorder="1" applyAlignment="1">
      <alignment horizontal="center"/>
    </xf>
    <xf numFmtId="0" fontId="31" fillId="52" borderId="2" xfId="0" applyFont="1" applyFill="1" applyBorder="1" applyAlignment="1">
      <alignment horizontal="center"/>
    </xf>
    <xf numFmtId="0" fontId="31" fillId="53" borderId="2" xfId="0" applyFont="1" applyFill="1" applyBorder="1" applyAlignment="1">
      <alignment horizontal="center"/>
    </xf>
    <xf numFmtId="0" fontId="31" fillId="54" borderId="2" xfId="0" applyFont="1" applyFill="1" applyBorder="1" applyAlignment="1">
      <alignment horizontal="center"/>
    </xf>
    <xf numFmtId="166" fontId="31" fillId="37" borderId="29" xfId="0" applyNumberFormat="1" applyFont="1" applyFill="1" applyBorder="1" applyAlignment="1">
      <alignment horizontal="right"/>
    </xf>
    <xf numFmtId="167" fontId="31" fillId="0" borderId="2" xfId="13078" applyNumberFormat="1" applyFont="1" applyFill="1" applyBorder="1" applyAlignment="1">
      <alignment horizontal="center"/>
    </xf>
    <xf numFmtId="0" fontId="28" fillId="0" borderId="12" xfId="0" applyFont="1" applyBorder="1" applyAlignment="1">
      <alignment vertical="center"/>
    </xf>
    <xf numFmtId="0" fontId="28" fillId="50" borderId="18" xfId="0" applyFont="1" applyFill="1" applyBorder="1" applyAlignment="1">
      <alignment horizontal="center"/>
    </xf>
    <xf numFmtId="0" fontId="28" fillId="40" borderId="2" xfId="0" applyFont="1" applyFill="1" applyBorder="1" applyAlignment="1">
      <alignment horizontal="left"/>
    </xf>
    <xf numFmtId="0" fontId="28" fillId="40" borderId="40" xfId="0" applyFont="1" applyFill="1" applyBorder="1" applyAlignment="1">
      <alignment horizontal="center"/>
    </xf>
    <xf numFmtId="0" fontId="28" fillId="0" borderId="48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0" fontId="28" fillId="50" borderId="4" xfId="0" applyFont="1" applyFill="1" applyBorder="1" applyAlignment="1">
      <alignment horizontal="center"/>
    </xf>
    <xf numFmtId="0" fontId="31" fillId="5" borderId="28" xfId="0" applyFont="1" applyFill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28" fillId="0" borderId="47" xfId="0" applyFont="1" applyBorder="1" applyAlignment="1">
      <alignment horizontal="center"/>
    </xf>
    <xf numFmtId="0" fontId="33" fillId="0" borderId="48" xfId="0" applyFont="1" applyBorder="1" applyAlignment="1">
      <alignment horizontal="center"/>
    </xf>
    <xf numFmtId="0" fontId="36" fillId="0" borderId="12" xfId="0" applyFont="1" applyBorder="1"/>
    <xf numFmtId="0" fontId="28" fillId="0" borderId="1" xfId="0" applyFont="1" applyBorder="1"/>
    <xf numFmtId="0" fontId="38" fillId="0" borderId="0" xfId="0" applyFont="1" applyAlignment="1">
      <alignment horizontal="center"/>
    </xf>
    <xf numFmtId="0" fontId="40" fillId="0" borderId="0" xfId="0" applyFont="1"/>
    <xf numFmtId="0" fontId="30" fillId="0" borderId="0" xfId="0" applyFont="1"/>
    <xf numFmtId="166" fontId="28" fillId="0" borderId="0" xfId="0" applyNumberFormat="1" applyFont="1" applyAlignment="1">
      <alignment horizontal="right"/>
    </xf>
    <xf numFmtId="166" fontId="28" fillId="0" borderId="0" xfId="0" applyNumberFormat="1" applyFont="1"/>
    <xf numFmtId="43" fontId="28" fillId="0" borderId="0" xfId="13078" applyFont="1" applyFill="1" applyAlignment="1">
      <alignment horizontal="center"/>
    </xf>
    <xf numFmtId="165" fontId="31" fillId="63" borderId="0" xfId="0" applyNumberFormat="1" applyFont="1" applyFill="1" applyAlignment="1">
      <alignment horizontal="center"/>
    </xf>
    <xf numFmtId="43" fontId="31" fillId="37" borderId="50" xfId="13078" applyFont="1" applyFill="1" applyBorder="1" applyAlignment="1">
      <alignment horizontal="center"/>
    </xf>
    <xf numFmtId="43" fontId="31" fillId="37" borderId="12" xfId="13078" applyFont="1" applyFill="1" applyBorder="1" applyAlignment="1">
      <alignment horizontal="center"/>
    </xf>
    <xf numFmtId="165" fontId="31" fillId="37" borderId="12" xfId="0" applyNumberFormat="1" applyFont="1" applyFill="1" applyBorder="1" applyAlignment="1">
      <alignment horizontal="center"/>
    </xf>
    <xf numFmtId="165" fontId="31" fillId="37" borderId="46" xfId="0" applyNumberFormat="1" applyFont="1" applyFill="1" applyBorder="1" applyAlignment="1">
      <alignment horizontal="center"/>
    </xf>
    <xf numFmtId="0" fontId="27" fillId="62" borderId="1" xfId="0" applyFont="1" applyFill="1" applyBorder="1" applyAlignment="1">
      <alignment horizontal="center" vertical="center" wrapText="1"/>
    </xf>
    <xf numFmtId="165" fontId="27" fillId="63" borderId="1" xfId="0" applyNumberFormat="1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horizontal="center"/>
    </xf>
    <xf numFmtId="17" fontId="26" fillId="62" borderId="19" xfId="0" applyNumberFormat="1" applyFont="1" applyFill="1" applyBorder="1" applyAlignment="1">
      <alignment horizontal="center"/>
    </xf>
    <xf numFmtId="0" fontId="33" fillId="2" borderId="18" xfId="0" applyFont="1" applyFill="1" applyBorder="1" applyAlignment="1">
      <alignment horizontal="center"/>
    </xf>
    <xf numFmtId="0" fontId="28" fillId="2" borderId="44" xfId="0" applyFont="1" applyFill="1" applyBorder="1" applyAlignment="1">
      <alignment horizontal="center"/>
    </xf>
    <xf numFmtId="0" fontId="28" fillId="49" borderId="3" xfId="0" applyFont="1" applyFill="1" applyBorder="1" applyAlignment="1">
      <alignment horizontal="center"/>
    </xf>
    <xf numFmtId="0" fontId="28" fillId="46" borderId="3" xfId="0" applyFont="1" applyFill="1" applyBorder="1" applyAlignment="1">
      <alignment horizontal="center"/>
    </xf>
    <xf numFmtId="0" fontId="28" fillId="40" borderId="1" xfId="0" applyFont="1" applyFill="1" applyBorder="1"/>
    <xf numFmtId="0" fontId="28" fillId="58" borderId="1" xfId="0" applyFont="1" applyFill="1" applyBorder="1" applyAlignment="1">
      <alignment horizontal="left"/>
    </xf>
    <xf numFmtId="0" fontId="28" fillId="58" borderId="1" xfId="0" applyFont="1" applyFill="1" applyBorder="1" applyAlignment="1">
      <alignment horizontal="center"/>
    </xf>
  </cellXfs>
  <cellStyles count="13079">
    <cellStyle name="20% - Accent1" xfId="19" builtinId="30" customBuiltin="1"/>
    <cellStyle name="20% - Accent1 10" xfId="43" xr:uid="{00000000-0005-0000-0000-000001000000}"/>
    <cellStyle name="20% - Accent1 10 2" xfId="803" xr:uid="{00000000-0005-0000-0000-000002000000}"/>
    <cellStyle name="20% - Accent1 11" xfId="44" xr:uid="{00000000-0005-0000-0000-000003000000}"/>
    <cellStyle name="20% - Accent1 11 2" xfId="804" xr:uid="{00000000-0005-0000-0000-000004000000}"/>
    <cellStyle name="20% - Accent1 12" xfId="45" xr:uid="{00000000-0005-0000-0000-000005000000}"/>
    <cellStyle name="20% - Accent1 12 2" xfId="805" xr:uid="{00000000-0005-0000-0000-000006000000}"/>
    <cellStyle name="20% - Accent1 13" xfId="46" xr:uid="{00000000-0005-0000-0000-000007000000}"/>
    <cellStyle name="20% - Accent1 13 2" xfId="806" xr:uid="{00000000-0005-0000-0000-000008000000}"/>
    <cellStyle name="20% - Accent1 14" xfId="47" xr:uid="{00000000-0005-0000-0000-000009000000}"/>
    <cellStyle name="20% - Accent1 14 2" xfId="807" xr:uid="{00000000-0005-0000-0000-00000A000000}"/>
    <cellStyle name="20% - Accent1 15" xfId="48" xr:uid="{00000000-0005-0000-0000-00000B000000}"/>
    <cellStyle name="20% - Accent1 15 2" xfId="808" xr:uid="{00000000-0005-0000-0000-00000C000000}"/>
    <cellStyle name="20% - Accent1 16" xfId="49" xr:uid="{00000000-0005-0000-0000-00000D000000}"/>
    <cellStyle name="20% - Accent1 16 2" xfId="809" xr:uid="{00000000-0005-0000-0000-00000E000000}"/>
    <cellStyle name="20% - Accent1 17" xfId="50" xr:uid="{00000000-0005-0000-0000-00000F000000}"/>
    <cellStyle name="20% - Accent1 17 2" xfId="810" xr:uid="{00000000-0005-0000-0000-000010000000}"/>
    <cellStyle name="20% - Accent1 18" xfId="51" xr:uid="{00000000-0005-0000-0000-000011000000}"/>
    <cellStyle name="20% - Accent1 18 2" xfId="811" xr:uid="{00000000-0005-0000-0000-000012000000}"/>
    <cellStyle name="20% - Accent1 19" xfId="52" xr:uid="{00000000-0005-0000-0000-000013000000}"/>
    <cellStyle name="20% - Accent1 19 2" xfId="812" xr:uid="{00000000-0005-0000-0000-000014000000}"/>
    <cellStyle name="20% - Accent1 2" xfId="53" xr:uid="{00000000-0005-0000-0000-000015000000}"/>
    <cellStyle name="20% - Accent1 20" xfId="813" xr:uid="{00000000-0005-0000-0000-000016000000}"/>
    <cellStyle name="20% - Accent1 20 2" xfId="814" xr:uid="{00000000-0005-0000-0000-000017000000}"/>
    <cellStyle name="20% - Accent1 21" xfId="815" xr:uid="{00000000-0005-0000-0000-000018000000}"/>
    <cellStyle name="20% - Accent1 21 2" xfId="816" xr:uid="{00000000-0005-0000-0000-000019000000}"/>
    <cellStyle name="20% - Accent1 22" xfId="817" xr:uid="{00000000-0005-0000-0000-00001A000000}"/>
    <cellStyle name="20% - Accent1 22 2" xfId="818" xr:uid="{00000000-0005-0000-0000-00001B000000}"/>
    <cellStyle name="20% - Accent1 23" xfId="819" xr:uid="{00000000-0005-0000-0000-00001C000000}"/>
    <cellStyle name="20% - Accent1 23 2" xfId="820" xr:uid="{00000000-0005-0000-0000-00001D000000}"/>
    <cellStyle name="20% - Accent1 24" xfId="821" xr:uid="{00000000-0005-0000-0000-00001E000000}"/>
    <cellStyle name="20% - Accent1 24 2" xfId="822" xr:uid="{00000000-0005-0000-0000-00001F000000}"/>
    <cellStyle name="20% - Accent1 25" xfId="823" xr:uid="{00000000-0005-0000-0000-000020000000}"/>
    <cellStyle name="20% - Accent1 25 2" xfId="824" xr:uid="{00000000-0005-0000-0000-000021000000}"/>
    <cellStyle name="20% - Accent1 26" xfId="825" xr:uid="{00000000-0005-0000-0000-000022000000}"/>
    <cellStyle name="20% - Accent1 26 2" xfId="826" xr:uid="{00000000-0005-0000-0000-000023000000}"/>
    <cellStyle name="20% - Accent1 27" xfId="827" xr:uid="{00000000-0005-0000-0000-000024000000}"/>
    <cellStyle name="20% - Accent1 27 2" xfId="828" xr:uid="{00000000-0005-0000-0000-000025000000}"/>
    <cellStyle name="20% - Accent1 28" xfId="829" xr:uid="{00000000-0005-0000-0000-000026000000}"/>
    <cellStyle name="20% - Accent1 28 2" xfId="830" xr:uid="{00000000-0005-0000-0000-000027000000}"/>
    <cellStyle name="20% - Accent1 29" xfId="831" xr:uid="{00000000-0005-0000-0000-000028000000}"/>
    <cellStyle name="20% - Accent1 29 2" xfId="832" xr:uid="{00000000-0005-0000-0000-000029000000}"/>
    <cellStyle name="20% - Accent1 3" xfId="54" xr:uid="{00000000-0005-0000-0000-00002A000000}"/>
    <cellStyle name="20% - Accent1 3 2" xfId="833" xr:uid="{00000000-0005-0000-0000-00002B000000}"/>
    <cellStyle name="20% - Accent1 30" xfId="834" xr:uid="{00000000-0005-0000-0000-00002C000000}"/>
    <cellStyle name="20% - Accent1 30 2" xfId="835" xr:uid="{00000000-0005-0000-0000-00002D000000}"/>
    <cellStyle name="20% - Accent1 31" xfId="836" xr:uid="{00000000-0005-0000-0000-00002E000000}"/>
    <cellStyle name="20% - Accent1 31 2" xfId="837" xr:uid="{00000000-0005-0000-0000-00002F000000}"/>
    <cellStyle name="20% - Accent1 32" xfId="838" xr:uid="{00000000-0005-0000-0000-000030000000}"/>
    <cellStyle name="20% - Accent1 32 2" xfId="839" xr:uid="{00000000-0005-0000-0000-000031000000}"/>
    <cellStyle name="20% - Accent1 33" xfId="840" xr:uid="{00000000-0005-0000-0000-000032000000}"/>
    <cellStyle name="20% - Accent1 33 2" xfId="841" xr:uid="{00000000-0005-0000-0000-000033000000}"/>
    <cellStyle name="20% - Accent1 34" xfId="842" xr:uid="{00000000-0005-0000-0000-000034000000}"/>
    <cellStyle name="20% - Accent1 34 2" xfId="843" xr:uid="{00000000-0005-0000-0000-000035000000}"/>
    <cellStyle name="20% - Accent1 35" xfId="844" xr:uid="{00000000-0005-0000-0000-000036000000}"/>
    <cellStyle name="20% - Accent1 35 2" xfId="845" xr:uid="{00000000-0005-0000-0000-000037000000}"/>
    <cellStyle name="20% - Accent1 36" xfId="846" xr:uid="{00000000-0005-0000-0000-000038000000}"/>
    <cellStyle name="20% - Accent1 36 2" xfId="847" xr:uid="{00000000-0005-0000-0000-000039000000}"/>
    <cellStyle name="20% - Accent1 37" xfId="848" xr:uid="{00000000-0005-0000-0000-00003A000000}"/>
    <cellStyle name="20% - Accent1 37 2" xfId="849" xr:uid="{00000000-0005-0000-0000-00003B000000}"/>
    <cellStyle name="20% - Accent1 38" xfId="850" xr:uid="{00000000-0005-0000-0000-00003C000000}"/>
    <cellStyle name="20% - Accent1 38 2" xfId="851" xr:uid="{00000000-0005-0000-0000-00003D000000}"/>
    <cellStyle name="20% - Accent1 39" xfId="852" xr:uid="{00000000-0005-0000-0000-00003E000000}"/>
    <cellStyle name="20% - Accent1 39 2" xfId="853" xr:uid="{00000000-0005-0000-0000-00003F000000}"/>
    <cellStyle name="20% - Accent1 4" xfId="55" xr:uid="{00000000-0005-0000-0000-000040000000}"/>
    <cellStyle name="20% - Accent1 4 2" xfId="854" xr:uid="{00000000-0005-0000-0000-000041000000}"/>
    <cellStyle name="20% - Accent1 40" xfId="855" xr:uid="{00000000-0005-0000-0000-000042000000}"/>
    <cellStyle name="20% - Accent1 40 2" xfId="856" xr:uid="{00000000-0005-0000-0000-000043000000}"/>
    <cellStyle name="20% - Accent1 41" xfId="857" xr:uid="{00000000-0005-0000-0000-000044000000}"/>
    <cellStyle name="20% - Accent1 41 2" xfId="858" xr:uid="{00000000-0005-0000-0000-000045000000}"/>
    <cellStyle name="20% - Accent1 42" xfId="859" xr:uid="{00000000-0005-0000-0000-000046000000}"/>
    <cellStyle name="20% - Accent1 42 2" xfId="860" xr:uid="{00000000-0005-0000-0000-000047000000}"/>
    <cellStyle name="20% - Accent1 43" xfId="861" xr:uid="{00000000-0005-0000-0000-000048000000}"/>
    <cellStyle name="20% - Accent1 43 2" xfId="862" xr:uid="{00000000-0005-0000-0000-000049000000}"/>
    <cellStyle name="20% - Accent1 44" xfId="863" xr:uid="{00000000-0005-0000-0000-00004A000000}"/>
    <cellStyle name="20% - Accent1 44 2" xfId="864" xr:uid="{00000000-0005-0000-0000-00004B000000}"/>
    <cellStyle name="20% - Accent1 45" xfId="865" xr:uid="{00000000-0005-0000-0000-00004C000000}"/>
    <cellStyle name="20% - Accent1 45 2" xfId="866" xr:uid="{00000000-0005-0000-0000-00004D000000}"/>
    <cellStyle name="20% - Accent1 46" xfId="867" xr:uid="{00000000-0005-0000-0000-00004E000000}"/>
    <cellStyle name="20% - Accent1 46 2" xfId="868" xr:uid="{00000000-0005-0000-0000-00004F000000}"/>
    <cellStyle name="20% - Accent1 47" xfId="869" xr:uid="{00000000-0005-0000-0000-000050000000}"/>
    <cellStyle name="20% - Accent1 47 2" xfId="870" xr:uid="{00000000-0005-0000-0000-000051000000}"/>
    <cellStyle name="20% - Accent1 48" xfId="871" xr:uid="{00000000-0005-0000-0000-000052000000}"/>
    <cellStyle name="20% - Accent1 48 2" xfId="872" xr:uid="{00000000-0005-0000-0000-000053000000}"/>
    <cellStyle name="20% - Accent1 49" xfId="873" xr:uid="{00000000-0005-0000-0000-000054000000}"/>
    <cellStyle name="20% - Accent1 49 2" xfId="874" xr:uid="{00000000-0005-0000-0000-000055000000}"/>
    <cellStyle name="20% - Accent1 5" xfId="56" xr:uid="{00000000-0005-0000-0000-000056000000}"/>
    <cellStyle name="20% - Accent1 5 2" xfId="875" xr:uid="{00000000-0005-0000-0000-000057000000}"/>
    <cellStyle name="20% - Accent1 50" xfId="876" xr:uid="{00000000-0005-0000-0000-000058000000}"/>
    <cellStyle name="20% - Accent1 50 2" xfId="877" xr:uid="{00000000-0005-0000-0000-000059000000}"/>
    <cellStyle name="20% - Accent1 51" xfId="878" xr:uid="{00000000-0005-0000-0000-00005A000000}"/>
    <cellStyle name="20% - Accent1 51 2" xfId="879" xr:uid="{00000000-0005-0000-0000-00005B000000}"/>
    <cellStyle name="20% - Accent1 52" xfId="880" xr:uid="{00000000-0005-0000-0000-00005C000000}"/>
    <cellStyle name="20% - Accent1 6" xfId="57" xr:uid="{00000000-0005-0000-0000-00005D000000}"/>
    <cellStyle name="20% - Accent1 6 2" xfId="881" xr:uid="{00000000-0005-0000-0000-00005E000000}"/>
    <cellStyle name="20% - Accent1 7" xfId="58" xr:uid="{00000000-0005-0000-0000-00005F000000}"/>
    <cellStyle name="20% - Accent1 7 2" xfId="882" xr:uid="{00000000-0005-0000-0000-000060000000}"/>
    <cellStyle name="20% - Accent1 8" xfId="59" xr:uid="{00000000-0005-0000-0000-000061000000}"/>
    <cellStyle name="20% - Accent1 8 2" xfId="883" xr:uid="{00000000-0005-0000-0000-000062000000}"/>
    <cellStyle name="20% - Accent1 9" xfId="60" xr:uid="{00000000-0005-0000-0000-000063000000}"/>
    <cellStyle name="20% - Accent1 9 2" xfId="884" xr:uid="{00000000-0005-0000-0000-000064000000}"/>
    <cellStyle name="20% - Accent2" xfId="23" builtinId="34" customBuiltin="1"/>
    <cellStyle name="20% - Accent2 10" xfId="61" xr:uid="{00000000-0005-0000-0000-000066000000}"/>
    <cellStyle name="20% - Accent2 10 2" xfId="885" xr:uid="{00000000-0005-0000-0000-000067000000}"/>
    <cellStyle name="20% - Accent2 11" xfId="62" xr:uid="{00000000-0005-0000-0000-000068000000}"/>
    <cellStyle name="20% - Accent2 11 2" xfId="886" xr:uid="{00000000-0005-0000-0000-000069000000}"/>
    <cellStyle name="20% - Accent2 12" xfId="63" xr:uid="{00000000-0005-0000-0000-00006A000000}"/>
    <cellStyle name="20% - Accent2 12 2" xfId="887" xr:uid="{00000000-0005-0000-0000-00006B000000}"/>
    <cellStyle name="20% - Accent2 13" xfId="64" xr:uid="{00000000-0005-0000-0000-00006C000000}"/>
    <cellStyle name="20% - Accent2 13 2" xfId="888" xr:uid="{00000000-0005-0000-0000-00006D000000}"/>
    <cellStyle name="20% - Accent2 14" xfId="65" xr:uid="{00000000-0005-0000-0000-00006E000000}"/>
    <cellStyle name="20% - Accent2 14 2" xfId="889" xr:uid="{00000000-0005-0000-0000-00006F000000}"/>
    <cellStyle name="20% - Accent2 15" xfId="66" xr:uid="{00000000-0005-0000-0000-000070000000}"/>
    <cellStyle name="20% - Accent2 15 2" xfId="890" xr:uid="{00000000-0005-0000-0000-000071000000}"/>
    <cellStyle name="20% - Accent2 16" xfId="67" xr:uid="{00000000-0005-0000-0000-000072000000}"/>
    <cellStyle name="20% - Accent2 16 2" xfId="891" xr:uid="{00000000-0005-0000-0000-000073000000}"/>
    <cellStyle name="20% - Accent2 17" xfId="68" xr:uid="{00000000-0005-0000-0000-000074000000}"/>
    <cellStyle name="20% - Accent2 17 2" xfId="892" xr:uid="{00000000-0005-0000-0000-000075000000}"/>
    <cellStyle name="20% - Accent2 18" xfId="69" xr:uid="{00000000-0005-0000-0000-000076000000}"/>
    <cellStyle name="20% - Accent2 18 2" xfId="893" xr:uid="{00000000-0005-0000-0000-000077000000}"/>
    <cellStyle name="20% - Accent2 19" xfId="70" xr:uid="{00000000-0005-0000-0000-000078000000}"/>
    <cellStyle name="20% - Accent2 19 2" xfId="894" xr:uid="{00000000-0005-0000-0000-000079000000}"/>
    <cellStyle name="20% - Accent2 2" xfId="71" xr:uid="{00000000-0005-0000-0000-00007A000000}"/>
    <cellStyle name="20% - Accent2 20" xfId="895" xr:uid="{00000000-0005-0000-0000-00007B000000}"/>
    <cellStyle name="20% - Accent2 20 2" xfId="896" xr:uid="{00000000-0005-0000-0000-00007C000000}"/>
    <cellStyle name="20% - Accent2 21" xfId="897" xr:uid="{00000000-0005-0000-0000-00007D000000}"/>
    <cellStyle name="20% - Accent2 21 2" xfId="898" xr:uid="{00000000-0005-0000-0000-00007E000000}"/>
    <cellStyle name="20% - Accent2 22" xfId="899" xr:uid="{00000000-0005-0000-0000-00007F000000}"/>
    <cellStyle name="20% - Accent2 22 2" xfId="900" xr:uid="{00000000-0005-0000-0000-000080000000}"/>
    <cellStyle name="20% - Accent2 23" xfId="901" xr:uid="{00000000-0005-0000-0000-000081000000}"/>
    <cellStyle name="20% - Accent2 23 2" xfId="902" xr:uid="{00000000-0005-0000-0000-000082000000}"/>
    <cellStyle name="20% - Accent2 24" xfId="903" xr:uid="{00000000-0005-0000-0000-000083000000}"/>
    <cellStyle name="20% - Accent2 24 2" xfId="904" xr:uid="{00000000-0005-0000-0000-000084000000}"/>
    <cellStyle name="20% - Accent2 25" xfId="905" xr:uid="{00000000-0005-0000-0000-000085000000}"/>
    <cellStyle name="20% - Accent2 25 2" xfId="906" xr:uid="{00000000-0005-0000-0000-000086000000}"/>
    <cellStyle name="20% - Accent2 26" xfId="907" xr:uid="{00000000-0005-0000-0000-000087000000}"/>
    <cellStyle name="20% - Accent2 26 2" xfId="908" xr:uid="{00000000-0005-0000-0000-000088000000}"/>
    <cellStyle name="20% - Accent2 27" xfId="909" xr:uid="{00000000-0005-0000-0000-000089000000}"/>
    <cellStyle name="20% - Accent2 27 2" xfId="910" xr:uid="{00000000-0005-0000-0000-00008A000000}"/>
    <cellStyle name="20% - Accent2 28" xfId="911" xr:uid="{00000000-0005-0000-0000-00008B000000}"/>
    <cellStyle name="20% - Accent2 28 2" xfId="912" xr:uid="{00000000-0005-0000-0000-00008C000000}"/>
    <cellStyle name="20% - Accent2 29" xfId="913" xr:uid="{00000000-0005-0000-0000-00008D000000}"/>
    <cellStyle name="20% - Accent2 29 2" xfId="914" xr:uid="{00000000-0005-0000-0000-00008E000000}"/>
    <cellStyle name="20% - Accent2 3" xfId="72" xr:uid="{00000000-0005-0000-0000-00008F000000}"/>
    <cellStyle name="20% - Accent2 3 2" xfId="915" xr:uid="{00000000-0005-0000-0000-000090000000}"/>
    <cellStyle name="20% - Accent2 30" xfId="916" xr:uid="{00000000-0005-0000-0000-000091000000}"/>
    <cellStyle name="20% - Accent2 30 2" xfId="917" xr:uid="{00000000-0005-0000-0000-000092000000}"/>
    <cellStyle name="20% - Accent2 31" xfId="918" xr:uid="{00000000-0005-0000-0000-000093000000}"/>
    <cellStyle name="20% - Accent2 31 2" xfId="919" xr:uid="{00000000-0005-0000-0000-000094000000}"/>
    <cellStyle name="20% - Accent2 32" xfId="920" xr:uid="{00000000-0005-0000-0000-000095000000}"/>
    <cellStyle name="20% - Accent2 32 2" xfId="921" xr:uid="{00000000-0005-0000-0000-000096000000}"/>
    <cellStyle name="20% - Accent2 33" xfId="922" xr:uid="{00000000-0005-0000-0000-000097000000}"/>
    <cellStyle name="20% - Accent2 33 2" xfId="923" xr:uid="{00000000-0005-0000-0000-000098000000}"/>
    <cellStyle name="20% - Accent2 34" xfId="924" xr:uid="{00000000-0005-0000-0000-000099000000}"/>
    <cellStyle name="20% - Accent2 34 2" xfId="925" xr:uid="{00000000-0005-0000-0000-00009A000000}"/>
    <cellStyle name="20% - Accent2 35" xfId="926" xr:uid="{00000000-0005-0000-0000-00009B000000}"/>
    <cellStyle name="20% - Accent2 35 2" xfId="927" xr:uid="{00000000-0005-0000-0000-00009C000000}"/>
    <cellStyle name="20% - Accent2 36" xfId="928" xr:uid="{00000000-0005-0000-0000-00009D000000}"/>
    <cellStyle name="20% - Accent2 36 2" xfId="929" xr:uid="{00000000-0005-0000-0000-00009E000000}"/>
    <cellStyle name="20% - Accent2 37" xfId="930" xr:uid="{00000000-0005-0000-0000-00009F000000}"/>
    <cellStyle name="20% - Accent2 37 2" xfId="931" xr:uid="{00000000-0005-0000-0000-0000A0000000}"/>
    <cellStyle name="20% - Accent2 38" xfId="932" xr:uid="{00000000-0005-0000-0000-0000A1000000}"/>
    <cellStyle name="20% - Accent2 38 2" xfId="933" xr:uid="{00000000-0005-0000-0000-0000A2000000}"/>
    <cellStyle name="20% - Accent2 39" xfId="934" xr:uid="{00000000-0005-0000-0000-0000A3000000}"/>
    <cellStyle name="20% - Accent2 39 2" xfId="935" xr:uid="{00000000-0005-0000-0000-0000A4000000}"/>
    <cellStyle name="20% - Accent2 4" xfId="73" xr:uid="{00000000-0005-0000-0000-0000A5000000}"/>
    <cellStyle name="20% - Accent2 4 2" xfId="936" xr:uid="{00000000-0005-0000-0000-0000A6000000}"/>
    <cellStyle name="20% - Accent2 40" xfId="937" xr:uid="{00000000-0005-0000-0000-0000A7000000}"/>
    <cellStyle name="20% - Accent2 40 2" xfId="938" xr:uid="{00000000-0005-0000-0000-0000A8000000}"/>
    <cellStyle name="20% - Accent2 41" xfId="939" xr:uid="{00000000-0005-0000-0000-0000A9000000}"/>
    <cellStyle name="20% - Accent2 41 2" xfId="940" xr:uid="{00000000-0005-0000-0000-0000AA000000}"/>
    <cellStyle name="20% - Accent2 42" xfId="941" xr:uid="{00000000-0005-0000-0000-0000AB000000}"/>
    <cellStyle name="20% - Accent2 42 2" xfId="942" xr:uid="{00000000-0005-0000-0000-0000AC000000}"/>
    <cellStyle name="20% - Accent2 43" xfId="943" xr:uid="{00000000-0005-0000-0000-0000AD000000}"/>
    <cellStyle name="20% - Accent2 43 2" xfId="944" xr:uid="{00000000-0005-0000-0000-0000AE000000}"/>
    <cellStyle name="20% - Accent2 44" xfId="945" xr:uid="{00000000-0005-0000-0000-0000AF000000}"/>
    <cellStyle name="20% - Accent2 44 2" xfId="946" xr:uid="{00000000-0005-0000-0000-0000B0000000}"/>
    <cellStyle name="20% - Accent2 45" xfId="947" xr:uid="{00000000-0005-0000-0000-0000B1000000}"/>
    <cellStyle name="20% - Accent2 45 2" xfId="948" xr:uid="{00000000-0005-0000-0000-0000B2000000}"/>
    <cellStyle name="20% - Accent2 46" xfId="949" xr:uid="{00000000-0005-0000-0000-0000B3000000}"/>
    <cellStyle name="20% - Accent2 46 2" xfId="950" xr:uid="{00000000-0005-0000-0000-0000B4000000}"/>
    <cellStyle name="20% - Accent2 47" xfId="951" xr:uid="{00000000-0005-0000-0000-0000B5000000}"/>
    <cellStyle name="20% - Accent2 47 2" xfId="952" xr:uid="{00000000-0005-0000-0000-0000B6000000}"/>
    <cellStyle name="20% - Accent2 48" xfId="953" xr:uid="{00000000-0005-0000-0000-0000B7000000}"/>
    <cellStyle name="20% - Accent2 48 2" xfId="954" xr:uid="{00000000-0005-0000-0000-0000B8000000}"/>
    <cellStyle name="20% - Accent2 49" xfId="955" xr:uid="{00000000-0005-0000-0000-0000B9000000}"/>
    <cellStyle name="20% - Accent2 49 2" xfId="956" xr:uid="{00000000-0005-0000-0000-0000BA000000}"/>
    <cellStyle name="20% - Accent2 5" xfId="74" xr:uid="{00000000-0005-0000-0000-0000BB000000}"/>
    <cellStyle name="20% - Accent2 5 2" xfId="957" xr:uid="{00000000-0005-0000-0000-0000BC000000}"/>
    <cellStyle name="20% - Accent2 50" xfId="958" xr:uid="{00000000-0005-0000-0000-0000BD000000}"/>
    <cellStyle name="20% - Accent2 50 2" xfId="959" xr:uid="{00000000-0005-0000-0000-0000BE000000}"/>
    <cellStyle name="20% - Accent2 51" xfId="960" xr:uid="{00000000-0005-0000-0000-0000BF000000}"/>
    <cellStyle name="20% - Accent2 51 2" xfId="961" xr:uid="{00000000-0005-0000-0000-0000C0000000}"/>
    <cellStyle name="20% - Accent2 52" xfId="962" xr:uid="{00000000-0005-0000-0000-0000C1000000}"/>
    <cellStyle name="20% - Accent2 6" xfId="75" xr:uid="{00000000-0005-0000-0000-0000C2000000}"/>
    <cellStyle name="20% - Accent2 6 2" xfId="963" xr:uid="{00000000-0005-0000-0000-0000C3000000}"/>
    <cellStyle name="20% - Accent2 7" xfId="76" xr:uid="{00000000-0005-0000-0000-0000C4000000}"/>
    <cellStyle name="20% - Accent2 7 2" xfId="964" xr:uid="{00000000-0005-0000-0000-0000C5000000}"/>
    <cellStyle name="20% - Accent2 8" xfId="77" xr:uid="{00000000-0005-0000-0000-0000C6000000}"/>
    <cellStyle name="20% - Accent2 8 2" xfId="965" xr:uid="{00000000-0005-0000-0000-0000C7000000}"/>
    <cellStyle name="20% - Accent2 9" xfId="78" xr:uid="{00000000-0005-0000-0000-0000C8000000}"/>
    <cellStyle name="20% - Accent2 9 2" xfId="966" xr:uid="{00000000-0005-0000-0000-0000C9000000}"/>
    <cellStyle name="20% - Accent3" xfId="27" builtinId="38" customBuiltin="1"/>
    <cellStyle name="20% - Accent3 10" xfId="79" xr:uid="{00000000-0005-0000-0000-0000CB000000}"/>
    <cellStyle name="20% - Accent3 10 2" xfId="967" xr:uid="{00000000-0005-0000-0000-0000CC000000}"/>
    <cellStyle name="20% - Accent3 11" xfId="80" xr:uid="{00000000-0005-0000-0000-0000CD000000}"/>
    <cellStyle name="20% - Accent3 11 2" xfId="968" xr:uid="{00000000-0005-0000-0000-0000CE000000}"/>
    <cellStyle name="20% - Accent3 12" xfId="81" xr:uid="{00000000-0005-0000-0000-0000CF000000}"/>
    <cellStyle name="20% - Accent3 12 2" xfId="969" xr:uid="{00000000-0005-0000-0000-0000D0000000}"/>
    <cellStyle name="20% - Accent3 13" xfId="82" xr:uid="{00000000-0005-0000-0000-0000D1000000}"/>
    <cellStyle name="20% - Accent3 13 2" xfId="970" xr:uid="{00000000-0005-0000-0000-0000D2000000}"/>
    <cellStyle name="20% - Accent3 14" xfId="83" xr:uid="{00000000-0005-0000-0000-0000D3000000}"/>
    <cellStyle name="20% - Accent3 14 2" xfId="971" xr:uid="{00000000-0005-0000-0000-0000D4000000}"/>
    <cellStyle name="20% - Accent3 15" xfId="84" xr:uid="{00000000-0005-0000-0000-0000D5000000}"/>
    <cellStyle name="20% - Accent3 15 2" xfId="972" xr:uid="{00000000-0005-0000-0000-0000D6000000}"/>
    <cellStyle name="20% - Accent3 16" xfId="85" xr:uid="{00000000-0005-0000-0000-0000D7000000}"/>
    <cellStyle name="20% - Accent3 16 2" xfId="973" xr:uid="{00000000-0005-0000-0000-0000D8000000}"/>
    <cellStyle name="20% - Accent3 17" xfId="86" xr:uid="{00000000-0005-0000-0000-0000D9000000}"/>
    <cellStyle name="20% - Accent3 17 2" xfId="974" xr:uid="{00000000-0005-0000-0000-0000DA000000}"/>
    <cellStyle name="20% - Accent3 18" xfId="87" xr:uid="{00000000-0005-0000-0000-0000DB000000}"/>
    <cellStyle name="20% - Accent3 18 2" xfId="975" xr:uid="{00000000-0005-0000-0000-0000DC000000}"/>
    <cellStyle name="20% - Accent3 19" xfId="88" xr:uid="{00000000-0005-0000-0000-0000DD000000}"/>
    <cellStyle name="20% - Accent3 19 2" xfId="976" xr:uid="{00000000-0005-0000-0000-0000DE000000}"/>
    <cellStyle name="20% - Accent3 2" xfId="89" xr:uid="{00000000-0005-0000-0000-0000DF000000}"/>
    <cellStyle name="20% - Accent3 20" xfId="977" xr:uid="{00000000-0005-0000-0000-0000E0000000}"/>
    <cellStyle name="20% - Accent3 20 2" xfId="978" xr:uid="{00000000-0005-0000-0000-0000E1000000}"/>
    <cellStyle name="20% - Accent3 21" xfId="979" xr:uid="{00000000-0005-0000-0000-0000E2000000}"/>
    <cellStyle name="20% - Accent3 21 2" xfId="980" xr:uid="{00000000-0005-0000-0000-0000E3000000}"/>
    <cellStyle name="20% - Accent3 22" xfId="981" xr:uid="{00000000-0005-0000-0000-0000E4000000}"/>
    <cellStyle name="20% - Accent3 22 2" xfId="982" xr:uid="{00000000-0005-0000-0000-0000E5000000}"/>
    <cellStyle name="20% - Accent3 23" xfId="983" xr:uid="{00000000-0005-0000-0000-0000E6000000}"/>
    <cellStyle name="20% - Accent3 23 2" xfId="984" xr:uid="{00000000-0005-0000-0000-0000E7000000}"/>
    <cellStyle name="20% - Accent3 24" xfId="985" xr:uid="{00000000-0005-0000-0000-0000E8000000}"/>
    <cellStyle name="20% - Accent3 24 2" xfId="986" xr:uid="{00000000-0005-0000-0000-0000E9000000}"/>
    <cellStyle name="20% - Accent3 25" xfId="987" xr:uid="{00000000-0005-0000-0000-0000EA000000}"/>
    <cellStyle name="20% - Accent3 25 2" xfId="988" xr:uid="{00000000-0005-0000-0000-0000EB000000}"/>
    <cellStyle name="20% - Accent3 26" xfId="989" xr:uid="{00000000-0005-0000-0000-0000EC000000}"/>
    <cellStyle name="20% - Accent3 26 2" xfId="990" xr:uid="{00000000-0005-0000-0000-0000ED000000}"/>
    <cellStyle name="20% - Accent3 27" xfId="991" xr:uid="{00000000-0005-0000-0000-0000EE000000}"/>
    <cellStyle name="20% - Accent3 27 2" xfId="992" xr:uid="{00000000-0005-0000-0000-0000EF000000}"/>
    <cellStyle name="20% - Accent3 28" xfId="993" xr:uid="{00000000-0005-0000-0000-0000F0000000}"/>
    <cellStyle name="20% - Accent3 28 2" xfId="994" xr:uid="{00000000-0005-0000-0000-0000F1000000}"/>
    <cellStyle name="20% - Accent3 29" xfId="995" xr:uid="{00000000-0005-0000-0000-0000F2000000}"/>
    <cellStyle name="20% - Accent3 29 2" xfId="996" xr:uid="{00000000-0005-0000-0000-0000F3000000}"/>
    <cellStyle name="20% - Accent3 3" xfId="90" xr:uid="{00000000-0005-0000-0000-0000F4000000}"/>
    <cellStyle name="20% - Accent3 3 2" xfId="997" xr:uid="{00000000-0005-0000-0000-0000F5000000}"/>
    <cellStyle name="20% - Accent3 30" xfId="998" xr:uid="{00000000-0005-0000-0000-0000F6000000}"/>
    <cellStyle name="20% - Accent3 30 2" xfId="999" xr:uid="{00000000-0005-0000-0000-0000F7000000}"/>
    <cellStyle name="20% - Accent3 31" xfId="1000" xr:uid="{00000000-0005-0000-0000-0000F8000000}"/>
    <cellStyle name="20% - Accent3 31 2" xfId="1001" xr:uid="{00000000-0005-0000-0000-0000F9000000}"/>
    <cellStyle name="20% - Accent3 32" xfId="1002" xr:uid="{00000000-0005-0000-0000-0000FA000000}"/>
    <cellStyle name="20% - Accent3 32 2" xfId="1003" xr:uid="{00000000-0005-0000-0000-0000FB000000}"/>
    <cellStyle name="20% - Accent3 33" xfId="1004" xr:uid="{00000000-0005-0000-0000-0000FC000000}"/>
    <cellStyle name="20% - Accent3 33 2" xfId="1005" xr:uid="{00000000-0005-0000-0000-0000FD000000}"/>
    <cellStyle name="20% - Accent3 34" xfId="1006" xr:uid="{00000000-0005-0000-0000-0000FE000000}"/>
    <cellStyle name="20% - Accent3 34 2" xfId="1007" xr:uid="{00000000-0005-0000-0000-0000FF000000}"/>
    <cellStyle name="20% - Accent3 35" xfId="1008" xr:uid="{00000000-0005-0000-0000-000000010000}"/>
    <cellStyle name="20% - Accent3 35 2" xfId="1009" xr:uid="{00000000-0005-0000-0000-000001010000}"/>
    <cellStyle name="20% - Accent3 36" xfId="1010" xr:uid="{00000000-0005-0000-0000-000002010000}"/>
    <cellStyle name="20% - Accent3 36 2" xfId="1011" xr:uid="{00000000-0005-0000-0000-000003010000}"/>
    <cellStyle name="20% - Accent3 37" xfId="1012" xr:uid="{00000000-0005-0000-0000-000004010000}"/>
    <cellStyle name="20% - Accent3 37 2" xfId="1013" xr:uid="{00000000-0005-0000-0000-000005010000}"/>
    <cellStyle name="20% - Accent3 38" xfId="1014" xr:uid="{00000000-0005-0000-0000-000006010000}"/>
    <cellStyle name="20% - Accent3 38 2" xfId="1015" xr:uid="{00000000-0005-0000-0000-000007010000}"/>
    <cellStyle name="20% - Accent3 39" xfId="1016" xr:uid="{00000000-0005-0000-0000-000008010000}"/>
    <cellStyle name="20% - Accent3 39 2" xfId="1017" xr:uid="{00000000-0005-0000-0000-000009010000}"/>
    <cellStyle name="20% - Accent3 4" xfId="91" xr:uid="{00000000-0005-0000-0000-00000A010000}"/>
    <cellStyle name="20% - Accent3 4 2" xfId="1018" xr:uid="{00000000-0005-0000-0000-00000B010000}"/>
    <cellStyle name="20% - Accent3 40" xfId="1019" xr:uid="{00000000-0005-0000-0000-00000C010000}"/>
    <cellStyle name="20% - Accent3 40 2" xfId="1020" xr:uid="{00000000-0005-0000-0000-00000D010000}"/>
    <cellStyle name="20% - Accent3 41" xfId="1021" xr:uid="{00000000-0005-0000-0000-00000E010000}"/>
    <cellStyle name="20% - Accent3 41 2" xfId="1022" xr:uid="{00000000-0005-0000-0000-00000F010000}"/>
    <cellStyle name="20% - Accent3 42" xfId="1023" xr:uid="{00000000-0005-0000-0000-000010010000}"/>
    <cellStyle name="20% - Accent3 42 2" xfId="1024" xr:uid="{00000000-0005-0000-0000-000011010000}"/>
    <cellStyle name="20% - Accent3 43" xfId="1025" xr:uid="{00000000-0005-0000-0000-000012010000}"/>
    <cellStyle name="20% - Accent3 43 2" xfId="1026" xr:uid="{00000000-0005-0000-0000-000013010000}"/>
    <cellStyle name="20% - Accent3 44" xfId="1027" xr:uid="{00000000-0005-0000-0000-000014010000}"/>
    <cellStyle name="20% - Accent3 44 2" xfId="1028" xr:uid="{00000000-0005-0000-0000-000015010000}"/>
    <cellStyle name="20% - Accent3 45" xfId="1029" xr:uid="{00000000-0005-0000-0000-000016010000}"/>
    <cellStyle name="20% - Accent3 45 2" xfId="1030" xr:uid="{00000000-0005-0000-0000-000017010000}"/>
    <cellStyle name="20% - Accent3 46" xfId="1031" xr:uid="{00000000-0005-0000-0000-000018010000}"/>
    <cellStyle name="20% - Accent3 46 2" xfId="1032" xr:uid="{00000000-0005-0000-0000-000019010000}"/>
    <cellStyle name="20% - Accent3 47" xfId="1033" xr:uid="{00000000-0005-0000-0000-00001A010000}"/>
    <cellStyle name="20% - Accent3 47 2" xfId="1034" xr:uid="{00000000-0005-0000-0000-00001B010000}"/>
    <cellStyle name="20% - Accent3 48" xfId="1035" xr:uid="{00000000-0005-0000-0000-00001C010000}"/>
    <cellStyle name="20% - Accent3 48 2" xfId="1036" xr:uid="{00000000-0005-0000-0000-00001D010000}"/>
    <cellStyle name="20% - Accent3 49" xfId="1037" xr:uid="{00000000-0005-0000-0000-00001E010000}"/>
    <cellStyle name="20% - Accent3 49 2" xfId="1038" xr:uid="{00000000-0005-0000-0000-00001F010000}"/>
    <cellStyle name="20% - Accent3 5" xfId="92" xr:uid="{00000000-0005-0000-0000-000020010000}"/>
    <cellStyle name="20% - Accent3 5 2" xfId="1039" xr:uid="{00000000-0005-0000-0000-000021010000}"/>
    <cellStyle name="20% - Accent3 50" xfId="1040" xr:uid="{00000000-0005-0000-0000-000022010000}"/>
    <cellStyle name="20% - Accent3 50 2" xfId="1041" xr:uid="{00000000-0005-0000-0000-000023010000}"/>
    <cellStyle name="20% - Accent3 51" xfId="1042" xr:uid="{00000000-0005-0000-0000-000024010000}"/>
    <cellStyle name="20% - Accent3 51 2" xfId="1043" xr:uid="{00000000-0005-0000-0000-000025010000}"/>
    <cellStyle name="20% - Accent3 52" xfId="1044" xr:uid="{00000000-0005-0000-0000-000026010000}"/>
    <cellStyle name="20% - Accent3 6" xfId="93" xr:uid="{00000000-0005-0000-0000-000027010000}"/>
    <cellStyle name="20% - Accent3 6 2" xfId="1045" xr:uid="{00000000-0005-0000-0000-000028010000}"/>
    <cellStyle name="20% - Accent3 7" xfId="94" xr:uid="{00000000-0005-0000-0000-000029010000}"/>
    <cellStyle name="20% - Accent3 7 2" xfId="1046" xr:uid="{00000000-0005-0000-0000-00002A010000}"/>
    <cellStyle name="20% - Accent3 8" xfId="95" xr:uid="{00000000-0005-0000-0000-00002B010000}"/>
    <cellStyle name="20% - Accent3 8 2" xfId="1047" xr:uid="{00000000-0005-0000-0000-00002C010000}"/>
    <cellStyle name="20% - Accent3 9" xfId="96" xr:uid="{00000000-0005-0000-0000-00002D010000}"/>
    <cellStyle name="20% - Accent3 9 2" xfId="1048" xr:uid="{00000000-0005-0000-0000-00002E010000}"/>
    <cellStyle name="20% - Accent4" xfId="31" builtinId="42" customBuiltin="1"/>
    <cellStyle name="20% - Accent4 10" xfId="97" xr:uid="{00000000-0005-0000-0000-000030010000}"/>
    <cellStyle name="20% - Accent4 10 2" xfId="1049" xr:uid="{00000000-0005-0000-0000-000031010000}"/>
    <cellStyle name="20% - Accent4 11" xfId="98" xr:uid="{00000000-0005-0000-0000-000032010000}"/>
    <cellStyle name="20% - Accent4 11 2" xfId="1050" xr:uid="{00000000-0005-0000-0000-000033010000}"/>
    <cellStyle name="20% - Accent4 12" xfId="99" xr:uid="{00000000-0005-0000-0000-000034010000}"/>
    <cellStyle name="20% - Accent4 12 2" xfId="1051" xr:uid="{00000000-0005-0000-0000-000035010000}"/>
    <cellStyle name="20% - Accent4 13" xfId="100" xr:uid="{00000000-0005-0000-0000-000036010000}"/>
    <cellStyle name="20% - Accent4 13 2" xfId="1052" xr:uid="{00000000-0005-0000-0000-000037010000}"/>
    <cellStyle name="20% - Accent4 14" xfId="101" xr:uid="{00000000-0005-0000-0000-000038010000}"/>
    <cellStyle name="20% - Accent4 14 2" xfId="1053" xr:uid="{00000000-0005-0000-0000-000039010000}"/>
    <cellStyle name="20% - Accent4 15" xfId="102" xr:uid="{00000000-0005-0000-0000-00003A010000}"/>
    <cellStyle name="20% - Accent4 15 2" xfId="1054" xr:uid="{00000000-0005-0000-0000-00003B010000}"/>
    <cellStyle name="20% - Accent4 16" xfId="103" xr:uid="{00000000-0005-0000-0000-00003C010000}"/>
    <cellStyle name="20% - Accent4 16 2" xfId="1055" xr:uid="{00000000-0005-0000-0000-00003D010000}"/>
    <cellStyle name="20% - Accent4 17" xfId="104" xr:uid="{00000000-0005-0000-0000-00003E010000}"/>
    <cellStyle name="20% - Accent4 17 2" xfId="1056" xr:uid="{00000000-0005-0000-0000-00003F010000}"/>
    <cellStyle name="20% - Accent4 18" xfId="105" xr:uid="{00000000-0005-0000-0000-000040010000}"/>
    <cellStyle name="20% - Accent4 18 2" xfId="1057" xr:uid="{00000000-0005-0000-0000-000041010000}"/>
    <cellStyle name="20% - Accent4 19" xfId="106" xr:uid="{00000000-0005-0000-0000-000042010000}"/>
    <cellStyle name="20% - Accent4 19 2" xfId="1058" xr:uid="{00000000-0005-0000-0000-000043010000}"/>
    <cellStyle name="20% - Accent4 2" xfId="107" xr:uid="{00000000-0005-0000-0000-000044010000}"/>
    <cellStyle name="20% - Accent4 20" xfId="1059" xr:uid="{00000000-0005-0000-0000-000045010000}"/>
    <cellStyle name="20% - Accent4 20 2" xfId="1060" xr:uid="{00000000-0005-0000-0000-000046010000}"/>
    <cellStyle name="20% - Accent4 21" xfId="1061" xr:uid="{00000000-0005-0000-0000-000047010000}"/>
    <cellStyle name="20% - Accent4 21 2" xfId="1062" xr:uid="{00000000-0005-0000-0000-000048010000}"/>
    <cellStyle name="20% - Accent4 22" xfId="1063" xr:uid="{00000000-0005-0000-0000-000049010000}"/>
    <cellStyle name="20% - Accent4 22 2" xfId="1064" xr:uid="{00000000-0005-0000-0000-00004A010000}"/>
    <cellStyle name="20% - Accent4 23" xfId="1065" xr:uid="{00000000-0005-0000-0000-00004B010000}"/>
    <cellStyle name="20% - Accent4 23 2" xfId="1066" xr:uid="{00000000-0005-0000-0000-00004C010000}"/>
    <cellStyle name="20% - Accent4 24" xfId="1067" xr:uid="{00000000-0005-0000-0000-00004D010000}"/>
    <cellStyle name="20% - Accent4 24 2" xfId="1068" xr:uid="{00000000-0005-0000-0000-00004E010000}"/>
    <cellStyle name="20% - Accent4 25" xfId="1069" xr:uid="{00000000-0005-0000-0000-00004F010000}"/>
    <cellStyle name="20% - Accent4 25 2" xfId="1070" xr:uid="{00000000-0005-0000-0000-000050010000}"/>
    <cellStyle name="20% - Accent4 26" xfId="1071" xr:uid="{00000000-0005-0000-0000-000051010000}"/>
    <cellStyle name="20% - Accent4 26 2" xfId="1072" xr:uid="{00000000-0005-0000-0000-000052010000}"/>
    <cellStyle name="20% - Accent4 27" xfId="1073" xr:uid="{00000000-0005-0000-0000-000053010000}"/>
    <cellStyle name="20% - Accent4 27 2" xfId="1074" xr:uid="{00000000-0005-0000-0000-000054010000}"/>
    <cellStyle name="20% - Accent4 28" xfId="1075" xr:uid="{00000000-0005-0000-0000-000055010000}"/>
    <cellStyle name="20% - Accent4 28 2" xfId="1076" xr:uid="{00000000-0005-0000-0000-000056010000}"/>
    <cellStyle name="20% - Accent4 29" xfId="1077" xr:uid="{00000000-0005-0000-0000-000057010000}"/>
    <cellStyle name="20% - Accent4 29 2" xfId="1078" xr:uid="{00000000-0005-0000-0000-000058010000}"/>
    <cellStyle name="20% - Accent4 3" xfId="108" xr:uid="{00000000-0005-0000-0000-000059010000}"/>
    <cellStyle name="20% - Accent4 3 2" xfId="1079" xr:uid="{00000000-0005-0000-0000-00005A010000}"/>
    <cellStyle name="20% - Accent4 30" xfId="1080" xr:uid="{00000000-0005-0000-0000-00005B010000}"/>
    <cellStyle name="20% - Accent4 30 2" xfId="1081" xr:uid="{00000000-0005-0000-0000-00005C010000}"/>
    <cellStyle name="20% - Accent4 31" xfId="1082" xr:uid="{00000000-0005-0000-0000-00005D010000}"/>
    <cellStyle name="20% - Accent4 31 2" xfId="1083" xr:uid="{00000000-0005-0000-0000-00005E010000}"/>
    <cellStyle name="20% - Accent4 32" xfId="1084" xr:uid="{00000000-0005-0000-0000-00005F010000}"/>
    <cellStyle name="20% - Accent4 32 2" xfId="1085" xr:uid="{00000000-0005-0000-0000-000060010000}"/>
    <cellStyle name="20% - Accent4 33" xfId="1086" xr:uid="{00000000-0005-0000-0000-000061010000}"/>
    <cellStyle name="20% - Accent4 33 2" xfId="1087" xr:uid="{00000000-0005-0000-0000-000062010000}"/>
    <cellStyle name="20% - Accent4 34" xfId="1088" xr:uid="{00000000-0005-0000-0000-000063010000}"/>
    <cellStyle name="20% - Accent4 34 2" xfId="1089" xr:uid="{00000000-0005-0000-0000-000064010000}"/>
    <cellStyle name="20% - Accent4 35" xfId="1090" xr:uid="{00000000-0005-0000-0000-000065010000}"/>
    <cellStyle name="20% - Accent4 35 2" xfId="1091" xr:uid="{00000000-0005-0000-0000-000066010000}"/>
    <cellStyle name="20% - Accent4 36" xfId="1092" xr:uid="{00000000-0005-0000-0000-000067010000}"/>
    <cellStyle name="20% - Accent4 36 2" xfId="1093" xr:uid="{00000000-0005-0000-0000-000068010000}"/>
    <cellStyle name="20% - Accent4 37" xfId="1094" xr:uid="{00000000-0005-0000-0000-000069010000}"/>
    <cellStyle name="20% - Accent4 37 2" xfId="1095" xr:uid="{00000000-0005-0000-0000-00006A010000}"/>
    <cellStyle name="20% - Accent4 38" xfId="1096" xr:uid="{00000000-0005-0000-0000-00006B010000}"/>
    <cellStyle name="20% - Accent4 38 2" xfId="1097" xr:uid="{00000000-0005-0000-0000-00006C010000}"/>
    <cellStyle name="20% - Accent4 39" xfId="1098" xr:uid="{00000000-0005-0000-0000-00006D010000}"/>
    <cellStyle name="20% - Accent4 39 2" xfId="1099" xr:uid="{00000000-0005-0000-0000-00006E010000}"/>
    <cellStyle name="20% - Accent4 4" xfId="109" xr:uid="{00000000-0005-0000-0000-00006F010000}"/>
    <cellStyle name="20% - Accent4 4 2" xfId="1100" xr:uid="{00000000-0005-0000-0000-000070010000}"/>
    <cellStyle name="20% - Accent4 40" xfId="1101" xr:uid="{00000000-0005-0000-0000-000071010000}"/>
    <cellStyle name="20% - Accent4 40 2" xfId="1102" xr:uid="{00000000-0005-0000-0000-000072010000}"/>
    <cellStyle name="20% - Accent4 41" xfId="1103" xr:uid="{00000000-0005-0000-0000-000073010000}"/>
    <cellStyle name="20% - Accent4 41 2" xfId="1104" xr:uid="{00000000-0005-0000-0000-000074010000}"/>
    <cellStyle name="20% - Accent4 42" xfId="1105" xr:uid="{00000000-0005-0000-0000-000075010000}"/>
    <cellStyle name="20% - Accent4 42 2" xfId="1106" xr:uid="{00000000-0005-0000-0000-000076010000}"/>
    <cellStyle name="20% - Accent4 43" xfId="1107" xr:uid="{00000000-0005-0000-0000-000077010000}"/>
    <cellStyle name="20% - Accent4 43 2" xfId="1108" xr:uid="{00000000-0005-0000-0000-000078010000}"/>
    <cellStyle name="20% - Accent4 44" xfId="1109" xr:uid="{00000000-0005-0000-0000-000079010000}"/>
    <cellStyle name="20% - Accent4 44 2" xfId="1110" xr:uid="{00000000-0005-0000-0000-00007A010000}"/>
    <cellStyle name="20% - Accent4 45" xfId="1111" xr:uid="{00000000-0005-0000-0000-00007B010000}"/>
    <cellStyle name="20% - Accent4 45 2" xfId="1112" xr:uid="{00000000-0005-0000-0000-00007C010000}"/>
    <cellStyle name="20% - Accent4 46" xfId="1113" xr:uid="{00000000-0005-0000-0000-00007D010000}"/>
    <cellStyle name="20% - Accent4 46 2" xfId="1114" xr:uid="{00000000-0005-0000-0000-00007E010000}"/>
    <cellStyle name="20% - Accent4 47" xfId="1115" xr:uid="{00000000-0005-0000-0000-00007F010000}"/>
    <cellStyle name="20% - Accent4 47 2" xfId="1116" xr:uid="{00000000-0005-0000-0000-000080010000}"/>
    <cellStyle name="20% - Accent4 48" xfId="1117" xr:uid="{00000000-0005-0000-0000-000081010000}"/>
    <cellStyle name="20% - Accent4 48 2" xfId="1118" xr:uid="{00000000-0005-0000-0000-000082010000}"/>
    <cellStyle name="20% - Accent4 49" xfId="1119" xr:uid="{00000000-0005-0000-0000-000083010000}"/>
    <cellStyle name="20% - Accent4 49 2" xfId="1120" xr:uid="{00000000-0005-0000-0000-000084010000}"/>
    <cellStyle name="20% - Accent4 5" xfId="110" xr:uid="{00000000-0005-0000-0000-000085010000}"/>
    <cellStyle name="20% - Accent4 5 2" xfId="1121" xr:uid="{00000000-0005-0000-0000-000086010000}"/>
    <cellStyle name="20% - Accent4 50" xfId="1122" xr:uid="{00000000-0005-0000-0000-000087010000}"/>
    <cellStyle name="20% - Accent4 50 2" xfId="1123" xr:uid="{00000000-0005-0000-0000-000088010000}"/>
    <cellStyle name="20% - Accent4 51" xfId="1124" xr:uid="{00000000-0005-0000-0000-000089010000}"/>
    <cellStyle name="20% - Accent4 51 2" xfId="1125" xr:uid="{00000000-0005-0000-0000-00008A010000}"/>
    <cellStyle name="20% - Accent4 52" xfId="1126" xr:uid="{00000000-0005-0000-0000-00008B010000}"/>
    <cellStyle name="20% - Accent4 6" xfId="111" xr:uid="{00000000-0005-0000-0000-00008C010000}"/>
    <cellStyle name="20% - Accent4 6 2" xfId="1127" xr:uid="{00000000-0005-0000-0000-00008D010000}"/>
    <cellStyle name="20% - Accent4 7" xfId="112" xr:uid="{00000000-0005-0000-0000-00008E010000}"/>
    <cellStyle name="20% - Accent4 7 2" xfId="1128" xr:uid="{00000000-0005-0000-0000-00008F010000}"/>
    <cellStyle name="20% - Accent4 8" xfId="113" xr:uid="{00000000-0005-0000-0000-000090010000}"/>
    <cellStyle name="20% - Accent4 8 2" xfId="1129" xr:uid="{00000000-0005-0000-0000-000091010000}"/>
    <cellStyle name="20% - Accent4 9" xfId="114" xr:uid="{00000000-0005-0000-0000-000092010000}"/>
    <cellStyle name="20% - Accent4 9 2" xfId="1130" xr:uid="{00000000-0005-0000-0000-000093010000}"/>
    <cellStyle name="20% - Accent5" xfId="35" builtinId="46" customBuiltin="1"/>
    <cellStyle name="20% - Accent5 10" xfId="115" xr:uid="{00000000-0005-0000-0000-000095010000}"/>
    <cellStyle name="20% - Accent5 10 2" xfId="1131" xr:uid="{00000000-0005-0000-0000-000096010000}"/>
    <cellStyle name="20% - Accent5 11" xfId="116" xr:uid="{00000000-0005-0000-0000-000097010000}"/>
    <cellStyle name="20% - Accent5 11 2" xfId="1132" xr:uid="{00000000-0005-0000-0000-000098010000}"/>
    <cellStyle name="20% - Accent5 12" xfId="117" xr:uid="{00000000-0005-0000-0000-000099010000}"/>
    <cellStyle name="20% - Accent5 12 2" xfId="1133" xr:uid="{00000000-0005-0000-0000-00009A010000}"/>
    <cellStyle name="20% - Accent5 13" xfId="118" xr:uid="{00000000-0005-0000-0000-00009B010000}"/>
    <cellStyle name="20% - Accent5 13 2" xfId="1134" xr:uid="{00000000-0005-0000-0000-00009C010000}"/>
    <cellStyle name="20% - Accent5 14" xfId="119" xr:uid="{00000000-0005-0000-0000-00009D010000}"/>
    <cellStyle name="20% - Accent5 14 2" xfId="1135" xr:uid="{00000000-0005-0000-0000-00009E010000}"/>
    <cellStyle name="20% - Accent5 15" xfId="120" xr:uid="{00000000-0005-0000-0000-00009F010000}"/>
    <cellStyle name="20% - Accent5 15 2" xfId="1136" xr:uid="{00000000-0005-0000-0000-0000A0010000}"/>
    <cellStyle name="20% - Accent5 16" xfId="121" xr:uid="{00000000-0005-0000-0000-0000A1010000}"/>
    <cellStyle name="20% - Accent5 16 2" xfId="1137" xr:uid="{00000000-0005-0000-0000-0000A2010000}"/>
    <cellStyle name="20% - Accent5 17" xfId="122" xr:uid="{00000000-0005-0000-0000-0000A3010000}"/>
    <cellStyle name="20% - Accent5 17 2" xfId="1138" xr:uid="{00000000-0005-0000-0000-0000A4010000}"/>
    <cellStyle name="20% - Accent5 18" xfId="123" xr:uid="{00000000-0005-0000-0000-0000A5010000}"/>
    <cellStyle name="20% - Accent5 18 2" xfId="1139" xr:uid="{00000000-0005-0000-0000-0000A6010000}"/>
    <cellStyle name="20% - Accent5 19" xfId="124" xr:uid="{00000000-0005-0000-0000-0000A7010000}"/>
    <cellStyle name="20% - Accent5 19 2" xfId="1140" xr:uid="{00000000-0005-0000-0000-0000A8010000}"/>
    <cellStyle name="20% - Accent5 2" xfId="125" xr:uid="{00000000-0005-0000-0000-0000A9010000}"/>
    <cellStyle name="20% - Accent5 20" xfId="1141" xr:uid="{00000000-0005-0000-0000-0000AA010000}"/>
    <cellStyle name="20% - Accent5 20 2" xfId="1142" xr:uid="{00000000-0005-0000-0000-0000AB010000}"/>
    <cellStyle name="20% - Accent5 21" xfId="1143" xr:uid="{00000000-0005-0000-0000-0000AC010000}"/>
    <cellStyle name="20% - Accent5 21 2" xfId="1144" xr:uid="{00000000-0005-0000-0000-0000AD010000}"/>
    <cellStyle name="20% - Accent5 22" xfId="1145" xr:uid="{00000000-0005-0000-0000-0000AE010000}"/>
    <cellStyle name="20% - Accent5 22 2" xfId="1146" xr:uid="{00000000-0005-0000-0000-0000AF010000}"/>
    <cellStyle name="20% - Accent5 23" xfId="1147" xr:uid="{00000000-0005-0000-0000-0000B0010000}"/>
    <cellStyle name="20% - Accent5 23 2" xfId="1148" xr:uid="{00000000-0005-0000-0000-0000B1010000}"/>
    <cellStyle name="20% - Accent5 24" xfId="1149" xr:uid="{00000000-0005-0000-0000-0000B2010000}"/>
    <cellStyle name="20% - Accent5 24 2" xfId="1150" xr:uid="{00000000-0005-0000-0000-0000B3010000}"/>
    <cellStyle name="20% - Accent5 25" xfId="1151" xr:uid="{00000000-0005-0000-0000-0000B4010000}"/>
    <cellStyle name="20% - Accent5 25 2" xfId="1152" xr:uid="{00000000-0005-0000-0000-0000B5010000}"/>
    <cellStyle name="20% - Accent5 26" xfId="1153" xr:uid="{00000000-0005-0000-0000-0000B6010000}"/>
    <cellStyle name="20% - Accent5 26 2" xfId="1154" xr:uid="{00000000-0005-0000-0000-0000B7010000}"/>
    <cellStyle name="20% - Accent5 27" xfId="1155" xr:uid="{00000000-0005-0000-0000-0000B8010000}"/>
    <cellStyle name="20% - Accent5 27 2" xfId="1156" xr:uid="{00000000-0005-0000-0000-0000B9010000}"/>
    <cellStyle name="20% - Accent5 28" xfId="1157" xr:uid="{00000000-0005-0000-0000-0000BA010000}"/>
    <cellStyle name="20% - Accent5 28 2" xfId="1158" xr:uid="{00000000-0005-0000-0000-0000BB010000}"/>
    <cellStyle name="20% - Accent5 29" xfId="1159" xr:uid="{00000000-0005-0000-0000-0000BC010000}"/>
    <cellStyle name="20% - Accent5 29 2" xfId="1160" xr:uid="{00000000-0005-0000-0000-0000BD010000}"/>
    <cellStyle name="20% - Accent5 3" xfId="126" xr:uid="{00000000-0005-0000-0000-0000BE010000}"/>
    <cellStyle name="20% - Accent5 3 2" xfId="1161" xr:uid="{00000000-0005-0000-0000-0000BF010000}"/>
    <cellStyle name="20% - Accent5 30" xfId="1162" xr:uid="{00000000-0005-0000-0000-0000C0010000}"/>
    <cellStyle name="20% - Accent5 30 2" xfId="1163" xr:uid="{00000000-0005-0000-0000-0000C1010000}"/>
    <cellStyle name="20% - Accent5 31" xfId="1164" xr:uid="{00000000-0005-0000-0000-0000C2010000}"/>
    <cellStyle name="20% - Accent5 31 2" xfId="1165" xr:uid="{00000000-0005-0000-0000-0000C3010000}"/>
    <cellStyle name="20% - Accent5 32" xfId="1166" xr:uid="{00000000-0005-0000-0000-0000C4010000}"/>
    <cellStyle name="20% - Accent5 32 2" xfId="1167" xr:uid="{00000000-0005-0000-0000-0000C5010000}"/>
    <cellStyle name="20% - Accent5 33" xfId="1168" xr:uid="{00000000-0005-0000-0000-0000C6010000}"/>
    <cellStyle name="20% - Accent5 33 2" xfId="1169" xr:uid="{00000000-0005-0000-0000-0000C7010000}"/>
    <cellStyle name="20% - Accent5 34" xfId="1170" xr:uid="{00000000-0005-0000-0000-0000C8010000}"/>
    <cellStyle name="20% - Accent5 34 2" xfId="1171" xr:uid="{00000000-0005-0000-0000-0000C9010000}"/>
    <cellStyle name="20% - Accent5 35" xfId="1172" xr:uid="{00000000-0005-0000-0000-0000CA010000}"/>
    <cellStyle name="20% - Accent5 35 2" xfId="1173" xr:uid="{00000000-0005-0000-0000-0000CB010000}"/>
    <cellStyle name="20% - Accent5 36" xfId="1174" xr:uid="{00000000-0005-0000-0000-0000CC010000}"/>
    <cellStyle name="20% - Accent5 36 2" xfId="1175" xr:uid="{00000000-0005-0000-0000-0000CD010000}"/>
    <cellStyle name="20% - Accent5 37" xfId="1176" xr:uid="{00000000-0005-0000-0000-0000CE010000}"/>
    <cellStyle name="20% - Accent5 37 2" xfId="1177" xr:uid="{00000000-0005-0000-0000-0000CF010000}"/>
    <cellStyle name="20% - Accent5 38" xfId="1178" xr:uid="{00000000-0005-0000-0000-0000D0010000}"/>
    <cellStyle name="20% - Accent5 38 2" xfId="1179" xr:uid="{00000000-0005-0000-0000-0000D1010000}"/>
    <cellStyle name="20% - Accent5 39" xfId="1180" xr:uid="{00000000-0005-0000-0000-0000D2010000}"/>
    <cellStyle name="20% - Accent5 39 2" xfId="1181" xr:uid="{00000000-0005-0000-0000-0000D3010000}"/>
    <cellStyle name="20% - Accent5 4" xfId="127" xr:uid="{00000000-0005-0000-0000-0000D4010000}"/>
    <cellStyle name="20% - Accent5 4 2" xfId="1182" xr:uid="{00000000-0005-0000-0000-0000D5010000}"/>
    <cellStyle name="20% - Accent5 40" xfId="1183" xr:uid="{00000000-0005-0000-0000-0000D6010000}"/>
    <cellStyle name="20% - Accent5 40 2" xfId="1184" xr:uid="{00000000-0005-0000-0000-0000D7010000}"/>
    <cellStyle name="20% - Accent5 41" xfId="1185" xr:uid="{00000000-0005-0000-0000-0000D8010000}"/>
    <cellStyle name="20% - Accent5 41 2" xfId="1186" xr:uid="{00000000-0005-0000-0000-0000D9010000}"/>
    <cellStyle name="20% - Accent5 42" xfId="1187" xr:uid="{00000000-0005-0000-0000-0000DA010000}"/>
    <cellStyle name="20% - Accent5 42 2" xfId="1188" xr:uid="{00000000-0005-0000-0000-0000DB010000}"/>
    <cellStyle name="20% - Accent5 43" xfId="1189" xr:uid="{00000000-0005-0000-0000-0000DC010000}"/>
    <cellStyle name="20% - Accent5 43 2" xfId="1190" xr:uid="{00000000-0005-0000-0000-0000DD010000}"/>
    <cellStyle name="20% - Accent5 44" xfId="1191" xr:uid="{00000000-0005-0000-0000-0000DE010000}"/>
    <cellStyle name="20% - Accent5 44 2" xfId="1192" xr:uid="{00000000-0005-0000-0000-0000DF010000}"/>
    <cellStyle name="20% - Accent5 45" xfId="1193" xr:uid="{00000000-0005-0000-0000-0000E0010000}"/>
    <cellStyle name="20% - Accent5 45 2" xfId="1194" xr:uid="{00000000-0005-0000-0000-0000E1010000}"/>
    <cellStyle name="20% - Accent5 46" xfId="1195" xr:uid="{00000000-0005-0000-0000-0000E2010000}"/>
    <cellStyle name="20% - Accent5 46 2" xfId="1196" xr:uid="{00000000-0005-0000-0000-0000E3010000}"/>
    <cellStyle name="20% - Accent5 47" xfId="1197" xr:uid="{00000000-0005-0000-0000-0000E4010000}"/>
    <cellStyle name="20% - Accent5 47 2" xfId="1198" xr:uid="{00000000-0005-0000-0000-0000E5010000}"/>
    <cellStyle name="20% - Accent5 48" xfId="1199" xr:uid="{00000000-0005-0000-0000-0000E6010000}"/>
    <cellStyle name="20% - Accent5 48 2" xfId="1200" xr:uid="{00000000-0005-0000-0000-0000E7010000}"/>
    <cellStyle name="20% - Accent5 49" xfId="1201" xr:uid="{00000000-0005-0000-0000-0000E8010000}"/>
    <cellStyle name="20% - Accent5 49 2" xfId="1202" xr:uid="{00000000-0005-0000-0000-0000E9010000}"/>
    <cellStyle name="20% - Accent5 5" xfId="128" xr:uid="{00000000-0005-0000-0000-0000EA010000}"/>
    <cellStyle name="20% - Accent5 5 2" xfId="1203" xr:uid="{00000000-0005-0000-0000-0000EB010000}"/>
    <cellStyle name="20% - Accent5 50" xfId="1204" xr:uid="{00000000-0005-0000-0000-0000EC010000}"/>
    <cellStyle name="20% - Accent5 50 2" xfId="1205" xr:uid="{00000000-0005-0000-0000-0000ED010000}"/>
    <cellStyle name="20% - Accent5 51" xfId="1206" xr:uid="{00000000-0005-0000-0000-0000EE010000}"/>
    <cellStyle name="20% - Accent5 51 2" xfId="1207" xr:uid="{00000000-0005-0000-0000-0000EF010000}"/>
    <cellStyle name="20% - Accent5 52" xfId="1208" xr:uid="{00000000-0005-0000-0000-0000F0010000}"/>
    <cellStyle name="20% - Accent5 6" xfId="129" xr:uid="{00000000-0005-0000-0000-0000F1010000}"/>
    <cellStyle name="20% - Accent5 6 2" xfId="1209" xr:uid="{00000000-0005-0000-0000-0000F2010000}"/>
    <cellStyle name="20% - Accent5 7" xfId="130" xr:uid="{00000000-0005-0000-0000-0000F3010000}"/>
    <cellStyle name="20% - Accent5 7 2" xfId="1210" xr:uid="{00000000-0005-0000-0000-0000F4010000}"/>
    <cellStyle name="20% - Accent5 8" xfId="131" xr:uid="{00000000-0005-0000-0000-0000F5010000}"/>
    <cellStyle name="20% - Accent5 8 2" xfId="1211" xr:uid="{00000000-0005-0000-0000-0000F6010000}"/>
    <cellStyle name="20% - Accent5 9" xfId="132" xr:uid="{00000000-0005-0000-0000-0000F7010000}"/>
    <cellStyle name="20% - Accent5 9 2" xfId="1212" xr:uid="{00000000-0005-0000-0000-0000F8010000}"/>
    <cellStyle name="20% - Accent6" xfId="39" builtinId="50" customBuiltin="1"/>
    <cellStyle name="20% - Accent6 10" xfId="133" xr:uid="{00000000-0005-0000-0000-0000FA010000}"/>
    <cellStyle name="20% - Accent6 10 2" xfId="1213" xr:uid="{00000000-0005-0000-0000-0000FB010000}"/>
    <cellStyle name="20% - Accent6 11" xfId="134" xr:uid="{00000000-0005-0000-0000-0000FC010000}"/>
    <cellStyle name="20% - Accent6 11 2" xfId="1214" xr:uid="{00000000-0005-0000-0000-0000FD010000}"/>
    <cellStyle name="20% - Accent6 12" xfId="135" xr:uid="{00000000-0005-0000-0000-0000FE010000}"/>
    <cellStyle name="20% - Accent6 12 2" xfId="1215" xr:uid="{00000000-0005-0000-0000-0000FF010000}"/>
    <cellStyle name="20% - Accent6 13" xfId="136" xr:uid="{00000000-0005-0000-0000-000000020000}"/>
    <cellStyle name="20% - Accent6 13 2" xfId="1216" xr:uid="{00000000-0005-0000-0000-000001020000}"/>
    <cellStyle name="20% - Accent6 14" xfId="137" xr:uid="{00000000-0005-0000-0000-000002020000}"/>
    <cellStyle name="20% - Accent6 14 2" xfId="1217" xr:uid="{00000000-0005-0000-0000-000003020000}"/>
    <cellStyle name="20% - Accent6 15" xfId="138" xr:uid="{00000000-0005-0000-0000-000004020000}"/>
    <cellStyle name="20% - Accent6 15 2" xfId="1218" xr:uid="{00000000-0005-0000-0000-000005020000}"/>
    <cellStyle name="20% - Accent6 16" xfId="139" xr:uid="{00000000-0005-0000-0000-000006020000}"/>
    <cellStyle name="20% - Accent6 16 2" xfId="1219" xr:uid="{00000000-0005-0000-0000-000007020000}"/>
    <cellStyle name="20% - Accent6 17" xfId="140" xr:uid="{00000000-0005-0000-0000-000008020000}"/>
    <cellStyle name="20% - Accent6 17 2" xfId="1220" xr:uid="{00000000-0005-0000-0000-000009020000}"/>
    <cellStyle name="20% - Accent6 18" xfId="141" xr:uid="{00000000-0005-0000-0000-00000A020000}"/>
    <cellStyle name="20% - Accent6 18 2" xfId="1221" xr:uid="{00000000-0005-0000-0000-00000B020000}"/>
    <cellStyle name="20% - Accent6 19" xfId="142" xr:uid="{00000000-0005-0000-0000-00000C020000}"/>
    <cellStyle name="20% - Accent6 19 2" xfId="1222" xr:uid="{00000000-0005-0000-0000-00000D020000}"/>
    <cellStyle name="20% - Accent6 2" xfId="143" xr:uid="{00000000-0005-0000-0000-00000E020000}"/>
    <cellStyle name="20% - Accent6 20" xfId="1223" xr:uid="{00000000-0005-0000-0000-00000F020000}"/>
    <cellStyle name="20% - Accent6 20 2" xfId="1224" xr:uid="{00000000-0005-0000-0000-000010020000}"/>
    <cellStyle name="20% - Accent6 21" xfId="1225" xr:uid="{00000000-0005-0000-0000-000011020000}"/>
    <cellStyle name="20% - Accent6 21 2" xfId="1226" xr:uid="{00000000-0005-0000-0000-000012020000}"/>
    <cellStyle name="20% - Accent6 22" xfId="1227" xr:uid="{00000000-0005-0000-0000-000013020000}"/>
    <cellStyle name="20% - Accent6 22 2" xfId="1228" xr:uid="{00000000-0005-0000-0000-000014020000}"/>
    <cellStyle name="20% - Accent6 23" xfId="1229" xr:uid="{00000000-0005-0000-0000-000015020000}"/>
    <cellStyle name="20% - Accent6 23 2" xfId="1230" xr:uid="{00000000-0005-0000-0000-000016020000}"/>
    <cellStyle name="20% - Accent6 24" xfId="1231" xr:uid="{00000000-0005-0000-0000-000017020000}"/>
    <cellStyle name="20% - Accent6 24 2" xfId="1232" xr:uid="{00000000-0005-0000-0000-000018020000}"/>
    <cellStyle name="20% - Accent6 25" xfId="1233" xr:uid="{00000000-0005-0000-0000-000019020000}"/>
    <cellStyle name="20% - Accent6 25 2" xfId="1234" xr:uid="{00000000-0005-0000-0000-00001A020000}"/>
    <cellStyle name="20% - Accent6 26" xfId="1235" xr:uid="{00000000-0005-0000-0000-00001B020000}"/>
    <cellStyle name="20% - Accent6 26 2" xfId="1236" xr:uid="{00000000-0005-0000-0000-00001C020000}"/>
    <cellStyle name="20% - Accent6 27" xfId="1237" xr:uid="{00000000-0005-0000-0000-00001D020000}"/>
    <cellStyle name="20% - Accent6 27 2" xfId="1238" xr:uid="{00000000-0005-0000-0000-00001E020000}"/>
    <cellStyle name="20% - Accent6 28" xfId="1239" xr:uid="{00000000-0005-0000-0000-00001F020000}"/>
    <cellStyle name="20% - Accent6 28 2" xfId="1240" xr:uid="{00000000-0005-0000-0000-000020020000}"/>
    <cellStyle name="20% - Accent6 29" xfId="1241" xr:uid="{00000000-0005-0000-0000-000021020000}"/>
    <cellStyle name="20% - Accent6 29 2" xfId="1242" xr:uid="{00000000-0005-0000-0000-000022020000}"/>
    <cellStyle name="20% - Accent6 3" xfId="144" xr:uid="{00000000-0005-0000-0000-000023020000}"/>
    <cellStyle name="20% - Accent6 3 2" xfId="1243" xr:uid="{00000000-0005-0000-0000-000024020000}"/>
    <cellStyle name="20% - Accent6 30" xfId="1244" xr:uid="{00000000-0005-0000-0000-000025020000}"/>
    <cellStyle name="20% - Accent6 30 2" xfId="1245" xr:uid="{00000000-0005-0000-0000-000026020000}"/>
    <cellStyle name="20% - Accent6 31" xfId="1246" xr:uid="{00000000-0005-0000-0000-000027020000}"/>
    <cellStyle name="20% - Accent6 31 2" xfId="1247" xr:uid="{00000000-0005-0000-0000-000028020000}"/>
    <cellStyle name="20% - Accent6 32" xfId="1248" xr:uid="{00000000-0005-0000-0000-000029020000}"/>
    <cellStyle name="20% - Accent6 32 2" xfId="1249" xr:uid="{00000000-0005-0000-0000-00002A020000}"/>
    <cellStyle name="20% - Accent6 33" xfId="1250" xr:uid="{00000000-0005-0000-0000-00002B020000}"/>
    <cellStyle name="20% - Accent6 33 2" xfId="1251" xr:uid="{00000000-0005-0000-0000-00002C020000}"/>
    <cellStyle name="20% - Accent6 34" xfId="1252" xr:uid="{00000000-0005-0000-0000-00002D020000}"/>
    <cellStyle name="20% - Accent6 34 2" xfId="1253" xr:uid="{00000000-0005-0000-0000-00002E020000}"/>
    <cellStyle name="20% - Accent6 35" xfId="1254" xr:uid="{00000000-0005-0000-0000-00002F020000}"/>
    <cellStyle name="20% - Accent6 35 2" xfId="1255" xr:uid="{00000000-0005-0000-0000-000030020000}"/>
    <cellStyle name="20% - Accent6 36" xfId="1256" xr:uid="{00000000-0005-0000-0000-000031020000}"/>
    <cellStyle name="20% - Accent6 36 2" xfId="1257" xr:uid="{00000000-0005-0000-0000-000032020000}"/>
    <cellStyle name="20% - Accent6 37" xfId="1258" xr:uid="{00000000-0005-0000-0000-000033020000}"/>
    <cellStyle name="20% - Accent6 37 2" xfId="1259" xr:uid="{00000000-0005-0000-0000-000034020000}"/>
    <cellStyle name="20% - Accent6 38" xfId="1260" xr:uid="{00000000-0005-0000-0000-000035020000}"/>
    <cellStyle name="20% - Accent6 38 2" xfId="1261" xr:uid="{00000000-0005-0000-0000-000036020000}"/>
    <cellStyle name="20% - Accent6 39" xfId="1262" xr:uid="{00000000-0005-0000-0000-000037020000}"/>
    <cellStyle name="20% - Accent6 39 2" xfId="1263" xr:uid="{00000000-0005-0000-0000-000038020000}"/>
    <cellStyle name="20% - Accent6 4" xfId="145" xr:uid="{00000000-0005-0000-0000-000039020000}"/>
    <cellStyle name="20% - Accent6 4 2" xfId="1264" xr:uid="{00000000-0005-0000-0000-00003A020000}"/>
    <cellStyle name="20% - Accent6 40" xfId="1265" xr:uid="{00000000-0005-0000-0000-00003B020000}"/>
    <cellStyle name="20% - Accent6 40 2" xfId="1266" xr:uid="{00000000-0005-0000-0000-00003C020000}"/>
    <cellStyle name="20% - Accent6 41" xfId="1267" xr:uid="{00000000-0005-0000-0000-00003D020000}"/>
    <cellStyle name="20% - Accent6 41 2" xfId="1268" xr:uid="{00000000-0005-0000-0000-00003E020000}"/>
    <cellStyle name="20% - Accent6 42" xfId="1269" xr:uid="{00000000-0005-0000-0000-00003F020000}"/>
    <cellStyle name="20% - Accent6 42 2" xfId="1270" xr:uid="{00000000-0005-0000-0000-000040020000}"/>
    <cellStyle name="20% - Accent6 43" xfId="1271" xr:uid="{00000000-0005-0000-0000-000041020000}"/>
    <cellStyle name="20% - Accent6 43 2" xfId="1272" xr:uid="{00000000-0005-0000-0000-000042020000}"/>
    <cellStyle name="20% - Accent6 44" xfId="1273" xr:uid="{00000000-0005-0000-0000-000043020000}"/>
    <cellStyle name="20% - Accent6 44 2" xfId="1274" xr:uid="{00000000-0005-0000-0000-000044020000}"/>
    <cellStyle name="20% - Accent6 45" xfId="1275" xr:uid="{00000000-0005-0000-0000-000045020000}"/>
    <cellStyle name="20% - Accent6 45 2" xfId="1276" xr:uid="{00000000-0005-0000-0000-000046020000}"/>
    <cellStyle name="20% - Accent6 46" xfId="1277" xr:uid="{00000000-0005-0000-0000-000047020000}"/>
    <cellStyle name="20% - Accent6 46 2" xfId="1278" xr:uid="{00000000-0005-0000-0000-000048020000}"/>
    <cellStyle name="20% - Accent6 47" xfId="1279" xr:uid="{00000000-0005-0000-0000-000049020000}"/>
    <cellStyle name="20% - Accent6 47 2" xfId="1280" xr:uid="{00000000-0005-0000-0000-00004A020000}"/>
    <cellStyle name="20% - Accent6 48" xfId="1281" xr:uid="{00000000-0005-0000-0000-00004B020000}"/>
    <cellStyle name="20% - Accent6 48 2" xfId="1282" xr:uid="{00000000-0005-0000-0000-00004C020000}"/>
    <cellStyle name="20% - Accent6 49" xfId="1283" xr:uid="{00000000-0005-0000-0000-00004D020000}"/>
    <cellStyle name="20% - Accent6 49 2" xfId="1284" xr:uid="{00000000-0005-0000-0000-00004E020000}"/>
    <cellStyle name="20% - Accent6 5" xfId="146" xr:uid="{00000000-0005-0000-0000-00004F020000}"/>
    <cellStyle name="20% - Accent6 5 2" xfId="1285" xr:uid="{00000000-0005-0000-0000-000050020000}"/>
    <cellStyle name="20% - Accent6 50" xfId="1286" xr:uid="{00000000-0005-0000-0000-000051020000}"/>
    <cellStyle name="20% - Accent6 50 2" xfId="1287" xr:uid="{00000000-0005-0000-0000-000052020000}"/>
    <cellStyle name="20% - Accent6 51" xfId="1288" xr:uid="{00000000-0005-0000-0000-000053020000}"/>
    <cellStyle name="20% - Accent6 51 2" xfId="1289" xr:uid="{00000000-0005-0000-0000-000054020000}"/>
    <cellStyle name="20% - Accent6 52" xfId="1290" xr:uid="{00000000-0005-0000-0000-000055020000}"/>
    <cellStyle name="20% - Accent6 6" xfId="147" xr:uid="{00000000-0005-0000-0000-000056020000}"/>
    <cellStyle name="20% - Accent6 6 2" xfId="1291" xr:uid="{00000000-0005-0000-0000-000057020000}"/>
    <cellStyle name="20% - Accent6 7" xfId="148" xr:uid="{00000000-0005-0000-0000-000058020000}"/>
    <cellStyle name="20% - Accent6 7 2" xfId="1292" xr:uid="{00000000-0005-0000-0000-000059020000}"/>
    <cellStyle name="20% - Accent6 8" xfId="149" xr:uid="{00000000-0005-0000-0000-00005A020000}"/>
    <cellStyle name="20% - Accent6 8 2" xfId="1293" xr:uid="{00000000-0005-0000-0000-00005B020000}"/>
    <cellStyle name="20% - Accent6 9" xfId="150" xr:uid="{00000000-0005-0000-0000-00005C020000}"/>
    <cellStyle name="20% - Accent6 9 2" xfId="1294" xr:uid="{00000000-0005-0000-0000-00005D020000}"/>
    <cellStyle name="40% - Accent1" xfId="20" builtinId="31" customBuiltin="1"/>
    <cellStyle name="40% - Accent1 10" xfId="151" xr:uid="{00000000-0005-0000-0000-00005F020000}"/>
    <cellStyle name="40% - Accent1 10 2" xfId="1295" xr:uid="{00000000-0005-0000-0000-000060020000}"/>
    <cellStyle name="40% - Accent1 11" xfId="152" xr:uid="{00000000-0005-0000-0000-000061020000}"/>
    <cellStyle name="40% - Accent1 11 2" xfId="1296" xr:uid="{00000000-0005-0000-0000-000062020000}"/>
    <cellStyle name="40% - Accent1 12" xfId="153" xr:uid="{00000000-0005-0000-0000-000063020000}"/>
    <cellStyle name="40% - Accent1 12 2" xfId="1297" xr:uid="{00000000-0005-0000-0000-000064020000}"/>
    <cellStyle name="40% - Accent1 13" xfId="154" xr:uid="{00000000-0005-0000-0000-000065020000}"/>
    <cellStyle name="40% - Accent1 13 2" xfId="1298" xr:uid="{00000000-0005-0000-0000-000066020000}"/>
    <cellStyle name="40% - Accent1 14" xfId="155" xr:uid="{00000000-0005-0000-0000-000067020000}"/>
    <cellStyle name="40% - Accent1 14 2" xfId="1299" xr:uid="{00000000-0005-0000-0000-000068020000}"/>
    <cellStyle name="40% - Accent1 15" xfId="156" xr:uid="{00000000-0005-0000-0000-000069020000}"/>
    <cellStyle name="40% - Accent1 15 2" xfId="1300" xr:uid="{00000000-0005-0000-0000-00006A020000}"/>
    <cellStyle name="40% - Accent1 16" xfId="157" xr:uid="{00000000-0005-0000-0000-00006B020000}"/>
    <cellStyle name="40% - Accent1 16 2" xfId="1301" xr:uid="{00000000-0005-0000-0000-00006C020000}"/>
    <cellStyle name="40% - Accent1 17" xfId="158" xr:uid="{00000000-0005-0000-0000-00006D020000}"/>
    <cellStyle name="40% - Accent1 17 2" xfId="1302" xr:uid="{00000000-0005-0000-0000-00006E020000}"/>
    <cellStyle name="40% - Accent1 18" xfId="159" xr:uid="{00000000-0005-0000-0000-00006F020000}"/>
    <cellStyle name="40% - Accent1 18 2" xfId="1303" xr:uid="{00000000-0005-0000-0000-000070020000}"/>
    <cellStyle name="40% - Accent1 19" xfId="160" xr:uid="{00000000-0005-0000-0000-000071020000}"/>
    <cellStyle name="40% - Accent1 19 2" xfId="1304" xr:uid="{00000000-0005-0000-0000-000072020000}"/>
    <cellStyle name="40% - Accent1 2" xfId="161" xr:uid="{00000000-0005-0000-0000-000073020000}"/>
    <cellStyle name="40% - Accent1 20" xfId="1305" xr:uid="{00000000-0005-0000-0000-000074020000}"/>
    <cellStyle name="40% - Accent1 20 2" xfId="1306" xr:uid="{00000000-0005-0000-0000-000075020000}"/>
    <cellStyle name="40% - Accent1 21" xfId="1307" xr:uid="{00000000-0005-0000-0000-000076020000}"/>
    <cellStyle name="40% - Accent1 21 2" xfId="1308" xr:uid="{00000000-0005-0000-0000-000077020000}"/>
    <cellStyle name="40% - Accent1 22" xfId="1309" xr:uid="{00000000-0005-0000-0000-000078020000}"/>
    <cellStyle name="40% - Accent1 22 2" xfId="1310" xr:uid="{00000000-0005-0000-0000-000079020000}"/>
    <cellStyle name="40% - Accent1 23" xfId="1311" xr:uid="{00000000-0005-0000-0000-00007A020000}"/>
    <cellStyle name="40% - Accent1 23 2" xfId="1312" xr:uid="{00000000-0005-0000-0000-00007B020000}"/>
    <cellStyle name="40% - Accent1 24" xfId="1313" xr:uid="{00000000-0005-0000-0000-00007C020000}"/>
    <cellStyle name="40% - Accent1 24 2" xfId="1314" xr:uid="{00000000-0005-0000-0000-00007D020000}"/>
    <cellStyle name="40% - Accent1 25" xfId="1315" xr:uid="{00000000-0005-0000-0000-00007E020000}"/>
    <cellStyle name="40% - Accent1 25 2" xfId="1316" xr:uid="{00000000-0005-0000-0000-00007F020000}"/>
    <cellStyle name="40% - Accent1 26" xfId="1317" xr:uid="{00000000-0005-0000-0000-000080020000}"/>
    <cellStyle name="40% - Accent1 26 2" xfId="1318" xr:uid="{00000000-0005-0000-0000-000081020000}"/>
    <cellStyle name="40% - Accent1 27" xfId="1319" xr:uid="{00000000-0005-0000-0000-000082020000}"/>
    <cellStyle name="40% - Accent1 27 2" xfId="1320" xr:uid="{00000000-0005-0000-0000-000083020000}"/>
    <cellStyle name="40% - Accent1 28" xfId="1321" xr:uid="{00000000-0005-0000-0000-000084020000}"/>
    <cellStyle name="40% - Accent1 28 2" xfId="1322" xr:uid="{00000000-0005-0000-0000-000085020000}"/>
    <cellStyle name="40% - Accent1 29" xfId="1323" xr:uid="{00000000-0005-0000-0000-000086020000}"/>
    <cellStyle name="40% - Accent1 29 2" xfId="1324" xr:uid="{00000000-0005-0000-0000-000087020000}"/>
    <cellStyle name="40% - Accent1 3" xfId="162" xr:uid="{00000000-0005-0000-0000-000088020000}"/>
    <cellStyle name="40% - Accent1 3 2" xfId="1325" xr:uid="{00000000-0005-0000-0000-000089020000}"/>
    <cellStyle name="40% - Accent1 30" xfId="1326" xr:uid="{00000000-0005-0000-0000-00008A020000}"/>
    <cellStyle name="40% - Accent1 30 2" xfId="1327" xr:uid="{00000000-0005-0000-0000-00008B020000}"/>
    <cellStyle name="40% - Accent1 31" xfId="1328" xr:uid="{00000000-0005-0000-0000-00008C020000}"/>
    <cellStyle name="40% - Accent1 31 2" xfId="1329" xr:uid="{00000000-0005-0000-0000-00008D020000}"/>
    <cellStyle name="40% - Accent1 32" xfId="1330" xr:uid="{00000000-0005-0000-0000-00008E020000}"/>
    <cellStyle name="40% - Accent1 32 2" xfId="1331" xr:uid="{00000000-0005-0000-0000-00008F020000}"/>
    <cellStyle name="40% - Accent1 33" xfId="1332" xr:uid="{00000000-0005-0000-0000-000090020000}"/>
    <cellStyle name="40% - Accent1 33 2" xfId="1333" xr:uid="{00000000-0005-0000-0000-000091020000}"/>
    <cellStyle name="40% - Accent1 34" xfId="1334" xr:uid="{00000000-0005-0000-0000-000092020000}"/>
    <cellStyle name="40% - Accent1 34 2" xfId="1335" xr:uid="{00000000-0005-0000-0000-000093020000}"/>
    <cellStyle name="40% - Accent1 35" xfId="1336" xr:uid="{00000000-0005-0000-0000-000094020000}"/>
    <cellStyle name="40% - Accent1 35 2" xfId="1337" xr:uid="{00000000-0005-0000-0000-000095020000}"/>
    <cellStyle name="40% - Accent1 36" xfId="1338" xr:uid="{00000000-0005-0000-0000-000096020000}"/>
    <cellStyle name="40% - Accent1 36 2" xfId="1339" xr:uid="{00000000-0005-0000-0000-000097020000}"/>
    <cellStyle name="40% - Accent1 37" xfId="1340" xr:uid="{00000000-0005-0000-0000-000098020000}"/>
    <cellStyle name="40% - Accent1 37 2" xfId="1341" xr:uid="{00000000-0005-0000-0000-000099020000}"/>
    <cellStyle name="40% - Accent1 38" xfId="1342" xr:uid="{00000000-0005-0000-0000-00009A020000}"/>
    <cellStyle name="40% - Accent1 38 2" xfId="1343" xr:uid="{00000000-0005-0000-0000-00009B020000}"/>
    <cellStyle name="40% - Accent1 39" xfId="1344" xr:uid="{00000000-0005-0000-0000-00009C020000}"/>
    <cellStyle name="40% - Accent1 39 2" xfId="1345" xr:uid="{00000000-0005-0000-0000-00009D020000}"/>
    <cellStyle name="40% - Accent1 4" xfId="163" xr:uid="{00000000-0005-0000-0000-00009E020000}"/>
    <cellStyle name="40% - Accent1 4 2" xfId="1346" xr:uid="{00000000-0005-0000-0000-00009F020000}"/>
    <cellStyle name="40% - Accent1 40" xfId="1347" xr:uid="{00000000-0005-0000-0000-0000A0020000}"/>
    <cellStyle name="40% - Accent1 40 2" xfId="1348" xr:uid="{00000000-0005-0000-0000-0000A1020000}"/>
    <cellStyle name="40% - Accent1 41" xfId="1349" xr:uid="{00000000-0005-0000-0000-0000A2020000}"/>
    <cellStyle name="40% - Accent1 41 2" xfId="1350" xr:uid="{00000000-0005-0000-0000-0000A3020000}"/>
    <cellStyle name="40% - Accent1 42" xfId="1351" xr:uid="{00000000-0005-0000-0000-0000A4020000}"/>
    <cellStyle name="40% - Accent1 42 2" xfId="1352" xr:uid="{00000000-0005-0000-0000-0000A5020000}"/>
    <cellStyle name="40% - Accent1 43" xfId="1353" xr:uid="{00000000-0005-0000-0000-0000A6020000}"/>
    <cellStyle name="40% - Accent1 43 2" xfId="1354" xr:uid="{00000000-0005-0000-0000-0000A7020000}"/>
    <cellStyle name="40% - Accent1 44" xfId="1355" xr:uid="{00000000-0005-0000-0000-0000A8020000}"/>
    <cellStyle name="40% - Accent1 44 2" xfId="1356" xr:uid="{00000000-0005-0000-0000-0000A9020000}"/>
    <cellStyle name="40% - Accent1 45" xfId="1357" xr:uid="{00000000-0005-0000-0000-0000AA020000}"/>
    <cellStyle name="40% - Accent1 45 2" xfId="1358" xr:uid="{00000000-0005-0000-0000-0000AB020000}"/>
    <cellStyle name="40% - Accent1 46" xfId="1359" xr:uid="{00000000-0005-0000-0000-0000AC020000}"/>
    <cellStyle name="40% - Accent1 46 2" xfId="1360" xr:uid="{00000000-0005-0000-0000-0000AD020000}"/>
    <cellStyle name="40% - Accent1 47" xfId="1361" xr:uid="{00000000-0005-0000-0000-0000AE020000}"/>
    <cellStyle name="40% - Accent1 47 2" xfId="1362" xr:uid="{00000000-0005-0000-0000-0000AF020000}"/>
    <cellStyle name="40% - Accent1 48" xfId="1363" xr:uid="{00000000-0005-0000-0000-0000B0020000}"/>
    <cellStyle name="40% - Accent1 48 2" xfId="1364" xr:uid="{00000000-0005-0000-0000-0000B1020000}"/>
    <cellStyle name="40% - Accent1 49" xfId="1365" xr:uid="{00000000-0005-0000-0000-0000B2020000}"/>
    <cellStyle name="40% - Accent1 49 2" xfId="1366" xr:uid="{00000000-0005-0000-0000-0000B3020000}"/>
    <cellStyle name="40% - Accent1 5" xfId="164" xr:uid="{00000000-0005-0000-0000-0000B4020000}"/>
    <cellStyle name="40% - Accent1 5 2" xfId="1367" xr:uid="{00000000-0005-0000-0000-0000B5020000}"/>
    <cellStyle name="40% - Accent1 50" xfId="1368" xr:uid="{00000000-0005-0000-0000-0000B6020000}"/>
    <cellStyle name="40% - Accent1 50 2" xfId="1369" xr:uid="{00000000-0005-0000-0000-0000B7020000}"/>
    <cellStyle name="40% - Accent1 51" xfId="1370" xr:uid="{00000000-0005-0000-0000-0000B8020000}"/>
    <cellStyle name="40% - Accent1 51 2" xfId="1371" xr:uid="{00000000-0005-0000-0000-0000B9020000}"/>
    <cellStyle name="40% - Accent1 52" xfId="1372" xr:uid="{00000000-0005-0000-0000-0000BA020000}"/>
    <cellStyle name="40% - Accent1 6" xfId="165" xr:uid="{00000000-0005-0000-0000-0000BB020000}"/>
    <cellStyle name="40% - Accent1 6 2" xfId="1373" xr:uid="{00000000-0005-0000-0000-0000BC020000}"/>
    <cellStyle name="40% - Accent1 7" xfId="166" xr:uid="{00000000-0005-0000-0000-0000BD020000}"/>
    <cellStyle name="40% - Accent1 7 2" xfId="1374" xr:uid="{00000000-0005-0000-0000-0000BE020000}"/>
    <cellStyle name="40% - Accent1 8" xfId="167" xr:uid="{00000000-0005-0000-0000-0000BF020000}"/>
    <cellStyle name="40% - Accent1 8 2" xfId="1375" xr:uid="{00000000-0005-0000-0000-0000C0020000}"/>
    <cellStyle name="40% - Accent1 9" xfId="168" xr:uid="{00000000-0005-0000-0000-0000C1020000}"/>
    <cellStyle name="40% - Accent1 9 2" xfId="1376" xr:uid="{00000000-0005-0000-0000-0000C2020000}"/>
    <cellStyle name="40% - Accent2" xfId="24" builtinId="35" customBuiltin="1"/>
    <cellStyle name="40% - Accent2 10" xfId="169" xr:uid="{00000000-0005-0000-0000-0000C4020000}"/>
    <cellStyle name="40% - Accent2 10 2" xfId="1377" xr:uid="{00000000-0005-0000-0000-0000C5020000}"/>
    <cellStyle name="40% - Accent2 11" xfId="170" xr:uid="{00000000-0005-0000-0000-0000C6020000}"/>
    <cellStyle name="40% - Accent2 11 2" xfId="1378" xr:uid="{00000000-0005-0000-0000-0000C7020000}"/>
    <cellStyle name="40% - Accent2 12" xfId="171" xr:uid="{00000000-0005-0000-0000-0000C8020000}"/>
    <cellStyle name="40% - Accent2 12 2" xfId="1379" xr:uid="{00000000-0005-0000-0000-0000C9020000}"/>
    <cellStyle name="40% - Accent2 13" xfId="172" xr:uid="{00000000-0005-0000-0000-0000CA020000}"/>
    <cellStyle name="40% - Accent2 13 2" xfId="1380" xr:uid="{00000000-0005-0000-0000-0000CB020000}"/>
    <cellStyle name="40% - Accent2 14" xfId="173" xr:uid="{00000000-0005-0000-0000-0000CC020000}"/>
    <cellStyle name="40% - Accent2 14 2" xfId="1381" xr:uid="{00000000-0005-0000-0000-0000CD020000}"/>
    <cellStyle name="40% - Accent2 15" xfId="174" xr:uid="{00000000-0005-0000-0000-0000CE020000}"/>
    <cellStyle name="40% - Accent2 15 2" xfId="1382" xr:uid="{00000000-0005-0000-0000-0000CF020000}"/>
    <cellStyle name="40% - Accent2 16" xfId="175" xr:uid="{00000000-0005-0000-0000-0000D0020000}"/>
    <cellStyle name="40% - Accent2 16 2" xfId="1383" xr:uid="{00000000-0005-0000-0000-0000D1020000}"/>
    <cellStyle name="40% - Accent2 17" xfId="176" xr:uid="{00000000-0005-0000-0000-0000D2020000}"/>
    <cellStyle name="40% - Accent2 17 2" xfId="1384" xr:uid="{00000000-0005-0000-0000-0000D3020000}"/>
    <cellStyle name="40% - Accent2 18" xfId="177" xr:uid="{00000000-0005-0000-0000-0000D4020000}"/>
    <cellStyle name="40% - Accent2 18 2" xfId="1385" xr:uid="{00000000-0005-0000-0000-0000D5020000}"/>
    <cellStyle name="40% - Accent2 19" xfId="178" xr:uid="{00000000-0005-0000-0000-0000D6020000}"/>
    <cellStyle name="40% - Accent2 19 2" xfId="1386" xr:uid="{00000000-0005-0000-0000-0000D7020000}"/>
    <cellStyle name="40% - Accent2 2" xfId="179" xr:uid="{00000000-0005-0000-0000-0000D8020000}"/>
    <cellStyle name="40% - Accent2 20" xfId="1387" xr:uid="{00000000-0005-0000-0000-0000D9020000}"/>
    <cellStyle name="40% - Accent2 20 2" xfId="1388" xr:uid="{00000000-0005-0000-0000-0000DA020000}"/>
    <cellStyle name="40% - Accent2 21" xfId="1389" xr:uid="{00000000-0005-0000-0000-0000DB020000}"/>
    <cellStyle name="40% - Accent2 21 2" xfId="1390" xr:uid="{00000000-0005-0000-0000-0000DC020000}"/>
    <cellStyle name="40% - Accent2 22" xfId="1391" xr:uid="{00000000-0005-0000-0000-0000DD020000}"/>
    <cellStyle name="40% - Accent2 22 2" xfId="1392" xr:uid="{00000000-0005-0000-0000-0000DE020000}"/>
    <cellStyle name="40% - Accent2 23" xfId="1393" xr:uid="{00000000-0005-0000-0000-0000DF020000}"/>
    <cellStyle name="40% - Accent2 23 2" xfId="1394" xr:uid="{00000000-0005-0000-0000-0000E0020000}"/>
    <cellStyle name="40% - Accent2 24" xfId="1395" xr:uid="{00000000-0005-0000-0000-0000E1020000}"/>
    <cellStyle name="40% - Accent2 24 2" xfId="1396" xr:uid="{00000000-0005-0000-0000-0000E2020000}"/>
    <cellStyle name="40% - Accent2 25" xfId="1397" xr:uid="{00000000-0005-0000-0000-0000E3020000}"/>
    <cellStyle name="40% - Accent2 25 2" xfId="1398" xr:uid="{00000000-0005-0000-0000-0000E4020000}"/>
    <cellStyle name="40% - Accent2 26" xfId="1399" xr:uid="{00000000-0005-0000-0000-0000E5020000}"/>
    <cellStyle name="40% - Accent2 26 2" xfId="1400" xr:uid="{00000000-0005-0000-0000-0000E6020000}"/>
    <cellStyle name="40% - Accent2 27" xfId="1401" xr:uid="{00000000-0005-0000-0000-0000E7020000}"/>
    <cellStyle name="40% - Accent2 27 2" xfId="1402" xr:uid="{00000000-0005-0000-0000-0000E8020000}"/>
    <cellStyle name="40% - Accent2 28" xfId="1403" xr:uid="{00000000-0005-0000-0000-0000E9020000}"/>
    <cellStyle name="40% - Accent2 28 2" xfId="1404" xr:uid="{00000000-0005-0000-0000-0000EA020000}"/>
    <cellStyle name="40% - Accent2 29" xfId="1405" xr:uid="{00000000-0005-0000-0000-0000EB020000}"/>
    <cellStyle name="40% - Accent2 29 2" xfId="1406" xr:uid="{00000000-0005-0000-0000-0000EC020000}"/>
    <cellStyle name="40% - Accent2 3" xfId="180" xr:uid="{00000000-0005-0000-0000-0000ED020000}"/>
    <cellStyle name="40% - Accent2 3 2" xfId="1407" xr:uid="{00000000-0005-0000-0000-0000EE020000}"/>
    <cellStyle name="40% - Accent2 30" xfId="1408" xr:uid="{00000000-0005-0000-0000-0000EF020000}"/>
    <cellStyle name="40% - Accent2 30 2" xfId="1409" xr:uid="{00000000-0005-0000-0000-0000F0020000}"/>
    <cellStyle name="40% - Accent2 31" xfId="1410" xr:uid="{00000000-0005-0000-0000-0000F1020000}"/>
    <cellStyle name="40% - Accent2 31 2" xfId="1411" xr:uid="{00000000-0005-0000-0000-0000F2020000}"/>
    <cellStyle name="40% - Accent2 32" xfId="1412" xr:uid="{00000000-0005-0000-0000-0000F3020000}"/>
    <cellStyle name="40% - Accent2 32 2" xfId="1413" xr:uid="{00000000-0005-0000-0000-0000F4020000}"/>
    <cellStyle name="40% - Accent2 33" xfId="1414" xr:uid="{00000000-0005-0000-0000-0000F5020000}"/>
    <cellStyle name="40% - Accent2 33 2" xfId="1415" xr:uid="{00000000-0005-0000-0000-0000F6020000}"/>
    <cellStyle name="40% - Accent2 34" xfId="1416" xr:uid="{00000000-0005-0000-0000-0000F7020000}"/>
    <cellStyle name="40% - Accent2 34 2" xfId="1417" xr:uid="{00000000-0005-0000-0000-0000F8020000}"/>
    <cellStyle name="40% - Accent2 35" xfId="1418" xr:uid="{00000000-0005-0000-0000-0000F9020000}"/>
    <cellStyle name="40% - Accent2 35 2" xfId="1419" xr:uid="{00000000-0005-0000-0000-0000FA020000}"/>
    <cellStyle name="40% - Accent2 36" xfId="1420" xr:uid="{00000000-0005-0000-0000-0000FB020000}"/>
    <cellStyle name="40% - Accent2 36 2" xfId="1421" xr:uid="{00000000-0005-0000-0000-0000FC020000}"/>
    <cellStyle name="40% - Accent2 37" xfId="1422" xr:uid="{00000000-0005-0000-0000-0000FD020000}"/>
    <cellStyle name="40% - Accent2 37 2" xfId="1423" xr:uid="{00000000-0005-0000-0000-0000FE020000}"/>
    <cellStyle name="40% - Accent2 38" xfId="1424" xr:uid="{00000000-0005-0000-0000-0000FF020000}"/>
    <cellStyle name="40% - Accent2 38 2" xfId="1425" xr:uid="{00000000-0005-0000-0000-000000030000}"/>
    <cellStyle name="40% - Accent2 39" xfId="1426" xr:uid="{00000000-0005-0000-0000-000001030000}"/>
    <cellStyle name="40% - Accent2 39 2" xfId="1427" xr:uid="{00000000-0005-0000-0000-000002030000}"/>
    <cellStyle name="40% - Accent2 4" xfId="181" xr:uid="{00000000-0005-0000-0000-000003030000}"/>
    <cellStyle name="40% - Accent2 4 2" xfId="1428" xr:uid="{00000000-0005-0000-0000-000004030000}"/>
    <cellStyle name="40% - Accent2 40" xfId="1429" xr:uid="{00000000-0005-0000-0000-000005030000}"/>
    <cellStyle name="40% - Accent2 40 2" xfId="1430" xr:uid="{00000000-0005-0000-0000-000006030000}"/>
    <cellStyle name="40% - Accent2 41" xfId="1431" xr:uid="{00000000-0005-0000-0000-000007030000}"/>
    <cellStyle name="40% - Accent2 41 2" xfId="1432" xr:uid="{00000000-0005-0000-0000-000008030000}"/>
    <cellStyle name="40% - Accent2 42" xfId="1433" xr:uid="{00000000-0005-0000-0000-000009030000}"/>
    <cellStyle name="40% - Accent2 42 2" xfId="1434" xr:uid="{00000000-0005-0000-0000-00000A030000}"/>
    <cellStyle name="40% - Accent2 43" xfId="1435" xr:uid="{00000000-0005-0000-0000-00000B030000}"/>
    <cellStyle name="40% - Accent2 43 2" xfId="1436" xr:uid="{00000000-0005-0000-0000-00000C030000}"/>
    <cellStyle name="40% - Accent2 44" xfId="1437" xr:uid="{00000000-0005-0000-0000-00000D030000}"/>
    <cellStyle name="40% - Accent2 44 2" xfId="1438" xr:uid="{00000000-0005-0000-0000-00000E030000}"/>
    <cellStyle name="40% - Accent2 45" xfId="1439" xr:uid="{00000000-0005-0000-0000-00000F030000}"/>
    <cellStyle name="40% - Accent2 45 2" xfId="1440" xr:uid="{00000000-0005-0000-0000-000010030000}"/>
    <cellStyle name="40% - Accent2 46" xfId="1441" xr:uid="{00000000-0005-0000-0000-000011030000}"/>
    <cellStyle name="40% - Accent2 46 2" xfId="1442" xr:uid="{00000000-0005-0000-0000-000012030000}"/>
    <cellStyle name="40% - Accent2 47" xfId="1443" xr:uid="{00000000-0005-0000-0000-000013030000}"/>
    <cellStyle name="40% - Accent2 47 2" xfId="1444" xr:uid="{00000000-0005-0000-0000-000014030000}"/>
    <cellStyle name="40% - Accent2 48" xfId="1445" xr:uid="{00000000-0005-0000-0000-000015030000}"/>
    <cellStyle name="40% - Accent2 48 2" xfId="1446" xr:uid="{00000000-0005-0000-0000-000016030000}"/>
    <cellStyle name="40% - Accent2 49" xfId="1447" xr:uid="{00000000-0005-0000-0000-000017030000}"/>
    <cellStyle name="40% - Accent2 49 2" xfId="1448" xr:uid="{00000000-0005-0000-0000-000018030000}"/>
    <cellStyle name="40% - Accent2 5" xfId="182" xr:uid="{00000000-0005-0000-0000-000019030000}"/>
    <cellStyle name="40% - Accent2 5 2" xfId="1449" xr:uid="{00000000-0005-0000-0000-00001A030000}"/>
    <cellStyle name="40% - Accent2 50" xfId="1450" xr:uid="{00000000-0005-0000-0000-00001B030000}"/>
    <cellStyle name="40% - Accent2 50 2" xfId="1451" xr:uid="{00000000-0005-0000-0000-00001C030000}"/>
    <cellStyle name="40% - Accent2 51" xfId="1452" xr:uid="{00000000-0005-0000-0000-00001D030000}"/>
    <cellStyle name="40% - Accent2 51 2" xfId="1453" xr:uid="{00000000-0005-0000-0000-00001E030000}"/>
    <cellStyle name="40% - Accent2 52" xfId="1454" xr:uid="{00000000-0005-0000-0000-00001F030000}"/>
    <cellStyle name="40% - Accent2 6" xfId="183" xr:uid="{00000000-0005-0000-0000-000020030000}"/>
    <cellStyle name="40% - Accent2 6 2" xfId="1455" xr:uid="{00000000-0005-0000-0000-000021030000}"/>
    <cellStyle name="40% - Accent2 7" xfId="184" xr:uid="{00000000-0005-0000-0000-000022030000}"/>
    <cellStyle name="40% - Accent2 7 2" xfId="1456" xr:uid="{00000000-0005-0000-0000-000023030000}"/>
    <cellStyle name="40% - Accent2 8" xfId="185" xr:uid="{00000000-0005-0000-0000-000024030000}"/>
    <cellStyle name="40% - Accent2 8 2" xfId="1457" xr:uid="{00000000-0005-0000-0000-000025030000}"/>
    <cellStyle name="40% - Accent2 9" xfId="186" xr:uid="{00000000-0005-0000-0000-000026030000}"/>
    <cellStyle name="40% - Accent2 9 2" xfId="1458" xr:uid="{00000000-0005-0000-0000-000027030000}"/>
    <cellStyle name="40% - Accent3" xfId="28" builtinId="39" customBuiltin="1"/>
    <cellStyle name="40% - Accent3 10" xfId="187" xr:uid="{00000000-0005-0000-0000-000029030000}"/>
    <cellStyle name="40% - Accent3 10 2" xfId="1459" xr:uid="{00000000-0005-0000-0000-00002A030000}"/>
    <cellStyle name="40% - Accent3 11" xfId="188" xr:uid="{00000000-0005-0000-0000-00002B030000}"/>
    <cellStyle name="40% - Accent3 11 2" xfId="1460" xr:uid="{00000000-0005-0000-0000-00002C030000}"/>
    <cellStyle name="40% - Accent3 12" xfId="189" xr:uid="{00000000-0005-0000-0000-00002D030000}"/>
    <cellStyle name="40% - Accent3 12 2" xfId="1461" xr:uid="{00000000-0005-0000-0000-00002E030000}"/>
    <cellStyle name="40% - Accent3 13" xfId="190" xr:uid="{00000000-0005-0000-0000-00002F030000}"/>
    <cellStyle name="40% - Accent3 13 2" xfId="1462" xr:uid="{00000000-0005-0000-0000-000030030000}"/>
    <cellStyle name="40% - Accent3 14" xfId="191" xr:uid="{00000000-0005-0000-0000-000031030000}"/>
    <cellStyle name="40% - Accent3 14 2" xfId="1463" xr:uid="{00000000-0005-0000-0000-000032030000}"/>
    <cellStyle name="40% - Accent3 15" xfId="192" xr:uid="{00000000-0005-0000-0000-000033030000}"/>
    <cellStyle name="40% - Accent3 15 2" xfId="1464" xr:uid="{00000000-0005-0000-0000-000034030000}"/>
    <cellStyle name="40% - Accent3 16" xfId="193" xr:uid="{00000000-0005-0000-0000-000035030000}"/>
    <cellStyle name="40% - Accent3 16 2" xfId="1465" xr:uid="{00000000-0005-0000-0000-000036030000}"/>
    <cellStyle name="40% - Accent3 17" xfId="194" xr:uid="{00000000-0005-0000-0000-000037030000}"/>
    <cellStyle name="40% - Accent3 17 2" xfId="1466" xr:uid="{00000000-0005-0000-0000-000038030000}"/>
    <cellStyle name="40% - Accent3 18" xfId="195" xr:uid="{00000000-0005-0000-0000-000039030000}"/>
    <cellStyle name="40% - Accent3 18 2" xfId="1467" xr:uid="{00000000-0005-0000-0000-00003A030000}"/>
    <cellStyle name="40% - Accent3 19" xfId="196" xr:uid="{00000000-0005-0000-0000-00003B030000}"/>
    <cellStyle name="40% - Accent3 19 2" xfId="1468" xr:uid="{00000000-0005-0000-0000-00003C030000}"/>
    <cellStyle name="40% - Accent3 2" xfId="197" xr:uid="{00000000-0005-0000-0000-00003D030000}"/>
    <cellStyle name="40% - Accent3 20" xfId="1469" xr:uid="{00000000-0005-0000-0000-00003E030000}"/>
    <cellStyle name="40% - Accent3 20 2" xfId="1470" xr:uid="{00000000-0005-0000-0000-00003F030000}"/>
    <cellStyle name="40% - Accent3 21" xfId="1471" xr:uid="{00000000-0005-0000-0000-000040030000}"/>
    <cellStyle name="40% - Accent3 21 2" xfId="1472" xr:uid="{00000000-0005-0000-0000-000041030000}"/>
    <cellStyle name="40% - Accent3 22" xfId="1473" xr:uid="{00000000-0005-0000-0000-000042030000}"/>
    <cellStyle name="40% - Accent3 22 2" xfId="1474" xr:uid="{00000000-0005-0000-0000-000043030000}"/>
    <cellStyle name="40% - Accent3 23" xfId="1475" xr:uid="{00000000-0005-0000-0000-000044030000}"/>
    <cellStyle name="40% - Accent3 23 2" xfId="1476" xr:uid="{00000000-0005-0000-0000-000045030000}"/>
    <cellStyle name="40% - Accent3 24" xfId="1477" xr:uid="{00000000-0005-0000-0000-000046030000}"/>
    <cellStyle name="40% - Accent3 24 2" xfId="1478" xr:uid="{00000000-0005-0000-0000-000047030000}"/>
    <cellStyle name="40% - Accent3 25" xfId="1479" xr:uid="{00000000-0005-0000-0000-000048030000}"/>
    <cellStyle name="40% - Accent3 25 2" xfId="1480" xr:uid="{00000000-0005-0000-0000-000049030000}"/>
    <cellStyle name="40% - Accent3 26" xfId="1481" xr:uid="{00000000-0005-0000-0000-00004A030000}"/>
    <cellStyle name="40% - Accent3 26 2" xfId="1482" xr:uid="{00000000-0005-0000-0000-00004B030000}"/>
    <cellStyle name="40% - Accent3 27" xfId="1483" xr:uid="{00000000-0005-0000-0000-00004C030000}"/>
    <cellStyle name="40% - Accent3 27 2" xfId="1484" xr:uid="{00000000-0005-0000-0000-00004D030000}"/>
    <cellStyle name="40% - Accent3 28" xfId="1485" xr:uid="{00000000-0005-0000-0000-00004E030000}"/>
    <cellStyle name="40% - Accent3 28 2" xfId="1486" xr:uid="{00000000-0005-0000-0000-00004F030000}"/>
    <cellStyle name="40% - Accent3 29" xfId="1487" xr:uid="{00000000-0005-0000-0000-000050030000}"/>
    <cellStyle name="40% - Accent3 29 2" xfId="1488" xr:uid="{00000000-0005-0000-0000-000051030000}"/>
    <cellStyle name="40% - Accent3 3" xfId="198" xr:uid="{00000000-0005-0000-0000-000052030000}"/>
    <cellStyle name="40% - Accent3 3 2" xfId="1489" xr:uid="{00000000-0005-0000-0000-000053030000}"/>
    <cellStyle name="40% - Accent3 30" xfId="1490" xr:uid="{00000000-0005-0000-0000-000054030000}"/>
    <cellStyle name="40% - Accent3 30 2" xfId="1491" xr:uid="{00000000-0005-0000-0000-000055030000}"/>
    <cellStyle name="40% - Accent3 31" xfId="1492" xr:uid="{00000000-0005-0000-0000-000056030000}"/>
    <cellStyle name="40% - Accent3 31 2" xfId="1493" xr:uid="{00000000-0005-0000-0000-000057030000}"/>
    <cellStyle name="40% - Accent3 32" xfId="1494" xr:uid="{00000000-0005-0000-0000-000058030000}"/>
    <cellStyle name="40% - Accent3 32 2" xfId="1495" xr:uid="{00000000-0005-0000-0000-000059030000}"/>
    <cellStyle name="40% - Accent3 33" xfId="1496" xr:uid="{00000000-0005-0000-0000-00005A030000}"/>
    <cellStyle name="40% - Accent3 33 2" xfId="1497" xr:uid="{00000000-0005-0000-0000-00005B030000}"/>
    <cellStyle name="40% - Accent3 34" xfId="1498" xr:uid="{00000000-0005-0000-0000-00005C030000}"/>
    <cellStyle name="40% - Accent3 34 2" xfId="1499" xr:uid="{00000000-0005-0000-0000-00005D030000}"/>
    <cellStyle name="40% - Accent3 35" xfId="1500" xr:uid="{00000000-0005-0000-0000-00005E030000}"/>
    <cellStyle name="40% - Accent3 35 2" xfId="1501" xr:uid="{00000000-0005-0000-0000-00005F030000}"/>
    <cellStyle name="40% - Accent3 36" xfId="1502" xr:uid="{00000000-0005-0000-0000-000060030000}"/>
    <cellStyle name="40% - Accent3 36 2" xfId="1503" xr:uid="{00000000-0005-0000-0000-000061030000}"/>
    <cellStyle name="40% - Accent3 37" xfId="1504" xr:uid="{00000000-0005-0000-0000-000062030000}"/>
    <cellStyle name="40% - Accent3 37 2" xfId="1505" xr:uid="{00000000-0005-0000-0000-000063030000}"/>
    <cellStyle name="40% - Accent3 38" xfId="1506" xr:uid="{00000000-0005-0000-0000-000064030000}"/>
    <cellStyle name="40% - Accent3 38 2" xfId="1507" xr:uid="{00000000-0005-0000-0000-000065030000}"/>
    <cellStyle name="40% - Accent3 39" xfId="1508" xr:uid="{00000000-0005-0000-0000-000066030000}"/>
    <cellStyle name="40% - Accent3 39 2" xfId="1509" xr:uid="{00000000-0005-0000-0000-000067030000}"/>
    <cellStyle name="40% - Accent3 4" xfId="199" xr:uid="{00000000-0005-0000-0000-000068030000}"/>
    <cellStyle name="40% - Accent3 4 2" xfId="1510" xr:uid="{00000000-0005-0000-0000-000069030000}"/>
    <cellStyle name="40% - Accent3 40" xfId="1511" xr:uid="{00000000-0005-0000-0000-00006A030000}"/>
    <cellStyle name="40% - Accent3 40 2" xfId="1512" xr:uid="{00000000-0005-0000-0000-00006B030000}"/>
    <cellStyle name="40% - Accent3 41" xfId="1513" xr:uid="{00000000-0005-0000-0000-00006C030000}"/>
    <cellStyle name="40% - Accent3 41 2" xfId="1514" xr:uid="{00000000-0005-0000-0000-00006D030000}"/>
    <cellStyle name="40% - Accent3 42" xfId="1515" xr:uid="{00000000-0005-0000-0000-00006E030000}"/>
    <cellStyle name="40% - Accent3 42 2" xfId="1516" xr:uid="{00000000-0005-0000-0000-00006F030000}"/>
    <cellStyle name="40% - Accent3 43" xfId="1517" xr:uid="{00000000-0005-0000-0000-000070030000}"/>
    <cellStyle name="40% - Accent3 43 2" xfId="1518" xr:uid="{00000000-0005-0000-0000-000071030000}"/>
    <cellStyle name="40% - Accent3 44" xfId="1519" xr:uid="{00000000-0005-0000-0000-000072030000}"/>
    <cellStyle name="40% - Accent3 44 2" xfId="1520" xr:uid="{00000000-0005-0000-0000-000073030000}"/>
    <cellStyle name="40% - Accent3 45" xfId="1521" xr:uid="{00000000-0005-0000-0000-000074030000}"/>
    <cellStyle name="40% - Accent3 45 2" xfId="1522" xr:uid="{00000000-0005-0000-0000-000075030000}"/>
    <cellStyle name="40% - Accent3 46" xfId="1523" xr:uid="{00000000-0005-0000-0000-000076030000}"/>
    <cellStyle name="40% - Accent3 46 2" xfId="1524" xr:uid="{00000000-0005-0000-0000-000077030000}"/>
    <cellStyle name="40% - Accent3 47" xfId="1525" xr:uid="{00000000-0005-0000-0000-000078030000}"/>
    <cellStyle name="40% - Accent3 47 2" xfId="1526" xr:uid="{00000000-0005-0000-0000-000079030000}"/>
    <cellStyle name="40% - Accent3 48" xfId="1527" xr:uid="{00000000-0005-0000-0000-00007A030000}"/>
    <cellStyle name="40% - Accent3 48 2" xfId="1528" xr:uid="{00000000-0005-0000-0000-00007B030000}"/>
    <cellStyle name="40% - Accent3 49" xfId="1529" xr:uid="{00000000-0005-0000-0000-00007C030000}"/>
    <cellStyle name="40% - Accent3 49 2" xfId="1530" xr:uid="{00000000-0005-0000-0000-00007D030000}"/>
    <cellStyle name="40% - Accent3 5" xfId="200" xr:uid="{00000000-0005-0000-0000-00007E030000}"/>
    <cellStyle name="40% - Accent3 5 2" xfId="1531" xr:uid="{00000000-0005-0000-0000-00007F030000}"/>
    <cellStyle name="40% - Accent3 50" xfId="1532" xr:uid="{00000000-0005-0000-0000-000080030000}"/>
    <cellStyle name="40% - Accent3 50 2" xfId="1533" xr:uid="{00000000-0005-0000-0000-000081030000}"/>
    <cellStyle name="40% - Accent3 51" xfId="1534" xr:uid="{00000000-0005-0000-0000-000082030000}"/>
    <cellStyle name="40% - Accent3 51 2" xfId="1535" xr:uid="{00000000-0005-0000-0000-000083030000}"/>
    <cellStyle name="40% - Accent3 52" xfId="1536" xr:uid="{00000000-0005-0000-0000-000084030000}"/>
    <cellStyle name="40% - Accent3 6" xfId="201" xr:uid="{00000000-0005-0000-0000-000085030000}"/>
    <cellStyle name="40% - Accent3 6 2" xfId="1537" xr:uid="{00000000-0005-0000-0000-000086030000}"/>
    <cellStyle name="40% - Accent3 7" xfId="202" xr:uid="{00000000-0005-0000-0000-000087030000}"/>
    <cellStyle name="40% - Accent3 7 2" xfId="1538" xr:uid="{00000000-0005-0000-0000-000088030000}"/>
    <cellStyle name="40% - Accent3 8" xfId="203" xr:uid="{00000000-0005-0000-0000-000089030000}"/>
    <cellStyle name="40% - Accent3 8 2" xfId="1539" xr:uid="{00000000-0005-0000-0000-00008A030000}"/>
    <cellStyle name="40% - Accent3 9" xfId="204" xr:uid="{00000000-0005-0000-0000-00008B030000}"/>
    <cellStyle name="40% - Accent3 9 2" xfId="1540" xr:uid="{00000000-0005-0000-0000-00008C030000}"/>
    <cellStyle name="40% - Accent4" xfId="32" builtinId="43" customBuiltin="1"/>
    <cellStyle name="40% - Accent4 10" xfId="205" xr:uid="{00000000-0005-0000-0000-00008E030000}"/>
    <cellStyle name="40% - Accent4 10 2" xfId="1541" xr:uid="{00000000-0005-0000-0000-00008F030000}"/>
    <cellStyle name="40% - Accent4 11" xfId="206" xr:uid="{00000000-0005-0000-0000-000090030000}"/>
    <cellStyle name="40% - Accent4 11 2" xfId="1542" xr:uid="{00000000-0005-0000-0000-000091030000}"/>
    <cellStyle name="40% - Accent4 12" xfId="207" xr:uid="{00000000-0005-0000-0000-000092030000}"/>
    <cellStyle name="40% - Accent4 12 2" xfId="1543" xr:uid="{00000000-0005-0000-0000-000093030000}"/>
    <cellStyle name="40% - Accent4 13" xfId="208" xr:uid="{00000000-0005-0000-0000-000094030000}"/>
    <cellStyle name="40% - Accent4 13 2" xfId="1544" xr:uid="{00000000-0005-0000-0000-000095030000}"/>
    <cellStyle name="40% - Accent4 14" xfId="209" xr:uid="{00000000-0005-0000-0000-000096030000}"/>
    <cellStyle name="40% - Accent4 14 2" xfId="1545" xr:uid="{00000000-0005-0000-0000-000097030000}"/>
    <cellStyle name="40% - Accent4 15" xfId="210" xr:uid="{00000000-0005-0000-0000-000098030000}"/>
    <cellStyle name="40% - Accent4 15 2" xfId="1546" xr:uid="{00000000-0005-0000-0000-000099030000}"/>
    <cellStyle name="40% - Accent4 16" xfId="211" xr:uid="{00000000-0005-0000-0000-00009A030000}"/>
    <cellStyle name="40% - Accent4 16 2" xfId="1547" xr:uid="{00000000-0005-0000-0000-00009B030000}"/>
    <cellStyle name="40% - Accent4 17" xfId="212" xr:uid="{00000000-0005-0000-0000-00009C030000}"/>
    <cellStyle name="40% - Accent4 17 2" xfId="1548" xr:uid="{00000000-0005-0000-0000-00009D030000}"/>
    <cellStyle name="40% - Accent4 18" xfId="213" xr:uid="{00000000-0005-0000-0000-00009E030000}"/>
    <cellStyle name="40% - Accent4 18 2" xfId="1549" xr:uid="{00000000-0005-0000-0000-00009F030000}"/>
    <cellStyle name="40% - Accent4 19" xfId="214" xr:uid="{00000000-0005-0000-0000-0000A0030000}"/>
    <cellStyle name="40% - Accent4 19 2" xfId="1550" xr:uid="{00000000-0005-0000-0000-0000A1030000}"/>
    <cellStyle name="40% - Accent4 2" xfId="215" xr:uid="{00000000-0005-0000-0000-0000A2030000}"/>
    <cellStyle name="40% - Accent4 20" xfId="1551" xr:uid="{00000000-0005-0000-0000-0000A3030000}"/>
    <cellStyle name="40% - Accent4 20 2" xfId="1552" xr:uid="{00000000-0005-0000-0000-0000A4030000}"/>
    <cellStyle name="40% - Accent4 21" xfId="1553" xr:uid="{00000000-0005-0000-0000-0000A5030000}"/>
    <cellStyle name="40% - Accent4 21 2" xfId="1554" xr:uid="{00000000-0005-0000-0000-0000A6030000}"/>
    <cellStyle name="40% - Accent4 22" xfId="1555" xr:uid="{00000000-0005-0000-0000-0000A7030000}"/>
    <cellStyle name="40% - Accent4 22 2" xfId="1556" xr:uid="{00000000-0005-0000-0000-0000A8030000}"/>
    <cellStyle name="40% - Accent4 23" xfId="1557" xr:uid="{00000000-0005-0000-0000-0000A9030000}"/>
    <cellStyle name="40% - Accent4 23 2" xfId="1558" xr:uid="{00000000-0005-0000-0000-0000AA030000}"/>
    <cellStyle name="40% - Accent4 24" xfId="1559" xr:uid="{00000000-0005-0000-0000-0000AB030000}"/>
    <cellStyle name="40% - Accent4 24 2" xfId="1560" xr:uid="{00000000-0005-0000-0000-0000AC030000}"/>
    <cellStyle name="40% - Accent4 25" xfId="1561" xr:uid="{00000000-0005-0000-0000-0000AD030000}"/>
    <cellStyle name="40% - Accent4 25 2" xfId="1562" xr:uid="{00000000-0005-0000-0000-0000AE030000}"/>
    <cellStyle name="40% - Accent4 26" xfId="1563" xr:uid="{00000000-0005-0000-0000-0000AF030000}"/>
    <cellStyle name="40% - Accent4 26 2" xfId="1564" xr:uid="{00000000-0005-0000-0000-0000B0030000}"/>
    <cellStyle name="40% - Accent4 27" xfId="1565" xr:uid="{00000000-0005-0000-0000-0000B1030000}"/>
    <cellStyle name="40% - Accent4 27 2" xfId="1566" xr:uid="{00000000-0005-0000-0000-0000B2030000}"/>
    <cellStyle name="40% - Accent4 28" xfId="1567" xr:uid="{00000000-0005-0000-0000-0000B3030000}"/>
    <cellStyle name="40% - Accent4 28 2" xfId="1568" xr:uid="{00000000-0005-0000-0000-0000B4030000}"/>
    <cellStyle name="40% - Accent4 29" xfId="1569" xr:uid="{00000000-0005-0000-0000-0000B5030000}"/>
    <cellStyle name="40% - Accent4 29 2" xfId="1570" xr:uid="{00000000-0005-0000-0000-0000B6030000}"/>
    <cellStyle name="40% - Accent4 3" xfId="216" xr:uid="{00000000-0005-0000-0000-0000B7030000}"/>
    <cellStyle name="40% - Accent4 3 2" xfId="1571" xr:uid="{00000000-0005-0000-0000-0000B8030000}"/>
    <cellStyle name="40% - Accent4 30" xfId="1572" xr:uid="{00000000-0005-0000-0000-0000B9030000}"/>
    <cellStyle name="40% - Accent4 30 2" xfId="1573" xr:uid="{00000000-0005-0000-0000-0000BA030000}"/>
    <cellStyle name="40% - Accent4 31" xfId="1574" xr:uid="{00000000-0005-0000-0000-0000BB030000}"/>
    <cellStyle name="40% - Accent4 31 2" xfId="1575" xr:uid="{00000000-0005-0000-0000-0000BC030000}"/>
    <cellStyle name="40% - Accent4 32" xfId="1576" xr:uid="{00000000-0005-0000-0000-0000BD030000}"/>
    <cellStyle name="40% - Accent4 32 2" xfId="1577" xr:uid="{00000000-0005-0000-0000-0000BE030000}"/>
    <cellStyle name="40% - Accent4 33" xfId="1578" xr:uid="{00000000-0005-0000-0000-0000BF030000}"/>
    <cellStyle name="40% - Accent4 33 2" xfId="1579" xr:uid="{00000000-0005-0000-0000-0000C0030000}"/>
    <cellStyle name="40% - Accent4 34" xfId="1580" xr:uid="{00000000-0005-0000-0000-0000C1030000}"/>
    <cellStyle name="40% - Accent4 34 2" xfId="1581" xr:uid="{00000000-0005-0000-0000-0000C2030000}"/>
    <cellStyle name="40% - Accent4 35" xfId="1582" xr:uid="{00000000-0005-0000-0000-0000C3030000}"/>
    <cellStyle name="40% - Accent4 35 2" xfId="1583" xr:uid="{00000000-0005-0000-0000-0000C4030000}"/>
    <cellStyle name="40% - Accent4 36" xfId="1584" xr:uid="{00000000-0005-0000-0000-0000C5030000}"/>
    <cellStyle name="40% - Accent4 36 2" xfId="1585" xr:uid="{00000000-0005-0000-0000-0000C6030000}"/>
    <cellStyle name="40% - Accent4 37" xfId="1586" xr:uid="{00000000-0005-0000-0000-0000C7030000}"/>
    <cellStyle name="40% - Accent4 37 2" xfId="1587" xr:uid="{00000000-0005-0000-0000-0000C8030000}"/>
    <cellStyle name="40% - Accent4 38" xfId="1588" xr:uid="{00000000-0005-0000-0000-0000C9030000}"/>
    <cellStyle name="40% - Accent4 38 2" xfId="1589" xr:uid="{00000000-0005-0000-0000-0000CA030000}"/>
    <cellStyle name="40% - Accent4 39" xfId="1590" xr:uid="{00000000-0005-0000-0000-0000CB030000}"/>
    <cellStyle name="40% - Accent4 39 2" xfId="1591" xr:uid="{00000000-0005-0000-0000-0000CC030000}"/>
    <cellStyle name="40% - Accent4 4" xfId="217" xr:uid="{00000000-0005-0000-0000-0000CD030000}"/>
    <cellStyle name="40% - Accent4 4 2" xfId="1592" xr:uid="{00000000-0005-0000-0000-0000CE030000}"/>
    <cellStyle name="40% - Accent4 40" xfId="1593" xr:uid="{00000000-0005-0000-0000-0000CF030000}"/>
    <cellStyle name="40% - Accent4 40 2" xfId="1594" xr:uid="{00000000-0005-0000-0000-0000D0030000}"/>
    <cellStyle name="40% - Accent4 41" xfId="1595" xr:uid="{00000000-0005-0000-0000-0000D1030000}"/>
    <cellStyle name="40% - Accent4 41 2" xfId="1596" xr:uid="{00000000-0005-0000-0000-0000D2030000}"/>
    <cellStyle name="40% - Accent4 42" xfId="1597" xr:uid="{00000000-0005-0000-0000-0000D3030000}"/>
    <cellStyle name="40% - Accent4 42 2" xfId="1598" xr:uid="{00000000-0005-0000-0000-0000D4030000}"/>
    <cellStyle name="40% - Accent4 43" xfId="1599" xr:uid="{00000000-0005-0000-0000-0000D5030000}"/>
    <cellStyle name="40% - Accent4 43 2" xfId="1600" xr:uid="{00000000-0005-0000-0000-0000D6030000}"/>
    <cellStyle name="40% - Accent4 44" xfId="1601" xr:uid="{00000000-0005-0000-0000-0000D7030000}"/>
    <cellStyle name="40% - Accent4 44 2" xfId="1602" xr:uid="{00000000-0005-0000-0000-0000D8030000}"/>
    <cellStyle name="40% - Accent4 45" xfId="1603" xr:uid="{00000000-0005-0000-0000-0000D9030000}"/>
    <cellStyle name="40% - Accent4 45 2" xfId="1604" xr:uid="{00000000-0005-0000-0000-0000DA030000}"/>
    <cellStyle name="40% - Accent4 46" xfId="1605" xr:uid="{00000000-0005-0000-0000-0000DB030000}"/>
    <cellStyle name="40% - Accent4 46 2" xfId="1606" xr:uid="{00000000-0005-0000-0000-0000DC030000}"/>
    <cellStyle name="40% - Accent4 47" xfId="1607" xr:uid="{00000000-0005-0000-0000-0000DD030000}"/>
    <cellStyle name="40% - Accent4 47 2" xfId="1608" xr:uid="{00000000-0005-0000-0000-0000DE030000}"/>
    <cellStyle name="40% - Accent4 48" xfId="1609" xr:uid="{00000000-0005-0000-0000-0000DF030000}"/>
    <cellStyle name="40% - Accent4 48 2" xfId="1610" xr:uid="{00000000-0005-0000-0000-0000E0030000}"/>
    <cellStyle name="40% - Accent4 49" xfId="1611" xr:uid="{00000000-0005-0000-0000-0000E1030000}"/>
    <cellStyle name="40% - Accent4 49 2" xfId="1612" xr:uid="{00000000-0005-0000-0000-0000E2030000}"/>
    <cellStyle name="40% - Accent4 5" xfId="218" xr:uid="{00000000-0005-0000-0000-0000E3030000}"/>
    <cellStyle name="40% - Accent4 5 2" xfId="1613" xr:uid="{00000000-0005-0000-0000-0000E4030000}"/>
    <cellStyle name="40% - Accent4 50" xfId="1614" xr:uid="{00000000-0005-0000-0000-0000E5030000}"/>
    <cellStyle name="40% - Accent4 50 2" xfId="1615" xr:uid="{00000000-0005-0000-0000-0000E6030000}"/>
    <cellStyle name="40% - Accent4 51" xfId="1616" xr:uid="{00000000-0005-0000-0000-0000E7030000}"/>
    <cellStyle name="40% - Accent4 51 2" xfId="1617" xr:uid="{00000000-0005-0000-0000-0000E8030000}"/>
    <cellStyle name="40% - Accent4 52" xfId="1618" xr:uid="{00000000-0005-0000-0000-0000E9030000}"/>
    <cellStyle name="40% - Accent4 6" xfId="219" xr:uid="{00000000-0005-0000-0000-0000EA030000}"/>
    <cellStyle name="40% - Accent4 6 2" xfId="1619" xr:uid="{00000000-0005-0000-0000-0000EB030000}"/>
    <cellStyle name="40% - Accent4 7" xfId="220" xr:uid="{00000000-0005-0000-0000-0000EC030000}"/>
    <cellStyle name="40% - Accent4 7 2" xfId="1620" xr:uid="{00000000-0005-0000-0000-0000ED030000}"/>
    <cellStyle name="40% - Accent4 8" xfId="221" xr:uid="{00000000-0005-0000-0000-0000EE030000}"/>
    <cellStyle name="40% - Accent4 8 2" xfId="1621" xr:uid="{00000000-0005-0000-0000-0000EF030000}"/>
    <cellStyle name="40% - Accent4 9" xfId="222" xr:uid="{00000000-0005-0000-0000-0000F0030000}"/>
    <cellStyle name="40% - Accent4 9 2" xfId="1622" xr:uid="{00000000-0005-0000-0000-0000F1030000}"/>
    <cellStyle name="40% - Accent5" xfId="36" builtinId="47" customBuiltin="1"/>
    <cellStyle name="40% - Accent5 10" xfId="223" xr:uid="{00000000-0005-0000-0000-0000F3030000}"/>
    <cellStyle name="40% - Accent5 10 2" xfId="1623" xr:uid="{00000000-0005-0000-0000-0000F4030000}"/>
    <cellStyle name="40% - Accent5 11" xfId="224" xr:uid="{00000000-0005-0000-0000-0000F5030000}"/>
    <cellStyle name="40% - Accent5 11 2" xfId="1624" xr:uid="{00000000-0005-0000-0000-0000F6030000}"/>
    <cellStyle name="40% - Accent5 12" xfId="225" xr:uid="{00000000-0005-0000-0000-0000F7030000}"/>
    <cellStyle name="40% - Accent5 12 2" xfId="1625" xr:uid="{00000000-0005-0000-0000-0000F8030000}"/>
    <cellStyle name="40% - Accent5 13" xfId="226" xr:uid="{00000000-0005-0000-0000-0000F9030000}"/>
    <cellStyle name="40% - Accent5 13 2" xfId="1626" xr:uid="{00000000-0005-0000-0000-0000FA030000}"/>
    <cellStyle name="40% - Accent5 14" xfId="227" xr:uid="{00000000-0005-0000-0000-0000FB030000}"/>
    <cellStyle name="40% - Accent5 14 2" xfId="1627" xr:uid="{00000000-0005-0000-0000-0000FC030000}"/>
    <cellStyle name="40% - Accent5 15" xfId="228" xr:uid="{00000000-0005-0000-0000-0000FD030000}"/>
    <cellStyle name="40% - Accent5 15 2" xfId="1628" xr:uid="{00000000-0005-0000-0000-0000FE030000}"/>
    <cellStyle name="40% - Accent5 16" xfId="229" xr:uid="{00000000-0005-0000-0000-0000FF030000}"/>
    <cellStyle name="40% - Accent5 16 2" xfId="1629" xr:uid="{00000000-0005-0000-0000-000000040000}"/>
    <cellStyle name="40% - Accent5 17" xfId="230" xr:uid="{00000000-0005-0000-0000-000001040000}"/>
    <cellStyle name="40% - Accent5 17 2" xfId="1630" xr:uid="{00000000-0005-0000-0000-000002040000}"/>
    <cellStyle name="40% - Accent5 18" xfId="231" xr:uid="{00000000-0005-0000-0000-000003040000}"/>
    <cellStyle name="40% - Accent5 18 2" xfId="1631" xr:uid="{00000000-0005-0000-0000-000004040000}"/>
    <cellStyle name="40% - Accent5 19" xfId="232" xr:uid="{00000000-0005-0000-0000-000005040000}"/>
    <cellStyle name="40% - Accent5 19 2" xfId="1632" xr:uid="{00000000-0005-0000-0000-000006040000}"/>
    <cellStyle name="40% - Accent5 2" xfId="233" xr:uid="{00000000-0005-0000-0000-000007040000}"/>
    <cellStyle name="40% - Accent5 20" xfId="1633" xr:uid="{00000000-0005-0000-0000-000008040000}"/>
    <cellStyle name="40% - Accent5 20 2" xfId="1634" xr:uid="{00000000-0005-0000-0000-000009040000}"/>
    <cellStyle name="40% - Accent5 21" xfId="1635" xr:uid="{00000000-0005-0000-0000-00000A040000}"/>
    <cellStyle name="40% - Accent5 21 2" xfId="1636" xr:uid="{00000000-0005-0000-0000-00000B040000}"/>
    <cellStyle name="40% - Accent5 22" xfId="1637" xr:uid="{00000000-0005-0000-0000-00000C040000}"/>
    <cellStyle name="40% - Accent5 22 2" xfId="1638" xr:uid="{00000000-0005-0000-0000-00000D040000}"/>
    <cellStyle name="40% - Accent5 23" xfId="1639" xr:uid="{00000000-0005-0000-0000-00000E040000}"/>
    <cellStyle name="40% - Accent5 23 2" xfId="1640" xr:uid="{00000000-0005-0000-0000-00000F040000}"/>
    <cellStyle name="40% - Accent5 24" xfId="1641" xr:uid="{00000000-0005-0000-0000-000010040000}"/>
    <cellStyle name="40% - Accent5 24 2" xfId="1642" xr:uid="{00000000-0005-0000-0000-000011040000}"/>
    <cellStyle name="40% - Accent5 25" xfId="1643" xr:uid="{00000000-0005-0000-0000-000012040000}"/>
    <cellStyle name="40% - Accent5 25 2" xfId="1644" xr:uid="{00000000-0005-0000-0000-000013040000}"/>
    <cellStyle name="40% - Accent5 26" xfId="1645" xr:uid="{00000000-0005-0000-0000-000014040000}"/>
    <cellStyle name="40% - Accent5 26 2" xfId="1646" xr:uid="{00000000-0005-0000-0000-000015040000}"/>
    <cellStyle name="40% - Accent5 27" xfId="1647" xr:uid="{00000000-0005-0000-0000-000016040000}"/>
    <cellStyle name="40% - Accent5 27 2" xfId="1648" xr:uid="{00000000-0005-0000-0000-000017040000}"/>
    <cellStyle name="40% - Accent5 28" xfId="1649" xr:uid="{00000000-0005-0000-0000-000018040000}"/>
    <cellStyle name="40% - Accent5 28 2" xfId="1650" xr:uid="{00000000-0005-0000-0000-000019040000}"/>
    <cellStyle name="40% - Accent5 29" xfId="1651" xr:uid="{00000000-0005-0000-0000-00001A040000}"/>
    <cellStyle name="40% - Accent5 29 2" xfId="1652" xr:uid="{00000000-0005-0000-0000-00001B040000}"/>
    <cellStyle name="40% - Accent5 3" xfId="234" xr:uid="{00000000-0005-0000-0000-00001C040000}"/>
    <cellStyle name="40% - Accent5 3 2" xfId="1653" xr:uid="{00000000-0005-0000-0000-00001D040000}"/>
    <cellStyle name="40% - Accent5 30" xfId="1654" xr:uid="{00000000-0005-0000-0000-00001E040000}"/>
    <cellStyle name="40% - Accent5 30 2" xfId="1655" xr:uid="{00000000-0005-0000-0000-00001F040000}"/>
    <cellStyle name="40% - Accent5 31" xfId="1656" xr:uid="{00000000-0005-0000-0000-000020040000}"/>
    <cellStyle name="40% - Accent5 31 2" xfId="1657" xr:uid="{00000000-0005-0000-0000-000021040000}"/>
    <cellStyle name="40% - Accent5 32" xfId="1658" xr:uid="{00000000-0005-0000-0000-000022040000}"/>
    <cellStyle name="40% - Accent5 32 2" xfId="1659" xr:uid="{00000000-0005-0000-0000-000023040000}"/>
    <cellStyle name="40% - Accent5 33" xfId="1660" xr:uid="{00000000-0005-0000-0000-000024040000}"/>
    <cellStyle name="40% - Accent5 33 2" xfId="1661" xr:uid="{00000000-0005-0000-0000-000025040000}"/>
    <cellStyle name="40% - Accent5 34" xfId="1662" xr:uid="{00000000-0005-0000-0000-000026040000}"/>
    <cellStyle name="40% - Accent5 34 2" xfId="1663" xr:uid="{00000000-0005-0000-0000-000027040000}"/>
    <cellStyle name="40% - Accent5 35" xfId="1664" xr:uid="{00000000-0005-0000-0000-000028040000}"/>
    <cellStyle name="40% - Accent5 35 2" xfId="1665" xr:uid="{00000000-0005-0000-0000-000029040000}"/>
    <cellStyle name="40% - Accent5 36" xfId="1666" xr:uid="{00000000-0005-0000-0000-00002A040000}"/>
    <cellStyle name="40% - Accent5 36 2" xfId="1667" xr:uid="{00000000-0005-0000-0000-00002B040000}"/>
    <cellStyle name="40% - Accent5 37" xfId="1668" xr:uid="{00000000-0005-0000-0000-00002C040000}"/>
    <cellStyle name="40% - Accent5 37 2" xfId="1669" xr:uid="{00000000-0005-0000-0000-00002D040000}"/>
    <cellStyle name="40% - Accent5 38" xfId="1670" xr:uid="{00000000-0005-0000-0000-00002E040000}"/>
    <cellStyle name="40% - Accent5 38 2" xfId="1671" xr:uid="{00000000-0005-0000-0000-00002F040000}"/>
    <cellStyle name="40% - Accent5 39" xfId="1672" xr:uid="{00000000-0005-0000-0000-000030040000}"/>
    <cellStyle name="40% - Accent5 39 2" xfId="1673" xr:uid="{00000000-0005-0000-0000-000031040000}"/>
    <cellStyle name="40% - Accent5 4" xfId="235" xr:uid="{00000000-0005-0000-0000-000032040000}"/>
    <cellStyle name="40% - Accent5 4 2" xfId="1674" xr:uid="{00000000-0005-0000-0000-000033040000}"/>
    <cellStyle name="40% - Accent5 40" xfId="1675" xr:uid="{00000000-0005-0000-0000-000034040000}"/>
    <cellStyle name="40% - Accent5 40 2" xfId="1676" xr:uid="{00000000-0005-0000-0000-000035040000}"/>
    <cellStyle name="40% - Accent5 41" xfId="1677" xr:uid="{00000000-0005-0000-0000-000036040000}"/>
    <cellStyle name="40% - Accent5 41 2" xfId="1678" xr:uid="{00000000-0005-0000-0000-000037040000}"/>
    <cellStyle name="40% - Accent5 42" xfId="1679" xr:uid="{00000000-0005-0000-0000-000038040000}"/>
    <cellStyle name="40% - Accent5 42 2" xfId="1680" xr:uid="{00000000-0005-0000-0000-000039040000}"/>
    <cellStyle name="40% - Accent5 43" xfId="1681" xr:uid="{00000000-0005-0000-0000-00003A040000}"/>
    <cellStyle name="40% - Accent5 43 2" xfId="1682" xr:uid="{00000000-0005-0000-0000-00003B040000}"/>
    <cellStyle name="40% - Accent5 44" xfId="1683" xr:uid="{00000000-0005-0000-0000-00003C040000}"/>
    <cellStyle name="40% - Accent5 44 2" xfId="1684" xr:uid="{00000000-0005-0000-0000-00003D040000}"/>
    <cellStyle name="40% - Accent5 45" xfId="1685" xr:uid="{00000000-0005-0000-0000-00003E040000}"/>
    <cellStyle name="40% - Accent5 45 2" xfId="1686" xr:uid="{00000000-0005-0000-0000-00003F040000}"/>
    <cellStyle name="40% - Accent5 46" xfId="1687" xr:uid="{00000000-0005-0000-0000-000040040000}"/>
    <cellStyle name="40% - Accent5 46 2" xfId="1688" xr:uid="{00000000-0005-0000-0000-000041040000}"/>
    <cellStyle name="40% - Accent5 47" xfId="1689" xr:uid="{00000000-0005-0000-0000-000042040000}"/>
    <cellStyle name="40% - Accent5 47 2" xfId="1690" xr:uid="{00000000-0005-0000-0000-000043040000}"/>
    <cellStyle name="40% - Accent5 48" xfId="1691" xr:uid="{00000000-0005-0000-0000-000044040000}"/>
    <cellStyle name="40% - Accent5 48 2" xfId="1692" xr:uid="{00000000-0005-0000-0000-000045040000}"/>
    <cellStyle name="40% - Accent5 49" xfId="1693" xr:uid="{00000000-0005-0000-0000-000046040000}"/>
    <cellStyle name="40% - Accent5 49 2" xfId="1694" xr:uid="{00000000-0005-0000-0000-000047040000}"/>
    <cellStyle name="40% - Accent5 5" xfId="236" xr:uid="{00000000-0005-0000-0000-000048040000}"/>
    <cellStyle name="40% - Accent5 5 2" xfId="1695" xr:uid="{00000000-0005-0000-0000-000049040000}"/>
    <cellStyle name="40% - Accent5 50" xfId="1696" xr:uid="{00000000-0005-0000-0000-00004A040000}"/>
    <cellStyle name="40% - Accent5 50 2" xfId="1697" xr:uid="{00000000-0005-0000-0000-00004B040000}"/>
    <cellStyle name="40% - Accent5 51" xfId="1698" xr:uid="{00000000-0005-0000-0000-00004C040000}"/>
    <cellStyle name="40% - Accent5 51 2" xfId="1699" xr:uid="{00000000-0005-0000-0000-00004D040000}"/>
    <cellStyle name="40% - Accent5 52" xfId="1700" xr:uid="{00000000-0005-0000-0000-00004E040000}"/>
    <cellStyle name="40% - Accent5 6" xfId="237" xr:uid="{00000000-0005-0000-0000-00004F040000}"/>
    <cellStyle name="40% - Accent5 6 2" xfId="1701" xr:uid="{00000000-0005-0000-0000-000050040000}"/>
    <cellStyle name="40% - Accent5 7" xfId="238" xr:uid="{00000000-0005-0000-0000-000051040000}"/>
    <cellStyle name="40% - Accent5 7 2" xfId="1702" xr:uid="{00000000-0005-0000-0000-000052040000}"/>
    <cellStyle name="40% - Accent5 8" xfId="239" xr:uid="{00000000-0005-0000-0000-000053040000}"/>
    <cellStyle name="40% - Accent5 8 2" xfId="1703" xr:uid="{00000000-0005-0000-0000-000054040000}"/>
    <cellStyle name="40% - Accent5 9" xfId="240" xr:uid="{00000000-0005-0000-0000-000055040000}"/>
    <cellStyle name="40% - Accent5 9 2" xfId="1704" xr:uid="{00000000-0005-0000-0000-000056040000}"/>
    <cellStyle name="40% - Accent6" xfId="40" builtinId="51" customBuiltin="1"/>
    <cellStyle name="40% - Accent6 10" xfId="241" xr:uid="{00000000-0005-0000-0000-000058040000}"/>
    <cellStyle name="40% - Accent6 10 2" xfId="1705" xr:uid="{00000000-0005-0000-0000-000059040000}"/>
    <cellStyle name="40% - Accent6 11" xfId="242" xr:uid="{00000000-0005-0000-0000-00005A040000}"/>
    <cellStyle name="40% - Accent6 11 2" xfId="1706" xr:uid="{00000000-0005-0000-0000-00005B040000}"/>
    <cellStyle name="40% - Accent6 12" xfId="243" xr:uid="{00000000-0005-0000-0000-00005C040000}"/>
    <cellStyle name="40% - Accent6 12 2" xfId="1707" xr:uid="{00000000-0005-0000-0000-00005D040000}"/>
    <cellStyle name="40% - Accent6 13" xfId="244" xr:uid="{00000000-0005-0000-0000-00005E040000}"/>
    <cellStyle name="40% - Accent6 13 2" xfId="1708" xr:uid="{00000000-0005-0000-0000-00005F040000}"/>
    <cellStyle name="40% - Accent6 14" xfId="245" xr:uid="{00000000-0005-0000-0000-000060040000}"/>
    <cellStyle name="40% - Accent6 14 2" xfId="1709" xr:uid="{00000000-0005-0000-0000-000061040000}"/>
    <cellStyle name="40% - Accent6 15" xfId="246" xr:uid="{00000000-0005-0000-0000-000062040000}"/>
    <cellStyle name="40% - Accent6 15 2" xfId="1710" xr:uid="{00000000-0005-0000-0000-000063040000}"/>
    <cellStyle name="40% - Accent6 16" xfId="247" xr:uid="{00000000-0005-0000-0000-000064040000}"/>
    <cellStyle name="40% - Accent6 16 2" xfId="1711" xr:uid="{00000000-0005-0000-0000-000065040000}"/>
    <cellStyle name="40% - Accent6 17" xfId="248" xr:uid="{00000000-0005-0000-0000-000066040000}"/>
    <cellStyle name="40% - Accent6 17 2" xfId="1712" xr:uid="{00000000-0005-0000-0000-000067040000}"/>
    <cellStyle name="40% - Accent6 18" xfId="249" xr:uid="{00000000-0005-0000-0000-000068040000}"/>
    <cellStyle name="40% - Accent6 18 2" xfId="1713" xr:uid="{00000000-0005-0000-0000-000069040000}"/>
    <cellStyle name="40% - Accent6 19" xfId="250" xr:uid="{00000000-0005-0000-0000-00006A040000}"/>
    <cellStyle name="40% - Accent6 19 2" xfId="1714" xr:uid="{00000000-0005-0000-0000-00006B040000}"/>
    <cellStyle name="40% - Accent6 2" xfId="251" xr:uid="{00000000-0005-0000-0000-00006C040000}"/>
    <cellStyle name="40% - Accent6 20" xfId="1715" xr:uid="{00000000-0005-0000-0000-00006D040000}"/>
    <cellStyle name="40% - Accent6 20 2" xfId="1716" xr:uid="{00000000-0005-0000-0000-00006E040000}"/>
    <cellStyle name="40% - Accent6 21" xfId="1717" xr:uid="{00000000-0005-0000-0000-00006F040000}"/>
    <cellStyle name="40% - Accent6 21 2" xfId="1718" xr:uid="{00000000-0005-0000-0000-000070040000}"/>
    <cellStyle name="40% - Accent6 22" xfId="1719" xr:uid="{00000000-0005-0000-0000-000071040000}"/>
    <cellStyle name="40% - Accent6 22 2" xfId="1720" xr:uid="{00000000-0005-0000-0000-000072040000}"/>
    <cellStyle name="40% - Accent6 23" xfId="1721" xr:uid="{00000000-0005-0000-0000-000073040000}"/>
    <cellStyle name="40% - Accent6 23 2" xfId="1722" xr:uid="{00000000-0005-0000-0000-000074040000}"/>
    <cellStyle name="40% - Accent6 24" xfId="1723" xr:uid="{00000000-0005-0000-0000-000075040000}"/>
    <cellStyle name="40% - Accent6 24 2" xfId="1724" xr:uid="{00000000-0005-0000-0000-000076040000}"/>
    <cellStyle name="40% - Accent6 25" xfId="1725" xr:uid="{00000000-0005-0000-0000-000077040000}"/>
    <cellStyle name="40% - Accent6 25 2" xfId="1726" xr:uid="{00000000-0005-0000-0000-000078040000}"/>
    <cellStyle name="40% - Accent6 26" xfId="1727" xr:uid="{00000000-0005-0000-0000-000079040000}"/>
    <cellStyle name="40% - Accent6 26 2" xfId="1728" xr:uid="{00000000-0005-0000-0000-00007A040000}"/>
    <cellStyle name="40% - Accent6 27" xfId="1729" xr:uid="{00000000-0005-0000-0000-00007B040000}"/>
    <cellStyle name="40% - Accent6 27 2" xfId="1730" xr:uid="{00000000-0005-0000-0000-00007C040000}"/>
    <cellStyle name="40% - Accent6 28" xfId="1731" xr:uid="{00000000-0005-0000-0000-00007D040000}"/>
    <cellStyle name="40% - Accent6 28 2" xfId="1732" xr:uid="{00000000-0005-0000-0000-00007E040000}"/>
    <cellStyle name="40% - Accent6 29" xfId="1733" xr:uid="{00000000-0005-0000-0000-00007F040000}"/>
    <cellStyle name="40% - Accent6 29 2" xfId="1734" xr:uid="{00000000-0005-0000-0000-000080040000}"/>
    <cellStyle name="40% - Accent6 3" xfId="252" xr:uid="{00000000-0005-0000-0000-000081040000}"/>
    <cellStyle name="40% - Accent6 3 2" xfId="1735" xr:uid="{00000000-0005-0000-0000-000082040000}"/>
    <cellStyle name="40% - Accent6 30" xfId="1736" xr:uid="{00000000-0005-0000-0000-000083040000}"/>
    <cellStyle name="40% - Accent6 30 2" xfId="1737" xr:uid="{00000000-0005-0000-0000-000084040000}"/>
    <cellStyle name="40% - Accent6 31" xfId="1738" xr:uid="{00000000-0005-0000-0000-000085040000}"/>
    <cellStyle name="40% - Accent6 31 2" xfId="1739" xr:uid="{00000000-0005-0000-0000-000086040000}"/>
    <cellStyle name="40% - Accent6 32" xfId="1740" xr:uid="{00000000-0005-0000-0000-000087040000}"/>
    <cellStyle name="40% - Accent6 32 2" xfId="1741" xr:uid="{00000000-0005-0000-0000-000088040000}"/>
    <cellStyle name="40% - Accent6 33" xfId="1742" xr:uid="{00000000-0005-0000-0000-000089040000}"/>
    <cellStyle name="40% - Accent6 33 2" xfId="1743" xr:uid="{00000000-0005-0000-0000-00008A040000}"/>
    <cellStyle name="40% - Accent6 34" xfId="1744" xr:uid="{00000000-0005-0000-0000-00008B040000}"/>
    <cellStyle name="40% - Accent6 34 2" xfId="1745" xr:uid="{00000000-0005-0000-0000-00008C040000}"/>
    <cellStyle name="40% - Accent6 35" xfId="1746" xr:uid="{00000000-0005-0000-0000-00008D040000}"/>
    <cellStyle name="40% - Accent6 35 2" xfId="1747" xr:uid="{00000000-0005-0000-0000-00008E040000}"/>
    <cellStyle name="40% - Accent6 36" xfId="1748" xr:uid="{00000000-0005-0000-0000-00008F040000}"/>
    <cellStyle name="40% - Accent6 36 2" xfId="1749" xr:uid="{00000000-0005-0000-0000-000090040000}"/>
    <cellStyle name="40% - Accent6 37" xfId="1750" xr:uid="{00000000-0005-0000-0000-000091040000}"/>
    <cellStyle name="40% - Accent6 37 2" xfId="1751" xr:uid="{00000000-0005-0000-0000-000092040000}"/>
    <cellStyle name="40% - Accent6 38" xfId="1752" xr:uid="{00000000-0005-0000-0000-000093040000}"/>
    <cellStyle name="40% - Accent6 38 2" xfId="1753" xr:uid="{00000000-0005-0000-0000-000094040000}"/>
    <cellStyle name="40% - Accent6 39" xfId="1754" xr:uid="{00000000-0005-0000-0000-000095040000}"/>
    <cellStyle name="40% - Accent6 39 2" xfId="1755" xr:uid="{00000000-0005-0000-0000-000096040000}"/>
    <cellStyle name="40% - Accent6 4" xfId="253" xr:uid="{00000000-0005-0000-0000-000097040000}"/>
    <cellStyle name="40% - Accent6 4 2" xfId="1756" xr:uid="{00000000-0005-0000-0000-000098040000}"/>
    <cellStyle name="40% - Accent6 40" xfId="1757" xr:uid="{00000000-0005-0000-0000-000099040000}"/>
    <cellStyle name="40% - Accent6 40 2" xfId="1758" xr:uid="{00000000-0005-0000-0000-00009A040000}"/>
    <cellStyle name="40% - Accent6 41" xfId="1759" xr:uid="{00000000-0005-0000-0000-00009B040000}"/>
    <cellStyle name="40% - Accent6 41 2" xfId="1760" xr:uid="{00000000-0005-0000-0000-00009C040000}"/>
    <cellStyle name="40% - Accent6 42" xfId="1761" xr:uid="{00000000-0005-0000-0000-00009D040000}"/>
    <cellStyle name="40% - Accent6 42 2" xfId="1762" xr:uid="{00000000-0005-0000-0000-00009E040000}"/>
    <cellStyle name="40% - Accent6 43" xfId="1763" xr:uid="{00000000-0005-0000-0000-00009F040000}"/>
    <cellStyle name="40% - Accent6 43 2" xfId="1764" xr:uid="{00000000-0005-0000-0000-0000A0040000}"/>
    <cellStyle name="40% - Accent6 44" xfId="1765" xr:uid="{00000000-0005-0000-0000-0000A1040000}"/>
    <cellStyle name="40% - Accent6 44 2" xfId="1766" xr:uid="{00000000-0005-0000-0000-0000A2040000}"/>
    <cellStyle name="40% - Accent6 45" xfId="1767" xr:uid="{00000000-0005-0000-0000-0000A3040000}"/>
    <cellStyle name="40% - Accent6 45 2" xfId="1768" xr:uid="{00000000-0005-0000-0000-0000A4040000}"/>
    <cellStyle name="40% - Accent6 46" xfId="1769" xr:uid="{00000000-0005-0000-0000-0000A5040000}"/>
    <cellStyle name="40% - Accent6 46 2" xfId="1770" xr:uid="{00000000-0005-0000-0000-0000A6040000}"/>
    <cellStyle name="40% - Accent6 47" xfId="1771" xr:uid="{00000000-0005-0000-0000-0000A7040000}"/>
    <cellStyle name="40% - Accent6 47 2" xfId="1772" xr:uid="{00000000-0005-0000-0000-0000A8040000}"/>
    <cellStyle name="40% - Accent6 48" xfId="1773" xr:uid="{00000000-0005-0000-0000-0000A9040000}"/>
    <cellStyle name="40% - Accent6 48 2" xfId="1774" xr:uid="{00000000-0005-0000-0000-0000AA040000}"/>
    <cellStyle name="40% - Accent6 49" xfId="1775" xr:uid="{00000000-0005-0000-0000-0000AB040000}"/>
    <cellStyle name="40% - Accent6 49 2" xfId="1776" xr:uid="{00000000-0005-0000-0000-0000AC040000}"/>
    <cellStyle name="40% - Accent6 5" xfId="254" xr:uid="{00000000-0005-0000-0000-0000AD040000}"/>
    <cellStyle name="40% - Accent6 5 2" xfId="1777" xr:uid="{00000000-0005-0000-0000-0000AE040000}"/>
    <cellStyle name="40% - Accent6 50" xfId="1778" xr:uid="{00000000-0005-0000-0000-0000AF040000}"/>
    <cellStyle name="40% - Accent6 50 2" xfId="1779" xr:uid="{00000000-0005-0000-0000-0000B0040000}"/>
    <cellStyle name="40% - Accent6 51" xfId="1780" xr:uid="{00000000-0005-0000-0000-0000B1040000}"/>
    <cellStyle name="40% - Accent6 51 2" xfId="1781" xr:uid="{00000000-0005-0000-0000-0000B2040000}"/>
    <cellStyle name="40% - Accent6 52" xfId="1782" xr:uid="{00000000-0005-0000-0000-0000B3040000}"/>
    <cellStyle name="40% - Accent6 6" xfId="255" xr:uid="{00000000-0005-0000-0000-0000B4040000}"/>
    <cellStyle name="40% - Accent6 6 2" xfId="1783" xr:uid="{00000000-0005-0000-0000-0000B5040000}"/>
    <cellStyle name="40% - Accent6 7" xfId="256" xr:uid="{00000000-0005-0000-0000-0000B6040000}"/>
    <cellStyle name="40% - Accent6 7 2" xfId="1784" xr:uid="{00000000-0005-0000-0000-0000B7040000}"/>
    <cellStyle name="40% - Accent6 8" xfId="257" xr:uid="{00000000-0005-0000-0000-0000B8040000}"/>
    <cellStyle name="40% - Accent6 8 2" xfId="1785" xr:uid="{00000000-0005-0000-0000-0000B9040000}"/>
    <cellStyle name="40% - Accent6 9" xfId="258" xr:uid="{00000000-0005-0000-0000-0000BA040000}"/>
    <cellStyle name="40% - Accent6 9 2" xfId="1786" xr:uid="{00000000-0005-0000-0000-0000BB040000}"/>
    <cellStyle name="60% - Accent1" xfId="21" builtinId="32" customBuiltin="1"/>
    <cellStyle name="60% - Accent1 10" xfId="259" xr:uid="{00000000-0005-0000-0000-0000BD040000}"/>
    <cellStyle name="60% - Accent1 10 2" xfId="1787" xr:uid="{00000000-0005-0000-0000-0000BE040000}"/>
    <cellStyle name="60% - Accent1 11" xfId="260" xr:uid="{00000000-0005-0000-0000-0000BF040000}"/>
    <cellStyle name="60% - Accent1 11 2" xfId="1788" xr:uid="{00000000-0005-0000-0000-0000C0040000}"/>
    <cellStyle name="60% - Accent1 12" xfId="261" xr:uid="{00000000-0005-0000-0000-0000C1040000}"/>
    <cellStyle name="60% - Accent1 12 2" xfId="1789" xr:uid="{00000000-0005-0000-0000-0000C2040000}"/>
    <cellStyle name="60% - Accent1 13" xfId="262" xr:uid="{00000000-0005-0000-0000-0000C3040000}"/>
    <cellStyle name="60% - Accent1 13 2" xfId="1790" xr:uid="{00000000-0005-0000-0000-0000C4040000}"/>
    <cellStyle name="60% - Accent1 14" xfId="263" xr:uid="{00000000-0005-0000-0000-0000C5040000}"/>
    <cellStyle name="60% - Accent1 14 2" xfId="1791" xr:uid="{00000000-0005-0000-0000-0000C6040000}"/>
    <cellStyle name="60% - Accent1 15" xfId="264" xr:uid="{00000000-0005-0000-0000-0000C7040000}"/>
    <cellStyle name="60% - Accent1 15 2" xfId="1792" xr:uid="{00000000-0005-0000-0000-0000C8040000}"/>
    <cellStyle name="60% - Accent1 16" xfId="265" xr:uid="{00000000-0005-0000-0000-0000C9040000}"/>
    <cellStyle name="60% - Accent1 16 2" xfId="1793" xr:uid="{00000000-0005-0000-0000-0000CA040000}"/>
    <cellStyle name="60% - Accent1 17" xfId="266" xr:uid="{00000000-0005-0000-0000-0000CB040000}"/>
    <cellStyle name="60% - Accent1 17 2" xfId="1794" xr:uid="{00000000-0005-0000-0000-0000CC040000}"/>
    <cellStyle name="60% - Accent1 18" xfId="267" xr:uid="{00000000-0005-0000-0000-0000CD040000}"/>
    <cellStyle name="60% - Accent1 18 2" xfId="1795" xr:uid="{00000000-0005-0000-0000-0000CE040000}"/>
    <cellStyle name="60% - Accent1 19" xfId="268" xr:uid="{00000000-0005-0000-0000-0000CF040000}"/>
    <cellStyle name="60% - Accent1 19 2" xfId="1796" xr:uid="{00000000-0005-0000-0000-0000D0040000}"/>
    <cellStyle name="60% - Accent1 2" xfId="269" xr:uid="{00000000-0005-0000-0000-0000D1040000}"/>
    <cellStyle name="60% - Accent1 20" xfId="1797" xr:uid="{00000000-0005-0000-0000-0000D2040000}"/>
    <cellStyle name="60% - Accent1 20 2" xfId="1798" xr:uid="{00000000-0005-0000-0000-0000D3040000}"/>
    <cellStyle name="60% - Accent1 21" xfId="1799" xr:uid="{00000000-0005-0000-0000-0000D4040000}"/>
    <cellStyle name="60% - Accent1 21 2" xfId="1800" xr:uid="{00000000-0005-0000-0000-0000D5040000}"/>
    <cellStyle name="60% - Accent1 22" xfId="1801" xr:uid="{00000000-0005-0000-0000-0000D6040000}"/>
    <cellStyle name="60% - Accent1 22 2" xfId="1802" xr:uid="{00000000-0005-0000-0000-0000D7040000}"/>
    <cellStyle name="60% - Accent1 23" xfId="1803" xr:uid="{00000000-0005-0000-0000-0000D8040000}"/>
    <cellStyle name="60% - Accent1 23 2" xfId="1804" xr:uid="{00000000-0005-0000-0000-0000D9040000}"/>
    <cellStyle name="60% - Accent1 24" xfId="1805" xr:uid="{00000000-0005-0000-0000-0000DA040000}"/>
    <cellStyle name="60% - Accent1 24 2" xfId="1806" xr:uid="{00000000-0005-0000-0000-0000DB040000}"/>
    <cellStyle name="60% - Accent1 25" xfId="1807" xr:uid="{00000000-0005-0000-0000-0000DC040000}"/>
    <cellStyle name="60% - Accent1 25 2" xfId="1808" xr:uid="{00000000-0005-0000-0000-0000DD040000}"/>
    <cellStyle name="60% - Accent1 26" xfId="1809" xr:uid="{00000000-0005-0000-0000-0000DE040000}"/>
    <cellStyle name="60% - Accent1 26 2" xfId="1810" xr:uid="{00000000-0005-0000-0000-0000DF040000}"/>
    <cellStyle name="60% - Accent1 27" xfId="1811" xr:uid="{00000000-0005-0000-0000-0000E0040000}"/>
    <cellStyle name="60% - Accent1 27 2" xfId="1812" xr:uid="{00000000-0005-0000-0000-0000E1040000}"/>
    <cellStyle name="60% - Accent1 28" xfId="1813" xr:uid="{00000000-0005-0000-0000-0000E2040000}"/>
    <cellStyle name="60% - Accent1 28 2" xfId="1814" xr:uid="{00000000-0005-0000-0000-0000E3040000}"/>
    <cellStyle name="60% - Accent1 29" xfId="1815" xr:uid="{00000000-0005-0000-0000-0000E4040000}"/>
    <cellStyle name="60% - Accent1 29 2" xfId="1816" xr:uid="{00000000-0005-0000-0000-0000E5040000}"/>
    <cellStyle name="60% - Accent1 3" xfId="270" xr:uid="{00000000-0005-0000-0000-0000E6040000}"/>
    <cellStyle name="60% - Accent1 3 2" xfId="1817" xr:uid="{00000000-0005-0000-0000-0000E7040000}"/>
    <cellStyle name="60% - Accent1 30" xfId="1818" xr:uid="{00000000-0005-0000-0000-0000E8040000}"/>
    <cellStyle name="60% - Accent1 30 2" xfId="1819" xr:uid="{00000000-0005-0000-0000-0000E9040000}"/>
    <cellStyle name="60% - Accent1 31" xfId="1820" xr:uid="{00000000-0005-0000-0000-0000EA040000}"/>
    <cellStyle name="60% - Accent1 31 2" xfId="1821" xr:uid="{00000000-0005-0000-0000-0000EB040000}"/>
    <cellStyle name="60% - Accent1 32" xfId="1822" xr:uid="{00000000-0005-0000-0000-0000EC040000}"/>
    <cellStyle name="60% - Accent1 32 2" xfId="1823" xr:uid="{00000000-0005-0000-0000-0000ED040000}"/>
    <cellStyle name="60% - Accent1 33" xfId="1824" xr:uid="{00000000-0005-0000-0000-0000EE040000}"/>
    <cellStyle name="60% - Accent1 33 2" xfId="1825" xr:uid="{00000000-0005-0000-0000-0000EF040000}"/>
    <cellStyle name="60% - Accent1 34" xfId="1826" xr:uid="{00000000-0005-0000-0000-0000F0040000}"/>
    <cellStyle name="60% - Accent1 34 2" xfId="1827" xr:uid="{00000000-0005-0000-0000-0000F1040000}"/>
    <cellStyle name="60% - Accent1 35" xfId="1828" xr:uid="{00000000-0005-0000-0000-0000F2040000}"/>
    <cellStyle name="60% - Accent1 35 2" xfId="1829" xr:uid="{00000000-0005-0000-0000-0000F3040000}"/>
    <cellStyle name="60% - Accent1 36" xfId="1830" xr:uid="{00000000-0005-0000-0000-0000F4040000}"/>
    <cellStyle name="60% - Accent1 36 2" xfId="1831" xr:uid="{00000000-0005-0000-0000-0000F5040000}"/>
    <cellStyle name="60% - Accent1 37" xfId="1832" xr:uid="{00000000-0005-0000-0000-0000F6040000}"/>
    <cellStyle name="60% - Accent1 37 2" xfId="1833" xr:uid="{00000000-0005-0000-0000-0000F7040000}"/>
    <cellStyle name="60% - Accent1 38" xfId="1834" xr:uid="{00000000-0005-0000-0000-0000F8040000}"/>
    <cellStyle name="60% - Accent1 38 2" xfId="1835" xr:uid="{00000000-0005-0000-0000-0000F9040000}"/>
    <cellStyle name="60% - Accent1 39" xfId="1836" xr:uid="{00000000-0005-0000-0000-0000FA040000}"/>
    <cellStyle name="60% - Accent1 39 2" xfId="1837" xr:uid="{00000000-0005-0000-0000-0000FB040000}"/>
    <cellStyle name="60% - Accent1 4" xfId="271" xr:uid="{00000000-0005-0000-0000-0000FC040000}"/>
    <cellStyle name="60% - Accent1 4 2" xfId="1838" xr:uid="{00000000-0005-0000-0000-0000FD040000}"/>
    <cellStyle name="60% - Accent1 40" xfId="1839" xr:uid="{00000000-0005-0000-0000-0000FE040000}"/>
    <cellStyle name="60% - Accent1 40 2" xfId="1840" xr:uid="{00000000-0005-0000-0000-0000FF040000}"/>
    <cellStyle name="60% - Accent1 41" xfId="1841" xr:uid="{00000000-0005-0000-0000-000000050000}"/>
    <cellStyle name="60% - Accent1 41 2" xfId="1842" xr:uid="{00000000-0005-0000-0000-000001050000}"/>
    <cellStyle name="60% - Accent1 42" xfId="1843" xr:uid="{00000000-0005-0000-0000-000002050000}"/>
    <cellStyle name="60% - Accent1 42 2" xfId="1844" xr:uid="{00000000-0005-0000-0000-000003050000}"/>
    <cellStyle name="60% - Accent1 43" xfId="1845" xr:uid="{00000000-0005-0000-0000-000004050000}"/>
    <cellStyle name="60% - Accent1 43 2" xfId="1846" xr:uid="{00000000-0005-0000-0000-000005050000}"/>
    <cellStyle name="60% - Accent1 44" xfId="1847" xr:uid="{00000000-0005-0000-0000-000006050000}"/>
    <cellStyle name="60% - Accent1 44 2" xfId="1848" xr:uid="{00000000-0005-0000-0000-000007050000}"/>
    <cellStyle name="60% - Accent1 45" xfId="1849" xr:uid="{00000000-0005-0000-0000-000008050000}"/>
    <cellStyle name="60% - Accent1 45 2" xfId="1850" xr:uid="{00000000-0005-0000-0000-000009050000}"/>
    <cellStyle name="60% - Accent1 46" xfId="1851" xr:uid="{00000000-0005-0000-0000-00000A050000}"/>
    <cellStyle name="60% - Accent1 46 2" xfId="1852" xr:uid="{00000000-0005-0000-0000-00000B050000}"/>
    <cellStyle name="60% - Accent1 47" xfId="1853" xr:uid="{00000000-0005-0000-0000-00000C050000}"/>
    <cellStyle name="60% - Accent1 47 2" xfId="1854" xr:uid="{00000000-0005-0000-0000-00000D050000}"/>
    <cellStyle name="60% - Accent1 48" xfId="1855" xr:uid="{00000000-0005-0000-0000-00000E050000}"/>
    <cellStyle name="60% - Accent1 48 2" xfId="1856" xr:uid="{00000000-0005-0000-0000-00000F050000}"/>
    <cellStyle name="60% - Accent1 49" xfId="1857" xr:uid="{00000000-0005-0000-0000-000010050000}"/>
    <cellStyle name="60% - Accent1 49 2" xfId="1858" xr:uid="{00000000-0005-0000-0000-000011050000}"/>
    <cellStyle name="60% - Accent1 5" xfId="272" xr:uid="{00000000-0005-0000-0000-000012050000}"/>
    <cellStyle name="60% - Accent1 5 2" xfId="1859" xr:uid="{00000000-0005-0000-0000-000013050000}"/>
    <cellStyle name="60% - Accent1 50" xfId="1860" xr:uid="{00000000-0005-0000-0000-000014050000}"/>
    <cellStyle name="60% - Accent1 50 2" xfId="1861" xr:uid="{00000000-0005-0000-0000-000015050000}"/>
    <cellStyle name="60% - Accent1 51" xfId="1862" xr:uid="{00000000-0005-0000-0000-000016050000}"/>
    <cellStyle name="60% - Accent1 51 2" xfId="1863" xr:uid="{00000000-0005-0000-0000-000017050000}"/>
    <cellStyle name="60% - Accent1 52" xfId="1864" xr:uid="{00000000-0005-0000-0000-000018050000}"/>
    <cellStyle name="60% - Accent1 6" xfId="273" xr:uid="{00000000-0005-0000-0000-000019050000}"/>
    <cellStyle name="60% - Accent1 6 2" xfId="1865" xr:uid="{00000000-0005-0000-0000-00001A050000}"/>
    <cellStyle name="60% - Accent1 7" xfId="274" xr:uid="{00000000-0005-0000-0000-00001B050000}"/>
    <cellStyle name="60% - Accent1 7 2" xfId="1866" xr:uid="{00000000-0005-0000-0000-00001C050000}"/>
    <cellStyle name="60% - Accent1 8" xfId="275" xr:uid="{00000000-0005-0000-0000-00001D050000}"/>
    <cellStyle name="60% - Accent1 8 2" xfId="1867" xr:uid="{00000000-0005-0000-0000-00001E050000}"/>
    <cellStyle name="60% - Accent1 9" xfId="276" xr:uid="{00000000-0005-0000-0000-00001F050000}"/>
    <cellStyle name="60% - Accent1 9 2" xfId="1868" xr:uid="{00000000-0005-0000-0000-000020050000}"/>
    <cellStyle name="60% - Accent2" xfId="25" builtinId="36" customBuiltin="1"/>
    <cellStyle name="60% - Accent2 10" xfId="277" xr:uid="{00000000-0005-0000-0000-000022050000}"/>
    <cellStyle name="60% - Accent2 10 2" xfId="1869" xr:uid="{00000000-0005-0000-0000-000023050000}"/>
    <cellStyle name="60% - Accent2 11" xfId="278" xr:uid="{00000000-0005-0000-0000-000024050000}"/>
    <cellStyle name="60% - Accent2 11 2" xfId="1870" xr:uid="{00000000-0005-0000-0000-000025050000}"/>
    <cellStyle name="60% - Accent2 12" xfId="279" xr:uid="{00000000-0005-0000-0000-000026050000}"/>
    <cellStyle name="60% - Accent2 12 2" xfId="1871" xr:uid="{00000000-0005-0000-0000-000027050000}"/>
    <cellStyle name="60% - Accent2 13" xfId="280" xr:uid="{00000000-0005-0000-0000-000028050000}"/>
    <cellStyle name="60% - Accent2 13 2" xfId="1872" xr:uid="{00000000-0005-0000-0000-000029050000}"/>
    <cellStyle name="60% - Accent2 14" xfId="281" xr:uid="{00000000-0005-0000-0000-00002A050000}"/>
    <cellStyle name="60% - Accent2 14 2" xfId="1873" xr:uid="{00000000-0005-0000-0000-00002B050000}"/>
    <cellStyle name="60% - Accent2 15" xfId="282" xr:uid="{00000000-0005-0000-0000-00002C050000}"/>
    <cellStyle name="60% - Accent2 15 2" xfId="1874" xr:uid="{00000000-0005-0000-0000-00002D050000}"/>
    <cellStyle name="60% - Accent2 16" xfId="283" xr:uid="{00000000-0005-0000-0000-00002E050000}"/>
    <cellStyle name="60% - Accent2 16 2" xfId="1875" xr:uid="{00000000-0005-0000-0000-00002F050000}"/>
    <cellStyle name="60% - Accent2 17" xfId="284" xr:uid="{00000000-0005-0000-0000-000030050000}"/>
    <cellStyle name="60% - Accent2 17 2" xfId="1876" xr:uid="{00000000-0005-0000-0000-000031050000}"/>
    <cellStyle name="60% - Accent2 18" xfId="285" xr:uid="{00000000-0005-0000-0000-000032050000}"/>
    <cellStyle name="60% - Accent2 18 2" xfId="1877" xr:uid="{00000000-0005-0000-0000-000033050000}"/>
    <cellStyle name="60% - Accent2 19" xfId="286" xr:uid="{00000000-0005-0000-0000-000034050000}"/>
    <cellStyle name="60% - Accent2 19 2" xfId="1878" xr:uid="{00000000-0005-0000-0000-000035050000}"/>
    <cellStyle name="60% - Accent2 2" xfId="287" xr:uid="{00000000-0005-0000-0000-000036050000}"/>
    <cellStyle name="60% - Accent2 20" xfId="1879" xr:uid="{00000000-0005-0000-0000-000037050000}"/>
    <cellStyle name="60% - Accent2 20 2" xfId="1880" xr:uid="{00000000-0005-0000-0000-000038050000}"/>
    <cellStyle name="60% - Accent2 21" xfId="1881" xr:uid="{00000000-0005-0000-0000-000039050000}"/>
    <cellStyle name="60% - Accent2 21 2" xfId="1882" xr:uid="{00000000-0005-0000-0000-00003A050000}"/>
    <cellStyle name="60% - Accent2 22" xfId="1883" xr:uid="{00000000-0005-0000-0000-00003B050000}"/>
    <cellStyle name="60% - Accent2 22 2" xfId="1884" xr:uid="{00000000-0005-0000-0000-00003C050000}"/>
    <cellStyle name="60% - Accent2 23" xfId="1885" xr:uid="{00000000-0005-0000-0000-00003D050000}"/>
    <cellStyle name="60% - Accent2 23 2" xfId="1886" xr:uid="{00000000-0005-0000-0000-00003E050000}"/>
    <cellStyle name="60% - Accent2 24" xfId="1887" xr:uid="{00000000-0005-0000-0000-00003F050000}"/>
    <cellStyle name="60% - Accent2 24 2" xfId="1888" xr:uid="{00000000-0005-0000-0000-000040050000}"/>
    <cellStyle name="60% - Accent2 25" xfId="1889" xr:uid="{00000000-0005-0000-0000-000041050000}"/>
    <cellStyle name="60% - Accent2 25 2" xfId="1890" xr:uid="{00000000-0005-0000-0000-000042050000}"/>
    <cellStyle name="60% - Accent2 26" xfId="1891" xr:uid="{00000000-0005-0000-0000-000043050000}"/>
    <cellStyle name="60% - Accent2 26 2" xfId="1892" xr:uid="{00000000-0005-0000-0000-000044050000}"/>
    <cellStyle name="60% - Accent2 27" xfId="1893" xr:uid="{00000000-0005-0000-0000-000045050000}"/>
    <cellStyle name="60% - Accent2 27 2" xfId="1894" xr:uid="{00000000-0005-0000-0000-000046050000}"/>
    <cellStyle name="60% - Accent2 28" xfId="1895" xr:uid="{00000000-0005-0000-0000-000047050000}"/>
    <cellStyle name="60% - Accent2 28 2" xfId="1896" xr:uid="{00000000-0005-0000-0000-000048050000}"/>
    <cellStyle name="60% - Accent2 29" xfId="1897" xr:uid="{00000000-0005-0000-0000-000049050000}"/>
    <cellStyle name="60% - Accent2 29 2" xfId="1898" xr:uid="{00000000-0005-0000-0000-00004A050000}"/>
    <cellStyle name="60% - Accent2 3" xfId="288" xr:uid="{00000000-0005-0000-0000-00004B050000}"/>
    <cellStyle name="60% - Accent2 3 2" xfId="1899" xr:uid="{00000000-0005-0000-0000-00004C050000}"/>
    <cellStyle name="60% - Accent2 30" xfId="1900" xr:uid="{00000000-0005-0000-0000-00004D050000}"/>
    <cellStyle name="60% - Accent2 30 2" xfId="1901" xr:uid="{00000000-0005-0000-0000-00004E050000}"/>
    <cellStyle name="60% - Accent2 31" xfId="1902" xr:uid="{00000000-0005-0000-0000-00004F050000}"/>
    <cellStyle name="60% - Accent2 31 2" xfId="1903" xr:uid="{00000000-0005-0000-0000-000050050000}"/>
    <cellStyle name="60% - Accent2 32" xfId="1904" xr:uid="{00000000-0005-0000-0000-000051050000}"/>
    <cellStyle name="60% - Accent2 32 2" xfId="1905" xr:uid="{00000000-0005-0000-0000-000052050000}"/>
    <cellStyle name="60% - Accent2 33" xfId="1906" xr:uid="{00000000-0005-0000-0000-000053050000}"/>
    <cellStyle name="60% - Accent2 33 2" xfId="1907" xr:uid="{00000000-0005-0000-0000-000054050000}"/>
    <cellStyle name="60% - Accent2 34" xfId="1908" xr:uid="{00000000-0005-0000-0000-000055050000}"/>
    <cellStyle name="60% - Accent2 34 2" xfId="1909" xr:uid="{00000000-0005-0000-0000-000056050000}"/>
    <cellStyle name="60% - Accent2 35" xfId="1910" xr:uid="{00000000-0005-0000-0000-000057050000}"/>
    <cellStyle name="60% - Accent2 35 2" xfId="1911" xr:uid="{00000000-0005-0000-0000-000058050000}"/>
    <cellStyle name="60% - Accent2 36" xfId="1912" xr:uid="{00000000-0005-0000-0000-000059050000}"/>
    <cellStyle name="60% - Accent2 36 2" xfId="1913" xr:uid="{00000000-0005-0000-0000-00005A050000}"/>
    <cellStyle name="60% - Accent2 37" xfId="1914" xr:uid="{00000000-0005-0000-0000-00005B050000}"/>
    <cellStyle name="60% - Accent2 37 2" xfId="1915" xr:uid="{00000000-0005-0000-0000-00005C050000}"/>
    <cellStyle name="60% - Accent2 38" xfId="1916" xr:uid="{00000000-0005-0000-0000-00005D050000}"/>
    <cellStyle name="60% - Accent2 38 2" xfId="1917" xr:uid="{00000000-0005-0000-0000-00005E050000}"/>
    <cellStyle name="60% - Accent2 39" xfId="1918" xr:uid="{00000000-0005-0000-0000-00005F050000}"/>
    <cellStyle name="60% - Accent2 39 2" xfId="1919" xr:uid="{00000000-0005-0000-0000-000060050000}"/>
    <cellStyle name="60% - Accent2 4" xfId="289" xr:uid="{00000000-0005-0000-0000-000061050000}"/>
    <cellStyle name="60% - Accent2 4 2" xfId="1920" xr:uid="{00000000-0005-0000-0000-000062050000}"/>
    <cellStyle name="60% - Accent2 40" xfId="1921" xr:uid="{00000000-0005-0000-0000-000063050000}"/>
    <cellStyle name="60% - Accent2 40 2" xfId="1922" xr:uid="{00000000-0005-0000-0000-000064050000}"/>
    <cellStyle name="60% - Accent2 41" xfId="1923" xr:uid="{00000000-0005-0000-0000-000065050000}"/>
    <cellStyle name="60% - Accent2 41 2" xfId="1924" xr:uid="{00000000-0005-0000-0000-000066050000}"/>
    <cellStyle name="60% - Accent2 42" xfId="1925" xr:uid="{00000000-0005-0000-0000-000067050000}"/>
    <cellStyle name="60% - Accent2 42 2" xfId="1926" xr:uid="{00000000-0005-0000-0000-000068050000}"/>
    <cellStyle name="60% - Accent2 43" xfId="1927" xr:uid="{00000000-0005-0000-0000-000069050000}"/>
    <cellStyle name="60% - Accent2 43 2" xfId="1928" xr:uid="{00000000-0005-0000-0000-00006A050000}"/>
    <cellStyle name="60% - Accent2 44" xfId="1929" xr:uid="{00000000-0005-0000-0000-00006B050000}"/>
    <cellStyle name="60% - Accent2 44 2" xfId="1930" xr:uid="{00000000-0005-0000-0000-00006C050000}"/>
    <cellStyle name="60% - Accent2 45" xfId="1931" xr:uid="{00000000-0005-0000-0000-00006D050000}"/>
    <cellStyle name="60% - Accent2 45 2" xfId="1932" xr:uid="{00000000-0005-0000-0000-00006E050000}"/>
    <cellStyle name="60% - Accent2 46" xfId="1933" xr:uid="{00000000-0005-0000-0000-00006F050000}"/>
    <cellStyle name="60% - Accent2 46 2" xfId="1934" xr:uid="{00000000-0005-0000-0000-000070050000}"/>
    <cellStyle name="60% - Accent2 47" xfId="1935" xr:uid="{00000000-0005-0000-0000-000071050000}"/>
    <cellStyle name="60% - Accent2 47 2" xfId="1936" xr:uid="{00000000-0005-0000-0000-000072050000}"/>
    <cellStyle name="60% - Accent2 48" xfId="1937" xr:uid="{00000000-0005-0000-0000-000073050000}"/>
    <cellStyle name="60% - Accent2 48 2" xfId="1938" xr:uid="{00000000-0005-0000-0000-000074050000}"/>
    <cellStyle name="60% - Accent2 49" xfId="1939" xr:uid="{00000000-0005-0000-0000-000075050000}"/>
    <cellStyle name="60% - Accent2 49 2" xfId="1940" xr:uid="{00000000-0005-0000-0000-000076050000}"/>
    <cellStyle name="60% - Accent2 5" xfId="290" xr:uid="{00000000-0005-0000-0000-000077050000}"/>
    <cellStyle name="60% - Accent2 5 2" xfId="1941" xr:uid="{00000000-0005-0000-0000-000078050000}"/>
    <cellStyle name="60% - Accent2 50" xfId="1942" xr:uid="{00000000-0005-0000-0000-000079050000}"/>
    <cellStyle name="60% - Accent2 50 2" xfId="1943" xr:uid="{00000000-0005-0000-0000-00007A050000}"/>
    <cellStyle name="60% - Accent2 51" xfId="1944" xr:uid="{00000000-0005-0000-0000-00007B050000}"/>
    <cellStyle name="60% - Accent2 51 2" xfId="1945" xr:uid="{00000000-0005-0000-0000-00007C050000}"/>
    <cellStyle name="60% - Accent2 52" xfId="1946" xr:uid="{00000000-0005-0000-0000-00007D050000}"/>
    <cellStyle name="60% - Accent2 6" xfId="291" xr:uid="{00000000-0005-0000-0000-00007E050000}"/>
    <cellStyle name="60% - Accent2 6 2" xfId="1947" xr:uid="{00000000-0005-0000-0000-00007F050000}"/>
    <cellStyle name="60% - Accent2 7" xfId="292" xr:uid="{00000000-0005-0000-0000-000080050000}"/>
    <cellStyle name="60% - Accent2 7 2" xfId="1948" xr:uid="{00000000-0005-0000-0000-000081050000}"/>
    <cellStyle name="60% - Accent2 8" xfId="293" xr:uid="{00000000-0005-0000-0000-000082050000}"/>
    <cellStyle name="60% - Accent2 8 2" xfId="1949" xr:uid="{00000000-0005-0000-0000-000083050000}"/>
    <cellStyle name="60% - Accent2 9" xfId="294" xr:uid="{00000000-0005-0000-0000-000084050000}"/>
    <cellStyle name="60% - Accent2 9 2" xfId="1950" xr:uid="{00000000-0005-0000-0000-000085050000}"/>
    <cellStyle name="60% - Accent3" xfId="29" builtinId="40" customBuiltin="1"/>
    <cellStyle name="60% - Accent3 10" xfId="295" xr:uid="{00000000-0005-0000-0000-000087050000}"/>
    <cellStyle name="60% - Accent3 10 2" xfId="1951" xr:uid="{00000000-0005-0000-0000-000088050000}"/>
    <cellStyle name="60% - Accent3 11" xfId="296" xr:uid="{00000000-0005-0000-0000-000089050000}"/>
    <cellStyle name="60% - Accent3 11 2" xfId="1952" xr:uid="{00000000-0005-0000-0000-00008A050000}"/>
    <cellStyle name="60% - Accent3 12" xfId="297" xr:uid="{00000000-0005-0000-0000-00008B050000}"/>
    <cellStyle name="60% - Accent3 12 2" xfId="1953" xr:uid="{00000000-0005-0000-0000-00008C050000}"/>
    <cellStyle name="60% - Accent3 13" xfId="298" xr:uid="{00000000-0005-0000-0000-00008D050000}"/>
    <cellStyle name="60% - Accent3 13 2" xfId="1954" xr:uid="{00000000-0005-0000-0000-00008E050000}"/>
    <cellStyle name="60% - Accent3 14" xfId="299" xr:uid="{00000000-0005-0000-0000-00008F050000}"/>
    <cellStyle name="60% - Accent3 14 2" xfId="1955" xr:uid="{00000000-0005-0000-0000-000090050000}"/>
    <cellStyle name="60% - Accent3 15" xfId="300" xr:uid="{00000000-0005-0000-0000-000091050000}"/>
    <cellStyle name="60% - Accent3 15 2" xfId="1956" xr:uid="{00000000-0005-0000-0000-000092050000}"/>
    <cellStyle name="60% - Accent3 16" xfId="301" xr:uid="{00000000-0005-0000-0000-000093050000}"/>
    <cellStyle name="60% - Accent3 16 2" xfId="1957" xr:uid="{00000000-0005-0000-0000-000094050000}"/>
    <cellStyle name="60% - Accent3 17" xfId="302" xr:uid="{00000000-0005-0000-0000-000095050000}"/>
    <cellStyle name="60% - Accent3 17 2" xfId="1958" xr:uid="{00000000-0005-0000-0000-000096050000}"/>
    <cellStyle name="60% - Accent3 18" xfId="303" xr:uid="{00000000-0005-0000-0000-000097050000}"/>
    <cellStyle name="60% - Accent3 18 2" xfId="1959" xr:uid="{00000000-0005-0000-0000-000098050000}"/>
    <cellStyle name="60% - Accent3 19" xfId="304" xr:uid="{00000000-0005-0000-0000-000099050000}"/>
    <cellStyle name="60% - Accent3 19 2" xfId="1960" xr:uid="{00000000-0005-0000-0000-00009A050000}"/>
    <cellStyle name="60% - Accent3 2" xfId="305" xr:uid="{00000000-0005-0000-0000-00009B050000}"/>
    <cellStyle name="60% - Accent3 20" xfId="1961" xr:uid="{00000000-0005-0000-0000-00009C050000}"/>
    <cellStyle name="60% - Accent3 20 2" xfId="1962" xr:uid="{00000000-0005-0000-0000-00009D050000}"/>
    <cellStyle name="60% - Accent3 21" xfId="1963" xr:uid="{00000000-0005-0000-0000-00009E050000}"/>
    <cellStyle name="60% - Accent3 21 2" xfId="1964" xr:uid="{00000000-0005-0000-0000-00009F050000}"/>
    <cellStyle name="60% - Accent3 22" xfId="1965" xr:uid="{00000000-0005-0000-0000-0000A0050000}"/>
    <cellStyle name="60% - Accent3 22 2" xfId="1966" xr:uid="{00000000-0005-0000-0000-0000A1050000}"/>
    <cellStyle name="60% - Accent3 23" xfId="1967" xr:uid="{00000000-0005-0000-0000-0000A2050000}"/>
    <cellStyle name="60% - Accent3 23 2" xfId="1968" xr:uid="{00000000-0005-0000-0000-0000A3050000}"/>
    <cellStyle name="60% - Accent3 24" xfId="1969" xr:uid="{00000000-0005-0000-0000-0000A4050000}"/>
    <cellStyle name="60% - Accent3 24 2" xfId="1970" xr:uid="{00000000-0005-0000-0000-0000A5050000}"/>
    <cellStyle name="60% - Accent3 25" xfId="1971" xr:uid="{00000000-0005-0000-0000-0000A6050000}"/>
    <cellStyle name="60% - Accent3 25 2" xfId="1972" xr:uid="{00000000-0005-0000-0000-0000A7050000}"/>
    <cellStyle name="60% - Accent3 26" xfId="1973" xr:uid="{00000000-0005-0000-0000-0000A8050000}"/>
    <cellStyle name="60% - Accent3 26 2" xfId="1974" xr:uid="{00000000-0005-0000-0000-0000A9050000}"/>
    <cellStyle name="60% - Accent3 27" xfId="1975" xr:uid="{00000000-0005-0000-0000-0000AA050000}"/>
    <cellStyle name="60% - Accent3 27 2" xfId="1976" xr:uid="{00000000-0005-0000-0000-0000AB050000}"/>
    <cellStyle name="60% - Accent3 28" xfId="1977" xr:uid="{00000000-0005-0000-0000-0000AC050000}"/>
    <cellStyle name="60% - Accent3 28 2" xfId="1978" xr:uid="{00000000-0005-0000-0000-0000AD050000}"/>
    <cellStyle name="60% - Accent3 29" xfId="1979" xr:uid="{00000000-0005-0000-0000-0000AE050000}"/>
    <cellStyle name="60% - Accent3 29 2" xfId="1980" xr:uid="{00000000-0005-0000-0000-0000AF050000}"/>
    <cellStyle name="60% - Accent3 3" xfId="306" xr:uid="{00000000-0005-0000-0000-0000B0050000}"/>
    <cellStyle name="60% - Accent3 3 2" xfId="1981" xr:uid="{00000000-0005-0000-0000-0000B1050000}"/>
    <cellStyle name="60% - Accent3 30" xfId="1982" xr:uid="{00000000-0005-0000-0000-0000B2050000}"/>
    <cellStyle name="60% - Accent3 30 2" xfId="1983" xr:uid="{00000000-0005-0000-0000-0000B3050000}"/>
    <cellStyle name="60% - Accent3 31" xfId="1984" xr:uid="{00000000-0005-0000-0000-0000B4050000}"/>
    <cellStyle name="60% - Accent3 31 2" xfId="1985" xr:uid="{00000000-0005-0000-0000-0000B5050000}"/>
    <cellStyle name="60% - Accent3 32" xfId="1986" xr:uid="{00000000-0005-0000-0000-0000B6050000}"/>
    <cellStyle name="60% - Accent3 32 2" xfId="1987" xr:uid="{00000000-0005-0000-0000-0000B7050000}"/>
    <cellStyle name="60% - Accent3 33" xfId="1988" xr:uid="{00000000-0005-0000-0000-0000B8050000}"/>
    <cellStyle name="60% - Accent3 33 2" xfId="1989" xr:uid="{00000000-0005-0000-0000-0000B9050000}"/>
    <cellStyle name="60% - Accent3 34" xfId="1990" xr:uid="{00000000-0005-0000-0000-0000BA050000}"/>
    <cellStyle name="60% - Accent3 34 2" xfId="1991" xr:uid="{00000000-0005-0000-0000-0000BB050000}"/>
    <cellStyle name="60% - Accent3 35" xfId="1992" xr:uid="{00000000-0005-0000-0000-0000BC050000}"/>
    <cellStyle name="60% - Accent3 35 2" xfId="1993" xr:uid="{00000000-0005-0000-0000-0000BD050000}"/>
    <cellStyle name="60% - Accent3 36" xfId="1994" xr:uid="{00000000-0005-0000-0000-0000BE050000}"/>
    <cellStyle name="60% - Accent3 36 2" xfId="1995" xr:uid="{00000000-0005-0000-0000-0000BF050000}"/>
    <cellStyle name="60% - Accent3 37" xfId="1996" xr:uid="{00000000-0005-0000-0000-0000C0050000}"/>
    <cellStyle name="60% - Accent3 37 2" xfId="1997" xr:uid="{00000000-0005-0000-0000-0000C1050000}"/>
    <cellStyle name="60% - Accent3 38" xfId="1998" xr:uid="{00000000-0005-0000-0000-0000C2050000}"/>
    <cellStyle name="60% - Accent3 38 2" xfId="1999" xr:uid="{00000000-0005-0000-0000-0000C3050000}"/>
    <cellStyle name="60% - Accent3 39" xfId="2000" xr:uid="{00000000-0005-0000-0000-0000C4050000}"/>
    <cellStyle name="60% - Accent3 39 2" xfId="2001" xr:uid="{00000000-0005-0000-0000-0000C5050000}"/>
    <cellStyle name="60% - Accent3 4" xfId="307" xr:uid="{00000000-0005-0000-0000-0000C6050000}"/>
    <cellStyle name="60% - Accent3 4 2" xfId="2002" xr:uid="{00000000-0005-0000-0000-0000C7050000}"/>
    <cellStyle name="60% - Accent3 40" xfId="2003" xr:uid="{00000000-0005-0000-0000-0000C8050000}"/>
    <cellStyle name="60% - Accent3 40 2" xfId="2004" xr:uid="{00000000-0005-0000-0000-0000C9050000}"/>
    <cellStyle name="60% - Accent3 41" xfId="2005" xr:uid="{00000000-0005-0000-0000-0000CA050000}"/>
    <cellStyle name="60% - Accent3 41 2" xfId="2006" xr:uid="{00000000-0005-0000-0000-0000CB050000}"/>
    <cellStyle name="60% - Accent3 42" xfId="2007" xr:uid="{00000000-0005-0000-0000-0000CC050000}"/>
    <cellStyle name="60% - Accent3 42 2" xfId="2008" xr:uid="{00000000-0005-0000-0000-0000CD050000}"/>
    <cellStyle name="60% - Accent3 43" xfId="2009" xr:uid="{00000000-0005-0000-0000-0000CE050000}"/>
    <cellStyle name="60% - Accent3 43 2" xfId="2010" xr:uid="{00000000-0005-0000-0000-0000CF050000}"/>
    <cellStyle name="60% - Accent3 44" xfId="2011" xr:uid="{00000000-0005-0000-0000-0000D0050000}"/>
    <cellStyle name="60% - Accent3 44 2" xfId="2012" xr:uid="{00000000-0005-0000-0000-0000D1050000}"/>
    <cellStyle name="60% - Accent3 45" xfId="2013" xr:uid="{00000000-0005-0000-0000-0000D2050000}"/>
    <cellStyle name="60% - Accent3 45 2" xfId="2014" xr:uid="{00000000-0005-0000-0000-0000D3050000}"/>
    <cellStyle name="60% - Accent3 46" xfId="2015" xr:uid="{00000000-0005-0000-0000-0000D4050000}"/>
    <cellStyle name="60% - Accent3 46 2" xfId="2016" xr:uid="{00000000-0005-0000-0000-0000D5050000}"/>
    <cellStyle name="60% - Accent3 47" xfId="2017" xr:uid="{00000000-0005-0000-0000-0000D6050000}"/>
    <cellStyle name="60% - Accent3 47 2" xfId="2018" xr:uid="{00000000-0005-0000-0000-0000D7050000}"/>
    <cellStyle name="60% - Accent3 48" xfId="2019" xr:uid="{00000000-0005-0000-0000-0000D8050000}"/>
    <cellStyle name="60% - Accent3 48 2" xfId="2020" xr:uid="{00000000-0005-0000-0000-0000D9050000}"/>
    <cellStyle name="60% - Accent3 49" xfId="2021" xr:uid="{00000000-0005-0000-0000-0000DA050000}"/>
    <cellStyle name="60% - Accent3 49 2" xfId="2022" xr:uid="{00000000-0005-0000-0000-0000DB050000}"/>
    <cellStyle name="60% - Accent3 5" xfId="308" xr:uid="{00000000-0005-0000-0000-0000DC050000}"/>
    <cellStyle name="60% - Accent3 5 2" xfId="2023" xr:uid="{00000000-0005-0000-0000-0000DD050000}"/>
    <cellStyle name="60% - Accent3 50" xfId="2024" xr:uid="{00000000-0005-0000-0000-0000DE050000}"/>
    <cellStyle name="60% - Accent3 50 2" xfId="2025" xr:uid="{00000000-0005-0000-0000-0000DF050000}"/>
    <cellStyle name="60% - Accent3 51" xfId="2026" xr:uid="{00000000-0005-0000-0000-0000E0050000}"/>
    <cellStyle name="60% - Accent3 51 2" xfId="2027" xr:uid="{00000000-0005-0000-0000-0000E1050000}"/>
    <cellStyle name="60% - Accent3 52" xfId="2028" xr:uid="{00000000-0005-0000-0000-0000E2050000}"/>
    <cellStyle name="60% - Accent3 6" xfId="309" xr:uid="{00000000-0005-0000-0000-0000E3050000}"/>
    <cellStyle name="60% - Accent3 6 2" xfId="2029" xr:uid="{00000000-0005-0000-0000-0000E4050000}"/>
    <cellStyle name="60% - Accent3 7" xfId="310" xr:uid="{00000000-0005-0000-0000-0000E5050000}"/>
    <cellStyle name="60% - Accent3 7 2" xfId="2030" xr:uid="{00000000-0005-0000-0000-0000E6050000}"/>
    <cellStyle name="60% - Accent3 8" xfId="311" xr:uid="{00000000-0005-0000-0000-0000E7050000}"/>
    <cellStyle name="60% - Accent3 8 2" xfId="2031" xr:uid="{00000000-0005-0000-0000-0000E8050000}"/>
    <cellStyle name="60% - Accent3 9" xfId="312" xr:uid="{00000000-0005-0000-0000-0000E9050000}"/>
    <cellStyle name="60% - Accent3 9 2" xfId="2032" xr:uid="{00000000-0005-0000-0000-0000EA050000}"/>
    <cellStyle name="60% - Accent4" xfId="33" builtinId="44" customBuiltin="1"/>
    <cellStyle name="60% - Accent4 10" xfId="313" xr:uid="{00000000-0005-0000-0000-0000EC050000}"/>
    <cellStyle name="60% - Accent4 10 2" xfId="2033" xr:uid="{00000000-0005-0000-0000-0000ED050000}"/>
    <cellStyle name="60% - Accent4 11" xfId="314" xr:uid="{00000000-0005-0000-0000-0000EE050000}"/>
    <cellStyle name="60% - Accent4 11 2" xfId="2034" xr:uid="{00000000-0005-0000-0000-0000EF050000}"/>
    <cellStyle name="60% - Accent4 12" xfId="315" xr:uid="{00000000-0005-0000-0000-0000F0050000}"/>
    <cellStyle name="60% - Accent4 12 2" xfId="2035" xr:uid="{00000000-0005-0000-0000-0000F1050000}"/>
    <cellStyle name="60% - Accent4 13" xfId="316" xr:uid="{00000000-0005-0000-0000-0000F2050000}"/>
    <cellStyle name="60% - Accent4 13 2" xfId="2036" xr:uid="{00000000-0005-0000-0000-0000F3050000}"/>
    <cellStyle name="60% - Accent4 14" xfId="317" xr:uid="{00000000-0005-0000-0000-0000F4050000}"/>
    <cellStyle name="60% - Accent4 14 2" xfId="2037" xr:uid="{00000000-0005-0000-0000-0000F5050000}"/>
    <cellStyle name="60% - Accent4 15" xfId="318" xr:uid="{00000000-0005-0000-0000-0000F6050000}"/>
    <cellStyle name="60% - Accent4 15 2" xfId="2038" xr:uid="{00000000-0005-0000-0000-0000F7050000}"/>
    <cellStyle name="60% - Accent4 16" xfId="319" xr:uid="{00000000-0005-0000-0000-0000F8050000}"/>
    <cellStyle name="60% - Accent4 16 2" xfId="2039" xr:uid="{00000000-0005-0000-0000-0000F9050000}"/>
    <cellStyle name="60% - Accent4 17" xfId="320" xr:uid="{00000000-0005-0000-0000-0000FA050000}"/>
    <cellStyle name="60% - Accent4 17 2" xfId="2040" xr:uid="{00000000-0005-0000-0000-0000FB050000}"/>
    <cellStyle name="60% - Accent4 18" xfId="321" xr:uid="{00000000-0005-0000-0000-0000FC050000}"/>
    <cellStyle name="60% - Accent4 18 2" xfId="2041" xr:uid="{00000000-0005-0000-0000-0000FD050000}"/>
    <cellStyle name="60% - Accent4 19" xfId="322" xr:uid="{00000000-0005-0000-0000-0000FE050000}"/>
    <cellStyle name="60% - Accent4 19 2" xfId="2042" xr:uid="{00000000-0005-0000-0000-0000FF050000}"/>
    <cellStyle name="60% - Accent4 2" xfId="323" xr:uid="{00000000-0005-0000-0000-000000060000}"/>
    <cellStyle name="60% - Accent4 20" xfId="2043" xr:uid="{00000000-0005-0000-0000-000001060000}"/>
    <cellStyle name="60% - Accent4 20 2" xfId="2044" xr:uid="{00000000-0005-0000-0000-000002060000}"/>
    <cellStyle name="60% - Accent4 21" xfId="2045" xr:uid="{00000000-0005-0000-0000-000003060000}"/>
    <cellStyle name="60% - Accent4 21 2" xfId="2046" xr:uid="{00000000-0005-0000-0000-000004060000}"/>
    <cellStyle name="60% - Accent4 22" xfId="2047" xr:uid="{00000000-0005-0000-0000-000005060000}"/>
    <cellStyle name="60% - Accent4 22 2" xfId="2048" xr:uid="{00000000-0005-0000-0000-000006060000}"/>
    <cellStyle name="60% - Accent4 23" xfId="2049" xr:uid="{00000000-0005-0000-0000-000007060000}"/>
    <cellStyle name="60% - Accent4 23 2" xfId="2050" xr:uid="{00000000-0005-0000-0000-000008060000}"/>
    <cellStyle name="60% - Accent4 24" xfId="2051" xr:uid="{00000000-0005-0000-0000-000009060000}"/>
    <cellStyle name="60% - Accent4 24 2" xfId="2052" xr:uid="{00000000-0005-0000-0000-00000A060000}"/>
    <cellStyle name="60% - Accent4 25" xfId="2053" xr:uid="{00000000-0005-0000-0000-00000B060000}"/>
    <cellStyle name="60% - Accent4 25 2" xfId="2054" xr:uid="{00000000-0005-0000-0000-00000C060000}"/>
    <cellStyle name="60% - Accent4 26" xfId="2055" xr:uid="{00000000-0005-0000-0000-00000D060000}"/>
    <cellStyle name="60% - Accent4 26 2" xfId="2056" xr:uid="{00000000-0005-0000-0000-00000E060000}"/>
    <cellStyle name="60% - Accent4 27" xfId="2057" xr:uid="{00000000-0005-0000-0000-00000F060000}"/>
    <cellStyle name="60% - Accent4 27 2" xfId="2058" xr:uid="{00000000-0005-0000-0000-000010060000}"/>
    <cellStyle name="60% - Accent4 28" xfId="2059" xr:uid="{00000000-0005-0000-0000-000011060000}"/>
    <cellStyle name="60% - Accent4 28 2" xfId="2060" xr:uid="{00000000-0005-0000-0000-000012060000}"/>
    <cellStyle name="60% - Accent4 29" xfId="2061" xr:uid="{00000000-0005-0000-0000-000013060000}"/>
    <cellStyle name="60% - Accent4 29 2" xfId="2062" xr:uid="{00000000-0005-0000-0000-000014060000}"/>
    <cellStyle name="60% - Accent4 3" xfId="324" xr:uid="{00000000-0005-0000-0000-000015060000}"/>
    <cellStyle name="60% - Accent4 3 2" xfId="2063" xr:uid="{00000000-0005-0000-0000-000016060000}"/>
    <cellStyle name="60% - Accent4 30" xfId="2064" xr:uid="{00000000-0005-0000-0000-000017060000}"/>
    <cellStyle name="60% - Accent4 30 2" xfId="2065" xr:uid="{00000000-0005-0000-0000-000018060000}"/>
    <cellStyle name="60% - Accent4 31" xfId="2066" xr:uid="{00000000-0005-0000-0000-000019060000}"/>
    <cellStyle name="60% - Accent4 31 2" xfId="2067" xr:uid="{00000000-0005-0000-0000-00001A060000}"/>
    <cellStyle name="60% - Accent4 32" xfId="2068" xr:uid="{00000000-0005-0000-0000-00001B060000}"/>
    <cellStyle name="60% - Accent4 32 2" xfId="2069" xr:uid="{00000000-0005-0000-0000-00001C060000}"/>
    <cellStyle name="60% - Accent4 33" xfId="2070" xr:uid="{00000000-0005-0000-0000-00001D060000}"/>
    <cellStyle name="60% - Accent4 33 2" xfId="2071" xr:uid="{00000000-0005-0000-0000-00001E060000}"/>
    <cellStyle name="60% - Accent4 34" xfId="2072" xr:uid="{00000000-0005-0000-0000-00001F060000}"/>
    <cellStyle name="60% - Accent4 34 2" xfId="2073" xr:uid="{00000000-0005-0000-0000-000020060000}"/>
    <cellStyle name="60% - Accent4 35" xfId="2074" xr:uid="{00000000-0005-0000-0000-000021060000}"/>
    <cellStyle name="60% - Accent4 35 2" xfId="2075" xr:uid="{00000000-0005-0000-0000-000022060000}"/>
    <cellStyle name="60% - Accent4 36" xfId="2076" xr:uid="{00000000-0005-0000-0000-000023060000}"/>
    <cellStyle name="60% - Accent4 36 2" xfId="2077" xr:uid="{00000000-0005-0000-0000-000024060000}"/>
    <cellStyle name="60% - Accent4 37" xfId="2078" xr:uid="{00000000-0005-0000-0000-000025060000}"/>
    <cellStyle name="60% - Accent4 37 2" xfId="2079" xr:uid="{00000000-0005-0000-0000-000026060000}"/>
    <cellStyle name="60% - Accent4 38" xfId="2080" xr:uid="{00000000-0005-0000-0000-000027060000}"/>
    <cellStyle name="60% - Accent4 38 2" xfId="2081" xr:uid="{00000000-0005-0000-0000-000028060000}"/>
    <cellStyle name="60% - Accent4 39" xfId="2082" xr:uid="{00000000-0005-0000-0000-000029060000}"/>
    <cellStyle name="60% - Accent4 39 2" xfId="2083" xr:uid="{00000000-0005-0000-0000-00002A060000}"/>
    <cellStyle name="60% - Accent4 4" xfId="325" xr:uid="{00000000-0005-0000-0000-00002B060000}"/>
    <cellStyle name="60% - Accent4 4 2" xfId="2084" xr:uid="{00000000-0005-0000-0000-00002C060000}"/>
    <cellStyle name="60% - Accent4 40" xfId="2085" xr:uid="{00000000-0005-0000-0000-00002D060000}"/>
    <cellStyle name="60% - Accent4 40 2" xfId="2086" xr:uid="{00000000-0005-0000-0000-00002E060000}"/>
    <cellStyle name="60% - Accent4 41" xfId="2087" xr:uid="{00000000-0005-0000-0000-00002F060000}"/>
    <cellStyle name="60% - Accent4 41 2" xfId="2088" xr:uid="{00000000-0005-0000-0000-000030060000}"/>
    <cellStyle name="60% - Accent4 42" xfId="2089" xr:uid="{00000000-0005-0000-0000-000031060000}"/>
    <cellStyle name="60% - Accent4 42 2" xfId="2090" xr:uid="{00000000-0005-0000-0000-000032060000}"/>
    <cellStyle name="60% - Accent4 43" xfId="2091" xr:uid="{00000000-0005-0000-0000-000033060000}"/>
    <cellStyle name="60% - Accent4 43 2" xfId="2092" xr:uid="{00000000-0005-0000-0000-000034060000}"/>
    <cellStyle name="60% - Accent4 44" xfId="2093" xr:uid="{00000000-0005-0000-0000-000035060000}"/>
    <cellStyle name="60% - Accent4 44 2" xfId="2094" xr:uid="{00000000-0005-0000-0000-000036060000}"/>
    <cellStyle name="60% - Accent4 45" xfId="2095" xr:uid="{00000000-0005-0000-0000-000037060000}"/>
    <cellStyle name="60% - Accent4 45 2" xfId="2096" xr:uid="{00000000-0005-0000-0000-000038060000}"/>
    <cellStyle name="60% - Accent4 46" xfId="2097" xr:uid="{00000000-0005-0000-0000-000039060000}"/>
    <cellStyle name="60% - Accent4 46 2" xfId="2098" xr:uid="{00000000-0005-0000-0000-00003A060000}"/>
    <cellStyle name="60% - Accent4 47" xfId="2099" xr:uid="{00000000-0005-0000-0000-00003B060000}"/>
    <cellStyle name="60% - Accent4 47 2" xfId="2100" xr:uid="{00000000-0005-0000-0000-00003C060000}"/>
    <cellStyle name="60% - Accent4 48" xfId="2101" xr:uid="{00000000-0005-0000-0000-00003D060000}"/>
    <cellStyle name="60% - Accent4 48 2" xfId="2102" xr:uid="{00000000-0005-0000-0000-00003E060000}"/>
    <cellStyle name="60% - Accent4 49" xfId="2103" xr:uid="{00000000-0005-0000-0000-00003F060000}"/>
    <cellStyle name="60% - Accent4 49 2" xfId="2104" xr:uid="{00000000-0005-0000-0000-000040060000}"/>
    <cellStyle name="60% - Accent4 5" xfId="326" xr:uid="{00000000-0005-0000-0000-000041060000}"/>
    <cellStyle name="60% - Accent4 5 2" xfId="2105" xr:uid="{00000000-0005-0000-0000-000042060000}"/>
    <cellStyle name="60% - Accent4 50" xfId="2106" xr:uid="{00000000-0005-0000-0000-000043060000}"/>
    <cellStyle name="60% - Accent4 50 2" xfId="2107" xr:uid="{00000000-0005-0000-0000-000044060000}"/>
    <cellStyle name="60% - Accent4 51" xfId="2108" xr:uid="{00000000-0005-0000-0000-000045060000}"/>
    <cellStyle name="60% - Accent4 51 2" xfId="2109" xr:uid="{00000000-0005-0000-0000-000046060000}"/>
    <cellStyle name="60% - Accent4 52" xfId="2110" xr:uid="{00000000-0005-0000-0000-000047060000}"/>
    <cellStyle name="60% - Accent4 6" xfId="327" xr:uid="{00000000-0005-0000-0000-000048060000}"/>
    <cellStyle name="60% - Accent4 6 2" xfId="2111" xr:uid="{00000000-0005-0000-0000-000049060000}"/>
    <cellStyle name="60% - Accent4 7" xfId="328" xr:uid="{00000000-0005-0000-0000-00004A060000}"/>
    <cellStyle name="60% - Accent4 7 2" xfId="2112" xr:uid="{00000000-0005-0000-0000-00004B060000}"/>
    <cellStyle name="60% - Accent4 8" xfId="329" xr:uid="{00000000-0005-0000-0000-00004C060000}"/>
    <cellStyle name="60% - Accent4 8 2" xfId="2113" xr:uid="{00000000-0005-0000-0000-00004D060000}"/>
    <cellStyle name="60% - Accent4 9" xfId="330" xr:uid="{00000000-0005-0000-0000-00004E060000}"/>
    <cellStyle name="60% - Accent4 9 2" xfId="2114" xr:uid="{00000000-0005-0000-0000-00004F060000}"/>
    <cellStyle name="60% - Accent5" xfId="37" builtinId="48" customBuiltin="1"/>
    <cellStyle name="60% - Accent5 10" xfId="331" xr:uid="{00000000-0005-0000-0000-000051060000}"/>
    <cellStyle name="60% - Accent5 10 2" xfId="2115" xr:uid="{00000000-0005-0000-0000-000052060000}"/>
    <cellStyle name="60% - Accent5 11" xfId="332" xr:uid="{00000000-0005-0000-0000-000053060000}"/>
    <cellStyle name="60% - Accent5 11 2" xfId="2116" xr:uid="{00000000-0005-0000-0000-000054060000}"/>
    <cellStyle name="60% - Accent5 12" xfId="333" xr:uid="{00000000-0005-0000-0000-000055060000}"/>
    <cellStyle name="60% - Accent5 12 2" xfId="2117" xr:uid="{00000000-0005-0000-0000-000056060000}"/>
    <cellStyle name="60% - Accent5 13" xfId="334" xr:uid="{00000000-0005-0000-0000-000057060000}"/>
    <cellStyle name="60% - Accent5 13 2" xfId="2118" xr:uid="{00000000-0005-0000-0000-000058060000}"/>
    <cellStyle name="60% - Accent5 14" xfId="335" xr:uid="{00000000-0005-0000-0000-000059060000}"/>
    <cellStyle name="60% - Accent5 14 2" xfId="2119" xr:uid="{00000000-0005-0000-0000-00005A060000}"/>
    <cellStyle name="60% - Accent5 15" xfId="336" xr:uid="{00000000-0005-0000-0000-00005B060000}"/>
    <cellStyle name="60% - Accent5 15 2" xfId="2120" xr:uid="{00000000-0005-0000-0000-00005C060000}"/>
    <cellStyle name="60% - Accent5 16" xfId="337" xr:uid="{00000000-0005-0000-0000-00005D060000}"/>
    <cellStyle name="60% - Accent5 16 2" xfId="2121" xr:uid="{00000000-0005-0000-0000-00005E060000}"/>
    <cellStyle name="60% - Accent5 17" xfId="338" xr:uid="{00000000-0005-0000-0000-00005F060000}"/>
    <cellStyle name="60% - Accent5 17 2" xfId="2122" xr:uid="{00000000-0005-0000-0000-000060060000}"/>
    <cellStyle name="60% - Accent5 18" xfId="339" xr:uid="{00000000-0005-0000-0000-000061060000}"/>
    <cellStyle name="60% - Accent5 18 2" xfId="2123" xr:uid="{00000000-0005-0000-0000-000062060000}"/>
    <cellStyle name="60% - Accent5 19" xfId="340" xr:uid="{00000000-0005-0000-0000-000063060000}"/>
    <cellStyle name="60% - Accent5 19 2" xfId="2124" xr:uid="{00000000-0005-0000-0000-000064060000}"/>
    <cellStyle name="60% - Accent5 2" xfId="341" xr:uid="{00000000-0005-0000-0000-000065060000}"/>
    <cellStyle name="60% - Accent5 20" xfId="2125" xr:uid="{00000000-0005-0000-0000-000066060000}"/>
    <cellStyle name="60% - Accent5 20 2" xfId="2126" xr:uid="{00000000-0005-0000-0000-000067060000}"/>
    <cellStyle name="60% - Accent5 21" xfId="2127" xr:uid="{00000000-0005-0000-0000-000068060000}"/>
    <cellStyle name="60% - Accent5 21 2" xfId="2128" xr:uid="{00000000-0005-0000-0000-000069060000}"/>
    <cellStyle name="60% - Accent5 22" xfId="2129" xr:uid="{00000000-0005-0000-0000-00006A060000}"/>
    <cellStyle name="60% - Accent5 22 2" xfId="2130" xr:uid="{00000000-0005-0000-0000-00006B060000}"/>
    <cellStyle name="60% - Accent5 23" xfId="2131" xr:uid="{00000000-0005-0000-0000-00006C060000}"/>
    <cellStyle name="60% - Accent5 23 2" xfId="2132" xr:uid="{00000000-0005-0000-0000-00006D060000}"/>
    <cellStyle name="60% - Accent5 24" xfId="2133" xr:uid="{00000000-0005-0000-0000-00006E060000}"/>
    <cellStyle name="60% - Accent5 24 2" xfId="2134" xr:uid="{00000000-0005-0000-0000-00006F060000}"/>
    <cellStyle name="60% - Accent5 25" xfId="2135" xr:uid="{00000000-0005-0000-0000-000070060000}"/>
    <cellStyle name="60% - Accent5 25 2" xfId="2136" xr:uid="{00000000-0005-0000-0000-000071060000}"/>
    <cellStyle name="60% - Accent5 26" xfId="2137" xr:uid="{00000000-0005-0000-0000-000072060000}"/>
    <cellStyle name="60% - Accent5 26 2" xfId="2138" xr:uid="{00000000-0005-0000-0000-000073060000}"/>
    <cellStyle name="60% - Accent5 27" xfId="2139" xr:uid="{00000000-0005-0000-0000-000074060000}"/>
    <cellStyle name="60% - Accent5 27 2" xfId="2140" xr:uid="{00000000-0005-0000-0000-000075060000}"/>
    <cellStyle name="60% - Accent5 28" xfId="2141" xr:uid="{00000000-0005-0000-0000-000076060000}"/>
    <cellStyle name="60% - Accent5 28 2" xfId="2142" xr:uid="{00000000-0005-0000-0000-000077060000}"/>
    <cellStyle name="60% - Accent5 29" xfId="2143" xr:uid="{00000000-0005-0000-0000-000078060000}"/>
    <cellStyle name="60% - Accent5 29 2" xfId="2144" xr:uid="{00000000-0005-0000-0000-000079060000}"/>
    <cellStyle name="60% - Accent5 3" xfId="342" xr:uid="{00000000-0005-0000-0000-00007A060000}"/>
    <cellStyle name="60% - Accent5 3 2" xfId="2145" xr:uid="{00000000-0005-0000-0000-00007B060000}"/>
    <cellStyle name="60% - Accent5 30" xfId="2146" xr:uid="{00000000-0005-0000-0000-00007C060000}"/>
    <cellStyle name="60% - Accent5 30 2" xfId="2147" xr:uid="{00000000-0005-0000-0000-00007D060000}"/>
    <cellStyle name="60% - Accent5 31" xfId="2148" xr:uid="{00000000-0005-0000-0000-00007E060000}"/>
    <cellStyle name="60% - Accent5 31 2" xfId="2149" xr:uid="{00000000-0005-0000-0000-00007F060000}"/>
    <cellStyle name="60% - Accent5 32" xfId="2150" xr:uid="{00000000-0005-0000-0000-000080060000}"/>
    <cellStyle name="60% - Accent5 32 2" xfId="2151" xr:uid="{00000000-0005-0000-0000-000081060000}"/>
    <cellStyle name="60% - Accent5 33" xfId="2152" xr:uid="{00000000-0005-0000-0000-000082060000}"/>
    <cellStyle name="60% - Accent5 33 2" xfId="2153" xr:uid="{00000000-0005-0000-0000-000083060000}"/>
    <cellStyle name="60% - Accent5 34" xfId="2154" xr:uid="{00000000-0005-0000-0000-000084060000}"/>
    <cellStyle name="60% - Accent5 34 2" xfId="2155" xr:uid="{00000000-0005-0000-0000-000085060000}"/>
    <cellStyle name="60% - Accent5 35" xfId="2156" xr:uid="{00000000-0005-0000-0000-000086060000}"/>
    <cellStyle name="60% - Accent5 35 2" xfId="2157" xr:uid="{00000000-0005-0000-0000-000087060000}"/>
    <cellStyle name="60% - Accent5 36" xfId="2158" xr:uid="{00000000-0005-0000-0000-000088060000}"/>
    <cellStyle name="60% - Accent5 36 2" xfId="2159" xr:uid="{00000000-0005-0000-0000-000089060000}"/>
    <cellStyle name="60% - Accent5 37" xfId="2160" xr:uid="{00000000-0005-0000-0000-00008A060000}"/>
    <cellStyle name="60% - Accent5 37 2" xfId="2161" xr:uid="{00000000-0005-0000-0000-00008B060000}"/>
    <cellStyle name="60% - Accent5 38" xfId="2162" xr:uid="{00000000-0005-0000-0000-00008C060000}"/>
    <cellStyle name="60% - Accent5 38 2" xfId="2163" xr:uid="{00000000-0005-0000-0000-00008D060000}"/>
    <cellStyle name="60% - Accent5 39" xfId="2164" xr:uid="{00000000-0005-0000-0000-00008E060000}"/>
    <cellStyle name="60% - Accent5 39 2" xfId="2165" xr:uid="{00000000-0005-0000-0000-00008F060000}"/>
    <cellStyle name="60% - Accent5 4" xfId="343" xr:uid="{00000000-0005-0000-0000-000090060000}"/>
    <cellStyle name="60% - Accent5 4 2" xfId="2166" xr:uid="{00000000-0005-0000-0000-000091060000}"/>
    <cellStyle name="60% - Accent5 40" xfId="2167" xr:uid="{00000000-0005-0000-0000-000092060000}"/>
    <cellStyle name="60% - Accent5 40 2" xfId="2168" xr:uid="{00000000-0005-0000-0000-000093060000}"/>
    <cellStyle name="60% - Accent5 41" xfId="2169" xr:uid="{00000000-0005-0000-0000-000094060000}"/>
    <cellStyle name="60% - Accent5 41 2" xfId="2170" xr:uid="{00000000-0005-0000-0000-000095060000}"/>
    <cellStyle name="60% - Accent5 42" xfId="2171" xr:uid="{00000000-0005-0000-0000-000096060000}"/>
    <cellStyle name="60% - Accent5 42 2" xfId="2172" xr:uid="{00000000-0005-0000-0000-000097060000}"/>
    <cellStyle name="60% - Accent5 43" xfId="2173" xr:uid="{00000000-0005-0000-0000-000098060000}"/>
    <cellStyle name="60% - Accent5 43 2" xfId="2174" xr:uid="{00000000-0005-0000-0000-000099060000}"/>
    <cellStyle name="60% - Accent5 44" xfId="2175" xr:uid="{00000000-0005-0000-0000-00009A060000}"/>
    <cellStyle name="60% - Accent5 44 2" xfId="2176" xr:uid="{00000000-0005-0000-0000-00009B060000}"/>
    <cellStyle name="60% - Accent5 45" xfId="2177" xr:uid="{00000000-0005-0000-0000-00009C060000}"/>
    <cellStyle name="60% - Accent5 45 2" xfId="2178" xr:uid="{00000000-0005-0000-0000-00009D060000}"/>
    <cellStyle name="60% - Accent5 46" xfId="2179" xr:uid="{00000000-0005-0000-0000-00009E060000}"/>
    <cellStyle name="60% - Accent5 46 2" xfId="2180" xr:uid="{00000000-0005-0000-0000-00009F060000}"/>
    <cellStyle name="60% - Accent5 47" xfId="2181" xr:uid="{00000000-0005-0000-0000-0000A0060000}"/>
    <cellStyle name="60% - Accent5 47 2" xfId="2182" xr:uid="{00000000-0005-0000-0000-0000A1060000}"/>
    <cellStyle name="60% - Accent5 48" xfId="2183" xr:uid="{00000000-0005-0000-0000-0000A2060000}"/>
    <cellStyle name="60% - Accent5 48 2" xfId="2184" xr:uid="{00000000-0005-0000-0000-0000A3060000}"/>
    <cellStyle name="60% - Accent5 49" xfId="2185" xr:uid="{00000000-0005-0000-0000-0000A4060000}"/>
    <cellStyle name="60% - Accent5 49 2" xfId="2186" xr:uid="{00000000-0005-0000-0000-0000A5060000}"/>
    <cellStyle name="60% - Accent5 5" xfId="344" xr:uid="{00000000-0005-0000-0000-0000A6060000}"/>
    <cellStyle name="60% - Accent5 5 2" xfId="2187" xr:uid="{00000000-0005-0000-0000-0000A7060000}"/>
    <cellStyle name="60% - Accent5 50" xfId="2188" xr:uid="{00000000-0005-0000-0000-0000A8060000}"/>
    <cellStyle name="60% - Accent5 50 2" xfId="2189" xr:uid="{00000000-0005-0000-0000-0000A9060000}"/>
    <cellStyle name="60% - Accent5 51" xfId="2190" xr:uid="{00000000-0005-0000-0000-0000AA060000}"/>
    <cellStyle name="60% - Accent5 51 2" xfId="2191" xr:uid="{00000000-0005-0000-0000-0000AB060000}"/>
    <cellStyle name="60% - Accent5 52" xfId="2192" xr:uid="{00000000-0005-0000-0000-0000AC060000}"/>
    <cellStyle name="60% - Accent5 6" xfId="345" xr:uid="{00000000-0005-0000-0000-0000AD060000}"/>
    <cellStyle name="60% - Accent5 6 2" xfId="2193" xr:uid="{00000000-0005-0000-0000-0000AE060000}"/>
    <cellStyle name="60% - Accent5 7" xfId="346" xr:uid="{00000000-0005-0000-0000-0000AF060000}"/>
    <cellStyle name="60% - Accent5 7 2" xfId="2194" xr:uid="{00000000-0005-0000-0000-0000B0060000}"/>
    <cellStyle name="60% - Accent5 8" xfId="347" xr:uid="{00000000-0005-0000-0000-0000B1060000}"/>
    <cellStyle name="60% - Accent5 8 2" xfId="2195" xr:uid="{00000000-0005-0000-0000-0000B2060000}"/>
    <cellStyle name="60% - Accent5 9" xfId="348" xr:uid="{00000000-0005-0000-0000-0000B3060000}"/>
    <cellStyle name="60% - Accent5 9 2" xfId="2196" xr:uid="{00000000-0005-0000-0000-0000B4060000}"/>
    <cellStyle name="60% - Accent6" xfId="41" builtinId="52" customBuiltin="1"/>
    <cellStyle name="60% - Accent6 10" xfId="349" xr:uid="{00000000-0005-0000-0000-0000B6060000}"/>
    <cellStyle name="60% - Accent6 10 2" xfId="2197" xr:uid="{00000000-0005-0000-0000-0000B7060000}"/>
    <cellStyle name="60% - Accent6 11" xfId="350" xr:uid="{00000000-0005-0000-0000-0000B8060000}"/>
    <cellStyle name="60% - Accent6 11 2" xfId="2198" xr:uid="{00000000-0005-0000-0000-0000B9060000}"/>
    <cellStyle name="60% - Accent6 12" xfId="351" xr:uid="{00000000-0005-0000-0000-0000BA060000}"/>
    <cellStyle name="60% - Accent6 12 2" xfId="2199" xr:uid="{00000000-0005-0000-0000-0000BB060000}"/>
    <cellStyle name="60% - Accent6 13" xfId="352" xr:uid="{00000000-0005-0000-0000-0000BC060000}"/>
    <cellStyle name="60% - Accent6 13 2" xfId="2200" xr:uid="{00000000-0005-0000-0000-0000BD060000}"/>
    <cellStyle name="60% - Accent6 14" xfId="353" xr:uid="{00000000-0005-0000-0000-0000BE060000}"/>
    <cellStyle name="60% - Accent6 14 2" xfId="2201" xr:uid="{00000000-0005-0000-0000-0000BF060000}"/>
    <cellStyle name="60% - Accent6 15" xfId="354" xr:uid="{00000000-0005-0000-0000-0000C0060000}"/>
    <cellStyle name="60% - Accent6 15 2" xfId="2202" xr:uid="{00000000-0005-0000-0000-0000C1060000}"/>
    <cellStyle name="60% - Accent6 16" xfId="355" xr:uid="{00000000-0005-0000-0000-0000C2060000}"/>
    <cellStyle name="60% - Accent6 16 2" xfId="2203" xr:uid="{00000000-0005-0000-0000-0000C3060000}"/>
    <cellStyle name="60% - Accent6 17" xfId="356" xr:uid="{00000000-0005-0000-0000-0000C4060000}"/>
    <cellStyle name="60% - Accent6 17 2" xfId="2204" xr:uid="{00000000-0005-0000-0000-0000C5060000}"/>
    <cellStyle name="60% - Accent6 18" xfId="357" xr:uid="{00000000-0005-0000-0000-0000C6060000}"/>
    <cellStyle name="60% - Accent6 18 2" xfId="2205" xr:uid="{00000000-0005-0000-0000-0000C7060000}"/>
    <cellStyle name="60% - Accent6 19" xfId="358" xr:uid="{00000000-0005-0000-0000-0000C8060000}"/>
    <cellStyle name="60% - Accent6 19 2" xfId="2206" xr:uid="{00000000-0005-0000-0000-0000C9060000}"/>
    <cellStyle name="60% - Accent6 2" xfId="359" xr:uid="{00000000-0005-0000-0000-0000CA060000}"/>
    <cellStyle name="60% - Accent6 20" xfId="2207" xr:uid="{00000000-0005-0000-0000-0000CB060000}"/>
    <cellStyle name="60% - Accent6 20 2" xfId="2208" xr:uid="{00000000-0005-0000-0000-0000CC060000}"/>
    <cellStyle name="60% - Accent6 21" xfId="2209" xr:uid="{00000000-0005-0000-0000-0000CD060000}"/>
    <cellStyle name="60% - Accent6 21 2" xfId="2210" xr:uid="{00000000-0005-0000-0000-0000CE060000}"/>
    <cellStyle name="60% - Accent6 22" xfId="2211" xr:uid="{00000000-0005-0000-0000-0000CF060000}"/>
    <cellStyle name="60% - Accent6 22 2" xfId="2212" xr:uid="{00000000-0005-0000-0000-0000D0060000}"/>
    <cellStyle name="60% - Accent6 23" xfId="2213" xr:uid="{00000000-0005-0000-0000-0000D1060000}"/>
    <cellStyle name="60% - Accent6 23 2" xfId="2214" xr:uid="{00000000-0005-0000-0000-0000D2060000}"/>
    <cellStyle name="60% - Accent6 24" xfId="2215" xr:uid="{00000000-0005-0000-0000-0000D3060000}"/>
    <cellStyle name="60% - Accent6 24 2" xfId="2216" xr:uid="{00000000-0005-0000-0000-0000D4060000}"/>
    <cellStyle name="60% - Accent6 25" xfId="2217" xr:uid="{00000000-0005-0000-0000-0000D5060000}"/>
    <cellStyle name="60% - Accent6 25 2" xfId="2218" xr:uid="{00000000-0005-0000-0000-0000D6060000}"/>
    <cellStyle name="60% - Accent6 26" xfId="2219" xr:uid="{00000000-0005-0000-0000-0000D7060000}"/>
    <cellStyle name="60% - Accent6 26 2" xfId="2220" xr:uid="{00000000-0005-0000-0000-0000D8060000}"/>
    <cellStyle name="60% - Accent6 27" xfId="2221" xr:uid="{00000000-0005-0000-0000-0000D9060000}"/>
    <cellStyle name="60% - Accent6 27 2" xfId="2222" xr:uid="{00000000-0005-0000-0000-0000DA060000}"/>
    <cellStyle name="60% - Accent6 28" xfId="2223" xr:uid="{00000000-0005-0000-0000-0000DB060000}"/>
    <cellStyle name="60% - Accent6 28 2" xfId="2224" xr:uid="{00000000-0005-0000-0000-0000DC060000}"/>
    <cellStyle name="60% - Accent6 29" xfId="2225" xr:uid="{00000000-0005-0000-0000-0000DD060000}"/>
    <cellStyle name="60% - Accent6 29 2" xfId="2226" xr:uid="{00000000-0005-0000-0000-0000DE060000}"/>
    <cellStyle name="60% - Accent6 3" xfId="360" xr:uid="{00000000-0005-0000-0000-0000DF060000}"/>
    <cellStyle name="60% - Accent6 3 2" xfId="2227" xr:uid="{00000000-0005-0000-0000-0000E0060000}"/>
    <cellStyle name="60% - Accent6 30" xfId="2228" xr:uid="{00000000-0005-0000-0000-0000E1060000}"/>
    <cellStyle name="60% - Accent6 30 2" xfId="2229" xr:uid="{00000000-0005-0000-0000-0000E2060000}"/>
    <cellStyle name="60% - Accent6 31" xfId="2230" xr:uid="{00000000-0005-0000-0000-0000E3060000}"/>
    <cellStyle name="60% - Accent6 31 2" xfId="2231" xr:uid="{00000000-0005-0000-0000-0000E4060000}"/>
    <cellStyle name="60% - Accent6 32" xfId="2232" xr:uid="{00000000-0005-0000-0000-0000E5060000}"/>
    <cellStyle name="60% - Accent6 32 2" xfId="2233" xr:uid="{00000000-0005-0000-0000-0000E6060000}"/>
    <cellStyle name="60% - Accent6 33" xfId="2234" xr:uid="{00000000-0005-0000-0000-0000E7060000}"/>
    <cellStyle name="60% - Accent6 33 2" xfId="2235" xr:uid="{00000000-0005-0000-0000-0000E8060000}"/>
    <cellStyle name="60% - Accent6 34" xfId="2236" xr:uid="{00000000-0005-0000-0000-0000E9060000}"/>
    <cellStyle name="60% - Accent6 34 2" xfId="2237" xr:uid="{00000000-0005-0000-0000-0000EA060000}"/>
    <cellStyle name="60% - Accent6 35" xfId="2238" xr:uid="{00000000-0005-0000-0000-0000EB060000}"/>
    <cellStyle name="60% - Accent6 35 2" xfId="2239" xr:uid="{00000000-0005-0000-0000-0000EC060000}"/>
    <cellStyle name="60% - Accent6 36" xfId="2240" xr:uid="{00000000-0005-0000-0000-0000ED060000}"/>
    <cellStyle name="60% - Accent6 36 2" xfId="2241" xr:uid="{00000000-0005-0000-0000-0000EE060000}"/>
    <cellStyle name="60% - Accent6 37" xfId="2242" xr:uid="{00000000-0005-0000-0000-0000EF060000}"/>
    <cellStyle name="60% - Accent6 37 2" xfId="2243" xr:uid="{00000000-0005-0000-0000-0000F0060000}"/>
    <cellStyle name="60% - Accent6 38" xfId="2244" xr:uid="{00000000-0005-0000-0000-0000F1060000}"/>
    <cellStyle name="60% - Accent6 38 2" xfId="2245" xr:uid="{00000000-0005-0000-0000-0000F2060000}"/>
    <cellStyle name="60% - Accent6 39" xfId="2246" xr:uid="{00000000-0005-0000-0000-0000F3060000}"/>
    <cellStyle name="60% - Accent6 39 2" xfId="2247" xr:uid="{00000000-0005-0000-0000-0000F4060000}"/>
    <cellStyle name="60% - Accent6 4" xfId="361" xr:uid="{00000000-0005-0000-0000-0000F5060000}"/>
    <cellStyle name="60% - Accent6 4 2" xfId="2248" xr:uid="{00000000-0005-0000-0000-0000F6060000}"/>
    <cellStyle name="60% - Accent6 40" xfId="2249" xr:uid="{00000000-0005-0000-0000-0000F7060000}"/>
    <cellStyle name="60% - Accent6 40 2" xfId="2250" xr:uid="{00000000-0005-0000-0000-0000F8060000}"/>
    <cellStyle name="60% - Accent6 41" xfId="2251" xr:uid="{00000000-0005-0000-0000-0000F9060000}"/>
    <cellStyle name="60% - Accent6 41 2" xfId="2252" xr:uid="{00000000-0005-0000-0000-0000FA060000}"/>
    <cellStyle name="60% - Accent6 42" xfId="2253" xr:uid="{00000000-0005-0000-0000-0000FB060000}"/>
    <cellStyle name="60% - Accent6 42 2" xfId="2254" xr:uid="{00000000-0005-0000-0000-0000FC060000}"/>
    <cellStyle name="60% - Accent6 43" xfId="2255" xr:uid="{00000000-0005-0000-0000-0000FD060000}"/>
    <cellStyle name="60% - Accent6 43 2" xfId="2256" xr:uid="{00000000-0005-0000-0000-0000FE060000}"/>
    <cellStyle name="60% - Accent6 44" xfId="2257" xr:uid="{00000000-0005-0000-0000-0000FF060000}"/>
    <cellStyle name="60% - Accent6 44 2" xfId="2258" xr:uid="{00000000-0005-0000-0000-000000070000}"/>
    <cellStyle name="60% - Accent6 45" xfId="2259" xr:uid="{00000000-0005-0000-0000-000001070000}"/>
    <cellStyle name="60% - Accent6 45 2" xfId="2260" xr:uid="{00000000-0005-0000-0000-000002070000}"/>
    <cellStyle name="60% - Accent6 46" xfId="2261" xr:uid="{00000000-0005-0000-0000-000003070000}"/>
    <cellStyle name="60% - Accent6 46 2" xfId="2262" xr:uid="{00000000-0005-0000-0000-000004070000}"/>
    <cellStyle name="60% - Accent6 47" xfId="2263" xr:uid="{00000000-0005-0000-0000-000005070000}"/>
    <cellStyle name="60% - Accent6 47 2" xfId="2264" xr:uid="{00000000-0005-0000-0000-000006070000}"/>
    <cellStyle name="60% - Accent6 48" xfId="2265" xr:uid="{00000000-0005-0000-0000-000007070000}"/>
    <cellStyle name="60% - Accent6 48 2" xfId="2266" xr:uid="{00000000-0005-0000-0000-000008070000}"/>
    <cellStyle name="60% - Accent6 49" xfId="2267" xr:uid="{00000000-0005-0000-0000-000009070000}"/>
    <cellStyle name="60% - Accent6 49 2" xfId="2268" xr:uid="{00000000-0005-0000-0000-00000A070000}"/>
    <cellStyle name="60% - Accent6 5" xfId="362" xr:uid="{00000000-0005-0000-0000-00000B070000}"/>
    <cellStyle name="60% - Accent6 5 2" xfId="2269" xr:uid="{00000000-0005-0000-0000-00000C070000}"/>
    <cellStyle name="60% - Accent6 50" xfId="2270" xr:uid="{00000000-0005-0000-0000-00000D070000}"/>
    <cellStyle name="60% - Accent6 50 2" xfId="2271" xr:uid="{00000000-0005-0000-0000-00000E070000}"/>
    <cellStyle name="60% - Accent6 51" xfId="2272" xr:uid="{00000000-0005-0000-0000-00000F070000}"/>
    <cellStyle name="60% - Accent6 51 2" xfId="2273" xr:uid="{00000000-0005-0000-0000-000010070000}"/>
    <cellStyle name="60% - Accent6 52" xfId="2274" xr:uid="{00000000-0005-0000-0000-000011070000}"/>
    <cellStyle name="60% - Accent6 6" xfId="363" xr:uid="{00000000-0005-0000-0000-000012070000}"/>
    <cellStyle name="60% - Accent6 6 2" xfId="2275" xr:uid="{00000000-0005-0000-0000-000013070000}"/>
    <cellStyle name="60% - Accent6 7" xfId="364" xr:uid="{00000000-0005-0000-0000-000014070000}"/>
    <cellStyle name="60% - Accent6 7 2" xfId="2276" xr:uid="{00000000-0005-0000-0000-000015070000}"/>
    <cellStyle name="60% - Accent6 8" xfId="365" xr:uid="{00000000-0005-0000-0000-000016070000}"/>
    <cellStyle name="60% - Accent6 8 2" xfId="2277" xr:uid="{00000000-0005-0000-0000-000017070000}"/>
    <cellStyle name="60% - Accent6 9" xfId="366" xr:uid="{00000000-0005-0000-0000-000018070000}"/>
    <cellStyle name="60% - Accent6 9 2" xfId="2278" xr:uid="{00000000-0005-0000-0000-000019070000}"/>
    <cellStyle name="Accent1" xfId="18" builtinId="29" customBuiltin="1"/>
    <cellStyle name="Accent1 10" xfId="367" xr:uid="{00000000-0005-0000-0000-00001B070000}"/>
    <cellStyle name="Accent1 10 2" xfId="2279" xr:uid="{00000000-0005-0000-0000-00001C070000}"/>
    <cellStyle name="Accent1 11" xfId="368" xr:uid="{00000000-0005-0000-0000-00001D070000}"/>
    <cellStyle name="Accent1 11 2" xfId="2280" xr:uid="{00000000-0005-0000-0000-00001E070000}"/>
    <cellStyle name="Accent1 12" xfId="369" xr:uid="{00000000-0005-0000-0000-00001F070000}"/>
    <cellStyle name="Accent1 12 2" xfId="2281" xr:uid="{00000000-0005-0000-0000-000020070000}"/>
    <cellStyle name="Accent1 13" xfId="370" xr:uid="{00000000-0005-0000-0000-000021070000}"/>
    <cellStyle name="Accent1 13 2" xfId="2282" xr:uid="{00000000-0005-0000-0000-000022070000}"/>
    <cellStyle name="Accent1 14" xfId="371" xr:uid="{00000000-0005-0000-0000-000023070000}"/>
    <cellStyle name="Accent1 14 2" xfId="2283" xr:uid="{00000000-0005-0000-0000-000024070000}"/>
    <cellStyle name="Accent1 15" xfId="372" xr:uid="{00000000-0005-0000-0000-000025070000}"/>
    <cellStyle name="Accent1 15 2" xfId="2284" xr:uid="{00000000-0005-0000-0000-000026070000}"/>
    <cellStyle name="Accent1 16" xfId="373" xr:uid="{00000000-0005-0000-0000-000027070000}"/>
    <cellStyle name="Accent1 16 2" xfId="2285" xr:uid="{00000000-0005-0000-0000-000028070000}"/>
    <cellStyle name="Accent1 17" xfId="374" xr:uid="{00000000-0005-0000-0000-000029070000}"/>
    <cellStyle name="Accent1 17 2" xfId="2286" xr:uid="{00000000-0005-0000-0000-00002A070000}"/>
    <cellStyle name="Accent1 18" xfId="375" xr:uid="{00000000-0005-0000-0000-00002B070000}"/>
    <cellStyle name="Accent1 18 2" xfId="2287" xr:uid="{00000000-0005-0000-0000-00002C070000}"/>
    <cellStyle name="Accent1 19" xfId="376" xr:uid="{00000000-0005-0000-0000-00002D070000}"/>
    <cellStyle name="Accent1 19 2" xfId="2288" xr:uid="{00000000-0005-0000-0000-00002E070000}"/>
    <cellStyle name="Accent1 2" xfId="377" xr:uid="{00000000-0005-0000-0000-00002F070000}"/>
    <cellStyle name="Accent1 20" xfId="2289" xr:uid="{00000000-0005-0000-0000-000030070000}"/>
    <cellStyle name="Accent1 20 2" xfId="2290" xr:uid="{00000000-0005-0000-0000-000031070000}"/>
    <cellStyle name="Accent1 21" xfId="2291" xr:uid="{00000000-0005-0000-0000-000032070000}"/>
    <cellStyle name="Accent1 21 2" xfId="2292" xr:uid="{00000000-0005-0000-0000-000033070000}"/>
    <cellStyle name="Accent1 22" xfId="2293" xr:uid="{00000000-0005-0000-0000-000034070000}"/>
    <cellStyle name="Accent1 22 2" xfId="2294" xr:uid="{00000000-0005-0000-0000-000035070000}"/>
    <cellStyle name="Accent1 23" xfId="2295" xr:uid="{00000000-0005-0000-0000-000036070000}"/>
    <cellStyle name="Accent1 23 2" xfId="2296" xr:uid="{00000000-0005-0000-0000-000037070000}"/>
    <cellStyle name="Accent1 24" xfId="2297" xr:uid="{00000000-0005-0000-0000-000038070000}"/>
    <cellStyle name="Accent1 24 2" xfId="2298" xr:uid="{00000000-0005-0000-0000-000039070000}"/>
    <cellStyle name="Accent1 25" xfId="2299" xr:uid="{00000000-0005-0000-0000-00003A070000}"/>
    <cellStyle name="Accent1 25 2" xfId="2300" xr:uid="{00000000-0005-0000-0000-00003B070000}"/>
    <cellStyle name="Accent1 26" xfId="2301" xr:uid="{00000000-0005-0000-0000-00003C070000}"/>
    <cellStyle name="Accent1 26 2" xfId="2302" xr:uid="{00000000-0005-0000-0000-00003D070000}"/>
    <cellStyle name="Accent1 27" xfId="2303" xr:uid="{00000000-0005-0000-0000-00003E070000}"/>
    <cellStyle name="Accent1 27 2" xfId="2304" xr:uid="{00000000-0005-0000-0000-00003F070000}"/>
    <cellStyle name="Accent1 28" xfId="2305" xr:uid="{00000000-0005-0000-0000-000040070000}"/>
    <cellStyle name="Accent1 28 2" xfId="2306" xr:uid="{00000000-0005-0000-0000-000041070000}"/>
    <cellStyle name="Accent1 29" xfId="2307" xr:uid="{00000000-0005-0000-0000-000042070000}"/>
    <cellStyle name="Accent1 29 2" xfId="2308" xr:uid="{00000000-0005-0000-0000-000043070000}"/>
    <cellStyle name="Accent1 3" xfId="378" xr:uid="{00000000-0005-0000-0000-000044070000}"/>
    <cellStyle name="Accent1 3 2" xfId="2309" xr:uid="{00000000-0005-0000-0000-000045070000}"/>
    <cellStyle name="Accent1 30" xfId="2310" xr:uid="{00000000-0005-0000-0000-000046070000}"/>
    <cellStyle name="Accent1 30 2" xfId="2311" xr:uid="{00000000-0005-0000-0000-000047070000}"/>
    <cellStyle name="Accent1 31" xfId="2312" xr:uid="{00000000-0005-0000-0000-000048070000}"/>
    <cellStyle name="Accent1 31 2" xfId="2313" xr:uid="{00000000-0005-0000-0000-000049070000}"/>
    <cellStyle name="Accent1 32" xfId="2314" xr:uid="{00000000-0005-0000-0000-00004A070000}"/>
    <cellStyle name="Accent1 32 2" xfId="2315" xr:uid="{00000000-0005-0000-0000-00004B070000}"/>
    <cellStyle name="Accent1 33" xfId="2316" xr:uid="{00000000-0005-0000-0000-00004C070000}"/>
    <cellStyle name="Accent1 33 2" xfId="2317" xr:uid="{00000000-0005-0000-0000-00004D070000}"/>
    <cellStyle name="Accent1 34" xfId="2318" xr:uid="{00000000-0005-0000-0000-00004E070000}"/>
    <cellStyle name="Accent1 34 2" xfId="2319" xr:uid="{00000000-0005-0000-0000-00004F070000}"/>
    <cellStyle name="Accent1 35" xfId="2320" xr:uid="{00000000-0005-0000-0000-000050070000}"/>
    <cellStyle name="Accent1 35 2" xfId="2321" xr:uid="{00000000-0005-0000-0000-000051070000}"/>
    <cellStyle name="Accent1 36" xfId="2322" xr:uid="{00000000-0005-0000-0000-000052070000}"/>
    <cellStyle name="Accent1 36 2" xfId="2323" xr:uid="{00000000-0005-0000-0000-000053070000}"/>
    <cellStyle name="Accent1 37" xfId="2324" xr:uid="{00000000-0005-0000-0000-000054070000}"/>
    <cellStyle name="Accent1 37 2" xfId="2325" xr:uid="{00000000-0005-0000-0000-000055070000}"/>
    <cellStyle name="Accent1 38" xfId="2326" xr:uid="{00000000-0005-0000-0000-000056070000}"/>
    <cellStyle name="Accent1 38 2" xfId="2327" xr:uid="{00000000-0005-0000-0000-000057070000}"/>
    <cellStyle name="Accent1 39" xfId="2328" xr:uid="{00000000-0005-0000-0000-000058070000}"/>
    <cellStyle name="Accent1 39 2" xfId="2329" xr:uid="{00000000-0005-0000-0000-000059070000}"/>
    <cellStyle name="Accent1 4" xfId="379" xr:uid="{00000000-0005-0000-0000-00005A070000}"/>
    <cellStyle name="Accent1 4 2" xfId="2330" xr:uid="{00000000-0005-0000-0000-00005B070000}"/>
    <cellStyle name="Accent1 40" xfId="2331" xr:uid="{00000000-0005-0000-0000-00005C070000}"/>
    <cellStyle name="Accent1 40 2" xfId="2332" xr:uid="{00000000-0005-0000-0000-00005D070000}"/>
    <cellStyle name="Accent1 41" xfId="2333" xr:uid="{00000000-0005-0000-0000-00005E070000}"/>
    <cellStyle name="Accent1 41 2" xfId="2334" xr:uid="{00000000-0005-0000-0000-00005F070000}"/>
    <cellStyle name="Accent1 42" xfId="2335" xr:uid="{00000000-0005-0000-0000-000060070000}"/>
    <cellStyle name="Accent1 42 2" xfId="2336" xr:uid="{00000000-0005-0000-0000-000061070000}"/>
    <cellStyle name="Accent1 43" xfId="2337" xr:uid="{00000000-0005-0000-0000-000062070000}"/>
    <cellStyle name="Accent1 43 2" xfId="2338" xr:uid="{00000000-0005-0000-0000-000063070000}"/>
    <cellStyle name="Accent1 44" xfId="2339" xr:uid="{00000000-0005-0000-0000-000064070000}"/>
    <cellStyle name="Accent1 44 2" xfId="2340" xr:uid="{00000000-0005-0000-0000-000065070000}"/>
    <cellStyle name="Accent1 45" xfId="2341" xr:uid="{00000000-0005-0000-0000-000066070000}"/>
    <cellStyle name="Accent1 45 2" xfId="2342" xr:uid="{00000000-0005-0000-0000-000067070000}"/>
    <cellStyle name="Accent1 46" xfId="2343" xr:uid="{00000000-0005-0000-0000-000068070000}"/>
    <cellStyle name="Accent1 46 2" xfId="2344" xr:uid="{00000000-0005-0000-0000-000069070000}"/>
    <cellStyle name="Accent1 47" xfId="2345" xr:uid="{00000000-0005-0000-0000-00006A070000}"/>
    <cellStyle name="Accent1 47 2" xfId="2346" xr:uid="{00000000-0005-0000-0000-00006B070000}"/>
    <cellStyle name="Accent1 48" xfId="2347" xr:uid="{00000000-0005-0000-0000-00006C070000}"/>
    <cellStyle name="Accent1 48 2" xfId="2348" xr:uid="{00000000-0005-0000-0000-00006D070000}"/>
    <cellStyle name="Accent1 49" xfId="2349" xr:uid="{00000000-0005-0000-0000-00006E070000}"/>
    <cellStyle name="Accent1 49 2" xfId="2350" xr:uid="{00000000-0005-0000-0000-00006F070000}"/>
    <cellStyle name="Accent1 5" xfId="380" xr:uid="{00000000-0005-0000-0000-000070070000}"/>
    <cellStyle name="Accent1 5 2" xfId="2351" xr:uid="{00000000-0005-0000-0000-000071070000}"/>
    <cellStyle name="Accent1 50" xfId="2352" xr:uid="{00000000-0005-0000-0000-000072070000}"/>
    <cellStyle name="Accent1 50 2" xfId="2353" xr:uid="{00000000-0005-0000-0000-000073070000}"/>
    <cellStyle name="Accent1 51" xfId="2354" xr:uid="{00000000-0005-0000-0000-000074070000}"/>
    <cellStyle name="Accent1 51 2" xfId="2355" xr:uid="{00000000-0005-0000-0000-000075070000}"/>
    <cellStyle name="Accent1 52" xfId="2356" xr:uid="{00000000-0005-0000-0000-000076070000}"/>
    <cellStyle name="Accent1 6" xfId="381" xr:uid="{00000000-0005-0000-0000-000077070000}"/>
    <cellStyle name="Accent1 6 2" xfId="2357" xr:uid="{00000000-0005-0000-0000-000078070000}"/>
    <cellStyle name="Accent1 7" xfId="382" xr:uid="{00000000-0005-0000-0000-000079070000}"/>
    <cellStyle name="Accent1 7 2" xfId="2358" xr:uid="{00000000-0005-0000-0000-00007A070000}"/>
    <cellStyle name="Accent1 8" xfId="383" xr:uid="{00000000-0005-0000-0000-00007B070000}"/>
    <cellStyle name="Accent1 8 2" xfId="2359" xr:uid="{00000000-0005-0000-0000-00007C070000}"/>
    <cellStyle name="Accent1 9" xfId="384" xr:uid="{00000000-0005-0000-0000-00007D070000}"/>
    <cellStyle name="Accent1 9 2" xfId="2360" xr:uid="{00000000-0005-0000-0000-00007E070000}"/>
    <cellStyle name="Accent2" xfId="22" builtinId="33" customBuiltin="1"/>
    <cellStyle name="Accent2 10" xfId="385" xr:uid="{00000000-0005-0000-0000-000080070000}"/>
    <cellStyle name="Accent2 10 2" xfId="2361" xr:uid="{00000000-0005-0000-0000-000081070000}"/>
    <cellStyle name="Accent2 11" xfId="386" xr:uid="{00000000-0005-0000-0000-000082070000}"/>
    <cellStyle name="Accent2 11 2" xfId="2362" xr:uid="{00000000-0005-0000-0000-000083070000}"/>
    <cellStyle name="Accent2 12" xfId="387" xr:uid="{00000000-0005-0000-0000-000084070000}"/>
    <cellStyle name="Accent2 12 2" xfId="2363" xr:uid="{00000000-0005-0000-0000-000085070000}"/>
    <cellStyle name="Accent2 13" xfId="388" xr:uid="{00000000-0005-0000-0000-000086070000}"/>
    <cellStyle name="Accent2 13 2" xfId="2364" xr:uid="{00000000-0005-0000-0000-000087070000}"/>
    <cellStyle name="Accent2 14" xfId="389" xr:uid="{00000000-0005-0000-0000-000088070000}"/>
    <cellStyle name="Accent2 14 2" xfId="2365" xr:uid="{00000000-0005-0000-0000-000089070000}"/>
    <cellStyle name="Accent2 15" xfId="390" xr:uid="{00000000-0005-0000-0000-00008A070000}"/>
    <cellStyle name="Accent2 15 2" xfId="2366" xr:uid="{00000000-0005-0000-0000-00008B070000}"/>
    <cellStyle name="Accent2 16" xfId="391" xr:uid="{00000000-0005-0000-0000-00008C070000}"/>
    <cellStyle name="Accent2 16 2" xfId="2367" xr:uid="{00000000-0005-0000-0000-00008D070000}"/>
    <cellStyle name="Accent2 17" xfId="392" xr:uid="{00000000-0005-0000-0000-00008E070000}"/>
    <cellStyle name="Accent2 17 2" xfId="2368" xr:uid="{00000000-0005-0000-0000-00008F070000}"/>
    <cellStyle name="Accent2 18" xfId="393" xr:uid="{00000000-0005-0000-0000-000090070000}"/>
    <cellStyle name="Accent2 18 2" xfId="2369" xr:uid="{00000000-0005-0000-0000-000091070000}"/>
    <cellStyle name="Accent2 19" xfId="394" xr:uid="{00000000-0005-0000-0000-000092070000}"/>
    <cellStyle name="Accent2 19 2" xfId="2370" xr:uid="{00000000-0005-0000-0000-000093070000}"/>
    <cellStyle name="Accent2 2" xfId="395" xr:uid="{00000000-0005-0000-0000-000094070000}"/>
    <cellStyle name="Accent2 20" xfId="2371" xr:uid="{00000000-0005-0000-0000-000095070000}"/>
    <cellStyle name="Accent2 20 2" xfId="2372" xr:uid="{00000000-0005-0000-0000-000096070000}"/>
    <cellStyle name="Accent2 21" xfId="2373" xr:uid="{00000000-0005-0000-0000-000097070000}"/>
    <cellStyle name="Accent2 21 2" xfId="2374" xr:uid="{00000000-0005-0000-0000-000098070000}"/>
    <cellStyle name="Accent2 22" xfId="2375" xr:uid="{00000000-0005-0000-0000-000099070000}"/>
    <cellStyle name="Accent2 22 2" xfId="2376" xr:uid="{00000000-0005-0000-0000-00009A070000}"/>
    <cellStyle name="Accent2 23" xfId="2377" xr:uid="{00000000-0005-0000-0000-00009B070000}"/>
    <cellStyle name="Accent2 23 2" xfId="2378" xr:uid="{00000000-0005-0000-0000-00009C070000}"/>
    <cellStyle name="Accent2 24" xfId="2379" xr:uid="{00000000-0005-0000-0000-00009D070000}"/>
    <cellStyle name="Accent2 24 2" xfId="2380" xr:uid="{00000000-0005-0000-0000-00009E070000}"/>
    <cellStyle name="Accent2 25" xfId="2381" xr:uid="{00000000-0005-0000-0000-00009F070000}"/>
    <cellStyle name="Accent2 25 2" xfId="2382" xr:uid="{00000000-0005-0000-0000-0000A0070000}"/>
    <cellStyle name="Accent2 26" xfId="2383" xr:uid="{00000000-0005-0000-0000-0000A1070000}"/>
    <cellStyle name="Accent2 26 2" xfId="2384" xr:uid="{00000000-0005-0000-0000-0000A2070000}"/>
    <cellStyle name="Accent2 27" xfId="2385" xr:uid="{00000000-0005-0000-0000-0000A3070000}"/>
    <cellStyle name="Accent2 27 2" xfId="2386" xr:uid="{00000000-0005-0000-0000-0000A4070000}"/>
    <cellStyle name="Accent2 28" xfId="2387" xr:uid="{00000000-0005-0000-0000-0000A5070000}"/>
    <cellStyle name="Accent2 28 2" xfId="2388" xr:uid="{00000000-0005-0000-0000-0000A6070000}"/>
    <cellStyle name="Accent2 29" xfId="2389" xr:uid="{00000000-0005-0000-0000-0000A7070000}"/>
    <cellStyle name="Accent2 29 2" xfId="2390" xr:uid="{00000000-0005-0000-0000-0000A8070000}"/>
    <cellStyle name="Accent2 3" xfId="396" xr:uid="{00000000-0005-0000-0000-0000A9070000}"/>
    <cellStyle name="Accent2 3 2" xfId="2391" xr:uid="{00000000-0005-0000-0000-0000AA070000}"/>
    <cellStyle name="Accent2 30" xfId="2392" xr:uid="{00000000-0005-0000-0000-0000AB070000}"/>
    <cellStyle name="Accent2 30 2" xfId="2393" xr:uid="{00000000-0005-0000-0000-0000AC070000}"/>
    <cellStyle name="Accent2 31" xfId="2394" xr:uid="{00000000-0005-0000-0000-0000AD070000}"/>
    <cellStyle name="Accent2 31 2" xfId="2395" xr:uid="{00000000-0005-0000-0000-0000AE070000}"/>
    <cellStyle name="Accent2 32" xfId="2396" xr:uid="{00000000-0005-0000-0000-0000AF070000}"/>
    <cellStyle name="Accent2 32 2" xfId="2397" xr:uid="{00000000-0005-0000-0000-0000B0070000}"/>
    <cellStyle name="Accent2 33" xfId="2398" xr:uid="{00000000-0005-0000-0000-0000B1070000}"/>
    <cellStyle name="Accent2 33 2" xfId="2399" xr:uid="{00000000-0005-0000-0000-0000B2070000}"/>
    <cellStyle name="Accent2 34" xfId="2400" xr:uid="{00000000-0005-0000-0000-0000B3070000}"/>
    <cellStyle name="Accent2 34 2" xfId="2401" xr:uid="{00000000-0005-0000-0000-0000B4070000}"/>
    <cellStyle name="Accent2 35" xfId="2402" xr:uid="{00000000-0005-0000-0000-0000B5070000}"/>
    <cellStyle name="Accent2 35 2" xfId="2403" xr:uid="{00000000-0005-0000-0000-0000B6070000}"/>
    <cellStyle name="Accent2 36" xfId="2404" xr:uid="{00000000-0005-0000-0000-0000B7070000}"/>
    <cellStyle name="Accent2 36 2" xfId="2405" xr:uid="{00000000-0005-0000-0000-0000B8070000}"/>
    <cellStyle name="Accent2 37" xfId="2406" xr:uid="{00000000-0005-0000-0000-0000B9070000}"/>
    <cellStyle name="Accent2 37 2" xfId="2407" xr:uid="{00000000-0005-0000-0000-0000BA070000}"/>
    <cellStyle name="Accent2 38" xfId="2408" xr:uid="{00000000-0005-0000-0000-0000BB070000}"/>
    <cellStyle name="Accent2 38 2" xfId="2409" xr:uid="{00000000-0005-0000-0000-0000BC070000}"/>
    <cellStyle name="Accent2 39" xfId="2410" xr:uid="{00000000-0005-0000-0000-0000BD070000}"/>
    <cellStyle name="Accent2 39 2" xfId="2411" xr:uid="{00000000-0005-0000-0000-0000BE070000}"/>
    <cellStyle name="Accent2 4" xfId="397" xr:uid="{00000000-0005-0000-0000-0000BF070000}"/>
    <cellStyle name="Accent2 4 2" xfId="2412" xr:uid="{00000000-0005-0000-0000-0000C0070000}"/>
    <cellStyle name="Accent2 40" xfId="2413" xr:uid="{00000000-0005-0000-0000-0000C1070000}"/>
    <cellStyle name="Accent2 40 2" xfId="2414" xr:uid="{00000000-0005-0000-0000-0000C2070000}"/>
    <cellStyle name="Accent2 41" xfId="2415" xr:uid="{00000000-0005-0000-0000-0000C3070000}"/>
    <cellStyle name="Accent2 41 2" xfId="2416" xr:uid="{00000000-0005-0000-0000-0000C4070000}"/>
    <cellStyle name="Accent2 42" xfId="2417" xr:uid="{00000000-0005-0000-0000-0000C5070000}"/>
    <cellStyle name="Accent2 42 2" xfId="2418" xr:uid="{00000000-0005-0000-0000-0000C6070000}"/>
    <cellStyle name="Accent2 43" xfId="2419" xr:uid="{00000000-0005-0000-0000-0000C7070000}"/>
    <cellStyle name="Accent2 43 2" xfId="2420" xr:uid="{00000000-0005-0000-0000-0000C8070000}"/>
    <cellStyle name="Accent2 44" xfId="2421" xr:uid="{00000000-0005-0000-0000-0000C9070000}"/>
    <cellStyle name="Accent2 44 2" xfId="2422" xr:uid="{00000000-0005-0000-0000-0000CA070000}"/>
    <cellStyle name="Accent2 45" xfId="2423" xr:uid="{00000000-0005-0000-0000-0000CB070000}"/>
    <cellStyle name="Accent2 45 2" xfId="2424" xr:uid="{00000000-0005-0000-0000-0000CC070000}"/>
    <cellStyle name="Accent2 46" xfId="2425" xr:uid="{00000000-0005-0000-0000-0000CD070000}"/>
    <cellStyle name="Accent2 46 2" xfId="2426" xr:uid="{00000000-0005-0000-0000-0000CE070000}"/>
    <cellStyle name="Accent2 47" xfId="2427" xr:uid="{00000000-0005-0000-0000-0000CF070000}"/>
    <cellStyle name="Accent2 47 2" xfId="2428" xr:uid="{00000000-0005-0000-0000-0000D0070000}"/>
    <cellStyle name="Accent2 48" xfId="2429" xr:uid="{00000000-0005-0000-0000-0000D1070000}"/>
    <cellStyle name="Accent2 48 2" xfId="2430" xr:uid="{00000000-0005-0000-0000-0000D2070000}"/>
    <cellStyle name="Accent2 49" xfId="2431" xr:uid="{00000000-0005-0000-0000-0000D3070000}"/>
    <cellStyle name="Accent2 49 2" xfId="2432" xr:uid="{00000000-0005-0000-0000-0000D4070000}"/>
    <cellStyle name="Accent2 5" xfId="398" xr:uid="{00000000-0005-0000-0000-0000D5070000}"/>
    <cellStyle name="Accent2 5 2" xfId="2433" xr:uid="{00000000-0005-0000-0000-0000D6070000}"/>
    <cellStyle name="Accent2 50" xfId="2434" xr:uid="{00000000-0005-0000-0000-0000D7070000}"/>
    <cellStyle name="Accent2 50 2" xfId="2435" xr:uid="{00000000-0005-0000-0000-0000D8070000}"/>
    <cellStyle name="Accent2 51" xfId="2436" xr:uid="{00000000-0005-0000-0000-0000D9070000}"/>
    <cellStyle name="Accent2 51 2" xfId="2437" xr:uid="{00000000-0005-0000-0000-0000DA070000}"/>
    <cellStyle name="Accent2 52" xfId="2438" xr:uid="{00000000-0005-0000-0000-0000DB070000}"/>
    <cellStyle name="Accent2 6" xfId="399" xr:uid="{00000000-0005-0000-0000-0000DC070000}"/>
    <cellStyle name="Accent2 6 2" xfId="2439" xr:uid="{00000000-0005-0000-0000-0000DD070000}"/>
    <cellStyle name="Accent2 7" xfId="400" xr:uid="{00000000-0005-0000-0000-0000DE070000}"/>
    <cellStyle name="Accent2 7 2" xfId="2440" xr:uid="{00000000-0005-0000-0000-0000DF070000}"/>
    <cellStyle name="Accent2 8" xfId="401" xr:uid="{00000000-0005-0000-0000-0000E0070000}"/>
    <cellStyle name="Accent2 8 2" xfId="2441" xr:uid="{00000000-0005-0000-0000-0000E1070000}"/>
    <cellStyle name="Accent2 9" xfId="402" xr:uid="{00000000-0005-0000-0000-0000E2070000}"/>
    <cellStyle name="Accent2 9 2" xfId="2442" xr:uid="{00000000-0005-0000-0000-0000E3070000}"/>
    <cellStyle name="Accent3" xfId="26" builtinId="37" customBuiltin="1"/>
    <cellStyle name="Accent3 10" xfId="403" xr:uid="{00000000-0005-0000-0000-0000E5070000}"/>
    <cellStyle name="Accent3 10 2" xfId="2443" xr:uid="{00000000-0005-0000-0000-0000E6070000}"/>
    <cellStyle name="Accent3 11" xfId="404" xr:uid="{00000000-0005-0000-0000-0000E7070000}"/>
    <cellStyle name="Accent3 11 2" xfId="2444" xr:uid="{00000000-0005-0000-0000-0000E8070000}"/>
    <cellStyle name="Accent3 12" xfId="405" xr:uid="{00000000-0005-0000-0000-0000E9070000}"/>
    <cellStyle name="Accent3 12 2" xfId="2445" xr:uid="{00000000-0005-0000-0000-0000EA070000}"/>
    <cellStyle name="Accent3 13" xfId="406" xr:uid="{00000000-0005-0000-0000-0000EB070000}"/>
    <cellStyle name="Accent3 13 2" xfId="2446" xr:uid="{00000000-0005-0000-0000-0000EC070000}"/>
    <cellStyle name="Accent3 14" xfId="407" xr:uid="{00000000-0005-0000-0000-0000ED070000}"/>
    <cellStyle name="Accent3 14 2" xfId="2447" xr:uid="{00000000-0005-0000-0000-0000EE070000}"/>
    <cellStyle name="Accent3 15" xfId="408" xr:uid="{00000000-0005-0000-0000-0000EF070000}"/>
    <cellStyle name="Accent3 15 2" xfId="2448" xr:uid="{00000000-0005-0000-0000-0000F0070000}"/>
    <cellStyle name="Accent3 16" xfId="409" xr:uid="{00000000-0005-0000-0000-0000F1070000}"/>
    <cellStyle name="Accent3 16 2" xfId="2449" xr:uid="{00000000-0005-0000-0000-0000F2070000}"/>
    <cellStyle name="Accent3 17" xfId="410" xr:uid="{00000000-0005-0000-0000-0000F3070000}"/>
    <cellStyle name="Accent3 17 2" xfId="2450" xr:uid="{00000000-0005-0000-0000-0000F4070000}"/>
    <cellStyle name="Accent3 18" xfId="411" xr:uid="{00000000-0005-0000-0000-0000F5070000}"/>
    <cellStyle name="Accent3 18 2" xfId="2451" xr:uid="{00000000-0005-0000-0000-0000F6070000}"/>
    <cellStyle name="Accent3 19" xfId="412" xr:uid="{00000000-0005-0000-0000-0000F7070000}"/>
    <cellStyle name="Accent3 19 2" xfId="2452" xr:uid="{00000000-0005-0000-0000-0000F8070000}"/>
    <cellStyle name="Accent3 2" xfId="413" xr:uid="{00000000-0005-0000-0000-0000F9070000}"/>
    <cellStyle name="Accent3 20" xfId="2453" xr:uid="{00000000-0005-0000-0000-0000FA070000}"/>
    <cellStyle name="Accent3 20 2" xfId="2454" xr:uid="{00000000-0005-0000-0000-0000FB070000}"/>
    <cellStyle name="Accent3 21" xfId="2455" xr:uid="{00000000-0005-0000-0000-0000FC070000}"/>
    <cellStyle name="Accent3 21 2" xfId="2456" xr:uid="{00000000-0005-0000-0000-0000FD070000}"/>
    <cellStyle name="Accent3 22" xfId="2457" xr:uid="{00000000-0005-0000-0000-0000FE070000}"/>
    <cellStyle name="Accent3 22 2" xfId="2458" xr:uid="{00000000-0005-0000-0000-0000FF070000}"/>
    <cellStyle name="Accent3 23" xfId="2459" xr:uid="{00000000-0005-0000-0000-000000080000}"/>
    <cellStyle name="Accent3 23 2" xfId="2460" xr:uid="{00000000-0005-0000-0000-000001080000}"/>
    <cellStyle name="Accent3 24" xfId="2461" xr:uid="{00000000-0005-0000-0000-000002080000}"/>
    <cellStyle name="Accent3 24 2" xfId="2462" xr:uid="{00000000-0005-0000-0000-000003080000}"/>
    <cellStyle name="Accent3 25" xfId="2463" xr:uid="{00000000-0005-0000-0000-000004080000}"/>
    <cellStyle name="Accent3 25 2" xfId="2464" xr:uid="{00000000-0005-0000-0000-000005080000}"/>
    <cellStyle name="Accent3 26" xfId="2465" xr:uid="{00000000-0005-0000-0000-000006080000}"/>
    <cellStyle name="Accent3 26 2" xfId="2466" xr:uid="{00000000-0005-0000-0000-000007080000}"/>
    <cellStyle name="Accent3 27" xfId="2467" xr:uid="{00000000-0005-0000-0000-000008080000}"/>
    <cellStyle name="Accent3 27 2" xfId="2468" xr:uid="{00000000-0005-0000-0000-000009080000}"/>
    <cellStyle name="Accent3 28" xfId="2469" xr:uid="{00000000-0005-0000-0000-00000A080000}"/>
    <cellStyle name="Accent3 28 2" xfId="2470" xr:uid="{00000000-0005-0000-0000-00000B080000}"/>
    <cellStyle name="Accent3 29" xfId="2471" xr:uid="{00000000-0005-0000-0000-00000C080000}"/>
    <cellStyle name="Accent3 29 2" xfId="2472" xr:uid="{00000000-0005-0000-0000-00000D080000}"/>
    <cellStyle name="Accent3 3" xfId="414" xr:uid="{00000000-0005-0000-0000-00000E080000}"/>
    <cellStyle name="Accent3 3 2" xfId="2473" xr:uid="{00000000-0005-0000-0000-00000F080000}"/>
    <cellStyle name="Accent3 30" xfId="2474" xr:uid="{00000000-0005-0000-0000-000010080000}"/>
    <cellStyle name="Accent3 30 2" xfId="2475" xr:uid="{00000000-0005-0000-0000-000011080000}"/>
    <cellStyle name="Accent3 31" xfId="2476" xr:uid="{00000000-0005-0000-0000-000012080000}"/>
    <cellStyle name="Accent3 31 2" xfId="2477" xr:uid="{00000000-0005-0000-0000-000013080000}"/>
    <cellStyle name="Accent3 32" xfId="2478" xr:uid="{00000000-0005-0000-0000-000014080000}"/>
    <cellStyle name="Accent3 32 2" xfId="2479" xr:uid="{00000000-0005-0000-0000-000015080000}"/>
    <cellStyle name="Accent3 33" xfId="2480" xr:uid="{00000000-0005-0000-0000-000016080000}"/>
    <cellStyle name="Accent3 33 2" xfId="2481" xr:uid="{00000000-0005-0000-0000-000017080000}"/>
    <cellStyle name="Accent3 34" xfId="2482" xr:uid="{00000000-0005-0000-0000-000018080000}"/>
    <cellStyle name="Accent3 34 2" xfId="2483" xr:uid="{00000000-0005-0000-0000-000019080000}"/>
    <cellStyle name="Accent3 35" xfId="2484" xr:uid="{00000000-0005-0000-0000-00001A080000}"/>
    <cellStyle name="Accent3 35 2" xfId="2485" xr:uid="{00000000-0005-0000-0000-00001B080000}"/>
    <cellStyle name="Accent3 36" xfId="2486" xr:uid="{00000000-0005-0000-0000-00001C080000}"/>
    <cellStyle name="Accent3 36 2" xfId="2487" xr:uid="{00000000-0005-0000-0000-00001D080000}"/>
    <cellStyle name="Accent3 37" xfId="2488" xr:uid="{00000000-0005-0000-0000-00001E080000}"/>
    <cellStyle name="Accent3 37 2" xfId="2489" xr:uid="{00000000-0005-0000-0000-00001F080000}"/>
    <cellStyle name="Accent3 38" xfId="2490" xr:uid="{00000000-0005-0000-0000-000020080000}"/>
    <cellStyle name="Accent3 38 2" xfId="2491" xr:uid="{00000000-0005-0000-0000-000021080000}"/>
    <cellStyle name="Accent3 39" xfId="2492" xr:uid="{00000000-0005-0000-0000-000022080000}"/>
    <cellStyle name="Accent3 39 2" xfId="2493" xr:uid="{00000000-0005-0000-0000-000023080000}"/>
    <cellStyle name="Accent3 4" xfId="415" xr:uid="{00000000-0005-0000-0000-000024080000}"/>
    <cellStyle name="Accent3 4 2" xfId="2494" xr:uid="{00000000-0005-0000-0000-000025080000}"/>
    <cellStyle name="Accent3 40" xfId="2495" xr:uid="{00000000-0005-0000-0000-000026080000}"/>
    <cellStyle name="Accent3 40 2" xfId="2496" xr:uid="{00000000-0005-0000-0000-000027080000}"/>
    <cellStyle name="Accent3 41" xfId="2497" xr:uid="{00000000-0005-0000-0000-000028080000}"/>
    <cellStyle name="Accent3 41 2" xfId="2498" xr:uid="{00000000-0005-0000-0000-000029080000}"/>
    <cellStyle name="Accent3 42" xfId="2499" xr:uid="{00000000-0005-0000-0000-00002A080000}"/>
    <cellStyle name="Accent3 42 2" xfId="2500" xr:uid="{00000000-0005-0000-0000-00002B080000}"/>
    <cellStyle name="Accent3 43" xfId="2501" xr:uid="{00000000-0005-0000-0000-00002C080000}"/>
    <cellStyle name="Accent3 43 2" xfId="2502" xr:uid="{00000000-0005-0000-0000-00002D080000}"/>
    <cellStyle name="Accent3 44" xfId="2503" xr:uid="{00000000-0005-0000-0000-00002E080000}"/>
    <cellStyle name="Accent3 44 2" xfId="2504" xr:uid="{00000000-0005-0000-0000-00002F080000}"/>
    <cellStyle name="Accent3 45" xfId="2505" xr:uid="{00000000-0005-0000-0000-000030080000}"/>
    <cellStyle name="Accent3 45 2" xfId="2506" xr:uid="{00000000-0005-0000-0000-000031080000}"/>
    <cellStyle name="Accent3 46" xfId="2507" xr:uid="{00000000-0005-0000-0000-000032080000}"/>
    <cellStyle name="Accent3 46 2" xfId="2508" xr:uid="{00000000-0005-0000-0000-000033080000}"/>
    <cellStyle name="Accent3 47" xfId="2509" xr:uid="{00000000-0005-0000-0000-000034080000}"/>
    <cellStyle name="Accent3 47 2" xfId="2510" xr:uid="{00000000-0005-0000-0000-000035080000}"/>
    <cellStyle name="Accent3 48" xfId="2511" xr:uid="{00000000-0005-0000-0000-000036080000}"/>
    <cellStyle name="Accent3 48 2" xfId="2512" xr:uid="{00000000-0005-0000-0000-000037080000}"/>
    <cellStyle name="Accent3 49" xfId="2513" xr:uid="{00000000-0005-0000-0000-000038080000}"/>
    <cellStyle name="Accent3 49 2" xfId="2514" xr:uid="{00000000-0005-0000-0000-000039080000}"/>
    <cellStyle name="Accent3 5" xfId="416" xr:uid="{00000000-0005-0000-0000-00003A080000}"/>
    <cellStyle name="Accent3 5 2" xfId="2515" xr:uid="{00000000-0005-0000-0000-00003B080000}"/>
    <cellStyle name="Accent3 50" xfId="2516" xr:uid="{00000000-0005-0000-0000-00003C080000}"/>
    <cellStyle name="Accent3 50 2" xfId="2517" xr:uid="{00000000-0005-0000-0000-00003D080000}"/>
    <cellStyle name="Accent3 51" xfId="2518" xr:uid="{00000000-0005-0000-0000-00003E080000}"/>
    <cellStyle name="Accent3 51 2" xfId="2519" xr:uid="{00000000-0005-0000-0000-00003F080000}"/>
    <cellStyle name="Accent3 52" xfId="2520" xr:uid="{00000000-0005-0000-0000-000040080000}"/>
    <cellStyle name="Accent3 6" xfId="417" xr:uid="{00000000-0005-0000-0000-000041080000}"/>
    <cellStyle name="Accent3 6 2" xfId="2521" xr:uid="{00000000-0005-0000-0000-000042080000}"/>
    <cellStyle name="Accent3 7" xfId="418" xr:uid="{00000000-0005-0000-0000-000043080000}"/>
    <cellStyle name="Accent3 7 2" xfId="2522" xr:uid="{00000000-0005-0000-0000-000044080000}"/>
    <cellStyle name="Accent3 8" xfId="419" xr:uid="{00000000-0005-0000-0000-000045080000}"/>
    <cellStyle name="Accent3 8 2" xfId="2523" xr:uid="{00000000-0005-0000-0000-000046080000}"/>
    <cellStyle name="Accent3 9" xfId="420" xr:uid="{00000000-0005-0000-0000-000047080000}"/>
    <cellStyle name="Accent3 9 2" xfId="2524" xr:uid="{00000000-0005-0000-0000-000048080000}"/>
    <cellStyle name="Accent4" xfId="30" builtinId="41" customBuiltin="1"/>
    <cellStyle name="Accent4 10" xfId="421" xr:uid="{00000000-0005-0000-0000-00004A080000}"/>
    <cellStyle name="Accent4 10 2" xfId="2525" xr:uid="{00000000-0005-0000-0000-00004B080000}"/>
    <cellStyle name="Accent4 11" xfId="422" xr:uid="{00000000-0005-0000-0000-00004C080000}"/>
    <cellStyle name="Accent4 11 2" xfId="2526" xr:uid="{00000000-0005-0000-0000-00004D080000}"/>
    <cellStyle name="Accent4 12" xfId="423" xr:uid="{00000000-0005-0000-0000-00004E080000}"/>
    <cellStyle name="Accent4 12 2" xfId="2527" xr:uid="{00000000-0005-0000-0000-00004F080000}"/>
    <cellStyle name="Accent4 13" xfId="424" xr:uid="{00000000-0005-0000-0000-000050080000}"/>
    <cellStyle name="Accent4 13 2" xfId="2528" xr:uid="{00000000-0005-0000-0000-000051080000}"/>
    <cellStyle name="Accent4 14" xfId="425" xr:uid="{00000000-0005-0000-0000-000052080000}"/>
    <cellStyle name="Accent4 14 2" xfId="2529" xr:uid="{00000000-0005-0000-0000-000053080000}"/>
    <cellStyle name="Accent4 15" xfId="426" xr:uid="{00000000-0005-0000-0000-000054080000}"/>
    <cellStyle name="Accent4 15 2" xfId="2530" xr:uid="{00000000-0005-0000-0000-000055080000}"/>
    <cellStyle name="Accent4 16" xfId="427" xr:uid="{00000000-0005-0000-0000-000056080000}"/>
    <cellStyle name="Accent4 16 2" xfId="2531" xr:uid="{00000000-0005-0000-0000-000057080000}"/>
    <cellStyle name="Accent4 17" xfId="428" xr:uid="{00000000-0005-0000-0000-000058080000}"/>
    <cellStyle name="Accent4 17 2" xfId="2532" xr:uid="{00000000-0005-0000-0000-000059080000}"/>
    <cellStyle name="Accent4 18" xfId="429" xr:uid="{00000000-0005-0000-0000-00005A080000}"/>
    <cellStyle name="Accent4 18 2" xfId="2533" xr:uid="{00000000-0005-0000-0000-00005B080000}"/>
    <cellStyle name="Accent4 19" xfId="430" xr:uid="{00000000-0005-0000-0000-00005C080000}"/>
    <cellStyle name="Accent4 19 2" xfId="2534" xr:uid="{00000000-0005-0000-0000-00005D080000}"/>
    <cellStyle name="Accent4 2" xfId="431" xr:uid="{00000000-0005-0000-0000-00005E080000}"/>
    <cellStyle name="Accent4 20" xfId="2535" xr:uid="{00000000-0005-0000-0000-00005F080000}"/>
    <cellStyle name="Accent4 20 2" xfId="2536" xr:uid="{00000000-0005-0000-0000-000060080000}"/>
    <cellStyle name="Accent4 21" xfId="2537" xr:uid="{00000000-0005-0000-0000-000061080000}"/>
    <cellStyle name="Accent4 21 2" xfId="2538" xr:uid="{00000000-0005-0000-0000-000062080000}"/>
    <cellStyle name="Accent4 22" xfId="2539" xr:uid="{00000000-0005-0000-0000-000063080000}"/>
    <cellStyle name="Accent4 22 2" xfId="2540" xr:uid="{00000000-0005-0000-0000-000064080000}"/>
    <cellStyle name="Accent4 23" xfId="2541" xr:uid="{00000000-0005-0000-0000-000065080000}"/>
    <cellStyle name="Accent4 23 2" xfId="2542" xr:uid="{00000000-0005-0000-0000-000066080000}"/>
    <cellStyle name="Accent4 24" xfId="2543" xr:uid="{00000000-0005-0000-0000-000067080000}"/>
    <cellStyle name="Accent4 24 2" xfId="2544" xr:uid="{00000000-0005-0000-0000-000068080000}"/>
    <cellStyle name="Accent4 25" xfId="2545" xr:uid="{00000000-0005-0000-0000-000069080000}"/>
    <cellStyle name="Accent4 25 2" xfId="2546" xr:uid="{00000000-0005-0000-0000-00006A080000}"/>
    <cellStyle name="Accent4 26" xfId="2547" xr:uid="{00000000-0005-0000-0000-00006B080000}"/>
    <cellStyle name="Accent4 26 2" xfId="2548" xr:uid="{00000000-0005-0000-0000-00006C080000}"/>
    <cellStyle name="Accent4 27" xfId="2549" xr:uid="{00000000-0005-0000-0000-00006D080000}"/>
    <cellStyle name="Accent4 27 2" xfId="2550" xr:uid="{00000000-0005-0000-0000-00006E080000}"/>
    <cellStyle name="Accent4 28" xfId="2551" xr:uid="{00000000-0005-0000-0000-00006F080000}"/>
    <cellStyle name="Accent4 28 2" xfId="2552" xr:uid="{00000000-0005-0000-0000-000070080000}"/>
    <cellStyle name="Accent4 29" xfId="2553" xr:uid="{00000000-0005-0000-0000-000071080000}"/>
    <cellStyle name="Accent4 29 2" xfId="2554" xr:uid="{00000000-0005-0000-0000-000072080000}"/>
    <cellStyle name="Accent4 3" xfId="432" xr:uid="{00000000-0005-0000-0000-000073080000}"/>
    <cellStyle name="Accent4 3 2" xfId="2555" xr:uid="{00000000-0005-0000-0000-000074080000}"/>
    <cellStyle name="Accent4 30" xfId="2556" xr:uid="{00000000-0005-0000-0000-000075080000}"/>
    <cellStyle name="Accent4 30 2" xfId="2557" xr:uid="{00000000-0005-0000-0000-000076080000}"/>
    <cellStyle name="Accent4 31" xfId="2558" xr:uid="{00000000-0005-0000-0000-000077080000}"/>
    <cellStyle name="Accent4 31 2" xfId="2559" xr:uid="{00000000-0005-0000-0000-000078080000}"/>
    <cellStyle name="Accent4 32" xfId="2560" xr:uid="{00000000-0005-0000-0000-000079080000}"/>
    <cellStyle name="Accent4 32 2" xfId="2561" xr:uid="{00000000-0005-0000-0000-00007A080000}"/>
    <cellStyle name="Accent4 33" xfId="2562" xr:uid="{00000000-0005-0000-0000-00007B080000}"/>
    <cellStyle name="Accent4 33 2" xfId="2563" xr:uid="{00000000-0005-0000-0000-00007C080000}"/>
    <cellStyle name="Accent4 34" xfId="2564" xr:uid="{00000000-0005-0000-0000-00007D080000}"/>
    <cellStyle name="Accent4 34 2" xfId="2565" xr:uid="{00000000-0005-0000-0000-00007E080000}"/>
    <cellStyle name="Accent4 35" xfId="2566" xr:uid="{00000000-0005-0000-0000-00007F080000}"/>
    <cellStyle name="Accent4 35 2" xfId="2567" xr:uid="{00000000-0005-0000-0000-000080080000}"/>
    <cellStyle name="Accent4 36" xfId="2568" xr:uid="{00000000-0005-0000-0000-000081080000}"/>
    <cellStyle name="Accent4 36 2" xfId="2569" xr:uid="{00000000-0005-0000-0000-000082080000}"/>
    <cellStyle name="Accent4 37" xfId="2570" xr:uid="{00000000-0005-0000-0000-000083080000}"/>
    <cellStyle name="Accent4 37 2" xfId="2571" xr:uid="{00000000-0005-0000-0000-000084080000}"/>
    <cellStyle name="Accent4 38" xfId="2572" xr:uid="{00000000-0005-0000-0000-000085080000}"/>
    <cellStyle name="Accent4 38 2" xfId="2573" xr:uid="{00000000-0005-0000-0000-000086080000}"/>
    <cellStyle name="Accent4 39" xfId="2574" xr:uid="{00000000-0005-0000-0000-000087080000}"/>
    <cellStyle name="Accent4 39 2" xfId="2575" xr:uid="{00000000-0005-0000-0000-000088080000}"/>
    <cellStyle name="Accent4 4" xfId="433" xr:uid="{00000000-0005-0000-0000-000089080000}"/>
    <cellStyle name="Accent4 4 2" xfId="2576" xr:uid="{00000000-0005-0000-0000-00008A080000}"/>
    <cellStyle name="Accent4 40" xfId="2577" xr:uid="{00000000-0005-0000-0000-00008B080000}"/>
    <cellStyle name="Accent4 40 2" xfId="2578" xr:uid="{00000000-0005-0000-0000-00008C080000}"/>
    <cellStyle name="Accent4 41" xfId="2579" xr:uid="{00000000-0005-0000-0000-00008D080000}"/>
    <cellStyle name="Accent4 41 2" xfId="2580" xr:uid="{00000000-0005-0000-0000-00008E080000}"/>
    <cellStyle name="Accent4 42" xfId="2581" xr:uid="{00000000-0005-0000-0000-00008F080000}"/>
    <cellStyle name="Accent4 42 2" xfId="2582" xr:uid="{00000000-0005-0000-0000-000090080000}"/>
    <cellStyle name="Accent4 43" xfId="2583" xr:uid="{00000000-0005-0000-0000-000091080000}"/>
    <cellStyle name="Accent4 43 2" xfId="2584" xr:uid="{00000000-0005-0000-0000-000092080000}"/>
    <cellStyle name="Accent4 44" xfId="2585" xr:uid="{00000000-0005-0000-0000-000093080000}"/>
    <cellStyle name="Accent4 44 2" xfId="2586" xr:uid="{00000000-0005-0000-0000-000094080000}"/>
    <cellStyle name="Accent4 45" xfId="2587" xr:uid="{00000000-0005-0000-0000-000095080000}"/>
    <cellStyle name="Accent4 45 2" xfId="2588" xr:uid="{00000000-0005-0000-0000-000096080000}"/>
    <cellStyle name="Accent4 46" xfId="2589" xr:uid="{00000000-0005-0000-0000-000097080000}"/>
    <cellStyle name="Accent4 46 2" xfId="2590" xr:uid="{00000000-0005-0000-0000-000098080000}"/>
    <cellStyle name="Accent4 47" xfId="2591" xr:uid="{00000000-0005-0000-0000-000099080000}"/>
    <cellStyle name="Accent4 47 2" xfId="2592" xr:uid="{00000000-0005-0000-0000-00009A080000}"/>
    <cellStyle name="Accent4 48" xfId="2593" xr:uid="{00000000-0005-0000-0000-00009B080000}"/>
    <cellStyle name="Accent4 48 2" xfId="2594" xr:uid="{00000000-0005-0000-0000-00009C080000}"/>
    <cellStyle name="Accent4 49" xfId="2595" xr:uid="{00000000-0005-0000-0000-00009D080000}"/>
    <cellStyle name="Accent4 49 2" xfId="2596" xr:uid="{00000000-0005-0000-0000-00009E080000}"/>
    <cellStyle name="Accent4 5" xfId="434" xr:uid="{00000000-0005-0000-0000-00009F080000}"/>
    <cellStyle name="Accent4 5 2" xfId="2597" xr:uid="{00000000-0005-0000-0000-0000A0080000}"/>
    <cellStyle name="Accent4 50" xfId="2598" xr:uid="{00000000-0005-0000-0000-0000A1080000}"/>
    <cellStyle name="Accent4 50 2" xfId="2599" xr:uid="{00000000-0005-0000-0000-0000A2080000}"/>
    <cellStyle name="Accent4 51" xfId="2600" xr:uid="{00000000-0005-0000-0000-0000A3080000}"/>
    <cellStyle name="Accent4 51 2" xfId="2601" xr:uid="{00000000-0005-0000-0000-0000A4080000}"/>
    <cellStyle name="Accent4 52" xfId="2602" xr:uid="{00000000-0005-0000-0000-0000A5080000}"/>
    <cellStyle name="Accent4 6" xfId="435" xr:uid="{00000000-0005-0000-0000-0000A6080000}"/>
    <cellStyle name="Accent4 6 2" xfId="2603" xr:uid="{00000000-0005-0000-0000-0000A7080000}"/>
    <cellStyle name="Accent4 7" xfId="436" xr:uid="{00000000-0005-0000-0000-0000A8080000}"/>
    <cellStyle name="Accent4 7 2" xfId="2604" xr:uid="{00000000-0005-0000-0000-0000A9080000}"/>
    <cellStyle name="Accent4 8" xfId="437" xr:uid="{00000000-0005-0000-0000-0000AA080000}"/>
    <cellStyle name="Accent4 8 2" xfId="2605" xr:uid="{00000000-0005-0000-0000-0000AB080000}"/>
    <cellStyle name="Accent4 9" xfId="438" xr:uid="{00000000-0005-0000-0000-0000AC080000}"/>
    <cellStyle name="Accent4 9 2" xfId="2606" xr:uid="{00000000-0005-0000-0000-0000AD080000}"/>
    <cellStyle name="Accent5" xfId="34" builtinId="45" customBuiltin="1"/>
    <cellStyle name="Accent5 10" xfId="439" xr:uid="{00000000-0005-0000-0000-0000AF080000}"/>
    <cellStyle name="Accent5 10 2" xfId="2607" xr:uid="{00000000-0005-0000-0000-0000B0080000}"/>
    <cellStyle name="Accent5 11" xfId="440" xr:uid="{00000000-0005-0000-0000-0000B1080000}"/>
    <cellStyle name="Accent5 11 2" xfId="2608" xr:uid="{00000000-0005-0000-0000-0000B2080000}"/>
    <cellStyle name="Accent5 12" xfId="441" xr:uid="{00000000-0005-0000-0000-0000B3080000}"/>
    <cellStyle name="Accent5 12 2" xfId="2609" xr:uid="{00000000-0005-0000-0000-0000B4080000}"/>
    <cellStyle name="Accent5 13" xfId="442" xr:uid="{00000000-0005-0000-0000-0000B5080000}"/>
    <cellStyle name="Accent5 13 2" xfId="2610" xr:uid="{00000000-0005-0000-0000-0000B6080000}"/>
    <cellStyle name="Accent5 14" xfId="443" xr:uid="{00000000-0005-0000-0000-0000B7080000}"/>
    <cellStyle name="Accent5 14 2" xfId="2611" xr:uid="{00000000-0005-0000-0000-0000B8080000}"/>
    <cellStyle name="Accent5 15" xfId="444" xr:uid="{00000000-0005-0000-0000-0000B9080000}"/>
    <cellStyle name="Accent5 15 2" xfId="2612" xr:uid="{00000000-0005-0000-0000-0000BA080000}"/>
    <cellStyle name="Accent5 16" xfId="445" xr:uid="{00000000-0005-0000-0000-0000BB080000}"/>
    <cellStyle name="Accent5 16 2" xfId="2613" xr:uid="{00000000-0005-0000-0000-0000BC080000}"/>
    <cellStyle name="Accent5 17" xfId="446" xr:uid="{00000000-0005-0000-0000-0000BD080000}"/>
    <cellStyle name="Accent5 17 2" xfId="2614" xr:uid="{00000000-0005-0000-0000-0000BE080000}"/>
    <cellStyle name="Accent5 18" xfId="447" xr:uid="{00000000-0005-0000-0000-0000BF080000}"/>
    <cellStyle name="Accent5 18 2" xfId="2615" xr:uid="{00000000-0005-0000-0000-0000C0080000}"/>
    <cellStyle name="Accent5 19" xfId="448" xr:uid="{00000000-0005-0000-0000-0000C1080000}"/>
    <cellStyle name="Accent5 19 2" xfId="2616" xr:uid="{00000000-0005-0000-0000-0000C2080000}"/>
    <cellStyle name="Accent5 2" xfId="449" xr:uid="{00000000-0005-0000-0000-0000C3080000}"/>
    <cellStyle name="Accent5 20" xfId="2617" xr:uid="{00000000-0005-0000-0000-0000C4080000}"/>
    <cellStyle name="Accent5 20 2" xfId="2618" xr:uid="{00000000-0005-0000-0000-0000C5080000}"/>
    <cellStyle name="Accent5 21" xfId="2619" xr:uid="{00000000-0005-0000-0000-0000C6080000}"/>
    <cellStyle name="Accent5 21 2" xfId="2620" xr:uid="{00000000-0005-0000-0000-0000C7080000}"/>
    <cellStyle name="Accent5 22" xfId="2621" xr:uid="{00000000-0005-0000-0000-0000C8080000}"/>
    <cellStyle name="Accent5 22 2" xfId="2622" xr:uid="{00000000-0005-0000-0000-0000C9080000}"/>
    <cellStyle name="Accent5 23" xfId="2623" xr:uid="{00000000-0005-0000-0000-0000CA080000}"/>
    <cellStyle name="Accent5 23 2" xfId="2624" xr:uid="{00000000-0005-0000-0000-0000CB080000}"/>
    <cellStyle name="Accent5 24" xfId="2625" xr:uid="{00000000-0005-0000-0000-0000CC080000}"/>
    <cellStyle name="Accent5 24 2" xfId="2626" xr:uid="{00000000-0005-0000-0000-0000CD080000}"/>
    <cellStyle name="Accent5 25" xfId="2627" xr:uid="{00000000-0005-0000-0000-0000CE080000}"/>
    <cellStyle name="Accent5 25 2" xfId="2628" xr:uid="{00000000-0005-0000-0000-0000CF080000}"/>
    <cellStyle name="Accent5 26" xfId="2629" xr:uid="{00000000-0005-0000-0000-0000D0080000}"/>
    <cellStyle name="Accent5 26 2" xfId="2630" xr:uid="{00000000-0005-0000-0000-0000D1080000}"/>
    <cellStyle name="Accent5 27" xfId="2631" xr:uid="{00000000-0005-0000-0000-0000D2080000}"/>
    <cellStyle name="Accent5 27 2" xfId="2632" xr:uid="{00000000-0005-0000-0000-0000D3080000}"/>
    <cellStyle name="Accent5 28" xfId="2633" xr:uid="{00000000-0005-0000-0000-0000D4080000}"/>
    <cellStyle name="Accent5 28 2" xfId="2634" xr:uid="{00000000-0005-0000-0000-0000D5080000}"/>
    <cellStyle name="Accent5 29" xfId="2635" xr:uid="{00000000-0005-0000-0000-0000D6080000}"/>
    <cellStyle name="Accent5 29 2" xfId="2636" xr:uid="{00000000-0005-0000-0000-0000D7080000}"/>
    <cellStyle name="Accent5 3" xfId="450" xr:uid="{00000000-0005-0000-0000-0000D8080000}"/>
    <cellStyle name="Accent5 3 2" xfId="2637" xr:uid="{00000000-0005-0000-0000-0000D9080000}"/>
    <cellStyle name="Accent5 30" xfId="2638" xr:uid="{00000000-0005-0000-0000-0000DA080000}"/>
    <cellStyle name="Accent5 30 2" xfId="2639" xr:uid="{00000000-0005-0000-0000-0000DB080000}"/>
    <cellStyle name="Accent5 31" xfId="2640" xr:uid="{00000000-0005-0000-0000-0000DC080000}"/>
    <cellStyle name="Accent5 31 2" xfId="2641" xr:uid="{00000000-0005-0000-0000-0000DD080000}"/>
    <cellStyle name="Accent5 32" xfId="2642" xr:uid="{00000000-0005-0000-0000-0000DE080000}"/>
    <cellStyle name="Accent5 32 2" xfId="2643" xr:uid="{00000000-0005-0000-0000-0000DF080000}"/>
    <cellStyle name="Accent5 33" xfId="2644" xr:uid="{00000000-0005-0000-0000-0000E0080000}"/>
    <cellStyle name="Accent5 33 2" xfId="2645" xr:uid="{00000000-0005-0000-0000-0000E1080000}"/>
    <cellStyle name="Accent5 34" xfId="2646" xr:uid="{00000000-0005-0000-0000-0000E2080000}"/>
    <cellStyle name="Accent5 34 2" xfId="2647" xr:uid="{00000000-0005-0000-0000-0000E3080000}"/>
    <cellStyle name="Accent5 35" xfId="2648" xr:uid="{00000000-0005-0000-0000-0000E4080000}"/>
    <cellStyle name="Accent5 35 2" xfId="2649" xr:uid="{00000000-0005-0000-0000-0000E5080000}"/>
    <cellStyle name="Accent5 36" xfId="2650" xr:uid="{00000000-0005-0000-0000-0000E6080000}"/>
    <cellStyle name="Accent5 36 2" xfId="2651" xr:uid="{00000000-0005-0000-0000-0000E7080000}"/>
    <cellStyle name="Accent5 37" xfId="2652" xr:uid="{00000000-0005-0000-0000-0000E8080000}"/>
    <cellStyle name="Accent5 37 2" xfId="2653" xr:uid="{00000000-0005-0000-0000-0000E9080000}"/>
    <cellStyle name="Accent5 38" xfId="2654" xr:uid="{00000000-0005-0000-0000-0000EA080000}"/>
    <cellStyle name="Accent5 38 2" xfId="2655" xr:uid="{00000000-0005-0000-0000-0000EB080000}"/>
    <cellStyle name="Accent5 39" xfId="2656" xr:uid="{00000000-0005-0000-0000-0000EC080000}"/>
    <cellStyle name="Accent5 39 2" xfId="2657" xr:uid="{00000000-0005-0000-0000-0000ED080000}"/>
    <cellStyle name="Accent5 4" xfId="451" xr:uid="{00000000-0005-0000-0000-0000EE080000}"/>
    <cellStyle name="Accent5 4 2" xfId="2658" xr:uid="{00000000-0005-0000-0000-0000EF080000}"/>
    <cellStyle name="Accent5 40" xfId="2659" xr:uid="{00000000-0005-0000-0000-0000F0080000}"/>
    <cellStyle name="Accent5 40 2" xfId="2660" xr:uid="{00000000-0005-0000-0000-0000F1080000}"/>
    <cellStyle name="Accent5 41" xfId="2661" xr:uid="{00000000-0005-0000-0000-0000F2080000}"/>
    <cellStyle name="Accent5 41 2" xfId="2662" xr:uid="{00000000-0005-0000-0000-0000F3080000}"/>
    <cellStyle name="Accent5 42" xfId="2663" xr:uid="{00000000-0005-0000-0000-0000F4080000}"/>
    <cellStyle name="Accent5 42 2" xfId="2664" xr:uid="{00000000-0005-0000-0000-0000F5080000}"/>
    <cellStyle name="Accent5 43" xfId="2665" xr:uid="{00000000-0005-0000-0000-0000F6080000}"/>
    <cellStyle name="Accent5 43 2" xfId="2666" xr:uid="{00000000-0005-0000-0000-0000F7080000}"/>
    <cellStyle name="Accent5 44" xfId="2667" xr:uid="{00000000-0005-0000-0000-0000F8080000}"/>
    <cellStyle name="Accent5 44 2" xfId="2668" xr:uid="{00000000-0005-0000-0000-0000F9080000}"/>
    <cellStyle name="Accent5 45" xfId="2669" xr:uid="{00000000-0005-0000-0000-0000FA080000}"/>
    <cellStyle name="Accent5 45 2" xfId="2670" xr:uid="{00000000-0005-0000-0000-0000FB080000}"/>
    <cellStyle name="Accent5 46" xfId="2671" xr:uid="{00000000-0005-0000-0000-0000FC080000}"/>
    <cellStyle name="Accent5 46 2" xfId="2672" xr:uid="{00000000-0005-0000-0000-0000FD080000}"/>
    <cellStyle name="Accent5 47" xfId="2673" xr:uid="{00000000-0005-0000-0000-0000FE080000}"/>
    <cellStyle name="Accent5 47 2" xfId="2674" xr:uid="{00000000-0005-0000-0000-0000FF080000}"/>
    <cellStyle name="Accent5 48" xfId="2675" xr:uid="{00000000-0005-0000-0000-000000090000}"/>
    <cellStyle name="Accent5 48 2" xfId="2676" xr:uid="{00000000-0005-0000-0000-000001090000}"/>
    <cellStyle name="Accent5 49" xfId="2677" xr:uid="{00000000-0005-0000-0000-000002090000}"/>
    <cellStyle name="Accent5 49 2" xfId="2678" xr:uid="{00000000-0005-0000-0000-000003090000}"/>
    <cellStyle name="Accent5 5" xfId="452" xr:uid="{00000000-0005-0000-0000-000004090000}"/>
    <cellStyle name="Accent5 5 2" xfId="2679" xr:uid="{00000000-0005-0000-0000-000005090000}"/>
    <cellStyle name="Accent5 50" xfId="2680" xr:uid="{00000000-0005-0000-0000-000006090000}"/>
    <cellStyle name="Accent5 50 2" xfId="2681" xr:uid="{00000000-0005-0000-0000-000007090000}"/>
    <cellStyle name="Accent5 51" xfId="2682" xr:uid="{00000000-0005-0000-0000-000008090000}"/>
    <cellStyle name="Accent5 51 2" xfId="2683" xr:uid="{00000000-0005-0000-0000-000009090000}"/>
    <cellStyle name="Accent5 52" xfId="2684" xr:uid="{00000000-0005-0000-0000-00000A090000}"/>
    <cellStyle name="Accent5 6" xfId="453" xr:uid="{00000000-0005-0000-0000-00000B090000}"/>
    <cellStyle name="Accent5 6 2" xfId="2685" xr:uid="{00000000-0005-0000-0000-00000C090000}"/>
    <cellStyle name="Accent5 7" xfId="454" xr:uid="{00000000-0005-0000-0000-00000D090000}"/>
    <cellStyle name="Accent5 7 2" xfId="2686" xr:uid="{00000000-0005-0000-0000-00000E090000}"/>
    <cellStyle name="Accent5 8" xfId="455" xr:uid="{00000000-0005-0000-0000-00000F090000}"/>
    <cellStyle name="Accent5 8 2" xfId="2687" xr:uid="{00000000-0005-0000-0000-000010090000}"/>
    <cellStyle name="Accent5 9" xfId="456" xr:uid="{00000000-0005-0000-0000-000011090000}"/>
    <cellStyle name="Accent5 9 2" xfId="2688" xr:uid="{00000000-0005-0000-0000-000012090000}"/>
    <cellStyle name="Accent6" xfId="38" builtinId="49" customBuiltin="1"/>
    <cellStyle name="Accent6 10" xfId="457" xr:uid="{00000000-0005-0000-0000-000014090000}"/>
    <cellStyle name="Accent6 10 2" xfId="2689" xr:uid="{00000000-0005-0000-0000-000015090000}"/>
    <cellStyle name="Accent6 11" xfId="458" xr:uid="{00000000-0005-0000-0000-000016090000}"/>
    <cellStyle name="Accent6 11 2" xfId="2690" xr:uid="{00000000-0005-0000-0000-000017090000}"/>
    <cellStyle name="Accent6 12" xfId="459" xr:uid="{00000000-0005-0000-0000-000018090000}"/>
    <cellStyle name="Accent6 12 2" xfId="2691" xr:uid="{00000000-0005-0000-0000-000019090000}"/>
    <cellStyle name="Accent6 13" xfId="460" xr:uid="{00000000-0005-0000-0000-00001A090000}"/>
    <cellStyle name="Accent6 13 2" xfId="2692" xr:uid="{00000000-0005-0000-0000-00001B090000}"/>
    <cellStyle name="Accent6 14" xfId="461" xr:uid="{00000000-0005-0000-0000-00001C090000}"/>
    <cellStyle name="Accent6 14 2" xfId="2693" xr:uid="{00000000-0005-0000-0000-00001D090000}"/>
    <cellStyle name="Accent6 15" xfId="462" xr:uid="{00000000-0005-0000-0000-00001E090000}"/>
    <cellStyle name="Accent6 15 2" xfId="2694" xr:uid="{00000000-0005-0000-0000-00001F090000}"/>
    <cellStyle name="Accent6 16" xfId="463" xr:uid="{00000000-0005-0000-0000-000020090000}"/>
    <cellStyle name="Accent6 16 2" xfId="2695" xr:uid="{00000000-0005-0000-0000-000021090000}"/>
    <cellStyle name="Accent6 17" xfId="464" xr:uid="{00000000-0005-0000-0000-000022090000}"/>
    <cellStyle name="Accent6 17 2" xfId="2696" xr:uid="{00000000-0005-0000-0000-000023090000}"/>
    <cellStyle name="Accent6 18" xfId="465" xr:uid="{00000000-0005-0000-0000-000024090000}"/>
    <cellStyle name="Accent6 18 2" xfId="2697" xr:uid="{00000000-0005-0000-0000-000025090000}"/>
    <cellStyle name="Accent6 19" xfId="466" xr:uid="{00000000-0005-0000-0000-000026090000}"/>
    <cellStyle name="Accent6 19 2" xfId="2698" xr:uid="{00000000-0005-0000-0000-000027090000}"/>
    <cellStyle name="Accent6 2" xfId="467" xr:uid="{00000000-0005-0000-0000-000028090000}"/>
    <cellStyle name="Accent6 20" xfId="2699" xr:uid="{00000000-0005-0000-0000-000029090000}"/>
    <cellStyle name="Accent6 20 2" xfId="2700" xr:uid="{00000000-0005-0000-0000-00002A090000}"/>
    <cellStyle name="Accent6 21" xfId="2701" xr:uid="{00000000-0005-0000-0000-00002B090000}"/>
    <cellStyle name="Accent6 21 2" xfId="2702" xr:uid="{00000000-0005-0000-0000-00002C090000}"/>
    <cellStyle name="Accent6 22" xfId="2703" xr:uid="{00000000-0005-0000-0000-00002D090000}"/>
    <cellStyle name="Accent6 22 2" xfId="2704" xr:uid="{00000000-0005-0000-0000-00002E090000}"/>
    <cellStyle name="Accent6 23" xfId="2705" xr:uid="{00000000-0005-0000-0000-00002F090000}"/>
    <cellStyle name="Accent6 23 2" xfId="2706" xr:uid="{00000000-0005-0000-0000-000030090000}"/>
    <cellStyle name="Accent6 24" xfId="2707" xr:uid="{00000000-0005-0000-0000-000031090000}"/>
    <cellStyle name="Accent6 24 2" xfId="2708" xr:uid="{00000000-0005-0000-0000-000032090000}"/>
    <cellStyle name="Accent6 25" xfId="2709" xr:uid="{00000000-0005-0000-0000-000033090000}"/>
    <cellStyle name="Accent6 25 2" xfId="2710" xr:uid="{00000000-0005-0000-0000-000034090000}"/>
    <cellStyle name="Accent6 26" xfId="2711" xr:uid="{00000000-0005-0000-0000-000035090000}"/>
    <cellStyle name="Accent6 26 2" xfId="2712" xr:uid="{00000000-0005-0000-0000-000036090000}"/>
    <cellStyle name="Accent6 27" xfId="2713" xr:uid="{00000000-0005-0000-0000-000037090000}"/>
    <cellStyle name="Accent6 27 2" xfId="2714" xr:uid="{00000000-0005-0000-0000-000038090000}"/>
    <cellStyle name="Accent6 28" xfId="2715" xr:uid="{00000000-0005-0000-0000-000039090000}"/>
    <cellStyle name="Accent6 28 2" xfId="2716" xr:uid="{00000000-0005-0000-0000-00003A090000}"/>
    <cellStyle name="Accent6 29" xfId="2717" xr:uid="{00000000-0005-0000-0000-00003B090000}"/>
    <cellStyle name="Accent6 29 2" xfId="2718" xr:uid="{00000000-0005-0000-0000-00003C090000}"/>
    <cellStyle name="Accent6 3" xfId="468" xr:uid="{00000000-0005-0000-0000-00003D090000}"/>
    <cellStyle name="Accent6 3 2" xfId="2719" xr:uid="{00000000-0005-0000-0000-00003E090000}"/>
    <cellStyle name="Accent6 30" xfId="2720" xr:uid="{00000000-0005-0000-0000-00003F090000}"/>
    <cellStyle name="Accent6 30 2" xfId="2721" xr:uid="{00000000-0005-0000-0000-000040090000}"/>
    <cellStyle name="Accent6 31" xfId="2722" xr:uid="{00000000-0005-0000-0000-000041090000}"/>
    <cellStyle name="Accent6 31 2" xfId="2723" xr:uid="{00000000-0005-0000-0000-000042090000}"/>
    <cellStyle name="Accent6 32" xfId="2724" xr:uid="{00000000-0005-0000-0000-000043090000}"/>
    <cellStyle name="Accent6 32 2" xfId="2725" xr:uid="{00000000-0005-0000-0000-000044090000}"/>
    <cellStyle name="Accent6 33" xfId="2726" xr:uid="{00000000-0005-0000-0000-000045090000}"/>
    <cellStyle name="Accent6 33 2" xfId="2727" xr:uid="{00000000-0005-0000-0000-000046090000}"/>
    <cellStyle name="Accent6 34" xfId="2728" xr:uid="{00000000-0005-0000-0000-000047090000}"/>
    <cellStyle name="Accent6 34 2" xfId="2729" xr:uid="{00000000-0005-0000-0000-000048090000}"/>
    <cellStyle name="Accent6 35" xfId="2730" xr:uid="{00000000-0005-0000-0000-000049090000}"/>
    <cellStyle name="Accent6 35 2" xfId="2731" xr:uid="{00000000-0005-0000-0000-00004A090000}"/>
    <cellStyle name="Accent6 36" xfId="2732" xr:uid="{00000000-0005-0000-0000-00004B090000}"/>
    <cellStyle name="Accent6 36 2" xfId="2733" xr:uid="{00000000-0005-0000-0000-00004C090000}"/>
    <cellStyle name="Accent6 37" xfId="2734" xr:uid="{00000000-0005-0000-0000-00004D090000}"/>
    <cellStyle name="Accent6 37 2" xfId="2735" xr:uid="{00000000-0005-0000-0000-00004E090000}"/>
    <cellStyle name="Accent6 38" xfId="2736" xr:uid="{00000000-0005-0000-0000-00004F090000}"/>
    <cellStyle name="Accent6 38 2" xfId="2737" xr:uid="{00000000-0005-0000-0000-000050090000}"/>
    <cellStyle name="Accent6 39" xfId="2738" xr:uid="{00000000-0005-0000-0000-000051090000}"/>
    <cellStyle name="Accent6 39 2" xfId="2739" xr:uid="{00000000-0005-0000-0000-000052090000}"/>
    <cellStyle name="Accent6 4" xfId="469" xr:uid="{00000000-0005-0000-0000-000053090000}"/>
    <cellStyle name="Accent6 4 2" xfId="2740" xr:uid="{00000000-0005-0000-0000-000054090000}"/>
    <cellStyle name="Accent6 40" xfId="2741" xr:uid="{00000000-0005-0000-0000-000055090000}"/>
    <cellStyle name="Accent6 40 2" xfId="2742" xr:uid="{00000000-0005-0000-0000-000056090000}"/>
    <cellStyle name="Accent6 41" xfId="2743" xr:uid="{00000000-0005-0000-0000-000057090000}"/>
    <cellStyle name="Accent6 41 2" xfId="2744" xr:uid="{00000000-0005-0000-0000-000058090000}"/>
    <cellStyle name="Accent6 42" xfId="2745" xr:uid="{00000000-0005-0000-0000-000059090000}"/>
    <cellStyle name="Accent6 42 2" xfId="2746" xr:uid="{00000000-0005-0000-0000-00005A090000}"/>
    <cellStyle name="Accent6 43" xfId="2747" xr:uid="{00000000-0005-0000-0000-00005B090000}"/>
    <cellStyle name="Accent6 43 2" xfId="2748" xr:uid="{00000000-0005-0000-0000-00005C090000}"/>
    <cellStyle name="Accent6 44" xfId="2749" xr:uid="{00000000-0005-0000-0000-00005D090000}"/>
    <cellStyle name="Accent6 44 2" xfId="2750" xr:uid="{00000000-0005-0000-0000-00005E090000}"/>
    <cellStyle name="Accent6 45" xfId="2751" xr:uid="{00000000-0005-0000-0000-00005F090000}"/>
    <cellStyle name="Accent6 45 2" xfId="2752" xr:uid="{00000000-0005-0000-0000-000060090000}"/>
    <cellStyle name="Accent6 46" xfId="2753" xr:uid="{00000000-0005-0000-0000-000061090000}"/>
    <cellStyle name="Accent6 46 2" xfId="2754" xr:uid="{00000000-0005-0000-0000-000062090000}"/>
    <cellStyle name="Accent6 47" xfId="2755" xr:uid="{00000000-0005-0000-0000-000063090000}"/>
    <cellStyle name="Accent6 47 2" xfId="2756" xr:uid="{00000000-0005-0000-0000-000064090000}"/>
    <cellStyle name="Accent6 48" xfId="2757" xr:uid="{00000000-0005-0000-0000-000065090000}"/>
    <cellStyle name="Accent6 48 2" xfId="2758" xr:uid="{00000000-0005-0000-0000-000066090000}"/>
    <cellStyle name="Accent6 49" xfId="2759" xr:uid="{00000000-0005-0000-0000-000067090000}"/>
    <cellStyle name="Accent6 49 2" xfId="2760" xr:uid="{00000000-0005-0000-0000-000068090000}"/>
    <cellStyle name="Accent6 5" xfId="470" xr:uid="{00000000-0005-0000-0000-000069090000}"/>
    <cellStyle name="Accent6 5 2" xfId="2761" xr:uid="{00000000-0005-0000-0000-00006A090000}"/>
    <cellStyle name="Accent6 50" xfId="2762" xr:uid="{00000000-0005-0000-0000-00006B090000}"/>
    <cellStyle name="Accent6 50 2" xfId="2763" xr:uid="{00000000-0005-0000-0000-00006C090000}"/>
    <cellStyle name="Accent6 51" xfId="2764" xr:uid="{00000000-0005-0000-0000-00006D090000}"/>
    <cellStyle name="Accent6 51 2" xfId="2765" xr:uid="{00000000-0005-0000-0000-00006E090000}"/>
    <cellStyle name="Accent6 52" xfId="2766" xr:uid="{00000000-0005-0000-0000-00006F090000}"/>
    <cellStyle name="Accent6 6" xfId="471" xr:uid="{00000000-0005-0000-0000-000070090000}"/>
    <cellStyle name="Accent6 6 2" xfId="2767" xr:uid="{00000000-0005-0000-0000-000071090000}"/>
    <cellStyle name="Accent6 7" xfId="472" xr:uid="{00000000-0005-0000-0000-000072090000}"/>
    <cellStyle name="Accent6 7 2" xfId="2768" xr:uid="{00000000-0005-0000-0000-000073090000}"/>
    <cellStyle name="Accent6 8" xfId="473" xr:uid="{00000000-0005-0000-0000-000074090000}"/>
    <cellStyle name="Accent6 8 2" xfId="2769" xr:uid="{00000000-0005-0000-0000-000075090000}"/>
    <cellStyle name="Accent6 9" xfId="474" xr:uid="{00000000-0005-0000-0000-000076090000}"/>
    <cellStyle name="Accent6 9 2" xfId="2770" xr:uid="{00000000-0005-0000-0000-000077090000}"/>
    <cellStyle name="Bad" xfId="7" builtinId="27" customBuiltin="1"/>
    <cellStyle name="Bad 10" xfId="475" xr:uid="{00000000-0005-0000-0000-000079090000}"/>
    <cellStyle name="Bad 10 2" xfId="2771" xr:uid="{00000000-0005-0000-0000-00007A090000}"/>
    <cellStyle name="Bad 11" xfId="476" xr:uid="{00000000-0005-0000-0000-00007B090000}"/>
    <cellStyle name="Bad 11 2" xfId="2772" xr:uid="{00000000-0005-0000-0000-00007C090000}"/>
    <cellStyle name="Bad 12" xfId="477" xr:uid="{00000000-0005-0000-0000-00007D090000}"/>
    <cellStyle name="Bad 12 2" xfId="2773" xr:uid="{00000000-0005-0000-0000-00007E090000}"/>
    <cellStyle name="Bad 13" xfId="478" xr:uid="{00000000-0005-0000-0000-00007F090000}"/>
    <cellStyle name="Bad 13 2" xfId="2774" xr:uid="{00000000-0005-0000-0000-000080090000}"/>
    <cellStyle name="Bad 14" xfId="479" xr:uid="{00000000-0005-0000-0000-000081090000}"/>
    <cellStyle name="Bad 14 2" xfId="2775" xr:uid="{00000000-0005-0000-0000-000082090000}"/>
    <cellStyle name="Bad 15" xfId="480" xr:uid="{00000000-0005-0000-0000-000083090000}"/>
    <cellStyle name="Bad 15 2" xfId="2776" xr:uid="{00000000-0005-0000-0000-000084090000}"/>
    <cellStyle name="Bad 16" xfId="481" xr:uid="{00000000-0005-0000-0000-000085090000}"/>
    <cellStyle name="Bad 16 2" xfId="2777" xr:uid="{00000000-0005-0000-0000-000086090000}"/>
    <cellStyle name="Bad 17" xfId="482" xr:uid="{00000000-0005-0000-0000-000087090000}"/>
    <cellStyle name="Bad 17 2" xfId="2778" xr:uid="{00000000-0005-0000-0000-000088090000}"/>
    <cellStyle name="Bad 18" xfId="483" xr:uid="{00000000-0005-0000-0000-000089090000}"/>
    <cellStyle name="Bad 18 2" xfId="2779" xr:uid="{00000000-0005-0000-0000-00008A090000}"/>
    <cellStyle name="Bad 19" xfId="484" xr:uid="{00000000-0005-0000-0000-00008B090000}"/>
    <cellStyle name="Bad 19 2" xfId="2780" xr:uid="{00000000-0005-0000-0000-00008C090000}"/>
    <cellStyle name="Bad 2" xfId="485" xr:uid="{00000000-0005-0000-0000-00008D090000}"/>
    <cellStyle name="Bad 20" xfId="2781" xr:uid="{00000000-0005-0000-0000-00008E090000}"/>
    <cellStyle name="Bad 20 2" xfId="2782" xr:uid="{00000000-0005-0000-0000-00008F090000}"/>
    <cellStyle name="Bad 21" xfId="2783" xr:uid="{00000000-0005-0000-0000-000090090000}"/>
    <cellStyle name="Bad 21 2" xfId="2784" xr:uid="{00000000-0005-0000-0000-000091090000}"/>
    <cellStyle name="Bad 22" xfId="2785" xr:uid="{00000000-0005-0000-0000-000092090000}"/>
    <cellStyle name="Bad 22 2" xfId="2786" xr:uid="{00000000-0005-0000-0000-000093090000}"/>
    <cellStyle name="Bad 23" xfId="2787" xr:uid="{00000000-0005-0000-0000-000094090000}"/>
    <cellStyle name="Bad 23 2" xfId="2788" xr:uid="{00000000-0005-0000-0000-000095090000}"/>
    <cellStyle name="Bad 24" xfId="2789" xr:uid="{00000000-0005-0000-0000-000096090000}"/>
    <cellStyle name="Bad 24 2" xfId="2790" xr:uid="{00000000-0005-0000-0000-000097090000}"/>
    <cellStyle name="Bad 25" xfId="2791" xr:uid="{00000000-0005-0000-0000-000098090000}"/>
    <cellStyle name="Bad 25 2" xfId="2792" xr:uid="{00000000-0005-0000-0000-000099090000}"/>
    <cellStyle name="Bad 26" xfId="2793" xr:uid="{00000000-0005-0000-0000-00009A090000}"/>
    <cellStyle name="Bad 26 2" xfId="2794" xr:uid="{00000000-0005-0000-0000-00009B090000}"/>
    <cellStyle name="Bad 27" xfId="2795" xr:uid="{00000000-0005-0000-0000-00009C090000}"/>
    <cellStyle name="Bad 27 2" xfId="2796" xr:uid="{00000000-0005-0000-0000-00009D090000}"/>
    <cellStyle name="Bad 28" xfId="2797" xr:uid="{00000000-0005-0000-0000-00009E090000}"/>
    <cellStyle name="Bad 28 2" xfId="2798" xr:uid="{00000000-0005-0000-0000-00009F090000}"/>
    <cellStyle name="Bad 29" xfId="2799" xr:uid="{00000000-0005-0000-0000-0000A0090000}"/>
    <cellStyle name="Bad 29 2" xfId="2800" xr:uid="{00000000-0005-0000-0000-0000A1090000}"/>
    <cellStyle name="Bad 3" xfId="486" xr:uid="{00000000-0005-0000-0000-0000A2090000}"/>
    <cellStyle name="Bad 3 2" xfId="2801" xr:uid="{00000000-0005-0000-0000-0000A3090000}"/>
    <cellStyle name="Bad 30" xfId="2802" xr:uid="{00000000-0005-0000-0000-0000A4090000}"/>
    <cellStyle name="Bad 30 2" xfId="2803" xr:uid="{00000000-0005-0000-0000-0000A5090000}"/>
    <cellStyle name="Bad 31" xfId="2804" xr:uid="{00000000-0005-0000-0000-0000A6090000}"/>
    <cellStyle name="Bad 31 2" xfId="2805" xr:uid="{00000000-0005-0000-0000-0000A7090000}"/>
    <cellStyle name="Bad 32" xfId="2806" xr:uid="{00000000-0005-0000-0000-0000A8090000}"/>
    <cellStyle name="Bad 32 2" xfId="2807" xr:uid="{00000000-0005-0000-0000-0000A9090000}"/>
    <cellStyle name="Bad 33" xfId="2808" xr:uid="{00000000-0005-0000-0000-0000AA090000}"/>
    <cellStyle name="Bad 33 2" xfId="2809" xr:uid="{00000000-0005-0000-0000-0000AB090000}"/>
    <cellStyle name="Bad 34" xfId="2810" xr:uid="{00000000-0005-0000-0000-0000AC090000}"/>
    <cellStyle name="Bad 34 2" xfId="2811" xr:uid="{00000000-0005-0000-0000-0000AD090000}"/>
    <cellStyle name="Bad 35" xfId="2812" xr:uid="{00000000-0005-0000-0000-0000AE090000}"/>
    <cellStyle name="Bad 35 2" xfId="2813" xr:uid="{00000000-0005-0000-0000-0000AF090000}"/>
    <cellStyle name="Bad 36" xfId="2814" xr:uid="{00000000-0005-0000-0000-0000B0090000}"/>
    <cellStyle name="Bad 36 2" xfId="2815" xr:uid="{00000000-0005-0000-0000-0000B1090000}"/>
    <cellStyle name="Bad 37" xfId="2816" xr:uid="{00000000-0005-0000-0000-0000B2090000}"/>
    <cellStyle name="Bad 37 2" xfId="2817" xr:uid="{00000000-0005-0000-0000-0000B3090000}"/>
    <cellStyle name="Bad 38" xfId="2818" xr:uid="{00000000-0005-0000-0000-0000B4090000}"/>
    <cellStyle name="Bad 38 2" xfId="2819" xr:uid="{00000000-0005-0000-0000-0000B5090000}"/>
    <cellStyle name="Bad 39" xfId="2820" xr:uid="{00000000-0005-0000-0000-0000B6090000}"/>
    <cellStyle name="Bad 39 2" xfId="2821" xr:uid="{00000000-0005-0000-0000-0000B7090000}"/>
    <cellStyle name="Bad 4" xfId="487" xr:uid="{00000000-0005-0000-0000-0000B8090000}"/>
    <cellStyle name="Bad 4 2" xfId="2822" xr:uid="{00000000-0005-0000-0000-0000B9090000}"/>
    <cellStyle name="Bad 40" xfId="2823" xr:uid="{00000000-0005-0000-0000-0000BA090000}"/>
    <cellStyle name="Bad 40 2" xfId="2824" xr:uid="{00000000-0005-0000-0000-0000BB090000}"/>
    <cellStyle name="Bad 41" xfId="2825" xr:uid="{00000000-0005-0000-0000-0000BC090000}"/>
    <cellStyle name="Bad 41 2" xfId="2826" xr:uid="{00000000-0005-0000-0000-0000BD090000}"/>
    <cellStyle name="Bad 42" xfId="2827" xr:uid="{00000000-0005-0000-0000-0000BE090000}"/>
    <cellStyle name="Bad 42 2" xfId="2828" xr:uid="{00000000-0005-0000-0000-0000BF090000}"/>
    <cellStyle name="Bad 43" xfId="2829" xr:uid="{00000000-0005-0000-0000-0000C0090000}"/>
    <cellStyle name="Bad 43 2" xfId="2830" xr:uid="{00000000-0005-0000-0000-0000C1090000}"/>
    <cellStyle name="Bad 44" xfId="2831" xr:uid="{00000000-0005-0000-0000-0000C2090000}"/>
    <cellStyle name="Bad 44 2" xfId="2832" xr:uid="{00000000-0005-0000-0000-0000C3090000}"/>
    <cellStyle name="Bad 45" xfId="2833" xr:uid="{00000000-0005-0000-0000-0000C4090000}"/>
    <cellStyle name="Bad 45 2" xfId="2834" xr:uid="{00000000-0005-0000-0000-0000C5090000}"/>
    <cellStyle name="Bad 46" xfId="2835" xr:uid="{00000000-0005-0000-0000-0000C6090000}"/>
    <cellStyle name="Bad 46 2" xfId="2836" xr:uid="{00000000-0005-0000-0000-0000C7090000}"/>
    <cellStyle name="Bad 47" xfId="2837" xr:uid="{00000000-0005-0000-0000-0000C8090000}"/>
    <cellStyle name="Bad 47 2" xfId="2838" xr:uid="{00000000-0005-0000-0000-0000C9090000}"/>
    <cellStyle name="Bad 48" xfId="2839" xr:uid="{00000000-0005-0000-0000-0000CA090000}"/>
    <cellStyle name="Bad 48 2" xfId="2840" xr:uid="{00000000-0005-0000-0000-0000CB090000}"/>
    <cellStyle name="Bad 49" xfId="2841" xr:uid="{00000000-0005-0000-0000-0000CC090000}"/>
    <cellStyle name="Bad 49 2" xfId="2842" xr:uid="{00000000-0005-0000-0000-0000CD090000}"/>
    <cellStyle name="Bad 5" xfId="488" xr:uid="{00000000-0005-0000-0000-0000CE090000}"/>
    <cellStyle name="Bad 5 2" xfId="2843" xr:uid="{00000000-0005-0000-0000-0000CF090000}"/>
    <cellStyle name="Bad 50" xfId="2844" xr:uid="{00000000-0005-0000-0000-0000D0090000}"/>
    <cellStyle name="Bad 50 2" xfId="2845" xr:uid="{00000000-0005-0000-0000-0000D1090000}"/>
    <cellStyle name="Bad 51" xfId="2846" xr:uid="{00000000-0005-0000-0000-0000D2090000}"/>
    <cellStyle name="Bad 51 2" xfId="2847" xr:uid="{00000000-0005-0000-0000-0000D3090000}"/>
    <cellStyle name="Bad 52" xfId="2848" xr:uid="{00000000-0005-0000-0000-0000D4090000}"/>
    <cellStyle name="Bad 6" xfId="489" xr:uid="{00000000-0005-0000-0000-0000D5090000}"/>
    <cellStyle name="Bad 6 2" xfId="2849" xr:uid="{00000000-0005-0000-0000-0000D6090000}"/>
    <cellStyle name="Bad 7" xfId="490" xr:uid="{00000000-0005-0000-0000-0000D7090000}"/>
    <cellStyle name="Bad 7 2" xfId="2850" xr:uid="{00000000-0005-0000-0000-0000D8090000}"/>
    <cellStyle name="Bad 8" xfId="491" xr:uid="{00000000-0005-0000-0000-0000D9090000}"/>
    <cellStyle name="Bad 8 2" xfId="2851" xr:uid="{00000000-0005-0000-0000-0000DA090000}"/>
    <cellStyle name="Bad 9" xfId="492" xr:uid="{00000000-0005-0000-0000-0000DB090000}"/>
    <cellStyle name="Bad 9 2" xfId="2852" xr:uid="{00000000-0005-0000-0000-0000DC090000}"/>
    <cellStyle name="Calculation" xfId="11" builtinId="22" customBuiltin="1"/>
    <cellStyle name="Calculation 10" xfId="493" xr:uid="{00000000-0005-0000-0000-0000DE090000}"/>
    <cellStyle name="Calculation 10 2" xfId="2853" xr:uid="{00000000-0005-0000-0000-0000DF090000}"/>
    <cellStyle name="Calculation 11" xfId="494" xr:uid="{00000000-0005-0000-0000-0000E0090000}"/>
    <cellStyle name="Calculation 11 2" xfId="2854" xr:uid="{00000000-0005-0000-0000-0000E1090000}"/>
    <cellStyle name="Calculation 12" xfId="495" xr:uid="{00000000-0005-0000-0000-0000E2090000}"/>
    <cellStyle name="Calculation 12 2" xfId="2855" xr:uid="{00000000-0005-0000-0000-0000E3090000}"/>
    <cellStyle name="Calculation 13" xfId="496" xr:uid="{00000000-0005-0000-0000-0000E4090000}"/>
    <cellStyle name="Calculation 13 2" xfId="2856" xr:uid="{00000000-0005-0000-0000-0000E5090000}"/>
    <cellStyle name="Calculation 14" xfId="497" xr:uid="{00000000-0005-0000-0000-0000E6090000}"/>
    <cellStyle name="Calculation 14 2" xfId="2857" xr:uid="{00000000-0005-0000-0000-0000E7090000}"/>
    <cellStyle name="Calculation 15" xfId="498" xr:uid="{00000000-0005-0000-0000-0000E8090000}"/>
    <cellStyle name="Calculation 15 2" xfId="2858" xr:uid="{00000000-0005-0000-0000-0000E9090000}"/>
    <cellStyle name="Calculation 16" xfId="499" xr:uid="{00000000-0005-0000-0000-0000EA090000}"/>
    <cellStyle name="Calculation 16 2" xfId="2859" xr:uid="{00000000-0005-0000-0000-0000EB090000}"/>
    <cellStyle name="Calculation 17" xfId="500" xr:uid="{00000000-0005-0000-0000-0000EC090000}"/>
    <cellStyle name="Calculation 17 2" xfId="2860" xr:uid="{00000000-0005-0000-0000-0000ED090000}"/>
    <cellStyle name="Calculation 18" xfId="501" xr:uid="{00000000-0005-0000-0000-0000EE090000}"/>
    <cellStyle name="Calculation 18 2" xfId="2861" xr:uid="{00000000-0005-0000-0000-0000EF090000}"/>
    <cellStyle name="Calculation 19" xfId="502" xr:uid="{00000000-0005-0000-0000-0000F0090000}"/>
    <cellStyle name="Calculation 19 2" xfId="2862" xr:uid="{00000000-0005-0000-0000-0000F1090000}"/>
    <cellStyle name="Calculation 2" xfId="503" xr:uid="{00000000-0005-0000-0000-0000F2090000}"/>
    <cellStyle name="Calculation 20" xfId="2863" xr:uid="{00000000-0005-0000-0000-0000F3090000}"/>
    <cellStyle name="Calculation 20 2" xfId="2864" xr:uid="{00000000-0005-0000-0000-0000F4090000}"/>
    <cellStyle name="Calculation 21" xfId="2865" xr:uid="{00000000-0005-0000-0000-0000F5090000}"/>
    <cellStyle name="Calculation 21 2" xfId="2866" xr:uid="{00000000-0005-0000-0000-0000F6090000}"/>
    <cellStyle name="Calculation 22" xfId="2867" xr:uid="{00000000-0005-0000-0000-0000F7090000}"/>
    <cellStyle name="Calculation 22 2" xfId="2868" xr:uid="{00000000-0005-0000-0000-0000F8090000}"/>
    <cellStyle name="Calculation 23" xfId="2869" xr:uid="{00000000-0005-0000-0000-0000F9090000}"/>
    <cellStyle name="Calculation 23 2" xfId="2870" xr:uid="{00000000-0005-0000-0000-0000FA090000}"/>
    <cellStyle name="Calculation 24" xfId="2871" xr:uid="{00000000-0005-0000-0000-0000FB090000}"/>
    <cellStyle name="Calculation 24 2" xfId="2872" xr:uid="{00000000-0005-0000-0000-0000FC090000}"/>
    <cellStyle name="Calculation 25" xfId="2873" xr:uid="{00000000-0005-0000-0000-0000FD090000}"/>
    <cellStyle name="Calculation 25 2" xfId="2874" xr:uid="{00000000-0005-0000-0000-0000FE090000}"/>
    <cellStyle name="Calculation 26" xfId="2875" xr:uid="{00000000-0005-0000-0000-0000FF090000}"/>
    <cellStyle name="Calculation 26 2" xfId="2876" xr:uid="{00000000-0005-0000-0000-0000000A0000}"/>
    <cellStyle name="Calculation 27" xfId="2877" xr:uid="{00000000-0005-0000-0000-0000010A0000}"/>
    <cellStyle name="Calculation 27 2" xfId="2878" xr:uid="{00000000-0005-0000-0000-0000020A0000}"/>
    <cellStyle name="Calculation 28" xfId="2879" xr:uid="{00000000-0005-0000-0000-0000030A0000}"/>
    <cellStyle name="Calculation 28 2" xfId="2880" xr:uid="{00000000-0005-0000-0000-0000040A0000}"/>
    <cellStyle name="Calculation 29" xfId="2881" xr:uid="{00000000-0005-0000-0000-0000050A0000}"/>
    <cellStyle name="Calculation 29 2" xfId="2882" xr:uid="{00000000-0005-0000-0000-0000060A0000}"/>
    <cellStyle name="Calculation 3" xfId="504" xr:uid="{00000000-0005-0000-0000-0000070A0000}"/>
    <cellStyle name="Calculation 3 2" xfId="2883" xr:uid="{00000000-0005-0000-0000-0000080A0000}"/>
    <cellStyle name="Calculation 30" xfId="2884" xr:uid="{00000000-0005-0000-0000-0000090A0000}"/>
    <cellStyle name="Calculation 30 2" xfId="2885" xr:uid="{00000000-0005-0000-0000-00000A0A0000}"/>
    <cellStyle name="Calculation 31" xfId="2886" xr:uid="{00000000-0005-0000-0000-00000B0A0000}"/>
    <cellStyle name="Calculation 31 2" xfId="2887" xr:uid="{00000000-0005-0000-0000-00000C0A0000}"/>
    <cellStyle name="Calculation 32" xfId="2888" xr:uid="{00000000-0005-0000-0000-00000D0A0000}"/>
    <cellStyle name="Calculation 32 2" xfId="2889" xr:uid="{00000000-0005-0000-0000-00000E0A0000}"/>
    <cellStyle name="Calculation 33" xfId="2890" xr:uid="{00000000-0005-0000-0000-00000F0A0000}"/>
    <cellStyle name="Calculation 33 2" xfId="2891" xr:uid="{00000000-0005-0000-0000-0000100A0000}"/>
    <cellStyle name="Calculation 34" xfId="2892" xr:uid="{00000000-0005-0000-0000-0000110A0000}"/>
    <cellStyle name="Calculation 34 2" xfId="2893" xr:uid="{00000000-0005-0000-0000-0000120A0000}"/>
    <cellStyle name="Calculation 35" xfId="2894" xr:uid="{00000000-0005-0000-0000-0000130A0000}"/>
    <cellStyle name="Calculation 35 2" xfId="2895" xr:uid="{00000000-0005-0000-0000-0000140A0000}"/>
    <cellStyle name="Calculation 36" xfId="2896" xr:uid="{00000000-0005-0000-0000-0000150A0000}"/>
    <cellStyle name="Calculation 36 2" xfId="2897" xr:uid="{00000000-0005-0000-0000-0000160A0000}"/>
    <cellStyle name="Calculation 37" xfId="2898" xr:uid="{00000000-0005-0000-0000-0000170A0000}"/>
    <cellStyle name="Calculation 37 2" xfId="2899" xr:uid="{00000000-0005-0000-0000-0000180A0000}"/>
    <cellStyle name="Calculation 38" xfId="2900" xr:uid="{00000000-0005-0000-0000-0000190A0000}"/>
    <cellStyle name="Calculation 38 2" xfId="2901" xr:uid="{00000000-0005-0000-0000-00001A0A0000}"/>
    <cellStyle name="Calculation 39" xfId="2902" xr:uid="{00000000-0005-0000-0000-00001B0A0000}"/>
    <cellStyle name="Calculation 39 2" xfId="2903" xr:uid="{00000000-0005-0000-0000-00001C0A0000}"/>
    <cellStyle name="Calculation 4" xfId="505" xr:uid="{00000000-0005-0000-0000-00001D0A0000}"/>
    <cellStyle name="Calculation 4 2" xfId="2904" xr:uid="{00000000-0005-0000-0000-00001E0A0000}"/>
    <cellStyle name="Calculation 40" xfId="2905" xr:uid="{00000000-0005-0000-0000-00001F0A0000}"/>
    <cellStyle name="Calculation 40 2" xfId="2906" xr:uid="{00000000-0005-0000-0000-0000200A0000}"/>
    <cellStyle name="Calculation 41" xfId="2907" xr:uid="{00000000-0005-0000-0000-0000210A0000}"/>
    <cellStyle name="Calculation 41 2" xfId="2908" xr:uid="{00000000-0005-0000-0000-0000220A0000}"/>
    <cellStyle name="Calculation 42" xfId="2909" xr:uid="{00000000-0005-0000-0000-0000230A0000}"/>
    <cellStyle name="Calculation 42 2" xfId="2910" xr:uid="{00000000-0005-0000-0000-0000240A0000}"/>
    <cellStyle name="Calculation 43" xfId="2911" xr:uid="{00000000-0005-0000-0000-0000250A0000}"/>
    <cellStyle name="Calculation 43 2" xfId="2912" xr:uid="{00000000-0005-0000-0000-0000260A0000}"/>
    <cellStyle name="Calculation 44" xfId="2913" xr:uid="{00000000-0005-0000-0000-0000270A0000}"/>
    <cellStyle name="Calculation 44 2" xfId="2914" xr:uid="{00000000-0005-0000-0000-0000280A0000}"/>
    <cellStyle name="Calculation 45" xfId="2915" xr:uid="{00000000-0005-0000-0000-0000290A0000}"/>
    <cellStyle name="Calculation 45 2" xfId="2916" xr:uid="{00000000-0005-0000-0000-00002A0A0000}"/>
    <cellStyle name="Calculation 46" xfId="2917" xr:uid="{00000000-0005-0000-0000-00002B0A0000}"/>
    <cellStyle name="Calculation 46 2" xfId="2918" xr:uid="{00000000-0005-0000-0000-00002C0A0000}"/>
    <cellStyle name="Calculation 47" xfId="2919" xr:uid="{00000000-0005-0000-0000-00002D0A0000}"/>
    <cellStyle name="Calculation 47 2" xfId="2920" xr:uid="{00000000-0005-0000-0000-00002E0A0000}"/>
    <cellStyle name="Calculation 48" xfId="2921" xr:uid="{00000000-0005-0000-0000-00002F0A0000}"/>
    <cellStyle name="Calculation 48 2" xfId="2922" xr:uid="{00000000-0005-0000-0000-0000300A0000}"/>
    <cellStyle name="Calculation 49" xfId="2923" xr:uid="{00000000-0005-0000-0000-0000310A0000}"/>
    <cellStyle name="Calculation 49 2" xfId="2924" xr:uid="{00000000-0005-0000-0000-0000320A0000}"/>
    <cellStyle name="Calculation 5" xfId="506" xr:uid="{00000000-0005-0000-0000-0000330A0000}"/>
    <cellStyle name="Calculation 5 2" xfId="2925" xr:uid="{00000000-0005-0000-0000-0000340A0000}"/>
    <cellStyle name="Calculation 50" xfId="2926" xr:uid="{00000000-0005-0000-0000-0000350A0000}"/>
    <cellStyle name="Calculation 50 2" xfId="2927" xr:uid="{00000000-0005-0000-0000-0000360A0000}"/>
    <cellStyle name="Calculation 51" xfId="2928" xr:uid="{00000000-0005-0000-0000-0000370A0000}"/>
    <cellStyle name="Calculation 51 2" xfId="2929" xr:uid="{00000000-0005-0000-0000-0000380A0000}"/>
    <cellStyle name="Calculation 52" xfId="2930" xr:uid="{00000000-0005-0000-0000-0000390A0000}"/>
    <cellStyle name="Calculation 6" xfId="507" xr:uid="{00000000-0005-0000-0000-00003A0A0000}"/>
    <cellStyle name="Calculation 6 2" xfId="2931" xr:uid="{00000000-0005-0000-0000-00003B0A0000}"/>
    <cellStyle name="Calculation 7" xfId="508" xr:uid="{00000000-0005-0000-0000-00003C0A0000}"/>
    <cellStyle name="Calculation 7 2" xfId="2932" xr:uid="{00000000-0005-0000-0000-00003D0A0000}"/>
    <cellStyle name="Calculation 8" xfId="509" xr:uid="{00000000-0005-0000-0000-00003E0A0000}"/>
    <cellStyle name="Calculation 8 2" xfId="2933" xr:uid="{00000000-0005-0000-0000-00003F0A0000}"/>
    <cellStyle name="Calculation 9" xfId="510" xr:uid="{00000000-0005-0000-0000-0000400A0000}"/>
    <cellStyle name="Calculation 9 2" xfId="2934" xr:uid="{00000000-0005-0000-0000-0000410A0000}"/>
    <cellStyle name="Check Cell" xfId="13" builtinId="23" customBuiltin="1"/>
    <cellStyle name="Check Cell 10" xfId="511" xr:uid="{00000000-0005-0000-0000-0000430A0000}"/>
    <cellStyle name="Check Cell 10 2" xfId="2935" xr:uid="{00000000-0005-0000-0000-0000440A0000}"/>
    <cellStyle name="Check Cell 11" xfId="512" xr:uid="{00000000-0005-0000-0000-0000450A0000}"/>
    <cellStyle name="Check Cell 11 2" xfId="2936" xr:uid="{00000000-0005-0000-0000-0000460A0000}"/>
    <cellStyle name="Check Cell 12" xfId="513" xr:uid="{00000000-0005-0000-0000-0000470A0000}"/>
    <cellStyle name="Check Cell 12 2" xfId="2937" xr:uid="{00000000-0005-0000-0000-0000480A0000}"/>
    <cellStyle name="Check Cell 13" xfId="514" xr:uid="{00000000-0005-0000-0000-0000490A0000}"/>
    <cellStyle name="Check Cell 13 2" xfId="2938" xr:uid="{00000000-0005-0000-0000-00004A0A0000}"/>
    <cellStyle name="Check Cell 14" xfId="515" xr:uid="{00000000-0005-0000-0000-00004B0A0000}"/>
    <cellStyle name="Check Cell 14 2" xfId="2939" xr:uid="{00000000-0005-0000-0000-00004C0A0000}"/>
    <cellStyle name="Check Cell 15" xfId="516" xr:uid="{00000000-0005-0000-0000-00004D0A0000}"/>
    <cellStyle name="Check Cell 15 2" xfId="2940" xr:uid="{00000000-0005-0000-0000-00004E0A0000}"/>
    <cellStyle name="Check Cell 16" xfId="517" xr:uid="{00000000-0005-0000-0000-00004F0A0000}"/>
    <cellStyle name="Check Cell 16 2" xfId="2941" xr:uid="{00000000-0005-0000-0000-0000500A0000}"/>
    <cellStyle name="Check Cell 17" xfId="518" xr:uid="{00000000-0005-0000-0000-0000510A0000}"/>
    <cellStyle name="Check Cell 17 2" xfId="2942" xr:uid="{00000000-0005-0000-0000-0000520A0000}"/>
    <cellStyle name="Check Cell 18" xfId="519" xr:uid="{00000000-0005-0000-0000-0000530A0000}"/>
    <cellStyle name="Check Cell 18 2" xfId="2943" xr:uid="{00000000-0005-0000-0000-0000540A0000}"/>
    <cellStyle name="Check Cell 19" xfId="520" xr:uid="{00000000-0005-0000-0000-0000550A0000}"/>
    <cellStyle name="Check Cell 19 2" xfId="2944" xr:uid="{00000000-0005-0000-0000-0000560A0000}"/>
    <cellStyle name="Check Cell 2" xfId="521" xr:uid="{00000000-0005-0000-0000-0000570A0000}"/>
    <cellStyle name="Check Cell 20" xfId="2945" xr:uid="{00000000-0005-0000-0000-0000580A0000}"/>
    <cellStyle name="Check Cell 20 2" xfId="2946" xr:uid="{00000000-0005-0000-0000-0000590A0000}"/>
    <cellStyle name="Check Cell 21" xfId="2947" xr:uid="{00000000-0005-0000-0000-00005A0A0000}"/>
    <cellStyle name="Check Cell 21 2" xfId="2948" xr:uid="{00000000-0005-0000-0000-00005B0A0000}"/>
    <cellStyle name="Check Cell 22" xfId="2949" xr:uid="{00000000-0005-0000-0000-00005C0A0000}"/>
    <cellStyle name="Check Cell 22 2" xfId="2950" xr:uid="{00000000-0005-0000-0000-00005D0A0000}"/>
    <cellStyle name="Check Cell 23" xfId="2951" xr:uid="{00000000-0005-0000-0000-00005E0A0000}"/>
    <cellStyle name="Check Cell 23 2" xfId="2952" xr:uid="{00000000-0005-0000-0000-00005F0A0000}"/>
    <cellStyle name="Check Cell 24" xfId="2953" xr:uid="{00000000-0005-0000-0000-0000600A0000}"/>
    <cellStyle name="Check Cell 24 2" xfId="2954" xr:uid="{00000000-0005-0000-0000-0000610A0000}"/>
    <cellStyle name="Check Cell 25" xfId="2955" xr:uid="{00000000-0005-0000-0000-0000620A0000}"/>
    <cellStyle name="Check Cell 25 2" xfId="2956" xr:uid="{00000000-0005-0000-0000-0000630A0000}"/>
    <cellStyle name="Check Cell 26" xfId="2957" xr:uid="{00000000-0005-0000-0000-0000640A0000}"/>
    <cellStyle name="Check Cell 26 2" xfId="2958" xr:uid="{00000000-0005-0000-0000-0000650A0000}"/>
    <cellStyle name="Check Cell 27" xfId="2959" xr:uid="{00000000-0005-0000-0000-0000660A0000}"/>
    <cellStyle name="Check Cell 27 2" xfId="2960" xr:uid="{00000000-0005-0000-0000-0000670A0000}"/>
    <cellStyle name="Check Cell 28" xfId="2961" xr:uid="{00000000-0005-0000-0000-0000680A0000}"/>
    <cellStyle name="Check Cell 28 2" xfId="2962" xr:uid="{00000000-0005-0000-0000-0000690A0000}"/>
    <cellStyle name="Check Cell 29" xfId="2963" xr:uid="{00000000-0005-0000-0000-00006A0A0000}"/>
    <cellStyle name="Check Cell 29 2" xfId="2964" xr:uid="{00000000-0005-0000-0000-00006B0A0000}"/>
    <cellStyle name="Check Cell 3" xfId="522" xr:uid="{00000000-0005-0000-0000-00006C0A0000}"/>
    <cellStyle name="Check Cell 3 2" xfId="2965" xr:uid="{00000000-0005-0000-0000-00006D0A0000}"/>
    <cellStyle name="Check Cell 30" xfId="2966" xr:uid="{00000000-0005-0000-0000-00006E0A0000}"/>
    <cellStyle name="Check Cell 30 2" xfId="2967" xr:uid="{00000000-0005-0000-0000-00006F0A0000}"/>
    <cellStyle name="Check Cell 31" xfId="2968" xr:uid="{00000000-0005-0000-0000-0000700A0000}"/>
    <cellStyle name="Check Cell 31 2" xfId="2969" xr:uid="{00000000-0005-0000-0000-0000710A0000}"/>
    <cellStyle name="Check Cell 32" xfId="2970" xr:uid="{00000000-0005-0000-0000-0000720A0000}"/>
    <cellStyle name="Check Cell 32 2" xfId="2971" xr:uid="{00000000-0005-0000-0000-0000730A0000}"/>
    <cellStyle name="Check Cell 33" xfId="2972" xr:uid="{00000000-0005-0000-0000-0000740A0000}"/>
    <cellStyle name="Check Cell 33 2" xfId="2973" xr:uid="{00000000-0005-0000-0000-0000750A0000}"/>
    <cellStyle name="Check Cell 34" xfId="2974" xr:uid="{00000000-0005-0000-0000-0000760A0000}"/>
    <cellStyle name="Check Cell 34 2" xfId="2975" xr:uid="{00000000-0005-0000-0000-0000770A0000}"/>
    <cellStyle name="Check Cell 35" xfId="2976" xr:uid="{00000000-0005-0000-0000-0000780A0000}"/>
    <cellStyle name="Check Cell 35 2" xfId="2977" xr:uid="{00000000-0005-0000-0000-0000790A0000}"/>
    <cellStyle name="Check Cell 36" xfId="2978" xr:uid="{00000000-0005-0000-0000-00007A0A0000}"/>
    <cellStyle name="Check Cell 36 2" xfId="2979" xr:uid="{00000000-0005-0000-0000-00007B0A0000}"/>
    <cellStyle name="Check Cell 37" xfId="2980" xr:uid="{00000000-0005-0000-0000-00007C0A0000}"/>
    <cellStyle name="Check Cell 37 2" xfId="2981" xr:uid="{00000000-0005-0000-0000-00007D0A0000}"/>
    <cellStyle name="Check Cell 38" xfId="2982" xr:uid="{00000000-0005-0000-0000-00007E0A0000}"/>
    <cellStyle name="Check Cell 38 2" xfId="2983" xr:uid="{00000000-0005-0000-0000-00007F0A0000}"/>
    <cellStyle name="Check Cell 39" xfId="2984" xr:uid="{00000000-0005-0000-0000-0000800A0000}"/>
    <cellStyle name="Check Cell 39 2" xfId="2985" xr:uid="{00000000-0005-0000-0000-0000810A0000}"/>
    <cellStyle name="Check Cell 4" xfId="523" xr:uid="{00000000-0005-0000-0000-0000820A0000}"/>
    <cellStyle name="Check Cell 4 2" xfId="2986" xr:uid="{00000000-0005-0000-0000-0000830A0000}"/>
    <cellStyle name="Check Cell 40" xfId="2987" xr:uid="{00000000-0005-0000-0000-0000840A0000}"/>
    <cellStyle name="Check Cell 40 2" xfId="2988" xr:uid="{00000000-0005-0000-0000-0000850A0000}"/>
    <cellStyle name="Check Cell 41" xfId="2989" xr:uid="{00000000-0005-0000-0000-0000860A0000}"/>
    <cellStyle name="Check Cell 41 2" xfId="2990" xr:uid="{00000000-0005-0000-0000-0000870A0000}"/>
    <cellStyle name="Check Cell 42" xfId="2991" xr:uid="{00000000-0005-0000-0000-0000880A0000}"/>
    <cellStyle name="Check Cell 42 2" xfId="2992" xr:uid="{00000000-0005-0000-0000-0000890A0000}"/>
    <cellStyle name="Check Cell 43" xfId="2993" xr:uid="{00000000-0005-0000-0000-00008A0A0000}"/>
    <cellStyle name="Check Cell 43 2" xfId="2994" xr:uid="{00000000-0005-0000-0000-00008B0A0000}"/>
    <cellStyle name="Check Cell 44" xfId="2995" xr:uid="{00000000-0005-0000-0000-00008C0A0000}"/>
    <cellStyle name="Check Cell 44 2" xfId="2996" xr:uid="{00000000-0005-0000-0000-00008D0A0000}"/>
    <cellStyle name="Check Cell 45" xfId="2997" xr:uid="{00000000-0005-0000-0000-00008E0A0000}"/>
    <cellStyle name="Check Cell 45 2" xfId="2998" xr:uid="{00000000-0005-0000-0000-00008F0A0000}"/>
    <cellStyle name="Check Cell 46" xfId="2999" xr:uid="{00000000-0005-0000-0000-0000900A0000}"/>
    <cellStyle name="Check Cell 46 2" xfId="3000" xr:uid="{00000000-0005-0000-0000-0000910A0000}"/>
    <cellStyle name="Check Cell 47" xfId="3001" xr:uid="{00000000-0005-0000-0000-0000920A0000}"/>
    <cellStyle name="Check Cell 47 2" xfId="3002" xr:uid="{00000000-0005-0000-0000-0000930A0000}"/>
    <cellStyle name="Check Cell 48" xfId="3003" xr:uid="{00000000-0005-0000-0000-0000940A0000}"/>
    <cellStyle name="Check Cell 48 2" xfId="3004" xr:uid="{00000000-0005-0000-0000-0000950A0000}"/>
    <cellStyle name="Check Cell 49" xfId="3005" xr:uid="{00000000-0005-0000-0000-0000960A0000}"/>
    <cellStyle name="Check Cell 49 2" xfId="3006" xr:uid="{00000000-0005-0000-0000-0000970A0000}"/>
    <cellStyle name="Check Cell 5" xfId="524" xr:uid="{00000000-0005-0000-0000-0000980A0000}"/>
    <cellStyle name="Check Cell 5 2" xfId="3007" xr:uid="{00000000-0005-0000-0000-0000990A0000}"/>
    <cellStyle name="Check Cell 50" xfId="3008" xr:uid="{00000000-0005-0000-0000-00009A0A0000}"/>
    <cellStyle name="Check Cell 50 2" xfId="3009" xr:uid="{00000000-0005-0000-0000-00009B0A0000}"/>
    <cellStyle name="Check Cell 51" xfId="3010" xr:uid="{00000000-0005-0000-0000-00009C0A0000}"/>
    <cellStyle name="Check Cell 51 2" xfId="3011" xr:uid="{00000000-0005-0000-0000-00009D0A0000}"/>
    <cellStyle name="Check Cell 52" xfId="3012" xr:uid="{00000000-0005-0000-0000-00009E0A0000}"/>
    <cellStyle name="Check Cell 6" xfId="525" xr:uid="{00000000-0005-0000-0000-00009F0A0000}"/>
    <cellStyle name="Check Cell 6 2" xfId="3013" xr:uid="{00000000-0005-0000-0000-0000A00A0000}"/>
    <cellStyle name="Check Cell 7" xfId="526" xr:uid="{00000000-0005-0000-0000-0000A10A0000}"/>
    <cellStyle name="Check Cell 7 2" xfId="3014" xr:uid="{00000000-0005-0000-0000-0000A20A0000}"/>
    <cellStyle name="Check Cell 8" xfId="527" xr:uid="{00000000-0005-0000-0000-0000A30A0000}"/>
    <cellStyle name="Check Cell 8 2" xfId="3015" xr:uid="{00000000-0005-0000-0000-0000A40A0000}"/>
    <cellStyle name="Check Cell 9" xfId="528" xr:uid="{00000000-0005-0000-0000-0000A50A0000}"/>
    <cellStyle name="Check Cell 9 2" xfId="3016" xr:uid="{00000000-0005-0000-0000-0000A60A0000}"/>
    <cellStyle name="Comma" xfId="13078" builtinId="3"/>
    <cellStyle name="Comma 2" xfId="12402" xr:uid="{00000000-0005-0000-0000-0000A70A0000}"/>
    <cellStyle name="Comma 2 10" xfId="5187" xr:uid="{00000000-0005-0000-0000-0000A80A0000}"/>
    <cellStyle name="Comma 2 10 2" xfId="13018" xr:uid="{00000000-0005-0000-0000-0000A90A0000}"/>
    <cellStyle name="Comma 2 11" xfId="7824" xr:uid="{00000000-0005-0000-0000-0000AA0A0000}"/>
    <cellStyle name="Comma 2 11 2" xfId="13019" xr:uid="{00000000-0005-0000-0000-0000AB0A0000}"/>
    <cellStyle name="Comma 2 12" xfId="8711" xr:uid="{00000000-0005-0000-0000-0000AC0A0000}"/>
    <cellStyle name="Comma 2 12 2" xfId="13025" xr:uid="{00000000-0005-0000-0000-0000AD0A0000}"/>
    <cellStyle name="Comma 2 13" xfId="8721" xr:uid="{00000000-0005-0000-0000-0000AE0A0000}"/>
    <cellStyle name="Comma 2 13 2" xfId="13029" xr:uid="{00000000-0005-0000-0000-0000AF0A0000}"/>
    <cellStyle name="Comma 2 14" xfId="9532" xr:uid="{00000000-0005-0000-0000-0000B00A0000}"/>
    <cellStyle name="Comma 2 14 2" xfId="13034" xr:uid="{00000000-0005-0000-0000-0000B10A0000}"/>
    <cellStyle name="Comma 2 15" xfId="9623" xr:uid="{00000000-0005-0000-0000-0000B20A0000}"/>
    <cellStyle name="Comma 2 15 2" xfId="13039" xr:uid="{00000000-0005-0000-0000-0000B30A0000}"/>
    <cellStyle name="Comma 2 16" xfId="10077" xr:uid="{00000000-0005-0000-0000-0000B40A0000}"/>
    <cellStyle name="Comma 2 16 2" xfId="13044" xr:uid="{00000000-0005-0000-0000-0000B50A0000}"/>
    <cellStyle name="Comma 2 17" xfId="10665" xr:uid="{00000000-0005-0000-0000-0000B60A0000}"/>
    <cellStyle name="Comma 2 17 2" xfId="13051" xr:uid="{00000000-0005-0000-0000-0000B70A0000}"/>
    <cellStyle name="Comma 2 18" xfId="10982" xr:uid="{00000000-0005-0000-0000-0000B80A0000}"/>
    <cellStyle name="Comma 2 18 2" xfId="13054" xr:uid="{00000000-0005-0000-0000-0000B90A0000}"/>
    <cellStyle name="Comma 2 19" xfId="11435" xr:uid="{00000000-0005-0000-0000-0000BA0A0000}"/>
    <cellStyle name="Comma 2 19 2" xfId="13059" xr:uid="{00000000-0005-0000-0000-0000BB0A0000}"/>
    <cellStyle name="Comma 2 2" xfId="529" xr:uid="{00000000-0005-0000-0000-0000BC0A0000}"/>
    <cellStyle name="Comma 2 2 10" xfId="8709" xr:uid="{00000000-0005-0000-0000-0000BD0A0000}"/>
    <cellStyle name="Comma 2 2 10 2" xfId="13024" xr:uid="{00000000-0005-0000-0000-0000BE0A0000}"/>
    <cellStyle name="Comma 2 2 11" xfId="8722" xr:uid="{00000000-0005-0000-0000-0000BF0A0000}"/>
    <cellStyle name="Comma 2 2 11 2" xfId="13030" xr:uid="{00000000-0005-0000-0000-0000C00A0000}"/>
    <cellStyle name="Comma 2 2 12" xfId="9589" xr:uid="{00000000-0005-0000-0000-0000C10A0000}"/>
    <cellStyle name="Comma 2 2 12 2" xfId="13037" xr:uid="{00000000-0005-0000-0000-0000C20A0000}"/>
    <cellStyle name="Comma 2 2 13" xfId="9624" xr:uid="{00000000-0005-0000-0000-0000C30A0000}"/>
    <cellStyle name="Comma 2 2 13 2" xfId="13040" xr:uid="{00000000-0005-0000-0000-0000C40A0000}"/>
    <cellStyle name="Comma 2 2 14" xfId="10078" xr:uid="{00000000-0005-0000-0000-0000C50A0000}"/>
    <cellStyle name="Comma 2 2 14 2" xfId="13045" xr:uid="{00000000-0005-0000-0000-0000C60A0000}"/>
    <cellStyle name="Comma 2 2 15" xfId="10626" xr:uid="{00000000-0005-0000-0000-0000C70A0000}"/>
    <cellStyle name="Comma 2 2 15 2" xfId="13050" xr:uid="{00000000-0005-0000-0000-0000C80A0000}"/>
    <cellStyle name="Comma 2 2 16" xfId="10983" xr:uid="{00000000-0005-0000-0000-0000C90A0000}"/>
    <cellStyle name="Comma 2 2 16 2" xfId="13055" xr:uid="{00000000-0005-0000-0000-0000CA0A0000}"/>
    <cellStyle name="Comma 2 2 17" xfId="11436" xr:uid="{00000000-0005-0000-0000-0000CB0A0000}"/>
    <cellStyle name="Comma 2 2 17 2" xfId="13060" xr:uid="{00000000-0005-0000-0000-0000CC0A0000}"/>
    <cellStyle name="Comma 2 2 18" xfId="12304" xr:uid="{00000000-0005-0000-0000-0000CD0A0000}"/>
    <cellStyle name="Comma 2 2 18 2" xfId="13067" xr:uid="{00000000-0005-0000-0000-0000CE0A0000}"/>
    <cellStyle name="Comma 2 2 19" xfId="12523" xr:uid="{00000000-0005-0000-0000-0000CF0A0000}"/>
    <cellStyle name="Comma 2 2 19 2" xfId="13074" xr:uid="{00000000-0005-0000-0000-0000D00A0000}"/>
    <cellStyle name="Comma 2 2 2" xfId="4687" xr:uid="{00000000-0005-0000-0000-0000D10A0000}"/>
    <cellStyle name="Comma 2 2 2 2" xfId="13000" xr:uid="{00000000-0005-0000-0000-0000D20A0000}"/>
    <cellStyle name="Comma 2 2 20" xfId="12978" xr:uid="{00000000-0005-0000-0000-0000D30A0000}"/>
    <cellStyle name="Comma 2 2 3" xfId="4677" xr:uid="{00000000-0005-0000-0000-0000D40A0000}"/>
    <cellStyle name="Comma 2 2 3 2" xfId="12992" xr:uid="{00000000-0005-0000-0000-0000D50A0000}"/>
    <cellStyle name="Comma 2 2 4" xfId="4689" xr:uid="{00000000-0005-0000-0000-0000D60A0000}"/>
    <cellStyle name="Comma 2 2 4 2" xfId="13002" xr:uid="{00000000-0005-0000-0000-0000D70A0000}"/>
    <cellStyle name="Comma 2 2 5" xfId="4675" xr:uid="{00000000-0005-0000-0000-0000D80A0000}"/>
    <cellStyle name="Comma 2 2 5 2" xfId="12990" xr:uid="{00000000-0005-0000-0000-0000D90A0000}"/>
    <cellStyle name="Comma 2 2 6" xfId="4700" xr:uid="{00000000-0005-0000-0000-0000DA0A0000}"/>
    <cellStyle name="Comma 2 2 6 2" xfId="13009" xr:uid="{00000000-0005-0000-0000-0000DB0A0000}"/>
    <cellStyle name="Comma 2 2 7" xfId="4684" xr:uid="{00000000-0005-0000-0000-0000DC0A0000}"/>
    <cellStyle name="Comma 2 2 7 2" xfId="12997" xr:uid="{00000000-0005-0000-0000-0000DD0A0000}"/>
    <cellStyle name="Comma 2 2 8" xfId="4702" xr:uid="{00000000-0005-0000-0000-0000DE0A0000}"/>
    <cellStyle name="Comma 2 2 8 2" xfId="13011" xr:uid="{00000000-0005-0000-0000-0000DF0A0000}"/>
    <cellStyle name="Comma 2 2 9" xfId="7825" xr:uid="{00000000-0005-0000-0000-0000E00A0000}"/>
    <cellStyle name="Comma 2 2 9 2" xfId="13020" xr:uid="{00000000-0005-0000-0000-0000E10A0000}"/>
    <cellStyle name="Comma 2 20" xfId="12325" xr:uid="{00000000-0005-0000-0000-0000E20A0000}"/>
    <cellStyle name="Comma 2 20 2" xfId="13068" xr:uid="{00000000-0005-0000-0000-0000E30A0000}"/>
    <cellStyle name="Comma 2 21" xfId="12341" xr:uid="{00000000-0005-0000-0000-0000E40A0000}"/>
    <cellStyle name="Comma 2 21 2" xfId="13069" xr:uid="{00000000-0005-0000-0000-0000E50A0000}"/>
    <cellStyle name="Comma 2 22" xfId="13071" xr:uid="{00000000-0005-0000-0000-0000E60A0000}"/>
    <cellStyle name="Comma 2 3" xfId="3017" xr:uid="{00000000-0005-0000-0000-0000E70A0000}"/>
    <cellStyle name="Comma 2 3 10" xfId="8716" xr:uid="{00000000-0005-0000-0000-0000E80A0000}"/>
    <cellStyle name="Comma 2 3 10 2" xfId="13028" xr:uid="{00000000-0005-0000-0000-0000E90A0000}"/>
    <cellStyle name="Comma 2 3 11" xfId="8723" xr:uid="{00000000-0005-0000-0000-0000EA0A0000}"/>
    <cellStyle name="Comma 2 3 11 2" xfId="13031" xr:uid="{00000000-0005-0000-0000-0000EB0A0000}"/>
    <cellStyle name="Comma 2 3 12" xfId="9620" xr:uid="{00000000-0005-0000-0000-0000EC0A0000}"/>
    <cellStyle name="Comma 2 3 12 2" xfId="13038" xr:uid="{00000000-0005-0000-0000-0000ED0A0000}"/>
    <cellStyle name="Comma 2 3 13" xfId="9625" xr:uid="{00000000-0005-0000-0000-0000EE0A0000}"/>
    <cellStyle name="Comma 2 3 13 2" xfId="13041" xr:uid="{00000000-0005-0000-0000-0000EF0A0000}"/>
    <cellStyle name="Comma 2 3 14" xfId="10079" xr:uid="{00000000-0005-0000-0000-0000F00A0000}"/>
    <cellStyle name="Comma 2 3 14 2" xfId="13046" xr:uid="{00000000-0005-0000-0000-0000F10A0000}"/>
    <cellStyle name="Comma 2 3 15" xfId="10587" xr:uid="{00000000-0005-0000-0000-0000F20A0000}"/>
    <cellStyle name="Comma 2 3 15 2" xfId="13049" xr:uid="{00000000-0005-0000-0000-0000F30A0000}"/>
    <cellStyle name="Comma 2 3 16" xfId="10984" xr:uid="{00000000-0005-0000-0000-0000F40A0000}"/>
    <cellStyle name="Comma 2 3 16 2" xfId="13056" xr:uid="{00000000-0005-0000-0000-0000F50A0000}"/>
    <cellStyle name="Comma 2 3 17" xfId="11437" xr:uid="{00000000-0005-0000-0000-0000F60A0000}"/>
    <cellStyle name="Comma 2 3 17 2" xfId="13061" xr:uid="{00000000-0005-0000-0000-0000F70A0000}"/>
    <cellStyle name="Comma 2 3 18" xfId="12269" xr:uid="{00000000-0005-0000-0000-0000F80A0000}"/>
    <cellStyle name="Comma 2 3 18 2" xfId="13066" xr:uid="{00000000-0005-0000-0000-0000F90A0000}"/>
    <cellStyle name="Comma 2 3 19" xfId="12524" xr:uid="{00000000-0005-0000-0000-0000FA0A0000}"/>
    <cellStyle name="Comma 2 3 19 2" xfId="13075" xr:uid="{00000000-0005-0000-0000-0000FB0A0000}"/>
    <cellStyle name="Comma 2 3 2" xfId="4688" xr:uid="{00000000-0005-0000-0000-0000FC0A0000}"/>
    <cellStyle name="Comma 2 3 2 2" xfId="13001" xr:uid="{00000000-0005-0000-0000-0000FD0A0000}"/>
    <cellStyle name="Comma 2 3 20" xfId="12982" xr:uid="{00000000-0005-0000-0000-0000FE0A0000}"/>
    <cellStyle name="Comma 2 3 3" xfId="4676" xr:uid="{00000000-0005-0000-0000-0000FF0A0000}"/>
    <cellStyle name="Comma 2 3 3 2" xfId="12991" xr:uid="{00000000-0005-0000-0000-0000000B0000}"/>
    <cellStyle name="Comma 2 3 4" xfId="4694" xr:uid="{00000000-0005-0000-0000-0000010B0000}"/>
    <cellStyle name="Comma 2 3 4 2" xfId="13005" xr:uid="{00000000-0005-0000-0000-0000020B0000}"/>
    <cellStyle name="Comma 2 3 5" xfId="4670" xr:uid="{00000000-0005-0000-0000-0000030B0000}"/>
    <cellStyle name="Comma 2 3 5 2" xfId="12987" xr:uid="{00000000-0005-0000-0000-0000040B0000}"/>
    <cellStyle name="Comma 2 3 6" xfId="4701" xr:uid="{00000000-0005-0000-0000-0000050B0000}"/>
    <cellStyle name="Comma 2 3 6 2" xfId="13010" xr:uid="{00000000-0005-0000-0000-0000060B0000}"/>
    <cellStyle name="Comma 2 3 7" xfId="4683" xr:uid="{00000000-0005-0000-0000-0000070B0000}"/>
    <cellStyle name="Comma 2 3 7 2" xfId="12996" xr:uid="{00000000-0005-0000-0000-0000080B0000}"/>
    <cellStyle name="Comma 2 3 8" xfId="4707" xr:uid="{00000000-0005-0000-0000-0000090B0000}"/>
    <cellStyle name="Comma 2 3 8 2" xfId="13014" xr:uid="{00000000-0005-0000-0000-00000A0B0000}"/>
    <cellStyle name="Comma 2 3 9" xfId="7826" xr:uid="{00000000-0005-0000-0000-00000B0B0000}"/>
    <cellStyle name="Comma 2 3 9 2" xfId="13021" xr:uid="{00000000-0005-0000-0000-00000C0B0000}"/>
    <cellStyle name="Comma 2 4" xfId="4686" xr:uid="{00000000-0005-0000-0000-00000D0B0000}"/>
    <cellStyle name="Comma 2 4 2" xfId="12999" xr:uid="{00000000-0005-0000-0000-00000E0B0000}"/>
    <cellStyle name="Comma 2 5" xfId="4678" xr:uid="{00000000-0005-0000-0000-00000F0B0000}"/>
    <cellStyle name="Comma 2 5 2" xfId="12993" xr:uid="{00000000-0005-0000-0000-0000100B0000}"/>
    <cellStyle name="Comma 2 6" xfId="4640" xr:uid="{00000000-0005-0000-0000-0000110B0000}"/>
    <cellStyle name="Comma 2 6 2" xfId="12984" xr:uid="{00000000-0005-0000-0000-0000120B0000}"/>
    <cellStyle name="Comma 2 7" xfId="4748" xr:uid="{00000000-0005-0000-0000-0000130B0000}"/>
    <cellStyle name="Comma 2 7 2" xfId="13017" xr:uid="{00000000-0005-0000-0000-0000140B0000}"/>
    <cellStyle name="Comma 2 8" xfId="4699" xr:uid="{00000000-0005-0000-0000-0000150B0000}"/>
    <cellStyle name="Comma 2 8 2" xfId="13008" xr:uid="{00000000-0005-0000-0000-0000160B0000}"/>
    <cellStyle name="Comma 2 9" xfId="4685" xr:uid="{00000000-0005-0000-0000-0000170B0000}"/>
    <cellStyle name="Comma 2 9 2" xfId="12998" xr:uid="{00000000-0005-0000-0000-0000180B0000}"/>
    <cellStyle name="Comma 3" xfId="530" xr:uid="{00000000-0005-0000-0000-0000190B0000}"/>
    <cellStyle name="Comma 3 2" xfId="3018" xr:uid="{00000000-0005-0000-0000-00001A0B0000}"/>
    <cellStyle name="Comma 3 2 2" xfId="12983" xr:uid="{00000000-0005-0000-0000-00001B0B0000}"/>
    <cellStyle name="Comma 3 3" xfId="12342" xr:uid="{00000000-0005-0000-0000-00001C0B0000}"/>
    <cellStyle name="Comma 3 3 2" xfId="13070" xr:uid="{00000000-0005-0000-0000-00001D0B0000}"/>
    <cellStyle name="Comma 3 4" xfId="12403" xr:uid="{00000000-0005-0000-0000-00001E0B0000}"/>
    <cellStyle name="Comma 3 4 2" xfId="13072" xr:uid="{00000000-0005-0000-0000-00001F0B0000}"/>
    <cellStyle name="Comma 3 5" xfId="12467" xr:uid="{00000000-0005-0000-0000-0000200B0000}"/>
    <cellStyle name="Comma 3 5 2" xfId="13073" xr:uid="{00000000-0005-0000-0000-0000210B0000}"/>
    <cellStyle name="Comma 3 6" xfId="12979" xr:uid="{00000000-0005-0000-0000-0000220B0000}"/>
    <cellStyle name="Comma 4" xfId="531" xr:uid="{00000000-0005-0000-0000-0000230B0000}"/>
    <cellStyle name="Comma 4 10" xfId="8715" xr:uid="{00000000-0005-0000-0000-0000240B0000}"/>
    <cellStyle name="Comma 4 10 2" xfId="13027" xr:uid="{00000000-0005-0000-0000-0000250B0000}"/>
    <cellStyle name="Comma 4 11" xfId="8724" xr:uid="{00000000-0005-0000-0000-0000260B0000}"/>
    <cellStyle name="Comma 4 11 2" xfId="13032" xr:uid="{00000000-0005-0000-0000-0000270B0000}"/>
    <cellStyle name="Comma 4 12" xfId="9579" xr:uid="{00000000-0005-0000-0000-0000280B0000}"/>
    <cellStyle name="Comma 4 12 2" xfId="13036" xr:uid="{00000000-0005-0000-0000-0000290B0000}"/>
    <cellStyle name="Comma 4 13" xfId="9626" xr:uid="{00000000-0005-0000-0000-00002A0B0000}"/>
    <cellStyle name="Comma 4 13 2" xfId="13042" xr:uid="{00000000-0005-0000-0000-00002B0B0000}"/>
    <cellStyle name="Comma 4 14" xfId="10080" xr:uid="{00000000-0005-0000-0000-00002C0B0000}"/>
    <cellStyle name="Comma 4 14 2" xfId="13047" xr:uid="{00000000-0005-0000-0000-00002D0B0000}"/>
    <cellStyle name="Comma 4 15" xfId="10968" xr:uid="{00000000-0005-0000-0000-00002E0B0000}"/>
    <cellStyle name="Comma 4 15 2" xfId="13053" xr:uid="{00000000-0005-0000-0000-00002F0B0000}"/>
    <cellStyle name="Comma 4 16" xfId="10985" xr:uid="{00000000-0005-0000-0000-0000300B0000}"/>
    <cellStyle name="Comma 4 16 2" xfId="13057" xr:uid="{00000000-0005-0000-0000-0000310B0000}"/>
    <cellStyle name="Comma 4 17" xfId="11438" xr:uid="{00000000-0005-0000-0000-0000320B0000}"/>
    <cellStyle name="Comma 4 17 2" xfId="13062" xr:uid="{00000000-0005-0000-0000-0000330B0000}"/>
    <cellStyle name="Comma 4 18" xfId="12173" xr:uid="{00000000-0005-0000-0000-0000340B0000}"/>
    <cellStyle name="Comma 4 18 2" xfId="13064" xr:uid="{00000000-0005-0000-0000-0000350B0000}"/>
    <cellStyle name="Comma 4 19" xfId="12525" xr:uid="{00000000-0005-0000-0000-0000360B0000}"/>
    <cellStyle name="Comma 4 19 2" xfId="13076" xr:uid="{00000000-0005-0000-0000-0000370B0000}"/>
    <cellStyle name="Comma 4 2" xfId="4690" xr:uid="{00000000-0005-0000-0000-0000380B0000}"/>
    <cellStyle name="Comma 4 2 2" xfId="13003" xr:uid="{00000000-0005-0000-0000-0000390B0000}"/>
    <cellStyle name="Comma 4 20" xfId="12980" xr:uid="{00000000-0005-0000-0000-00003A0B0000}"/>
    <cellStyle name="Comma 4 3" xfId="4674" xr:uid="{00000000-0005-0000-0000-00003B0B0000}"/>
    <cellStyle name="Comma 4 3 2" xfId="12989" xr:uid="{00000000-0005-0000-0000-00003C0B0000}"/>
    <cellStyle name="Comma 4 4" xfId="4695" xr:uid="{00000000-0005-0000-0000-00003D0B0000}"/>
    <cellStyle name="Comma 4 4 2" xfId="13006" xr:uid="{00000000-0005-0000-0000-00003E0B0000}"/>
    <cellStyle name="Comma 4 5" xfId="4669" xr:uid="{00000000-0005-0000-0000-00003F0B0000}"/>
    <cellStyle name="Comma 4 5 2" xfId="12986" xr:uid="{00000000-0005-0000-0000-0000400B0000}"/>
    <cellStyle name="Comma 4 6" xfId="4703" xr:uid="{00000000-0005-0000-0000-0000410B0000}"/>
    <cellStyle name="Comma 4 6 2" xfId="13012" xr:uid="{00000000-0005-0000-0000-0000420B0000}"/>
    <cellStyle name="Comma 4 7" xfId="4682" xr:uid="{00000000-0005-0000-0000-0000430B0000}"/>
    <cellStyle name="Comma 4 7 2" xfId="12995" xr:uid="{00000000-0005-0000-0000-0000440B0000}"/>
    <cellStyle name="Comma 4 8" xfId="4708" xr:uid="{00000000-0005-0000-0000-0000450B0000}"/>
    <cellStyle name="Comma 4 8 2" xfId="13015" xr:uid="{00000000-0005-0000-0000-0000460B0000}"/>
    <cellStyle name="Comma 4 9" xfId="7828" xr:uid="{00000000-0005-0000-0000-0000470B0000}"/>
    <cellStyle name="Comma 4 9 2" xfId="13022" xr:uid="{00000000-0005-0000-0000-0000480B0000}"/>
    <cellStyle name="Comma 5" xfId="532" xr:uid="{00000000-0005-0000-0000-0000490B0000}"/>
    <cellStyle name="Comma 5 10" xfId="8714" xr:uid="{00000000-0005-0000-0000-00004A0B0000}"/>
    <cellStyle name="Comma 5 10 2" xfId="13026" xr:uid="{00000000-0005-0000-0000-00004B0B0000}"/>
    <cellStyle name="Comma 5 11" xfId="8725" xr:uid="{00000000-0005-0000-0000-00004C0B0000}"/>
    <cellStyle name="Comma 5 11 2" xfId="13033" xr:uid="{00000000-0005-0000-0000-00004D0B0000}"/>
    <cellStyle name="Comma 5 12" xfId="9569" xr:uid="{00000000-0005-0000-0000-00004E0B0000}"/>
    <cellStyle name="Comma 5 12 2" xfId="13035" xr:uid="{00000000-0005-0000-0000-00004F0B0000}"/>
    <cellStyle name="Comma 5 13" xfId="9627" xr:uid="{00000000-0005-0000-0000-0000500B0000}"/>
    <cellStyle name="Comma 5 13 2" xfId="13043" xr:uid="{00000000-0005-0000-0000-0000510B0000}"/>
    <cellStyle name="Comma 5 14" xfId="10081" xr:uid="{00000000-0005-0000-0000-0000520B0000}"/>
    <cellStyle name="Comma 5 14 2" xfId="13048" xr:uid="{00000000-0005-0000-0000-0000530B0000}"/>
    <cellStyle name="Comma 5 15" xfId="10821" xr:uid="{00000000-0005-0000-0000-0000540B0000}"/>
    <cellStyle name="Comma 5 15 2" xfId="13052" xr:uid="{00000000-0005-0000-0000-0000550B0000}"/>
    <cellStyle name="Comma 5 16" xfId="10986" xr:uid="{00000000-0005-0000-0000-0000560B0000}"/>
    <cellStyle name="Comma 5 16 2" xfId="13058" xr:uid="{00000000-0005-0000-0000-0000570B0000}"/>
    <cellStyle name="Comma 5 17" xfId="11439" xr:uid="{00000000-0005-0000-0000-0000580B0000}"/>
    <cellStyle name="Comma 5 17 2" xfId="13063" xr:uid="{00000000-0005-0000-0000-0000590B0000}"/>
    <cellStyle name="Comma 5 18" xfId="12201" xr:uid="{00000000-0005-0000-0000-00005A0B0000}"/>
    <cellStyle name="Comma 5 18 2" xfId="13065" xr:uid="{00000000-0005-0000-0000-00005B0B0000}"/>
    <cellStyle name="Comma 5 19" xfId="12526" xr:uid="{00000000-0005-0000-0000-00005C0B0000}"/>
    <cellStyle name="Comma 5 19 2" xfId="13077" xr:uid="{00000000-0005-0000-0000-00005D0B0000}"/>
    <cellStyle name="Comma 5 2" xfId="4691" xr:uid="{00000000-0005-0000-0000-00005E0B0000}"/>
    <cellStyle name="Comma 5 2 2" xfId="13004" xr:uid="{00000000-0005-0000-0000-00005F0B0000}"/>
    <cellStyle name="Comma 5 20" xfId="12981" xr:uid="{00000000-0005-0000-0000-0000600B0000}"/>
    <cellStyle name="Comma 5 3" xfId="4673" xr:uid="{00000000-0005-0000-0000-0000610B0000}"/>
    <cellStyle name="Comma 5 3 2" xfId="12988" xr:uid="{00000000-0005-0000-0000-0000620B0000}"/>
    <cellStyle name="Comma 5 4" xfId="4696" xr:uid="{00000000-0005-0000-0000-0000630B0000}"/>
    <cellStyle name="Comma 5 4 2" xfId="13007" xr:uid="{00000000-0005-0000-0000-0000640B0000}"/>
    <cellStyle name="Comma 5 5" xfId="4668" xr:uid="{00000000-0005-0000-0000-0000650B0000}"/>
    <cellStyle name="Comma 5 5 2" xfId="12985" xr:uid="{00000000-0005-0000-0000-0000660B0000}"/>
    <cellStyle name="Comma 5 6" xfId="4704" xr:uid="{00000000-0005-0000-0000-0000670B0000}"/>
    <cellStyle name="Comma 5 6 2" xfId="13013" xr:uid="{00000000-0005-0000-0000-0000680B0000}"/>
    <cellStyle name="Comma 5 7" xfId="4681" xr:uid="{00000000-0005-0000-0000-0000690B0000}"/>
    <cellStyle name="Comma 5 7 2" xfId="12994" xr:uid="{00000000-0005-0000-0000-00006A0B0000}"/>
    <cellStyle name="Comma 5 8" xfId="4709" xr:uid="{00000000-0005-0000-0000-00006B0B0000}"/>
    <cellStyle name="Comma 5 8 2" xfId="13016" xr:uid="{00000000-0005-0000-0000-00006C0B0000}"/>
    <cellStyle name="Comma 5 9" xfId="7829" xr:uid="{00000000-0005-0000-0000-00006D0B0000}"/>
    <cellStyle name="Comma 5 9 2" xfId="13023" xr:uid="{00000000-0005-0000-0000-00006E0B0000}"/>
    <cellStyle name="Comma 6" xfId="12977" xr:uid="{00000000-0005-0000-0000-00006F0B0000}"/>
    <cellStyle name="Comma 7" xfId="12975" xr:uid="{00000000-0005-0000-0000-0000700B0000}"/>
    <cellStyle name="Currency 2" xfId="533" xr:uid="{00000000-0005-0000-0000-0000710B0000}"/>
    <cellStyle name="Currency 2 10" xfId="8713" xr:uid="{00000000-0005-0000-0000-0000720B0000}"/>
    <cellStyle name="Currency 2 11" xfId="8726" xr:uid="{00000000-0005-0000-0000-0000730B0000}"/>
    <cellStyle name="Currency 2 12" xfId="9560" xr:uid="{00000000-0005-0000-0000-0000740B0000}"/>
    <cellStyle name="Currency 2 13" xfId="9628" xr:uid="{00000000-0005-0000-0000-0000750B0000}"/>
    <cellStyle name="Currency 2 14" xfId="10082" xr:uid="{00000000-0005-0000-0000-0000760B0000}"/>
    <cellStyle name="Currency 2 15" xfId="10881" xr:uid="{00000000-0005-0000-0000-0000770B0000}"/>
    <cellStyle name="Currency 2 16" xfId="10987" xr:uid="{00000000-0005-0000-0000-0000780B0000}"/>
    <cellStyle name="Currency 2 17" xfId="11440" xr:uid="{00000000-0005-0000-0000-0000790B0000}"/>
    <cellStyle name="Currency 2 18" xfId="12121" xr:uid="{00000000-0005-0000-0000-00007A0B0000}"/>
    <cellStyle name="Currency 2 19" xfId="12527" xr:uid="{00000000-0005-0000-0000-00007B0B0000}"/>
    <cellStyle name="Currency 2 2" xfId="4692" xr:uid="{00000000-0005-0000-0000-00007C0B0000}"/>
    <cellStyle name="Currency 2 3" xfId="4672" xr:uid="{00000000-0005-0000-0000-00007D0B0000}"/>
    <cellStyle name="Currency 2 4" xfId="4697" xr:uid="{00000000-0005-0000-0000-00007E0B0000}"/>
    <cellStyle name="Currency 2 5" xfId="4667" xr:uid="{00000000-0005-0000-0000-00007F0B0000}"/>
    <cellStyle name="Currency 2 6" xfId="4705" xr:uid="{00000000-0005-0000-0000-0000800B0000}"/>
    <cellStyle name="Currency 2 7" xfId="4680" xr:uid="{00000000-0005-0000-0000-0000810B0000}"/>
    <cellStyle name="Currency 2 8" xfId="4710" xr:uid="{00000000-0005-0000-0000-0000820B0000}"/>
    <cellStyle name="Currency 2 9" xfId="7830" xr:uid="{00000000-0005-0000-0000-0000830B0000}"/>
    <cellStyle name="Currency 3" xfId="534" xr:uid="{00000000-0005-0000-0000-0000840B0000}"/>
    <cellStyle name="Currency 3 10" xfId="8712" xr:uid="{00000000-0005-0000-0000-0000850B0000}"/>
    <cellStyle name="Currency 3 11" xfId="8727" xr:uid="{00000000-0005-0000-0000-0000860B0000}"/>
    <cellStyle name="Currency 3 12" xfId="9549" xr:uid="{00000000-0005-0000-0000-0000870B0000}"/>
    <cellStyle name="Currency 3 13" xfId="9629" xr:uid="{00000000-0005-0000-0000-0000880B0000}"/>
    <cellStyle name="Currency 3 14" xfId="10083" xr:uid="{00000000-0005-0000-0000-0000890B0000}"/>
    <cellStyle name="Currency 3 15" xfId="10800" xr:uid="{00000000-0005-0000-0000-00008A0B0000}"/>
    <cellStyle name="Currency 3 16" xfId="10988" xr:uid="{00000000-0005-0000-0000-00008B0B0000}"/>
    <cellStyle name="Currency 3 17" xfId="11441" xr:uid="{00000000-0005-0000-0000-00008C0B0000}"/>
    <cellStyle name="Currency 3 18" xfId="12165" xr:uid="{00000000-0005-0000-0000-00008D0B0000}"/>
    <cellStyle name="Currency 3 19" xfId="12528" xr:uid="{00000000-0005-0000-0000-00008E0B0000}"/>
    <cellStyle name="Currency 3 2" xfId="4693" xr:uid="{00000000-0005-0000-0000-00008F0B0000}"/>
    <cellStyle name="Currency 3 3" xfId="4671" xr:uid="{00000000-0005-0000-0000-0000900B0000}"/>
    <cellStyle name="Currency 3 4" xfId="4698" xr:uid="{00000000-0005-0000-0000-0000910B0000}"/>
    <cellStyle name="Currency 3 5" xfId="4666" xr:uid="{00000000-0005-0000-0000-0000920B0000}"/>
    <cellStyle name="Currency 3 6" xfId="4706" xr:uid="{00000000-0005-0000-0000-0000930B0000}"/>
    <cellStyle name="Currency 3 7" xfId="4679" xr:uid="{00000000-0005-0000-0000-0000940B0000}"/>
    <cellStyle name="Currency 3 8" xfId="4711" xr:uid="{00000000-0005-0000-0000-0000950B0000}"/>
    <cellStyle name="Currency 3 9" xfId="7831" xr:uid="{00000000-0005-0000-0000-0000960B0000}"/>
    <cellStyle name="Explanatory Text" xfId="16" builtinId="53" customBuiltin="1"/>
    <cellStyle name="Explanatory Text 10" xfId="535" xr:uid="{00000000-0005-0000-0000-0000980B0000}"/>
    <cellStyle name="Explanatory Text 10 2" xfId="3019" xr:uid="{00000000-0005-0000-0000-0000990B0000}"/>
    <cellStyle name="Explanatory Text 11" xfId="536" xr:uid="{00000000-0005-0000-0000-00009A0B0000}"/>
    <cellStyle name="Explanatory Text 11 2" xfId="3020" xr:uid="{00000000-0005-0000-0000-00009B0B0000}"/>
    <cellStyle name="Explanatory Text 12" xfId="537" xr:uid="{00000000-0005-0000-0000-00009C0B0000}"/>
    <cellStyle name="Explanatory Text 12 2" xfId="3021" xr:uid="{00000000-0005-0000-0000-00009D0B0000}"/>
    <cellStyle name="Explanatory Text 13" xfId="538" xr:uid="{00000000-0005-0000-0000-00009E0B0000}"/>
    <cellStyle name="Explanatory Text 13 2" xfId="3022" xr:uid="{00000000-0005-0000-0000-00009F0B0000}"/>
    <cellStyle name="Explanatory Text 14" xfId="539" xr:uid="{00000000-0005-0000-0000-0000A00B0000}"/>
    <cellStyle name="Explanatory Text 14 2" xfId="3023" xr:uid="{00000000-0005-0000-0000-0000A10B0000}"/>
    <cellStyle name="Explanatory Text 15" xfId="540" xr:uid="{00000000-0005-0000-0000-0000A20B0000}"/>
    <cellStyle name="Explanatory Text 15 2" xfId="3024" xr:uid="{00000000-0005-0000-0000-0000A30B0000}"/>
    <cellStyle name="Explanatory Text 16" xfId="541" xr:uid="{00000000-0005-0000-0000-0000A40B0000}"/>
    <cellStyle name="Explanatory Text 16 2" xfId="3025" xr:uid="{00000000-0005-0000-0000-0000A50B0000}"/>
    <cellStyle name="Explanatory Text 17" xfId="542" xr:uid="{00000000-0005-0000-0000-0000A60B0000}"/>
    <cellStyle name="Explanatory Text 17 2" xfId="3026" xr:uid="{00000000-0005-0000-0000-0000A70B0000}"/>
    <cellStyle name="Explanatory Text 18" xfId="543" xr:uid="{00000000-0005-0000-0000-0000A80B0000}"/>
    <cellStyle name="Explanatory Text 18 2" xfId="3027" xr:uid="{00000000-0005-0000-0000-0000A90B0000}"/>
    <cellStyle name="Explanatory Text 19" xfId="544" xr:uid="{00000000-0005-0000-0000-0000AA0B0000}"/>
    <cellStyle name="Explanatory Text 19 2" xfId="3028" xr:uid="{00000000-0005-0000-0000-0000AB0B0000}"/>
    <cellStyle name="Explanatory Text 2" xfId="545" xr:uid="{00000000-0005-0000-0000-0000AC0B0000}"/>
    <cellStyle name="Explanatory Text 20" xfId="3029" xr:uid="{00000000-0005-0000-0000-0000AD0B0000}"/>
    <cellStyle name="Explanatory Text 20 2" xfId="3030" xr:uid="{00000000-0005-0000-0000-0000AE0B0000}"/>
    <cellStyle name="Explanatory Text 21" xfId="3031" xr:uid="{00000000-0005-0000-0000-0000AF0B0000}"/>
    <cellStyle name="Explanatory Text 21 2" xfId="3032" xr:uid="{00000000-0005-0000-0000-0000B00B0000}"/>
    <cellStyle name="Explanatory Text 22" xfId="3033" xr:uid="{00000000-0005-0000-0000-0000B10B0000}"/>
    <cellStyle name="Explanatory Text 22 2" xfId="3034" xr:uid="{00000000-0005-0000-0000-0000B20B0000}"/>
    <cellStyle name="Explanatory Text 23" xfId="3035" xr:uid="{00000000-0005-0000-0000-0000B30B0000}"/>
    <cellStyle name="Explanatory Text 23 2" xfId="3036" xr:uid="{00000000-0005-0000-0000-0000B40B0000}"/>
    <cellStyle name="Explanatory Text 24" xfId="3037" xr:uid="{00000000-0005-0000-0000-0000B50B0000}"/>
    <cellStyle name="Explanatory Text 24 2" xfId="3038" xr:uid="{00000000-0005-0000-0000-0000B60B0000}"/>
    <cellStyle name="Explanatory Text 25" xfId="3039" xr:uid="{00000000-0005-0000-0000-0000B70B0000}"/>
    <cellStyle name="Explanatory Text 25 2" xfId="3040" xr:uid="{00000000-0005-0000-0000-0000B80B0000}"/>
    <cellStyle name="Explanatory Text 26" xfId="3041" xr:uid="{00000000-0005-0000-0000-0000B90B0000}"/>
    <cellStyle name="Explanatory Text 26 2" xfId="3042" xr:uid="{00000000-0005-0000-0000-0000BA0B0000}"/>
    <cellStyle name="Explanatory Text 27" xfId="3043" xr:uid="{00000000-0005-0000-0000-0000BB0B0000}"/>
    <cellStyle name="Explanatory Text 27 2" xfId="3044" xr:uid="{00000000-0005-0000-0000-0000BC0B0000}"/>
    <cellStyle name="Explanatory Text 28" xfId="3045" xr:uid="{00000000-0005-0000-0000-0000BD0B0000}"/>
    <cellStyle name="Explanatory Text 28 2" xfId="3046" xr:uid="{00000000-0005-0000-0000-0000BE0B0000}"/>
    <cellStyle name="Explanatory Text 29" xfId="3047" xr:uid="{00000000-0005-0000-0000-0000BF0B0000}"/>
    <cellStyle name="Explanatory Text 29 2" xfId="3048" xr:uid="{00000000-0005-0000-0000-0000C00B0000}"/>
    <cellStyle name="Explanatory Text 3" xfId="546" xr:uid="{00000000-0005-0000-0000-0000C10B0000}"/>
    <cellStyle name="Explanatory Text 3 2" xfId="3049" xr:uid="{00000000-0005-0000-0000-0000C20B0000}"/>
    <cellStyle name="Explanatory Text 30" xfId="3050" xr:uid="{00000000-0005-0000-0000-0000C30B0000}"/>
    <cellStyle name="Explanatory Text 30 2" xfId="3051" xr:uid="{00000000-0005-0000-0000-0000C40B0000}"/>
    <cellStyle name="Explanatory Text 31" xfId="3052" xr:uid="{00000000-0005-0000-0000-0000C50B0000}"/>
    <cellStyle name="Explanatory Text 31 2" xfId="3053" xr:uid="{00000000-0005-0000-0000-0000C60B0000}"/>
    <cellStyle name="Explanatory Text 32" xfId="3054" xr:uid="{00000000-0005-0000-0000-0000C70B0000}"/>
    <cellStyle name="Explanatory Text 32 2" xfId="3055" xr:uid="{00000000-0005-0000-0000-0000C80B0000}"/>
    <cellStyle name="Explanatory Text 33" xfId="3056" xr:uid="{00000000-0005-0000-0000-0000C90B0000}"/>
    <cellStyle name="Explanatory Text 33 2" xfId="3057" xr:uid="{00000000-0005-0000-0000-0000CA0B0000}"/>
    <cellStyle name="Explanatory Text 34" xfId="3058" xr:uid="{00000000-0005-0000-0000-0000CB0B0000}"/>
    <cellStyle name="Explanatory Text 34 2" xfId="3059" xr:uid="{00000000-0005-0000-0000-0000CC0B0000}"/>
    <cellStyle name="Explanatory Text 35" xfId="3060" xr:uid="{00000000-0005-0000-0000-0000CD0B0000}"/>
    <cellStyle name="Explanatory Text 35 2" xfId="3061" xr:uid="{00000000-0005-0000-0000-0000CE0B0000}"/>
    <cellStyle name="Explanatory Text 36" xfId="3062" xr:uid="{00000000-0005-0000-0000-0000CF0B0000}"/>
    <cellStyle name="Explanatory Text 36 2" xfId="3063" xr:uid="{00000000-0005-0000-0000-0000D00B0000}"/>
    <cellStyle name="Explanatory Text 37" xfId="3064" xr:uid="{00000000-0005-0000-0000-0000D10B0000}"/>
    <cellStyle name="Explanatory Text 37 2" xfId="3065" xr:uid="{00000000-0005-0000-0000-0000D20B0000}"/>
    <cellStyle name="Explanatory Text 38" xfId="3066" xr:uid="{00000000-0005-0000-0000-0000D30B0000}"/>
    <cellStyle name="Explanatory Text 38 2" xfId="3067" xr:uid="{00000000-0005-0000-0000-0000D40B0000}"/>
    <cellStyle name="Explanatory Text 39" xfId="3068" xr:uid="{00000000-0005-0000-0000-0000D50B0000}"/>
    <cellStyle name="Explanatory Text 39 2" xfId="3069" xr:uid="{00000000-0005-0000-0000-0000D60B0000}"/>
    <cellStyle name="Explanatory Text 4" xfId="547" xr:uid="{00000000-0005-0000-0000-0000D70B0000}"/>
    <cellStyle name="Explanatory Text 4 2" xfId="3070" xr:uid="{00000000-0005-0000-0000-0000D80B0000}"/>
    <cellStyle name="Explanatory Text 40" xfId="3071" xr:uid="{00000000-0005-0000-0000-0000D90B0000}"/>
    <cellStyle name="Explanatory Text 40 2" xfId="3072" xr:uid="{00000000-0005-0000-0000-0000DA0B0000}"/>
    <cellStyle name="Explanatory Text 41" xfId="3073" xr:uid="{00000000-0005-0000-0000-0000DB0B0000}"/>
    <cellStyle name="Explanatory Text 41 2" xfId="3074" xr:uid="{00000000-0005-0000-0000-0000DC0B0000}"/>
    <cellStyle name="Explanatory Text 42" xfId="3075" xr:uid="{00000000-0005-0000-0000-0000DD0B0000}"/>
    <cellStyle name="Explanatory Text 42 2" xfId="3076" xr:uid="{00000000-0005-0000-0000-0000DE0B0000}"/>
    <cellStyle name="Explanatory Text 43" xfId="3077" xr:uid="{00000000-0005-0000-0000-0000DF0B0000}"/>
    <cellStyle name="Explanatory Text 43 2" xfId="3078" xr:uid="{00000000-0005-0000-0000-0000E00B0000}"/>
    <cellStyle name="Explanatory Text 44" xfId="3079" xr:uid="{00000000-0005-0000-0000-0000E10B0000}"/>
    <cellStyle name="Explanatory Text 44 2" xfId="3080" xr:uid="{00000000-0005-0000-0000-0000E20B0000}"/>
    <cellStyle name="Explanatory Text 45" xfId="3081" xr:uid="{00000000-0005-0000-0000-0000E30B0000}"/>
    <cellStyle name="Explanatory Text 45 2" xfId="3082" xr:uid="{00000000-0005-0000-0000-0000E40B0000}"/>
    <cellStyle name="Explanatory Text 46" xfId="3083" xr:uid="{00000000-0005-0000-0000-0000E50B0000}"/>
    <cellStyle name="Explanatory Text 46 2" xfId="3084" xr:uid="{00000000-0005-0000-0000-0000E60B0000}"/>
    <cellStyle name="Explanatory Text 47" xfId="3085" xr:uid="{00000000-0005-0000-0000-0000E70B0000}"/>
    <cellStyle name="Explanatory Text 47 2" xfId="3086" xr:uid="{00000000-0005-0000-0000-0000E80B0000}"/>
    <cellStyle name="Explanatory Text 48" xfId="3087" xr:uid="{00000000-0005-0000-0000-0000E90B0000}"/>
    <cellStyle name="Explanatory Text 48 2" xfId="3088" xr:uid="{00000000-0005-0000-0000-0000EA0B0000}"/>
    <cellStyle name="Explanatory Text 49" xfId="3089" xr:uid="{00000000-0005-0000-0000-0000EB0B0000}"/>
    <cellStyle name="Explanatory Text 49 2" xfId="3090" xr:uid="{00000000-0005-0000-0000-0000EC0B0000}"/>
    <cellStyle name="Explanatory Text 5" xfId="548" xr:uid="{00000000-0005-0000-0000-0000ED0B0000}"/>
    <cellStyle name="Explanatory Text 5 2" xfId="3091" xr:uid="{00000000-0005-0000-0000-0000EE0B0000}"/>
    <cellStyle name="Explanatory Text 50" xfId="3092" xr:uid="{00000000-0005-0000-0000-0000EF0B0000}"/>
    <cellStyle name="Explanatory Text 50 2" xfId="3093" xr:uid="{00000000-0005-0000-0000-0000F00B0000}"/>
    <cellStyle name="Explanatory Text 51" xfId="3094" xr:uid="{00000000-0005-0000-0000-0000F10B0000}"/>
    <cellStyle name="Explanatory Text 51 2" xfId="3095" xr:uid="{00000000-0005-0000-0000-0000F20B0000}"/>
    <cellStyle name="Explanatory Text 52" xfId="3096" xr:uid="{00000000-0005-0000-0000-0000F30B0000}"/>
    <cellStyle name="Explanatory Text 6" xfId="549" xr:uid="{00000000-0005-0000-0000-0000F40B0000}"/>
    <cellStyle name="Explanatory Text 6 2" xfId="3097" xr:uid="{00000000-0005-0000-0000-0000F50B0000}"/>
    <cellStyle name="Explanatory Text 7" xfId="550" xr:uid="{00000000-0005-0000-0000-0000F60B0000}"/>
    <cellStyle name="Explanatory Text 7 2" xfId="3098" xr:uid="{00000000-0005-0000-0000-0000F70B0000}"/>
    <cellStyle name="Explanatory Text 8" xfId="551" xr:uid="{00000000-0005-0000-0000-0000F80B0000}"/>
    <cellStyle name="Explanatory Text 8 2" xfId="3099" xr:uid="{00000000-0005-0000-0000-0000F90B0000}"/>
    <cellStyle name="Explanatory Text 9" xfId="552" xr:uid="{00000000-0005-0000-0000-0000FA0B0000}"/>
    <cellStyle name="Explanatory Text 9 2" xfId="3100" xr:uid="{00000000-0005-0000-0000-0000FB0B0000}"/>
    <cellStyle name="Good" xfId="6" builtinId="26" customBuiltin="1"/>
    <cellStyle name="Good 10" xfId="553" xr:uid="{00000000-0005-0000-0000-0000FD0B0000}"/>
    <cellStyle name="Good 10 2" xfId="3101" xr:uid="{00000000-0005-0000-0000-0000FE0B0000}"/>
    <cellStyle name="Good 11" xfId="554" xr:uid="{00000000-0005-0000-0000-0000FF0B0000}"/>
    <cellStyle name="Good 11 2" xfId="3102" xr:uid="{00000000-0005-0000-0000-0000000C0000}"/>
    <cellStyle name="Good 12" xfId="555" xr:uid="{00000000-0005-0000-0000-0000010C0000}"/>
    <cellStyle name="Good 12 2" xfId="3103" xr:uid="{00000000-0005-0000-0000-0000020C0000}"/>
    <cellStyle name="Good 13" xfId="556" xr:uid="{00000000-0005-0000-0000-0000030C0000}"/>
    <cellStyle name="Good 13 2" xfId="3104" xr:uid="{00000000-0005-0000-0000-0000040C0000}"/>
    <cellStyle name="Good 14" xfId="557" xr:uid="{00000000-0005-0000-0000-0000050C0000}"/>
    <cellStyle name="Good 14 2" xfId="3105" xr:uid="{00000000-0005-0000-0000-0000060C0000}"/>
    <cellStyle name="Good 15" xfId="558" xr:uid="{00000000-0005-0000-0000-0000070C0000}"/>
    <cellStyle name="Good 15 2" xfId="3106" xr:uid="{00000000-0005-0000-0000-0000080C0000}"/>
    <cellStyle name="Good 16" xfId="559" xr:uid="{00000000-0005-0000-0000-0000090C0000}"/>
    <cellStyle name="Good 16 2" xfId="3107" xr:uid="{00000000-0005-0000-0000-00000A0C0000}"/>
    <cellStyle name="Good 17" xfId="560" xr:uid="{00000000-0005-0000-0000-00000B0C0000}"/>
    <cellStyle name="Good 17 2" xfId="3108" xr:uid="{00000000-0005-0000-0000-00000C0C0000}"/>
    <cellStyle name="Good 18" xfId="561" xr:uid="{00000000-0005-0000-0000-00000D0C0000}"/>
    <cellStyle name="Good 18 2" xfId="3109" xr:uid="{00000000-0005-0000-0000-00000E0C0000}"/>
    <cellStyle name="Good 19" xfId="562" xr:uid="{00000000-0005-0000-0000-00000F0C0000}"/>
    <cellStyle name="Good 19 2" xfId="3110" xr:uid="{00000000-0005-0000-0000-0000100C0000}"/>
    <cellStyle name="Good 2" xfId="563" xr:uid="{00000000-0005-0000-0000-0000110C0000}"/>
    <cellStyle name="Good 20" xfId="3111" xr:uid="{00000000-0005-0000-0000-0000120C0000}"/>
    <cellStyle name="Good 20 2" xfId="3112" xr:uid="{00000000-0005-0000-0000-0000130C0000}"/>
    <cellStyle name="Good 21" xfId="3113" xr:uid="{00000000-0005-0000-0000-0000140C0000}"/>
    <cellStyle name="Good 21 2" xfId="3114" xr:uid="{00000000-0005-0000-0000-0000150C0000}"/>
    <cellStyle name="Good 22" xfId="3115" xr:uid="{00000000-0005-0000-0000-0000160C0000}"/>
    <cellStyle name="Good 22 2" xfId="3116" xr:uid="{00000000-0005-0000-0000-0000170C0000}"/>
    <cellStyle name="Good 23" xfId="3117" xr:uid="{00000000-0005-0000-0000-0000180C0000}"/>
    <cellStyle name="Good 23 2" xfId="3118" xr:uid="{00000000-0005-0000-0000-0000190C0000}"/>
    <cellStyle name="Good 24" xfId="3119" xr:uid="{00000000-0005-0000-0000-00001A0C0000}"/>
    <cellStyle name="Good 24 2" xfId="3120" xr:uid="{00000000-0005-0000-0000-00001B0C0000}"/>
    <cellStyle name="Good 25" xfId="3121" xr:uid="{00000000-0005-0000-0000-00001C0C0000}"/>
    <cellStyle name="Good 25 2" xfId="3122" xr:uid="{00000000-0005-0000-0000-00001D0C0000}"/>
    <cellStyle name="Good 26" xfId="3123" xr:uid="{00000000-0005-0000-0000-00001E0C0000}"/>
    <cellStyle name="Good 26 2" xfId="3124" xr:uid="{00000000-0005-0000-0000-00001F0C0000}"/>
    <cellStyle name="Good 27" xfId="3125" xr:uid="{00000000-0005-0000-0000-0000200C0000}"/>
    <cellStyle name="Good 27 2" xfId="3126" xr:uid="{00000000-0005-0000-0000-0000210C0000}"/>
    <cellStyle name="Good 28" xfId="3127" xr:uid="{00000000-0005-0000-0000-0000220C0000}"/>
    <cellStyle name="Good 28 2" xfId="3128" xr:uid="{00000000-0005-0000-0000-0000230C0000}"/>
    <cellStyle name="Good 29" xfId="3129" xr:uid="{00000000-0005-0000-0000-0000240C0000}"/>
    <cellStyle name="Good 29 2" xfId="3130" xr:uid="{00000000-0005-0000-0000-0000250C0000}"/>
    <cellStyle name="Good 3" xfId="564" xr:uid="{00000000-0005-0000-0000-0000260C0000}"/>
    <cellStyle name="Good 3 2" xfId="3131" xr:uid="{00000000-0005-0000-0000-0000270C0000}"/>
    <cellStyle name="Good 30" xfId="3132" xr:uid="{00000000-0005-0000-0000-0000280C0000}"/>
    <cellStyle name="Good 30 2" xfId="3133" xr:uid="{00000000-0005-0000-0000-0000290C0000}"/>
    <cellStyle name="Good 31" xfId="3134" xr:uid="{00000000-0005-0000-0000-00002A0C0000}"/>
    <cellStyle name="Good 31 2" xfId="3135" xr:uid="{00000000-0005-0000-0000-00002B0C0000}"/>
    <cellStyle name="Good 32" xfId="3136" xr:uid="{00000000-0005-0000-0000-00002C0C0000}"/>
    <cellStyle name="Good 32 2" xfId="3137" xr:uid="{00000000-0005-0000-0000-00002D0C0000}"/>
    <cellStyle name="Good 33" xfId="3138" xr:uid="{00000000-0005-0000-0000-00002E0C0000}"/>
    <cellStyle name="Good 33 2" xfId="3139" xr:uid="{00000000-0005-0000-0000-00002F0C0000}"/>
    <cellStyle name="Good 34" xfId="3140" xr:uid="{00000000-0005-0000-0000-0000300C0000}"/>
    <cellStyle name="Good 34 2" xfId="3141" xr:uid="{00000000-0005-0000-0000-0000310C0000}"/>
    <cellStyle name="Good 35" xfId="3142" xr:uid="{00000000-0005-0000-0000-0000320C0000}"/>
    <cellStyle name="Good 35 2" xfId="3143" xr:uid="{00000000-0005-0000-0000-0000330C0000}"/>
    <cellStyle name="Good 36" xfId="3144" xr:uid="{00000000-0005-0000-0000-0000340C0000}"/>
    <cellStyle name="Good 36 2" xfId="3145" xr:uid="{00000000-0005-0000-0000-0000350C0000}"/>
    <cellStyle name="Good 37" xfId="3146" xr:uid="{00000000-0005-0000-0000-0000360C0000}"/>
    <cellStyle name="Good 37 2" xfId="3147" xr:uid="{00000000-0005-0000-0000-0000370C0000}"/>
    <cellStyle name="Good 38" xfId="3148" xr:uid="{00000000-0005-0000-0000-0000380C0000}"/>
    <cellStyle name="Good 38 2" xfId="3149" xr:uid="{00000000-0005-0000-0000-0000390C0000}"/>
    <cellStyle name="Good 39" xfId="3150" xr:uid="{00000000-0005-0000-0000-00003A0C0000}"/>
    <cellStyle name="Good 39 2" xfId="3151" xr:uid="{00000000-0005-0000-0000-00003B0C0000}"/>
    <cellStyle name="Good 4" xfId="565" xr:uid="{00000000-0005-0000-0000-00003C0C0000}"/>
    <cellStyle name="Good 4 2" xfId="3152" xr:uid="{00000000-0005-0000-0000-00003D0C0000}"/>
    <cellStyle name="Good 40" xfId="3153" xr:uid="{00000000-0005-0000-0000-00003E0C0000}"/>
    <cellStyle name="Good 40 2" xfId="3154" xr:uid="{00000000-0005-0000-0000-00003F0C0000}"/>
    <cellStyle name="Good 41" xfId="3155" xr:uid="{00000000-0005-0000-0000-0000400C0000}"/>
    <cellStyle name="Good 41 2" xfId="3156" xr:uid="{00000000-0005-0000-0000-0000410C0000}"/>
    <cellStyle name="Good 42" xfId="3157" xr:uid="{00000000-0005-0000-0000-0000420C0000}"/>
    <cellStyle name="Good 42 2" xfId="3158" xr:uid="{00000000-0005-0000-0000-0000430C0000}"/>
    <cellStyle name="Good 43" xfId="3159" xr:uid="{00000000-0005-0000-0000-0000440C0000}"/>
    <cellStyle name="Good 43 2" xfId="3160" xr:uid="{00000000-0005-0000-0000-0000450C0000}"/>
    <cellStyle name="Good 44" xfId="3161" xr:uid="{00000000-0005-0000-0000-0000460C0000}"/>
    <cellStyle name="Good 44 2" xfId="3162" xr:uid="{00000000-0005-0000-0000-0000470C0000}"/>
    <cellStyle name="Good 45" xfId="3163" xr:uid="{00000000-0005-0000-0000-0000480C0000}"/>
    <cellStyle name="Good 45 2" xfId="3164" xr:uid="{00000000-0005-0000-0000-0000490C0000}"/>
    <cellStyle name="Good 46" xfId="3165" xr:uid="{00000000-0005-0000-0000-00004A0C0000}"/>
    <cellStyle name="Good 46 2" xfId="3166" xr:uid="{00000000-0005-0000-0000-00004B0C0000}"/>
    <cellStyle name="Good 47" xfId="3167" xr:uid="{00000000-0005-0000-0000-00004C0C0000}"/>
    <cellStyle name="Good 47 2" xfId="3168" xr:uid="{00000000-0005-0000-0000-00004D0C0000}"/>
    <cellStyle name="Good 48" xfId="3169" xr:uid="{00000000-0005-0000-0000-00004E0C0000}"/>
    <cellStyle name="Good 48 2" xfId="3170" xr:uid="{00000000-0005-0000-0000-00004F0C0000}"/>
    <cellStyle name="Good 49" xfId="3171" xr:uid="{00000000-0005-0000-0000-0000500C0000}"/>
    <cellStyle name="Good 49 2" xfId="3172" xr:uid="{00000000-0005-0000-0000-0000510C0000}"/>
    <cellStyle name="Good 5" xfId="566" xr:uid="{00000000-0005-0000-0000-0000520C0000}"/>
    <cellStyle name="Good 5 2" xfId="3173" xr:uid="{00000000-0005-0000-0000-0000530C0000}"/>
    <cellStyle name="Good 50" xfId="3174" xr:uid="{00000000-0005-0000-0000-0000540C0000}"/>
    <cellStyle name="Good 50 2" xfId="3175" xr:uid="{00000000-0005-0000-0000-0000550C0000}"/>
    <cellStyle name="Good 51" xfId="3176" xr:uid="{00000000-0005-0000-0000-0000560C0000}"/>
    <cellStyle name="Good 51 2" xfId="3177" xr:uid="{00000000-0005-0000-0000-0000570C0000}"/>
    <cellStyle name="Good 52" xfId="3178" xr:uid="{00000000-0005-0000-0000-0000580C0000}"/>
    <cellStyle name="Good 6" xfId="567" xr:uid="{00000000-0005-0000-0000-0000590C0000}"/>
    <cellStyle name="Good 6 2" xfId="3179" xr:uid="{00000000-0005-0000-0000-00005A0C0000}"/>
    <cellStyle name="Good 7" xfId="568" xr:uid="{00000000-0005-0000-0000-00005B0C0000}"/>
    <cellStyle name="Good 7 2" xfId="3180" xr:uid="{00000000-0005-0000-0000-00005C0C0000}"/>
    <cellStyle name="Good 8" xfId="569" xr:uid="{00000000-0005-0000-0000-00005D0C0000}"/>
    <cellStyle name="Good 8 2" xfId="3181" xr:uid="{00000000-0005-0000-0000-00005E0C0000}"/>
    <cellStyle name="Good 9" xfId="570" xr:uid="{00000000-0005-0000-0000-00005F0C0000}"/>
    <cellStyle name="Good 9 2" xfId="3182" xr:uid="{00000000-0005-0000-0000-0000600C0000}"/>
    <cellStyle name="Heading 1" xfId="2" builtinId="16" customBuiltin="1"/>
    <cellStyle name="Heading 1 10" xfId="571" xr:uid="{00000000-0005-0000-0000-0000620C0000}"/>
    <cellStyle name="Heading 1 10 2" xfId="3183" xr:uid="{00000000-0005-0000-0000-0000630C0000}"/>
    <cellStyle name="Heading 1 11" xfId="572" xr:uid="{00000000-0005-0000-0000-0000640C0000}"/>
    <cellStyle name="Heading 1 11 2" xfId="3184" xr:uid="{00000000-0005-0000-0000-0000650C0000}"/>
    <cellStyle name="Heading 1 12" xfId="573" xr:uid="{00000000-0005-0000-0000-0000660C0000}"/>
    <cellStyle name="Heading 1 12 2" xfId="3185" xr:uid="{00000000-0005-0000-0000-0000670C0000}"/>
    <cellStyle name="Heading 1 13" xfId="574" xr:uid="{00000000-0005-0000-0000-0000680C0000}"/>
    <cellStyle name="Heading 1 13 2" xfId="3186" xr:uid="{00000000-0005-0000-0000-0000690C0000}"/>
    <cellStyle name="Heading 1 14" xfId="575" xr:uid="{00000000-0005-0000-0000-00006A0C0000}"/>
    <cellStyle name="Heading 1 14 2" xfId="3187" xr:uid="{00000000-0005-0000-0000-00006B0C0000}"/>
    <cellStyle name="Heading 1 15" xfId="576" xr:uid="{00000000-0005-0000-0000-00006C0C0000}"/>
    <cellStyle name="Heading 1 15 2" xfId="3188" xr:uid="{00000000-0005-0000-0000-00006D0C0000}"/>
    <cellStyle name="Heading 1 16" xfId="577" xr:uid="{00000000-0005-0000-0000-00006E0C0000}"/>
    <cellStyle name="Heading 1 16 2" xfId="3189" xr:uid="{00000000-0005-0000-0000-00006F0C0000}"/>
    <cellStyle name="Heading 1 17" xfId="578" xr:uid="{00000000-0005-0000-0000-0000700C0000}"/>
    <cellStyle name="Heading 1 17 2" xfId="3190" xr:uid="{00000000-0005-0000-0000-0000710C0000}"/>
    <cellStyle name="Heading 1 18" xfId="579" xr:uid="{00000000-0005-0000-0000-0000720C0000}"/>
    <cellStyle name="Heading 1 18 2" xfId="3191" xr:uid="{00000000-0005-0000-0000-0000730C0000}"/>
    <cellStyle name="Heading 1 19" xfId="580" xr:uid="{00000000-0005-0000-0000-0000740C0000}"/>
    <cellStyle name="Heading 1 19 2" xfId="3192" xr:uid="{00000000-0005-0000-0000-0000750C0000}"/>
    <cellStyle name="Heading 1 2" xfId="581" xr:uid="{00000000-0005-0000-0000-0000760C0000}"/>
    <cellStyle name="Heading 1 20" xfId="3193" xr:uid="{00000000-0005-0000-0000-0000770C0000}"/>
    <cellStyle name="Heading 1 20 2" xfId="3194" xr:uid="{00000000-0005-0000-0000-0000780C0000}"/>
    <cellStyle name="Heading 1 21" xfId="3195" xr:uid="{00000000-0005-0000-0000-0000790C0000}"/>
    <cellStyle name="Heading 1 21 2" xfId="3196" xr:uid="{00000000-0005-0000-0000-00007A0C0000}"/>
    <cellStyle name="Heading 1 22" xfId="3197" xr:uid="{00000000-0005-0000-0000-00007B0C0000}"/>
    <cellStyle name="Heading 1 22 2" xfId="3198" xr:uid="{00000000-0005-0000-0000-00007C0C0000}"/>
    <cellStyle name="Heading 1 23" xfId="3199" xr:uid="{00000000-0005-0000-0000-00007D0C0000}"/>
    <cellStyle name="Heading 1 23 2" xfId="3200" xr:uid="{00000000-0005-0000-0000-00007E0C0000}"/>
    <cellStyle name="Heading 1 24" xfId="3201" xr:uid="{00000000-0005-0000-0000-00007F0C0000}"/>
    <cellStyle name="Heading 1 24 2" xfId="3202" xr:uid="{00000000-0005-0000-0000-0000800C0000}"/>
    <cellStyle name="Heading 1 25" xfId="3203" xr:uid="{00000000-0005-0000-0000-0000810C0000}"/>
    <cellStyle name="Heading 1 25 2" xfId="3204" xr:uid="{00000000-0005-0000-0000-0000820C0000}"/>
    <cellStyle name="Heading 1 26" xfId="3205" xr:uid="{00000000-0005-0000-0000-0000830C0000}"/>
    <cellStyle name="Heading 1 26 2" xfId="3206" xr:uid="{00000000-0005-0000-0000-0000840C0000}"/>
    <cellStyle name="Heading 1 27" xfId="3207" xr:uid="{00000000-0005-0000-0000-0000850C0000}"/>
    <cellStyle name="Heading 1 27 2" xfId="3208" xr:uid="{00000000-0005-0000-0000-0000860C0000}"/>
    <cellStyle name="Heading 1 28" xfId="3209" xr:uid="{00000000-0005-0000-0000-0000870C0000}"/>
    <cellStyle name="Heading 1 28 2" xfId="3210" xr:uid="{00000000-0005-0000-0000-0000880C0000}"/>
    <cellStyle name="Heading 1 29" xfId="3211" xr:uid="{00000000-0005-0000-0000-0000890C0000}"/>
    <cellStyle name="Heading 1 29 2" xfId="3212" xr:uid="{00000000-0005-0000-0000-00008A0C0000}"/>
    <cellStyle name="Heading 1 3" xfId="582" xr:uid="{00000000-0005-0000-0000-00008B0C0000}"/>
    <cellStyle name="Heading 1 3 2" xfId="3213" xr:uid="{00000000-0005-0000-0000-00008C0C0000}"/>
    <cellStyle name="Heading 1 30" xfId="3214" xr:uid="{00000000-0005-0000-0000-00008D0C0000}"/>
    <cellStyle name="Heading 1 30 2" xfId="3215" xr:uid="{00000000-0005-0000-0000-00008E0C0000}"/>
    <cellStyle name="Heading 1 31" xfId="3216" xr:uid="{00000000-0005-0000-0000-00008F0C0000}"/>
    <cellStyle name="Heading 1 31 2" xfId="3217" xr:uid="{00000000-0005-0000-0000-0000900C0000}"/>
    <cellStyle name="Heading 1 32" xfId="3218" xr:uid="{00000000-0005-0000-0000-0000910C0000}"/>
    <cellStyle name="Heading 1 32 2" xfId="3219" xr:uid="{00000000-0005-0000-0000-0000920C0000}"/>
    <cellStyle name="Heading 1 33" xfId="3220" xr:uid="{00000000-0005-0000-0000-0000930C0000}"/>
    <cellStyle name="Heading 1 33 2" xfId="3221" xr:uid="{00000000-0005-0000-0000-0000940C0000}"/>
    <cellStyle name="Heading 1 34" xfId="3222" xr:uid="{00000000-0005-0000-0000-0000950C0000}"/>
    <cellStyle name="Heading 1 34 2" xfId="3223" xr:uid="{00000000-0005-0000-0000-0000960C0000}"/>
    <cellStyle name="Heading 1 35" xfId="3224" xr:uid="{00000000-0005-0000-0000-0000970C0000}"/>
    <cellStyle name="Heading 1 35 2" xfId="3225" xr:uid="{00000000-0005-0000-0000-0000980C0000}"/>
    <cellStyle name="Heading 1 36" xfId="3226" xr:uid="{00000000-0005-0000-0000-0000990C0000}"/>
    <cellStyle name="Heading 1 36 2" xfId="3227" xr:uid="{00000000-0005-0000-0000-00009A0C0000}"/>
    <cellStyle name="Heading 1 37" xfId="3228" xr:uid="{00000000-0005-0000-0000-00009B0C0000}"/>
    <cellStyle name="Heading 1 37 2" xfId="3229" xr:uid="{00000000-0005-0000-0000-00009C0C0000}"/>
    <cellStyle name="Heading 1 38" xfId="3230" xr:uid="{00000000-0005-0000-0000-00009D0C0000}"/>
    <cellStyle name="Heading 1 38 2" xfId="3231" xr:uid="{00000000-0005-0000-0000-00009E0C0000}"/>
    <cellStyle name="Heading 1 39" xfId="3232" xr:uid="{00000000-0005-0000-0000-00009F0C0000}"/>
    <cellStyle name="Heading 1 39 2" xfId="3233" xr:uid="{00000000-0005-0000-0000-0000A00C0000}"/>
    <cellStyle name="Heading 1 4" xfId="583" xr:uid="{00000000-0005-0000-0000-0000A10C0000}"/>
    <cellStyle name="Heading 1 4 2" xfId="3234" xr:uid="{00000000-0005-0000-0000-0000A20C0000}"/>
    <cellStyle name="Heading 1 40" xfId="3235" xr:uid="{00000000-0005-0000-0000-0000A30C0000}"/>
    <cellStyle name="Heading 1 40 2" xfId="3236" xr:uid="{00000000-0005-0000-0000-0000A40C0000}"/>
    <cellStyle name="Heading 1 41" xfId="3237" xr:uid="{00000000-0005-0000-0000-0000A50C0000}"/>
    <cellStyle name="Heading 1 41 2" xfId="3238" xr:uid="{00000000-0005-0000-0000-0000A60C0000}"/>
    <cellStyle name="Heading 1 42" xfId="3239" xr:uid="{00000000-0005-0000-0000-0000A70C0000}"/>
    <cellStyle name="Heading 1 42 2" xfId="3240" xr:uid="{00000000-0005-0000-0000-0000A80C0000}"/>
    <cellStyle name="Heading 1 43" xfId="3241" xr:uid="{00000000-0005-0000-0000-0000A90C0000}"/>
    <cellStyle name="Heading 1 43 2" xfId="3242" xr:uid="{00000000-0005-0000-0000-0000AA0C0000}"/>
    <cellStyle name="Heading 1 44" xfId="3243" xr:uid="{00000000-0005-0000-0000-0000AB0C0000}"/>
    <cellStyle name="Heading 1 44 2" xfId="3244" xr:uid="{00000000-0005-0000-0000-0000AC0C0000}"/>
    <cellStyle name="Heading 1 45" xfId="3245" xr:uid="{00000000-0005-0000-0000-0000AD0C0000}"/>
    <cellStyle name="Heading 1 45 2" xfId="3246" xr:uid="{00000000-0005-0000-0000-0000AE0C0000}"/>
    <cellStyle name="Heading 1 46" xfId="3247" xr:uid="{00000000-0005-0000-0000-0000AF0C0000}"/>
    <cellStyle name="Heading 1 46 2" xfId="3248" xr:uid="{00000000-0005-0000-0000-0000B00C0000}"/>
    <cellStyle name="Heading 1 47" xfId="3249" xr:uid="{00000000-0005-0000-0000-0000B10C0000}"/>
    <cellStyle name="Heading 1 47 2" xfId="3250" xr:uid="{00000000-0005-0000-0000-0000B20C0000}"/>
    <cellStyle name="Heading 1 48" xfId="3251" xr:uid="{00000000-0005-0000-0000-0000B30C0000}"/>
    <cellStyle name="Heading 1 48 2" xfId="3252" xr:uid="{00000000-0005-0000-0000-0000B40C0000}"/>
    <cellStyle name="Heading 1 49" xfId="3253" xr:uid="{00000000-0005-0000-0000-0000B50C0000}"/>
    <cellStyle name="Heading 1 49 2" xfId="3254" xr:uid="{00000000-0005-0000-0000-0000B60C0000}"/>
    <cellStyle name="Heading 1 5" xfId="584" xr:uid="{00000000-0005-0000-0000-0000B70C0000}"/>
    <cellStyle name="Heading 1 5 2" xfId="3255" xr:uid="{00000000-0005-0000-0000-0000B80C0000}"/>
    <cellStyle name="Heading 1 50" xfId="3256" xr:uid="{00000000-0005-0000-0000-0000B90C0000}"/>
    <cellStyle name="Heading 1 50 2" xfId="3257" xr:uid="{00000000-0005-0000-0000-0000BA0C0000}"/>
    <cellStyle name="Heading 1 51" xfId="3258" xr:uid="{00000000-0005-0000-0000-0000BB0C0000}"/>
    <cellStyle name="Heading 1 51 2" xfId="3259" xr:uid="{00000000-0005-0000-0000-0000BC0C0000}"/>
    <cellStyle name="Heading 1 52" xfId="3260" xr:uid="{00000000-0005-0000-0000-0000BD0C0000}"/>
    <cellStyle name="Heading 1 6" xfId="585" xr:uid="{00000000-0005-0000-0000-0000BE0C0000}"/>
    <cellStyle name="Heading 1 6 2" xfId="3261" xr:uid="{00000000-0005-0000-0000-0000BF0C0000}"/>
    <cellStyle name="Heading 1 7" xfId="586" xr:uid="{00000000-0005-0000-0000-0000C00C0000}"/>
    <cellStyle name="Heading 1 7 2" xfId="3262" xr:uid="{00000000-0005-0000-0000-0000C10C0000}"/>
    <cellStyle name="Heading 1 8" xfId="587" xr:uid="{00000000-0005-0000-0000-0000C20C0000}"/>
    <cellStyle name="Heading 1 8 2" xfId="3263" xr:uid="{00000000-0005-0000-0000-0000C30C0000}"/>
    <cellStyle name="Heading 1 9" xfId="588" xr:uid="{00000000-0005-0000-0000-0000C40C0000}"/>
    <cellStyle name="Heading 1 9 2" xfId="3264" xr:uid="{00000000-0005-0000-0000-0000C50C0000}"/>
    <cellStyle name="Heading 2" xfId="3" builtinId="17" customBuiltin="1"/>
    <cellStyle name="Heading 2 10" xfId="589" xr:uid="{00000000-0005-0000-0000-0000C70C0000}"/>
    <cellStyle name="Heading 2 10 2" xfId="3265" xr:uid="{00000000-0005-0000-0000-0000C80C0000}"/>
    <cellStyle name="Heading 2 11" xfId="590" xr:uid="{00000000-0005-0000-0000-0000C90C0000}"/>
    <cellStyle name="Heading 2 11 2" xfId="3266" xr:uid="{00000000-0005-0000-0000-0000CA0C0000}"/>
    <cellStyle name="Heading 2 12" xfId="591" xr:uid="{00000000-0005-0000-0000-0000CB0C0000}"/>
    <cellStyle name="Heading 2 12 2" xfId="3267" xr:uid="{00000000-0005-0000-0000-0000CC0C0000}"/>
    <cellStyle name="Heading 2 13" xfId="592" xr:uid="{00000000-0005-0000-0000-0000CD0C0000}"/>
    <cellStyle name="Heading 2 13 2" xfId="3268" xr:uid="{00000000-0005-0000-0000-0000CE0C0000}"/>
    <cellStyle name="Heading 2 14" xfId="593" xr:uid="{00000000-0005-0000-0000-0000CF0C0000}"/>
    <cellStyle name="Heading 2 14 2" xfId="3269" xr:uid="{00000000-0005-0000-0000-0000D00C0000}"/>
    <cellStyle name="Heading 2 15" xfId="594" xr:uid="{00000000-0005-0000-0000-0000D10C0000}"/>
    <cellStyle name="Heading 2 15 2" xfId="3270" xr:uid="{00000000-0005-0000-0000-0000D20C0000}"/>
    <cellStyle name="Heading 2 16" xfId="595" xr:uid="{00000000-0005-0000-0000-0000D30C0000}"/>
    <cellStyle name="Heading 2 16 2" xfId="3271" xr:uid="{00000000-0005-0000-0000-0000D40C0000}"/>
    <cellStyle name="Heading 2 17" xfId="596" xr:uid="{00000000-0005-0000-0000-0000D50C0000}"/>
    <cellStyle name="Heading 2 17 2" xfId="3272" xr:uid="{00000000-0005-0000-0000-0000D60C0000}"/>
    <cellStyle name="Heading 2 18" xfId="597" xr:uid="{00000000-0005-0000-0000-0000D70C0000}"/>
    <cellStyle name="Heading 2 18 2" xfId="3273" xr:uid="{00000000-0005-0000-0000-0000D80C0000}"/>
    <cellStyle name="Heading 2 19" xfId="598" xr:uid="{00000000-0005-0000-0000-0000D90C0000}"/>
    <cellStyle name="Heading 2 19 2" xfId="3274" xr:uid="{00000000-0005-0000-0000-0000DA0C0000}"/>
    <cellStyle name="Heading 2 2" xfId="599" xr:uid="{00000000-0005-0000-0000-0000DB0C0000}"/>
    <cellStyle name="Heading 2 20" xfId="3275" xr:uid="{00000000-0005-0000-0000-0000DC0C0000}"/>
    <cellStyle name="Heading 2 20 2" xfId="3276" xr:uid="{00000000-0005-0000-0000-0000DD0C0000}"/>
    <cellStyle name="Heading 2 21" xfId="3277" xr:uid="{00000000-0005-0000-0000-0000DE0C0000}"/>
    <cellStyle name="Heading 2 21 2" xfId="3278" xr:uid="{00000000-0005-0000-0000-0000DF0C0000}"/>
    <cellStyle name="Heading 2 22" xfId="3279" xr:uid="{00000000-0005-0000-0000-0000E00C0000}"/>
    <cellStyle name="Heading 2 22 2" xfId="3280" xr:uid="{00000000-0005-0000-0000-0000E10C0000}"/>
    <cellStyle name="Heading 2 23" xfId="3281" xr:uid="{00000000-0005-0000-0000-0000E20C0000}"/>
    <cellStyle name="Heading 2 23 2" xfId="3282" xr:uid="{00000000-0005-0000-0000-0000E30C0000}"/>
    <cellStyle name="Heading 2 24" xfId="3283" xr:uid="{00000000-0005-0000-0000-0000E40C0000}"/>
    <cellStyle name="Heading 2 24 2" xfId="3284" xr:uid="{00000000-0005-0000-0000-0000E50C0000}"/>
    <cellStyle name="Heading 2 25" xfId="3285" xr:uid="{00000000-0005-0000-0000-0000E60C0000}"/>
    <cellStyle name="Heading 2 25 2" xfId="3286" xr:uid="{00000000-0005-0000-0000-0000E70C0000}"/>
    <cellStyle name="Heading 2 26" xfId="3287" xr:uid="{00000000-0005-0000-0000-0000E80C0000}"/>
    <cellStyle name="Heading 2 26 2" xfId="3288" xr:uid="{00000000-0005-0000-0000-0000E90C0000}"/>
    <cellStyle name="Heading 2 27" xfId="3289" xr:uid="{00000000-0005-0000-0000-0000EA0C0000}"/>
    <cellStyle name="Heading 2 27 2" xfId="3290" xr:uid="{00000000-0005-0000-0000-0000EB0C0000}"/>
    <cellStyle name="Heading 2 28" xfId="3291" xr:uid="{00000000-0005-0000-0000-0000EC0C0000}"/>
    <cellStyle name="Heading 2 28 2" xfId="3292" xr:uid="{00000000-0005-0000-0000-0000ED0C0000}"/>
    <cellStyle name="Heading 2 29" xfId="3293" xr:uid="{00000000-0005-0000-0000-0000EE0C0000}"/>
    <cellStyle name="Heading 2 29 2" xfId="3294" xr:uid="{00000000-0005-0000-0000-0000EF0C0000}"/>
    <cellStyle name="Heading 2 3" xfId="600" xr:uid="{00000000-0005-0000-0000-0000F00C0000}"/>
    <cellStyle name="Heading 2 3 2" xfId="3295" xr:uid="{00000000-0005-0000-0000-0000F10C0000}"/>
    <cellStyle name="Heading 2 30" xfId="3296" xr:uid="{00000000-0005-0000-0000-0000F20C0000}"/>
    <cellStyle name="Heading 2 30 2" xfId="3297" xr:uid="{00000000-0005-0000-0000-0000F30C0000}"/>
    <cellStyle name="Heading 2 31" xfId="3298" xr:uid="{00000000-0005-0000-0000-0000F40C0000}"/>
    <cellStyle name="Heading 2 31 2" xfId="3299" xr:uid="{00000000-0005-0000-0000-0000F50C0000}"/>
    <cellStyle name="Heading 2 32" xfId="3300" xr:uid="{00000000-0005-0000-0000-0000F60C0000}"/>
    <cellStyle name="Heading 2 32 2" xfId="3301" xr:uid="{00000000-0005-0000-0000-0000F70C0000}"/>
    <cellStyle name="Heading 2 33" xfId="3302" xr:uid="{00000000-0005-0000-0000-0000F80C0000}"/>
    <cellStyle name="Heading 2 33 2" xfId="3303" xr:uid="{00000000-0005-0000-0000-0000F90C0000}"/>
    <cellStyle name="Heading 2 34" xfId="3304" xr:uid="{00000000-0005-0000-0000-0000FA0C0000}"/>
    <cellStyle name="Heading 2 34 2" xfId="3305" xr:uid="{00000000-0005-0000-0000-0000FB0C0000}"/>
    <cellStyle name="Heading 2 35" xfId="3306" xr:uid="{00000000-0005-0000-0000-0000FC0C0000}"/>
    <cellStyle name="Heading 2 35 2" xfId="3307" xr:uid="{00000000-0005-0000-0000-0000FD0C0000}"/>
    <cellStyle name="Heading 2 36" xfId="3308" xr:uid="{00000000-0005-0000-0000-0000FE0C0000}"/>
    <cellStyle name="Heading 2 36 2" xfId="3309" xr:uid="{00000000-0005-0000-0000-0000FF0C0000}"/>
    <cellStyle name="Heading 2 37" xfId="3310" xr:uid="{00000000-0005-0000-0000-0000000D0000}"/>
    <cellStyle name="Heading 2 37 2" xfId="3311" xr:uid="{00000000-0005-0000-0000-0000010D0000}"/>
    <cellStyle name="Heading 2 38" xfId="3312" xr:uid="{00000000-0005-0000-0000-0000020D0000}"/>
    <cellStyle name="Heading 2 38 2" xfId="3313" xr:uid="{00000000-0005-0000-0000-0000030D0000}"/>
    <cellStyle name="Heading 2 39" xfId="3314" xr:uid="{00000000-0005-0000-0000-0000040D0000}"/>
    <cellStyle name="Heading 2 39 2" xfId="3315" xr:uid="{00000000-0005-0000-0000-0000050D0000}"/>
    <cellStyle name="Heading 2 4" xfId="601" xr:uid="{00000000-0005-0000-0000-0000060D0000}"/>
    <cellStyle name="Heading 2 4 2" xfId="3316" xr:uid="{00000000-0005-0000-0000-0000070D0000}"/>
    <cellStyle name="Heading 2 40" xfId="3317" xr:uid="{00000000-0005-0000-0000-0000080D0000}"/>
    <cellStyle name="Heading 2 40 2" xfId="3318" xr:uid="{00000000-0005-0000-0000-0000090D0000}"/>
    <cellStyle name="Heading 2 41" xfId="3319" xr:uid="{00000000-0005-0000-0000-00000A0D0000}"/>
    <cellStyle name="Heading 2 41 2" xfId="3320" xr:uid="{00000000-0005-0000-0000-00000B0D0000}"/>
    <cellStyle name="Heading 2 42" xfId="3321" xr:uid="{00000000-0005-0000-0000-00000C0D0000}"/>
    <cellStyle name="Heading 2 42 2" xfId="3322" xr:uid="{00000000-0005-0000-0000-00000D0D0000}"/>
    <cellStyle name="Heading 2 43" xfId="3323" xr:uid="{00000000-0005-0000-0000-00000E0D0000}"/>
    <cellStyle name="Heading 2 43 2" xfId="3324" xr:uid="{00000000-0005-0000-0000-00000F0D0000}"/>
    <cellStyle name="Heading 2 44" xfId="3325" xr:uid="{00000000-0005-0000-0000-0000100D0000}"/>
    <cellStyle name="Heading 2 44 2" xfId="3326" xr:uid="{00000000-0005-0000-0000-0000110D0000}"/>
    <cellStyle name="Heading 2 45" xfId="3327" xr:uid="{00000000-0005-0000-0000-0000120D0000}"/>
    <cellStyle name="Heading 2 45 2" xfId="3328" xr:uid="{00000000-0005-0000-0000-0000130D0000}"/>
    <cellStyle name="Heading 2 46" xfId="3329" xr:uid="{00000000-0005-0000-0000-0000140D0000}"/>
    <cellStyle name="Heading 2 46 2" xfId="3330" xr:uid="{00000000-0005-0000-0000-0000150D0000}"/>
    <cellStyle name="Heading 2 47" xfId="3331" xr:uid="{00000000-0005-0000-0000-0000160D0000}"/>
    <cellStyle name="Heading 2 47 2" xfId="3332" xr:uid="{00000000-0005-0000-0000-0000170D0000}"/>
    <cellStyle name="Heading 2 48" xfId="3333" xr:uid="{00000000-0005-0000-0000-0000180D0000}"/>
    <cellStyle name="Heading 2 48 2" xfId="3334" xr:uid="{00000000-0005-0000-0000-0000190D0000}"/>
    <cellStyle name="Heading 2 49" xfId="3335" xr:uid="{00000000-0005-0000-0000-00001A0D0000}"/>
    <cellStyle name="Heading 2 49 2" xfId="3336" xr:uid="{00000000-0005-0000-0000-00001B0D0000}"/>
    <cellStyle name="Heading 2 5" xfId="602" xr:uid="{00000000-0005-0000-0000-00001C0D0000}"/>
    <cellStyle name="Heading 2 5 2" xfId="3337" xr:uid="{00000000-0005-0000-0000-00001D0D0000}"/>
    <cellStyle name="Heading 2 50" xfId="3338" xr:uid="{00000000-0005-0000-0000-00001E0D0000}"/>
    <cellStyle name="Heading 2 50 2" xfId="3339" xr:uid="{00000000-0005-0000-0000-00001F0D0000}"/>
    <cellStyle name="Heading 2 51" xfId="3340" xr:uid="{00000000-0005-0000-0000-0000200D0000}"/>
    <cellStyle name="Heading 2 51 2" xfId="3341" xr:uid="{00000000-0005-0000-0000-0000210D0000}"/>
    <cellStyle name="Heading 2 52" xfId="3342" xr:uid="{00000000-0005-0000-0000-0000220D0000}"/>
    <cellStyle name="Heading 2 6" xfId="603" xr:uid="{00000000-0005-0000-0000-0000230D0000}"/>
    <cellStyle name="Heading 2 6 2" xfId="3343" xr:uid="{00000000-0005-0000-0000-0000240D0000}"/>
    <cellStyle name="Heading 2 7" xfId="604" xr:uid="{00000000-0005-0000-0000-0000250D0000}"/>
    <cellStyle name="Heading 2 7 2" xfId="3344" xr:uid="{00000000-0005-0000-0000-0000260D0000}"/>
    <cellStyle name="Heading 2 8" xfId="605" xr:uid="{00000000-0005-0000-0000-0000270D0000}"/>
    <cellStyle name="Heading 2 8 2" xfId="3345" xr:uid="{00000000-0005-0000-0000-0000280D0000}"/>
    <cellStyle name="Heading 2 9" xfId="606" xr:uid="{00000000-0005-0000-0000-0000290D0000}"/>
    <cellStyle name="Heading 2 9 2" xfId="3346" xr:uid="{00000000-0005-0000-0000-00002A0D0000}"/>
    <cellStyle name="Heading 3" xfId="4" builtinId="18" customBuiltin="1"/>
    <cellStyle name="Heading 3 10" xfId="607" xr:uid="{00000000-0005-0000-0000-00002C0D0000}"/>
    <cellStyle name="Heading 3 10 2" xfId="3347" xr:uid="{00000000-0005-0000-0000-00002D0D0000}"/>
    <cellStyle name="Heading 3 11" xfId="608" xr:uid="{00000000-0005-0000-0000-00002E0D0000}"/>
    <cellStyle name="Heading 3 11 2" xfId="3348" xr:uid="{00000000-0005-0000-0000-00002F0D0000}"/>
    <cellStyle name="Heading 3 12" xfId="609" xr:uid="{00000000-0005-0000-0000-0000300D0000}"/>
    <cellStyle name="Heading 3 12 2" xfId="3349" xr:uid="{00000000-0005-0000-0000-0000310D0000}"/>
    <cellStyle name="Heading 3 13" xfId="610" xr:uid="{00000000-0005-0000-0000-0000320D0000}"/>
    <cellStyle name="Heading 3 13 2" xfId="3350" xr:uid="{00000000-0005-0000-0000-0000330D0000}"/>
    <cellStyle name="Heading 3 14" xfId="611" xr:uid="{00000000-0005-0000-0000-0000340D0000}"/>
    <cellStyle name="Heading 3 14 2" xfId="3351" xr:uid="{00000000-0005-0000-0000-0000350D0000}"/>
    <cellStyle name="Heading 3 15" xfId="612" xr:uid="{00000000-0005-0000-0000-0000360D0000}"/>
    <cellStyle name="Heading 3 15 2" xfId="3352" xr:uid="{00000000-0005-0000-0000-0000370D0000}"/>
    <cellStyle name="Heading 3 16" xfId="613" xr:uid="{00000000-0005-0000-0000-0000380D0000}"/>
    <cellStyle name="Heading 3 16 2" xfId="3353" xr:uid="{00000000-0005-0000-0000-0000390D0000}"/>
    <cellStyle name="Heading 3 17" xfId="614" xr:uid="{00000000-0005-0000-0000-00003A0D0000}"/>
    <cellStyle name="Heading 3 17 2" xfId="3354" xr:uid="{00000000-0005-0000-0000-00003B0D0000}"/>
    <cellStyle name="Heading 3 18" xfId="615" xr:uid="{00000000-0005-0000-0000-00003C0D0000}"/>
    <cellStyle name="Heading 3 18 2" xfId="3355" xr:uid="{00000000-0005-0000-0000-00003D0D0000}"/>
    <cellStyle name="Heading 3 19" xfId="616" xr:uid="{00000000-0005-0000-0000-00003E0D0000}"/>
    <cellStyle name="Heading 3 19 2" xfId="3356" xr:uid="{00000000-0005-0000-0000-00003F0D0000}"/>
    <cellStyle name="Heading 3 2" xfId="617" xr:uid="{00000000-0005-0000-0000-0000400D0000}"/>
    <cellStyle name="Heading 3 20" xfId="3357" xr:uid="{00000000-0005-0000-0000-0000410D0000}"/>
    <cellStyle name="Heading 3 20 2" xfId="3358" xr:uid="{00000000-0005-0000-0000-0000420D0000}"/>
    <cellStyle name="Heading 3 21" xfId="3359" xr:uid="{00000000-0005-0000-0000-0000430D0000}"/>
    <cellStyle name="Heading 3 21 2" xfId="3360" xr:uid="{00000000-0005-0000-0000-0000440D0000}"/>
    <cellStyle name="Heading 3 22" xfId="3361" xr:uid="{00000000-0005-0000-0000-0000450D0000}"/>
    <cellStyle name="Heading 3 22 2" xfId="3362" xr:uid="{00000000-0005-0000-0000-0000460D0000}"/>
    <cellStyle name="Heading 3 23" xfId="3363" xr:uid="{00000000-0005-0000-0000-0000470D0000}"/>
    <cellStyle name="Heading 3 23 2" xfId="3364" xr:uid="{00000000-0005-0000-0000-0000480D0000}"/>
    <cellStyle name="Heading 3 24" xfId="3365" xr:uid="{00000000-0005-0000-0000-0000490D0000}"/>
    <cellStyle name="Heading 3 24 2" xfId="3366" xr:uid="{00000000-0005-0000-0000-00004A0D0000}"/>
    <cellStyle name="Heading 3 25" xfId="3367" xr:uid="{00000000-0005-0000-0000-00004B0D0000}"/>
    <cellStyle name="Heading 3 25 2" xfId="3368" xr:uid="{00000000-0005-0000-0000-00004C0D0000}"/>
    <cellStyle name="Heading 3 26" xfId="3369" xr:uid="{00000000-0005-0000-0000-00004D0D0000}"/>
    <cellStyle name="Heading 3 26 2" xfId="3370" xr:uid="{00000000-0005-0000-0000-00004E0D0000}"/>
    <cellStyle name="Heading 3 27" xfId="3371" xr:uid="{00000000-0005-0000-0000-00004F0D0000}"/>
    <cellStyle name="Heading 3 27 2" xfId="3372" xr:uid="{00000000-0005-0000-0000-0000500D0000}"/>
    <cellStyle name="Heading 3 28" xfId="3373" xr:uid="{00000000-0005-0000-0000-0000510D0000}"/>
    <cellStyle name="Heading 3 28 2" xfId="3374" xr:uid="{00000000-0005-0000-0000-0000520D0000}"/>
    <cellStyle name="Heading 3 29" xfId="3375" xr:uid="{00000000-0005-0000-0000-0000530D0000}"/>
    <cellStyle name="Heading 3 29 2" xfId="3376" xr:uid="{00000000-0005-0000-0000-0000540D0000}"/>
    <cellStyle name="Heading 3 3" xfId="618" xr:uid="{00000000-0005-0000-0000-0000550D0000}"/>
    <cellStyle name="Heading 3 3 2" xfId="3377" xr:uid="{00000000-0005-0000-0000-0000560D0000}"/>
    <cellStyle name="Heading 3 30" xfId="3378" xr:uid="{00000000-0005-0000-0000-0000570D0000}"/>
    <cellStyle name="Heading 3 30 2" xfId="3379" xr:uid="{00000000-0005-0000-0000-0000580D0000}"/>
    <cellStyle name="Heading 3 31" xfId="3380" xr:uid="{00000000-0005-0000-0000-0000590D0000}"/>
    <cellStyle name="Heading 3 31 2" xfId="3381" xr:uid="{00000000-0005-0000-0000-00005A0D0000}"/>
    <cellStyle name="Heading 3 32" xfId="3382" xr:uid="{00000000-0005-0000-0000-00005B0D0000}"/>
    <cellStyle name="Heading 3 32 2" xfId="3383" xr:uid="{00000000-0005-0000-0000-00005C0D0000}"/>
    <cellStyle name="Heading 3 33" xfId="3384" xr:uid="{00000000-0005-0000-0000-00005D0D0000}"/>
    <cellStyle name="Heading 3 33 2" xfId="3385" xr:uid="{00000000-0005-0000-0000-00005E0D0000}"/>
    <cellStyle name="Heading 3 34" xfId="3386" xr:uid="{00000000-0005-0000-0000-00005F0D0000}"/>
    <cellStyle name="Heading 3 34 2" xfId="3387" xr:uid="{00000000-0005-0000-0000-0000600D0000}"/>
    <cellStyle name="Heading 3 35" xfId="3388" xr:uid="{00000000-0005-0000-0000-0000610D0000}"/>
    <cellStyle name="Heading 3 35 2" xfId="3389" xr:uid="{00000000-0005-0000-0000-0000620D0000}"/>
    <cellStyle name="Heading 3 36" xfId="3390" xr:uid="{00000000-0005-0000-0000-0000630D0000}"/>
    <cellStyle name="Heading 3 36 2" xfId="3391" xr:uid="{00000000-0005-0000-0000-0000640D0000}"/>
    <cellStyle name="Heading 3 37" xfId="3392" xr:uid="{00000000-0005-0000-0000-0000650D0000}"/>
    <cellStyle name="Heading 3 37 2" xfId="3393" xr:uid="{00000000-0005-0000-0000-0000660D0000}"/>
    <cellStyle name="Heading 3 38" xfId="3394" xr:uid="{00000000-0005-0000-0000-0000670D0000}"/>
    <cellStyle name="Heading 3 38 2" xfId="3395" xr:uid="{00000000-0005-0000-0000-0000680D0000}"/>
    <cellStyle name="Heading 3 39" xfId="3396" xr:uid="{00000000-0005-0000-0000-0000690D0000}"/>
    <cellStyle name="Heading 3 39 2" xfId="3397" xr:uid="{00000000-0005-0000-0000-00006A0D0000}"/>
    <cellStyle name="Heading 3 4" xfId="619" xr:uid="{00000000-0005-0000-0000-00006B0D0000}"/>
    <cellStyle name="Heading 3 4 2" xfId="3398" xr:uid="{00000000-0005-0000-0000-00006C0D0000}"/>
    <cellStyle name="Heading 3 40" xfId="3399" xr:uid="{00000000-0005-0000-0000-00006D0D0000}"/>
    <cellStyle name="Heading 3 40 2" xfId="3400" xr:uid="{00000000-0005-0000-0000-00006E0D0000}"/>
    <cellStyle name="Heading 3 41" xfId="3401" xr:uid="{00000000-0005-0000-0000-00006F0D0000}"/>
    <cellStyle name="Heading 3 41 2" xfId="3402" xr:uid="{00000000-0005-0000-0000-0000700D0000}"/>
    <cellStyle name="Heading 3 42" xfId="3403" xr:uid="{00000000-0005-0000-0000-0000710D0000}"/>
    <cellStyle name="Heading 3 42 2" xfId="3404" xr:uid="{00000000-0005-0000-0000-0000720D0000}"/>
    <cellStyle name="Heading 3 43" xfId="3405" xr:uid="{00000000-0005-0000-0000-0000730D0000}"/>
    <cellStyle name="Heading 3 43 2" xfId="3406" xr:uid="{00000000-0005-0000-0000-0000740D0000}"/>
    <cellStyle name="Heading 3 44" xfId="3407" xr:uid="{00000000-0005-0000-0000-0000750D0000}"/>
    <cellStyle name="Heading 3 44 2" xfId="3408" xr:uid="{00000000-0005-0000-0000-0000760D0000}"/>
    <cellStyle name="Heading 3 45" xfId="3409" xr:uid="{00000000-0005-0000-0000-0000770D0000}"/>
    <cellStyle name="Heading 3 45 2" xfId="3410" xr:uid="{00000000-0005-0000-0000-0000780D0000}"/>
    <cellStyle name="Heading 3 46" xfId="3411" xr:uid="{00000000-0005-0000-0000-0000790D0000}"/>
    <cellStyle name="Heading 3 46 2" xfId="3412" xr:uid="{00000000-0005-0000-0000-00007A0D0000}"/>
    <cellStyle name="Heading 3 47" xfId="3413" xr:uid="{00000000-0005-0000-0000-00007B0D0000}"/>
    <cellStyle name="Heading 3 47 2" xfId="3414" xr:uid="{00000000-0005-0000-0000-00007C0D0000}"/>
    <cellStyle name="Heading 3 48" xfId="3415" xr:uid="{00000000-0005-0000-0000-00007D0D0000}"/>
    <cellStyle name="Heading 3 48 2" xfId="3416" xr:uid="{00000000-0005-0000-0000-00007E0D0000}"/>
    <cellStyle name="Heading 3 49" xfId="3417" xr:uid="{00000000-0005-0000-0000-00007F0D0000}"/>
    <cellStyle name="Heading 3 49 2" xfId="3418" xr:uid="{00000000-0005-0000-0000-0000800D0000}"/>
    <cellStyle name="Heading 3 5" xfId="620" xr:uid="{00000000-0005-0000-0000-0000810D0000}"/>
    <cellStyle name="Heading 3 5 2" xfId="3419" xr:uid="{00000000-0005-0000-0000-0000820D0000}"/>
    <cellStyle name="Heading 3 50" xfId="3420" xr:uid="{00000000-0005-0000-0000-0000830D0000}"/>
    <cellStyle name="Heading 3 50 2" xfId="3421" xr:uid="{00000000-0005-0000-0000-0000840D0000}"/>
    <cellStyle name="Heading 3 51" xfId="3422" xr:uid="{00000000-0005-0000-0000-0000850D0000}"/>
    <cellStyle name="Heading 3 51 2" xfId="3423" xr:uid="{00000000-0005-0000-0000-0000860D0000}"/>
    <cellStyle name="Heading 3 52" xfId="3424" xr:uid="{00000000-0005-0000-0000-0000870D0000}"/>
    <cellStyle name="Heading 3 6" xfId="621" xr:uid="{00000000-0005-0000-0000-0000880D0000}"/>
    <cellStyle name="Heading 3 6 2" xfId="3425" xr:uid="{00000000-0005-0000-0000-0000890D0000}"/>
    <cellStyle name="Heading 3 7" xfId="622" xr:uid="{00000000-0005-0000-0000-00008A0D0000}"/>
    <cellStyle name="Heading 3 7 2" xfId="3426" xr:uid="{00000000-0005-0000-0000-00008B0D0000}"/>
    <cellStyle name="Heading 3 8" xfId="623" xr:uid="{00000000-0005-0000-0000-00008C0D0000}"/>
    <cellStyle name="Heading 3 8 2" xfId="3427" xr:uid="{00000000-0005-0000-0000-00008D0D0000}"/>
    <cellStyle name="Heading 3 9" xfId="624" xr:uid="{00000000-0005-0000-0000-00008E0D0000}"/>
    <cellStyle name="Heading 3 9 2" xfId="3428" xr:uid="{00000000-0005-0000-0000-00008F0D0000}"/>
    <cellStyle name="Heading 4" xfId="5" builtinId="19" customBuiltin="1"/>
    <cellStyle name="Heading 4 10" xfId="625" xr:uid="{00000000-0005-0000-0000-0000910D0000}"/>
    <cellStyle name="Heading 4 10 2" xfId="3429" xr:uid="{00000000-0005-0000-0000-0000920D0000}"/>
    <cellStyle name="Heading 4 11" xfId="626" xr:uid="{00000000-0005-0000-0000-0000930D0000}"/>
    <cellStyle name="Heading 4 11 2" xfId="3430" xr:uid="{00000000-0005-0000-0000-0000940D0000}"/>
    <cellStyle name="Heading 4 12" xfId="627" xr:uid="{00000000-0005-0000-0000-0000950D0000}"/>
    <cellStyle name="Heading 4 12 2" xfId="3431" xr:uid="{00000000-0005-0000-0000-0000960D0000}"/>
    <cellStyle name="Heading 4 13" xfId="628" xr:uid="{00000000-0005-0000-0000-0000970D0000}"/>
    <cellStyle name="Heading 4 13 2" xfId="3432" xr:uid="{00000000-0005-0000-0000-0000980D0000}"/>
    <cellStyle name="Heading 4 14" xfId="629" xr:uid="{00000000-0005-0000-0000-0000990D0000}"/>
    <cellStyle name="Heading 4 14 2" xfId="3433" xr:uid="{00000000-0005-0000-0000-00009A0D0000}"/>
    <cellStyle name="Heading 4 15" xfId="630" xr:uid="{00000000-0005-0000-0000-00009B0D0000}"/>
    <cellStyle name="Heading 4 15 2" xfId="3434" xr:uid="{00000000-0005-0000-0000-00009C0D0000}"/>
    <cellStyle name="Heading 4 16" xfId="631" xr:uid="{00000000-0005-0000-0000-00009D0D0000}"/>
    <cellStyle name="Heading 4 16 2" xfId="3435" xr:uid="{00000000-0005-0000-0000-00009E0D0000}"/>
    <cellStyle name="Heading 4 17" xfId="632" xr:uid="{00000000-0005-0000-0000-00009F0D0000}"/>
    <cellStyle name="Heading 4 17 2" xfId="3436" xr:uid="{00000000-0005-0000-0000-0000A00D0000}"/>
    <cellStyle name="Heading 4 18" xfId="633" xr:uid="{00000000-0005-0000-0000-0000A10D0000}"/>
    <cellStyle name="Heading 4 18 2" xfId="3437" xr:uid="{00000000-0005-0000-0000-0000A20D0000}"/>
    <cellStyle name="Heading 4 19" xfId="634" xr:uid="{00000000-0005-0000-0000-0000A30D0000}"/>
    <cellStyle name="Heading 4 19 2" xfId="3438" xr:uid="{00000000-0005-0000-0000-0000A40D0000}"/>
    <cellStyle name="Heading 4 2" xfId="635" xr:uid="{00000000-0005-0000-0000-0000A50D0000}"/>
    <cellStyle name="Heading 4 20" xfId="3439" xr:uid="{00000000-0005-0000-0000-0000A60D0000}"/>
    <cellStyle name="Heading 4 20 2" xfId="3440" xr:uid="{00000000-0005-0000-0000-0000A70D0000}"/>
    <cellStyle name="Heading 4 21" xfId="3441" xr:uid="{00000000-0005-0000-0000-0000A80D0000}"/>
    <cellStyle name="Heading 4 21 2" xfId="3442" xr:uid="{00000000-0005-0000-0000-0000A90D0000}"/>
    <cellStyle name="Heading 4 22" xfId="3443" xr:uid="{00000000-0005-0000-0000-0000AA0D0000}"/>
    <cellStyle name="Heading 4 22 2" xfId="3444" xr:uid="{00000000-0005-0000-0000-0000AB0D0000}"/>
    <cellStyle name="Heading 4 23" xfId="3445" xr:uid="{00000000-0005-0000-0000-0000AC0D0000}"/>
    <cellStyle name="Heading 4 23 2" xfId="3446" xr:uid="{00000000-0005-0000-0000-0000AD0D0000}"/>
    <cellStyle name="Heading 4 24" xfId="3447" xr:uid="{00000000-0005-0000-0000-0000AE0D0000}"/>
    <cellStyle name="Heading 4 24 2" xfId="3448" xr:uid="{00000000-0005-0000-0000-0000AF0D0000}"/>
    <cellStyle name="Heading 4 25" xfId="3449" xr:uid="{00000000-0005-0000-0000-0000B00D0000}"/>
    <cellStyle name="Heading 4 25 2" xfId="3450" xr:uid="{00000000-0005-0000-0000-0000B10D0000}"/>
    <cellStyle name="Heading 4 26" xfId="3451" xr:uid="{00000000-0005-0000-0000-0000B20D0000}"/>
    <cellStyle name="Heading 4 26 2" xfId="3452" xr:uid="{00000000-0005-0000-0000-0000B30D0000}"/>
    <cellStyle name="Heading 4 27" xfId="3453" xr:uid="{00000000-0005-0000-0000-0000B40D0000}"/>
    <cellStyle name="Heading 4 27 2" xfId="3454" xr:uid="{00000000-0005-0000-0000-0000B50D0000}"/>
    <cellStyle name="Heading 4 28" xfId="3455" xr:uid="{00000000-0005-0000-0000-0000B60D0000}"/>
    <cellStyle name="Heading 4 28 2" xfId="3456" xr:uid="{00000000-0005-0000-0000-0000B70D0000}"/>
    <cellStyle name="Heading 4 29" xfId="3457" xr:uid="{00000000-0005-0000-0000-0000B80D0000}"/>
    <cellStyle name="Heading 4 29 2" xfId="3458" xr:uid="{00000000-0005-0000-0000-0000B90D0000}"/>
    <cellStyle name="Heading 4 3" xfId="636" xr:uid="{00000000-0005-0000-0000-0000BA0D0000}"/>
    <cellStyle name="Heading 4 3 2" xfId="3459" xr:uid="{00000000-0005-0000-0000-0000BB0D0000}"/>
    <cellStyle name="Heading 4 30" xfId="3460" xr:uid="{00000000-0005-0000-0000-0000BC0D0000}"/>
    <cellStyle name="Heading 4 30 2" xfId="3461" xr:uid="{00000000-0005-0000-0000-0000BD0D0000}"/>
    <cellStyle name="Heading 4 31" xfId="3462" xr:uid="{00000000-0005-0000-0000-0000BE0D0000}"/>
    <cellStyle name="Heading 4 31 2" xfId="3463" xr:uid="{00000000-0005-0000-0000-0000BF0D0000}"/>
    <cellStyle name="Heading 4 32" xfId="3464" xr:uid="{00000000-0005-0000-0000-0000C00D0000}"/>
    <cellStyle name="Heading 4 32 2" xfId="3465" xr:uid="{00000000-0005-0000-0000-0000C10D0000}"/>
    <cellStyle name="Heading 4 33" xfId="3466" xr:uid="{00000000-0005-0000-0000-0000C20D0000}"/>
    <cellStyle name="Heading 4 33 2" xfId="3467" xr:uid="{00000000-0005-0000-0000-0000C30D0000}"/>
    <cellStyle name="Heading 4 34" xfId="3468" xr:uid="{00000000-0005-0000-0000-0000C40D0000}"/>
    <cellStyle name="Heading 4 34 2" xfId="3469" xr:uid="{00000000-0005-0000-0000-0000C50D0000}"/>
    <cellStyle name="Heading 4 35" xfId="3470" xr:uid="{00000000-0005-0000-0000-0000C60D0000}"/>
    <cellStyle name="Heading 4 35 2" xfId="3471" xr:uid="{00000000-0005-0000-0000-0000C70D0000}"/>
    <cellStyle name="Heading 4 36" xfId="3472" xr:uid="{00000000-0005-0000-0000-0000C80D0000}"/>
    <cellStyle name="Heading 4 36 2" xfId="3473" xr:uid="{00000000-0005-0000-0000-0000C90D0000}"/>
    <cellStyle name="Heading 4 37" xfId="3474" xr:uid="{00000000-0005-0000-0000-0000CA0D0000}"/>
    <cellStyle name="Heading 4 37 2" xfId="3475" xr:uid="{00000000-0005-0000-0000-0000CB0D0000}"/>
    <cellStyle name="Heading 4 38" xfId="3476" xr:uid="{00000000-0005-0000-0000-0000CC0D0000}"/>
    <cellStyle name="Heading 4 38 2" xfId="3477" xr:uid="{00000000-0005-0000-0000-0000CD0D0000}"/>
    <cellStyle name="Heading 4 39" xfId="3478" xr:uid="{00000000-0005-0000-0000-0000CE0D0000}"/>
    <cellStyle name="Heading 4 39 2" xfId="3479" xr:uid="{00000000-0005-0000-0000-0000CF0D0000}"/>
    <cellStyle name="Heading 4 4" xfId="637" xr:uid="{00000000-0005-0000-0000-0000D00D0000}"/>
    <cellStyle name="Heading 4 4 2" xfId="3480" xr:uid="{00000000-0005-0000-0000-0000D10D0000}"/>
    <cellStyle name="Heading 4 40" xfId="3481" xr:uid="{00000000-0005-0000-0000-0000D20D0000}"/>
    <cellStyle name="Heading 4 40 2" xfId="3482" xr:uid="{00000000-0005-0000-0000-0000D30D0000}"/>
    <cellStyle name="Heading 4 41" xfId="3483" xr:uid="{00000000-0005-0000-0000-0000D40D0000}"/>
    <cellStyle name="Heading 4 41 2" xfId="3484" xr:uid="{00000000-0005-0000-0000-0000D50D0000}"/>
    <cellStyle name="Heading 4 42" xfId="3485" xr:uid="{00000000-0005-0000-0000-0000D60D0000}"/>
    <cellStyle name="Heading 4 42 2" xfId="3486" xr:uid="{00000000-0005-0000-0000-0000D70D0000}"/>
    <cellStyle name="Heading 4 43" xfId="3487" xr:uid="{00000000-0005-0000-0000-0000D80D0000}"/>
    <cellStyle name="Heading 4 43 2" xfId="3488" xr:uid="{00000000-0005-0000-0000-0000D90D0000}"/>
    <cellStyle name="Heading 4 44" xfId="3489" xr:uid="{00000000-0005-0000-0000-0000DA0D0000}"/>
    <cellStyle name="Heading 4 44 2" xfId="3490" xr:uid="{00000000-0005-0000-0000-0000DB0D0000}"/>
    <cellStyle name="Heading 4 45" xfId="3491" xr:uid="{00000000-0005-0000-0000-0000DC0D0000}"/>
    <cellStyle name="Heading 4 45 2" xfId="3492" xr:uid="{00000000-0005-0000-0000-0000DD0D0000}"/>
    <cellStyle name="Heading 4 46" xfId="3493" xr:uid="{00000000-0005-0000-0000-0000DE0D0000}"/>
    <cellStyle name="Heading 4 46 2" xfId="3494" xr:uid="{00000000-0005-0000-0000-0000DF0D0000}"/>
    <cellStyle name="Heading 4 47" xfId="3495" xr:uid="{00000000-0005-0000-0000-0000E00D0000}"/>
    <cellStyle name="Heading 4 47 2" xfId="3496" xr:uid="{00000000-0005-0000-0000-0000E10D0000}"/>
    <cellStyle name="Heading 4 48" xfId="3497" xr:uid="{00000000-0005-0000-0000-0000E20D0000}"/>
    <cellStyle name="Heading 4 48 2" xfId="3498" xr:uid="{00000000-0005-0000-0000-0000E30D0000}"/>
    <cellStyle name="Heading 4 49" xfId="3499" xr:uid="{00000000-0005-0000-0000-0000E40D0000}"/>
    <cellStyle name="Heading 4 49 2" xfId="3500" xr:uid="{00000000-0005-0000-0000-0000E50D0000}"/>
    <cellStyle name="Heading 4 5" xfId="638" xr:uid="{00000000-0005-0000-0000-0000E60D0000}"/>
    <cellStyle name="Heading 4 5 2" xfId="3501" xr:uid="{00000000-0005-0000-0000-0000E70D0000}"/>
    <cellStyle name="Heading 4 50" xfId="3502" xr:uid="{00000000-0005-0000-0000-0000E80D0000}"/>
    <cellStyle name="Heading 4 50 2" xfId="3503" xr:uid="{00000000-0005-0000-0000-0000E90D0000}"/>
    <cellStyle name="Heading 4 51" xfId="3504" xr:uid="{00000000-0005-0000-0000-0000EA0D0000}"/>
    <cellStyle name="Heading 4 51 2" xfId="3505" xr:uid="{00000000-0005-0000-0000-0000EB0D0000}"/>
    <cellStyle name="Heading 4 52" xfId="3506" xr:uid="{00000000-0005-0000-0000-0000EC0D0000}"/>
    <cellStyle name="Heading 4 6" xfId="639" xr:uid="{00000000-0005-0000-0000-0000ED0D0000}"/>
    <cellStyle name="Heading 4 6 2" xfId="3507" xr:uid="{00000000-0005-0000-0000-0000EE0D0000}"/>
    <cellStyle name="Heading 4 7" xfId="640" xr:uid="{00000000-0005-0000-0000-0000EF0D0000}"/>
    <cellStyle name="Heading 4 7 2" xfId="3508" xr:uid="{00000000-0005-0000-0000-0000F00D0000}"/>
    <cellStyle name="Heading 4 8" xfId="641" xr:uid="{00000000-0005-0000-0000-0000F10D0000}"/>
    <cellStyle name="Heading 4 8 2" xfId="3509" xr:uid="{00000000-0005-0000-0000-0000F20D0000}"/>
    <cellStyle name="Heading 4 9" xfId="642" xr:uid="{00000000-0005-0000-0000-0000F30D0000}"/>
    <cellStyle name="Heading 4 9 2" xfId="3510" xr:uid="{00000000-0005-0000-0000-0000F40D0000}"/>
    <cellStyle name="Input" xfId="9" builtinId="20" customBuiltin="1"/>
    <cellStyle name="Input 10" xfId="643" xr:uid="{00000000-0005-0000-0000-0000F60D0000}"/>
    <cellStyle name="Input 10 2" xfId="3511" xr:uid="{00000000-0005-0000-0000-0000F70D0000}"/>
    <cellStyle name="Input 11" xfId="644" xr:uid="{00000000-0005-0000-0000-0000F80D0000}"/>
    <cellStyle name="Input 11 2" xfId="3512" xr:uid="{00000000-0005-0000-0000-0000F90D0000}"/>
    <cellStyle name="Input 12" xfId="645" xr:uid="{00000000-0005-0000-0000-0000FA0D0000}"/>
    <cellStyle name="Input 12 2" xfId="3513" xr:uid="{00000000-0005-0000-0000-0000FB0D0000}"/>
    <cellStyle name="Input 13" xfId="646" xr:uid="{00000000-0005-0000-0000-0000FC0D0000}"/>
    <cellStyle name="Input 13 2" xfId="3514" xr:uid="{00000000-0005-0000-0000-0000FD0D0000}"/>
    <cellStyle name="Input 14" xfId="647" xr:uid="{00000000-0005-0000-0000-0000FE0D0000}"/>
    <cellStyle name="Input 14 2" xfId="3515" xr:uid="{00000000-0005-0000-0000-0000FF0D0000}"/>
    <cellStyle name="Input 15" xfId="648" xr:uid="{00000000-0005-0000-0000-0000000E0000}"/>
    <cellStyle name="Input 15 2" xfId="3516" xr:uid="{00000000-0005-0000-0000-0000010E0000}"/>
    <cellStyle name="Input 16" xfId="649" xr:uid="{00000000-0005-0000-0000-0000020E0000}"/>
    <cellStyle name="Input 16 2" xfId="3517" xr:uid="{00000000-0005-0000-0000-0000030E0000}"/>
    <cellStyle name="Input 17" xfId="650" xr:uid="{00000000-0005-0000-0000-0000040E0000}"/>
    <cellStyle name="Input 17 2" xfId="3518" xr:uid="{00000000-0005-0000-0000-0000050E0000}"/>
    <cellStyle name="Input 18" xfId="651" xr:uid="{00000000-0005-0000-0000-0000060E0000}"/>
    <cellStyle name="Input 18 2" xfId="3519" xr:uid="{00000000-0005-0000-0000-0000070E0000}"/>
    <cellStyle name="Input 19" xfId="652" xr:uid="{00000000-0005-0000-0000-0000080E0000}"/>
    <cellStyle name="Input 19 2" xfId="3520" xr:uid="{00000000-0005-0000-0000-0000090E0000}"/>
    <cellStyle name="Input 2" xfId="653" xr:uid="{00000000-0005-0000-0000-00000A0E0000}"/>
    <cellStyle name="Input 20" xfId="3521" xr:uid="{00000000-0005-0000-0000-00000B0E0000}"/>
    <cellStyle name="Input 20 2" xfId="3522" xr:uid="{00000000-0005-0000-0000-00000C0E0000}"/>
    <cellStyle name="Input 21" xfId="3523" xr:uid="{00000000-0005-0000-0000-00000D0E0000}"/>
    <cellStyle name="Input 21 2" xfId="3524" xr:uid="{00000000-0005-0000-0000-00000E0E0000}"/>
    <cellStyle name="Input 22" xfId="3525" xr:uid="{00000000-0005-0000-0000-00000F0E0000}"/>
    <cellStyle name="Input 22 2" xfId="3526" xr:uid="{00000000-0005-0000-0000-0000100E0000}"/>
    <cellStyle name="Input 23" xfId="3527" xr:uid="{00000000-0005-0000-0000-0000110E0000}"/>
    <cellStyle name="Input 23 2" xfId="3528" xr:uid="{00000000-0005-0000-0000-0000120E0000}"/>
    <cellStyle name="Input 24" xfId="3529" xr:uid="{00000000-0005-0000-0000-0000130E0000}"/>
    <cellStyle name="Input 24 2" xfId="3530" xr:uid="{00000000-0005-0000-0000-0000140E0000}"/>
    <cellStyle name="Input 25" xfId="3531" xr:uid="{00000000-0005-0000-0000-0000150E0000}"/>
    <cellStyle name="Input 25 2" xfId="3532" xr:uid="{00000000-0005-0000-0000-0000160E0000}"/>
    <cellStyle name="Input 26" xfId="3533" xr:uid="{00000000-0005-0000-0000-0000170E0000}"/>
    <cellStyle name="Input 26 2" xfId="3534" xr:uid="{00000000-0005-0000-0000-0000180E0000}"/>
    <cellStyle name="Input 27" xfId="3535" xr:uid="{00000000-0005-0000-0000-0000190E0000}"/>
    <cellStyle name="Input 27 2" xfId="3536" xr:uid="{00000000-0005-0000-0000-00001A0E0000}"/>
    <cellStyle name="Input 28" xfId="3537" xr:uid="{00000000-0005-0000-0000-00001B0E0000}"/>
    <cellStyle name="Input 28 2" xfId="3538" xr:uid="{00000000-0005-0000-0000-00001C0E0000}"/>
    <cellStyle name="Input 29" xfId="3539" xr:uid="{00000000-0005-0000-0000-00001D0E0000}"/>
    <cellStyle name="Input 29 2" xfId="3540" xr:uid="{00000000-0005-0000-0000-00001E0E0000}"/>
    <cellStyle name="Input 3" xfId="654" xr:uid="{00000000-0005-0000-0000-00001F0E0000}"/>
    <cellStyle name="Input 3 2" xfId="3541" xr:uid="{00000000-0005-0000-0000-0000200E0000}"/>
    <cellStyle name="Input 30" xfId="3542" xr:uid="{00000000-0005-0000-0000-0000210E0000}"/>
    <cellStyle name="Input 30 2" xfId="3543" xr:uid="{00000000-0005-0000-0000-0000220E0000}"/>
    <cellStyle name="Input 31" xfId="3544" xr:uid="{00000000-0005-0000-0000-0000230E0000}"/>
    <cellStyle name="Input 31 2" xfId="3545" xr:uid="{00000000-0005-0000-0000-0000240E0000}"/>
    <cellStyle name="Input 32" xfId="3546" xr:uid="{00000000-0005-0000-0000-0000250E0000}"/>
    <cellStyle name="Input 32 2" xfId="3547" xr:uid="{00000000-0005-0000-0000-0000260E0000}"/>
    <cellStyle name="Input 33" xfId="3548" xr:uid="{00000000-0005-0000-0000-0000270E0000}"/>
    <cellStyle name="Input 33 2" xfId="3549" xr:uid="{00000000-0005-0000-0000-0000280E0000}"/>
    <cellStyle name="Input 34" xfId="3550" xr:uid="{00000000-0005-0000-0000-0000290E0000}"/>
    <cellStyle name="Input 34 2" xfId="3551" xr:uid="{00000000-0005-0000-0000-00002A0E0000}"/>
    <cellStyle name="Input 35" xfId="3552" xr:uid="{00000000-0005-0000-0000-00002B0E0000}"/>
    <cellStyle name="Input 35 2" xfId="3553" xr:uid="{00000000-0005-0000-0000-00002C0E0000}"/>
    <cellStyle name="Input 36" xfId="3554" xr:uid="{00000000-0005-0000-0000-00002D0E0000}"/>
    <cellStyle name="Input 36 2" xfId="3555" xr:uid="{00000000-0005-0000-0000-00002E0E0000}"/>
    <cellStyle name="Input 37" xfId="3556" xr:uid="{00000000-0005-0000-0000-00002F0E0000}"/>
    <cellStyle name="Input 37 2" xfId="3557" xr:uid="{00000000-0005-0000-0000-0000300E0000}"/>
    <cellStyle name="Input 38" xfId="3558" xr:uid="{00000000-0005-0000-0000-0000310E0000}"/>
    <cellStyle name="Input 38 2" xfId="3559" xr:uid="{00000000-0005-0000-0000-0000320E0000}"/>
    <cellStyle name="Input 39" xfId="3560" xr:uid="{00000000-0005-0000-0000-0000330E0000}"/>
    <cellStyle name="Input 39 2" xfId="3561" xr:uid="{00000000-0005-0000-0000-0000340E0000}"/>
    <cellStyle name="Input 4" xfId="655" xr:uid="{00000000-0005-0000-0000-0000350E0000}"/>
    <cellStyle name="Input 4 2" xfId="3562" xr:uid="{00000000-0005-0000-0000-0000360E0000}"/>
    <cellStyle name="Input 40" xfId="3563" xr:uid="{00000000-0005-0000-0000-0000370E0000}"/>
    <cellStyle name="Input 40 2" xfId="3564" xr:uid="{00000000-0005-0000-0000-0000380E0000}"/>
    <cellStyle name="Input 41" xfId="3565" xr:uid="{00000000-0005-0000-0000-0000390E0000}"/>
    <cellStyle name="Input 41 2" xfId="3566" xr:uid="{00000000-0005-0000-0000-00003A0E0000}"/>
    <cellStyle name="Input 42" xfId="3567" xr:uid="{00000000-0005-0000-0000-00003B0E0000}"/>
    <cellStyle name="Input 42 2" xfId="3568" xr:uid="{00000000-0005-0000-0000-00003C0E0000}"/>
    <cellStyle name="Input 43" xfId="3569" xr:uid="{00000000-0005-0000-0000-00003D0E0000}"/>
    <cellStyle name="Input 43 2" xfId="3570" xr:uid="{00000000-0005-0000-0000-00003E0E0000}"/>
    <cellStyle name="Input 44" xfId="3571" xr:uid="{00000000-0005-0000-0000-00003F0E0000}"/>
    <cellStyle name="Input 44 2" xfId="3572" xr:uid="{00000000-0005-0000-0000-0000400E0000}"/>
    <cellStyle name="Input 45" xfId="3573" xr:uid="{00000000-0005-0000-0000-0000410E0000}"/>
    <cellStyle name="Input 45 2" xfId="3574" xr:uid="{00000000-0005-0000-0000-0000420E0000}"/>
    <cellStyle name="Input 46" xfId="3575" xr:uid="{00000000-0005-0000-0000-0000430E0000}"/>
    <cellStyle name="Input 46 2" xfId="3576" xr:uid="{00000000-0005-0000-0000-0000440E0000}"/>
    <cellStyle name="Input 47" xfId="3577" xr:uid="{00000000-0005-0000-0000-0000450E0000}"/>
    <cellStyle name="Input 47 2" xfId="3578" xr:uid="{00000000-0005-0000-0000-0000460E0000}"/>
    <cellStyle name="Input 48" xfId="3579" xr:uid="{00000000-0005-0000-0000-0000470E0000}"/>
    <cellStyle name="Input 48 2" xfId="3580" xr:uid="{00000000-0005-0000-0000-0000480E0000}"/>
    <cellStyle name="Input 49" xfId="3581" xr:uid="{00000000-0005-0000-0000-0000490E0000}"/>
    <cellStyle name="Input 49 2" xfId="3582" xr:uid="{00000000-0005-0000-0000-00004A0E0000}"/>
    <cellStyle name="Input 5" xfId="656" xr:uid="{00000000-0005-0000-0000-00004B0E0000}"/>
    <cellStyle name="Input 5 2" xfId="3583" xr:uid="{00000000-0005-0000-0000-00004C0E0000}"/>
    <cellStyle name="Input 50" xfId="3584" xr:uid="{00000000-0005-0000-0000-00004D0E0000}"/>
    <cellStyle name="Input 50 2" xfId="3585" xr:uid="{00000000-0005-0000-0000-00004E0E0000}"/>
    <cellStyle name="Input 51" xfId="3586" xr:uid="{00000000-0005-0000-0000-00004F0E0000}"/>
    <cellStyle name="Input 51 2" xfId="3587" xr:uid="{00000000-0005-0000-0000-0000500E0000}"/>
    <cellStyle name="Input 52" xfId="3588" xr:uid="{00000000-0005-0000-0000-0000510E0000}"/>
    <cellStyle name="Input 6" xfId="657" xr:uid="{00000000-0005-0000-0000-0000520E0000}"/>
    <cellStyle name="Input 6 2" xfId="3589" xr:uid="{00000000-0005-0000-0000-0000530E0000}"/>
    <cellStyle name="Input 7" xfId="658" xr:uid="{00000000-0005-0000-0000-0000540E0000}"/>
    <cellStyle name="Input 7 2" xfId="3590" xr:uid="{00000000-0005-0000-0000-0000550E0000}"/>
    <cellStyle name="Input 8" xfId="659" xr:uid="{00000000-0005-0000-0000-0000560E0000}"/>
    <cellStyle name="Input 8 2" xfId="3591" xr:uid="{00000000-0005-0000-0000-0000570E0000}"/>
    <cellStyle name="Input 9" xfId="660" xr:uid="{00000000-0005-0000-0000-0000580E0000}"/>
    <cellStyle name="Input 9 2" xfId="3592" xr:uid="{00000000-0005-0000-0000-0000590E0000}"/>
    <cellStyle name="Linked Cell" xfId="12" builtinId="24" customBuiltin="1"/>
    <cellStyle name="Linked Cell 10" xfId="661" xr:uid="{00000000-0005-0000-0000-00005B0E0000}"/>
    <cellStyle name="Linked Cell 10 2" xfId="3593" xr:uid="{00000000-0005-0000-0000-00005C0E0000}"/>
    <cellStyle name="Linked Cell 11" xfId="662" xr:uid="{00000000-0005-0000-0000-00005D0E0000}"/>
    <cellStyle name="Linked Cell 11 2" xfId="3594" xr:uid="{00000000-0005-0000-0000-00005E0E0000}"/>
    <cellStyle name="Linked Cell 12" xfId="663" xr:uid="{00000000-0005-0000-0000-00005F0E0000}"/>
    <cellStyle name="Linked Cell 12 2" xfId="3595" xr:uid="{00000000-0005-0000-0000-0000600E0000}"/>
    <cellStyle name="Linked Cell 13" xfId="664" xr:uid="{00000000-0005-0000-0000-0000610E0000}"/>
    <cellStyle name="Linked Cell 13 2" xfId="3596" xr:uid="{00000000-0005-0000-0000-0000620E0000}"/>
    <cellStyle name="Linked Cell 14" xfId="665" xr:uid="{00000000-0005-0000-0000-0000630E0000}"/>
    <cellStyle name="Linked Cell 14 2" xfId="3597" xr:uid="{00000000-0005-0000-0000-0000640E0000}"/>
    <cellStyle name="Linked Cell 15" xfId="666" xr:uid="{00000000-0005-0000-0000-0000650E0000}"/>
    <cellStyle name="Linked Cell 15 2" xfId="3598" xr:uid="{00000000-0005-0000-0000-0000660E0000}"/>
    <cellStyle name="Linked Cell 16" xfId="667" xr:uid="{00000000-0005-0000-0000-0000670E0000}"/>
    <cellStyle name="Linked Cell 16 2" xfId="3599" xr:uid="{00000000-0005-0000-0000-0000680E0000}"/>
    <cellStyle name="Linked Cell 17" xfId="668" xr:uid="{00000000-0005-0000-0000-0000690E0000}"/>
    <cellStyle name="Linked Cell 17 2" xfId="3600" xr:uid="{00000000-0005-0000-0000-00006A0E0000}"/>
    <cellStyle name="Linked Cell 18" xfId="669" xr:uid="{00000000-0005-0000-0000-00006B0E0000}"/>
    <cellStyle name="Linked Cell 18 2" xfId="3601" xr:uid="{00000000-0005-0000-0000-00006C0E0000}"/>
    <cellStyle name="Linked Cell 19" xfId="670" xr:uid="{00000000-0005-0000-0000-00006D0E0000}"/>
    <cellStyle name="Linked Cell 19 2" xfId="3602" xr:uid="{00000000-0005-0000-0000-00006E0E0000}"/>
    <cellStyle name="Linked Cell 2" xfId="671" xr:uid="{00000000-0005-0000-0000-00006F0E0000}"/>
    <cellStyle name="Linked Cell 20" xfId="3603" xr:uid="{00000000-0005-0000-0000-0000700E0000}"/>
    <cellStyle name="Linked Cell 20 2" xfId="3604" xr:uid="{00000000-0005-0000-0000-0000710E0000}"/>
    <cellStyle name="Linked Cell 21" xfId="3605" xr:uid="{00000000-0005-0000-0000-0000720E0000}"/>
    <cellStyle name="Linked Cell 21 2" xfId="3606" xr:uid="{00000000-0005-0000-0000-0000730E0000}"/>
    <cellStyle name="Linked Cell 22" xfId="3607" xr:uid="{00000000-0005-0000-0000-0000740E0000}"/>
    <cellStyle name="Linked Cell 22 2" xfId="3608" xr:uid="{00000000-0005-0000-0000-0000750E0000}"/>
    <cellStyle name="Linked Cell 23" xfId="3609" xr:uid="{00000000-0005-0000-0000-0000760E0000}"/>
    <cellStyle name="Linked Cell 23 2" xfId="3610" xr:uid="{00000000-0005-0000-0000-0000770E0000}"/>
    <cellStyle name="Linked Cell 24" xfId="3611" xr:uid="{00000000-0005-0000-0000-0000780E0000}"/>
    <cellStyle name="Linked Cell 24 2" xfId="3612" xr:uid="{00000000-0005-0000-0000-0000790E0000}"/>
    <cellStyle name="Linked Cell 25" xfId="3613" xr:uid="{00000000-0005-0000-0000-00007A0E0000}"/>
    <cellStyle name="Linked Cell 25 2" xfId="3614" xr:uid="{00000000-0005-0000-0000-00007B0E0000}"/>
    <cellStyle name="Linked Cell 26" xfId="3615" xr:uid="{00000000-0005-0000-0000-00007C0E0000}"/>
    <cellStyle name="Linked Cell 26 2" xfId="3616" xr:uid="{00000000-0005-0000-0000-00007D0E0000}"/>
    <cellStyle name="Linked Cell 27" xfId="3617" xr:uid="{00000000-0005-0000-0000-00007E0E0000}"/>
    <cellStyle name="Linked Cell 27 2" xfId="3618" xr:uid="{00000000-0005-0000-0000-00007F0E0000}"/>
    <cellStyle name="Linked Cell 28" xfId="3619" xr:uid="{00000000-0005-0000-0000-0000800E0000}"/>
    <cellStyle name="Linked Cell 28 2" xfId="3620" xr:uid="{00000000-0005-0000-0000-0000810E0000}"/>
    <cellStyle name="Linked Cell 29" xfId="3621" xr:uid="{00000000-0005-0000-0000-0000820E0000}"/>
    <cellStyle name="Linked Cell 29 2" xfId="3622" xr:uid="{00000000-0005-0000-0000-0000830E0000}"/>
    <cellStyle name="Linked Cell 3" xfId="672" xr:uid="{00000000-0005-0000-0000-0000840E0000}"/>
    <cellStyle name="Linked Cell 3 2" xfId="3623" xr:uid="{00000000-0005-0000-0000-0000850E0000}"/>
    <cellStyle name="Linked Cell 30" xfId="3624" xr:uid="{00000000-0005-0000-0000-0000860E0000}"/>
    <cellStyle name="Linked Cell 30 2" xfId="3625" xr:uid="{00000000-0005-0000-0000-0000870E0000}"/>
    <cellStyle name="Linked Cell 31" xfId="3626" xr:uid="{00000000-0005-0000-0000-0000880E0000}"/>
    <cellStyle name="Linked Cell 31 2" xfId="3627" xr:uid="{00000000-0005-0000-0000-0000890E0000}"/>
    <cellStyle name="Linked Cell 32" xfId="3628" xr:uid="{00000000-0005-0000-0000-00008A0E0000}"/>
    <cellStyle name="Linked Cell 32 2" xfId="3629" xr:uid="{00000000-0005-0000-0000-00008B0E0000}"/>
    <cellStyle name="Linked Cell 33" xfId="3630" xr:uid="{00000000-0005-0000-0000-00008C0E0000}"/>
    <cellStyle name="Linked Cell 33 2" xfId="3631" xr:uid="{00000000-0005-0000-0000-00008D0E0000}"/>
    <cellStyle name="Linked Cell 34" xfId="3632" xr:uid="{00000000-0005-0000-0000-00008E0E0000}"/>
    <cellStyle name="Linked Cell 34 2" xfId="3633" xr:uid="{00000000-0005-0000-0000-00008F0E0000}"/>
    <cellStyle name="Linked Cell 35" xfId="3634" xr:uid="{00000000-0005-0000-0000-0000900E0000}"/>
    <cellStyle name="Linked Cell 35 2" xfId="3635" xr:uid="{00000000-0005-0000-0000-0000910E0000}"/>
    <cellStyle name="Linked Cell 36" xfId="3636" xr:uid="{00000000-0005-0000-0000-0000920E0000}"/>
    <cellStyle name="Linked Cell 36 2" xfId="3637" xr:uid="{00000000-0005-0000-0000-0000930E0000}"/>
    <cellStyle name="Linked Cell 37" xfId="3638" xr:uid="{00000000-0005-0000-0000-0000940E0000}"/>
    <cellStyle name="Linked Cell 37 2" xfId="3639" xr:uid="{00000000-0005-0000-0000-0000950E0000}"/>
    <cellStyle name="Linked Cell 38" xfId="3640" xr:uid="{00000000-0005-0000-0000-0000960E0000}"/>
    <cellStyle name="Linked Cell 38 2" xfId="3641" xr:uid="{00000000-0005-0000-0000-0000970E0000}"/>
    <cellStyle name="Linked Cell 39" xfId="3642" xr:uid="{00000000-0005-0000-0000-0000980E0000}"/>
    <cellStyle name="Linked Cell 39 2" xfId="3643" xr:uid="{00000000-0005-0000-0000-0000990E0000}"/>
    <cellStyle name="Linked Cell 4" xfId="673" xr:uid="{00000000-0005-0000-0000-00009A0E0000}"/>
    <cellStyle name="Linked Cell 4 2" xfId="3644" xr:uid="{00000000-0005-0000-0000-00009B0E0000}"/>
    <cellStyle name="Linked Cell 40" xfId="3645" xr:uid="{00000000-0005-0000-0000-00009C0E0000}"/>
    <cellStyle name="Linked Cell 40 2" xfId="3646" xr:uid="{00000000-0005-0000-0000-00009D0E0000}"/>
    <cellStyle name="Linked Cell 41" xfId="3647" xr:uid="{00000000-0005-0000-0000-00009E0E0000}"/>
    <cellStyle name="Linked Cell 41 2" xfId="3648" xr:uid="{00000000-0005-0000-0000-00009F0E0000}"/>
    <cellStyle name="Linked Cell 42" xfId="3649" xr:uid="{00000000-0005-0000-0000-0000A00E0000}"/>
    <cellStyle name="Linked Cell 42 2" xfId="3650" xr:uid="{00000000-0005-0000-0000-0000A10E0000}"/>
    <cellStyle name="Linked Cell 43" xfId="3651" xr:uid="{00000000-0005-0000-0000-0000A20E0000}"/>
    <cellStyle name="Linked Cell 43 2" xfId="3652" xr:uid="{00000000-0005-0000-0000-0000A30E0000}"/>
    <cellStyle name="Linked Cell 44" xfId="3653" xr:uid="{00000000-0005-0000-0000-0000A40E0000}"/>
    <cellStyle name="Linked Cell 44 2" xfId="3654" xr:uid="{00000000-0005-0000-0000-0000A50E0000}"/>
    <cellStyle name="Linked Cell 45" xfId="3655" xr:uid="{00000000-0005-0000-0000-0000A60E0000}"/>
    <cellStyle name="Linked Cell 45 2" xfId="3656" xr:uid="{00000000-0005-0000-0000-0000A70E0000}"/>
    <cellStyle name="Linked Cell 46" xfId="3657" xr:uid="{00000000-0005-0000-0000-0000A80E0000}"/>
    <cellStyle name="Linked Cell 46 2" xfId="3658" xr:uid="{00000000-0005-0000-0000-0000A90E0000}"/>
    <cellStyle name="Linked Cell 47" xfId="3659" xr:uid="{00000000-0005-0000-0000-0000AA0E0000}"/>
    <cellStyle name="Linked Cell 47 2" xfId="3660" xr:uid="{00000000-0005-0000-0000-0000AB0E0000}"/>
    <cellStyle name="Linked Cell 48" xfId="3661" xr:uid="{00000000-0005-0000-0000-0000AC0E0000}"/>
    <cellStyle name="Linked Cell 48 2" xfId="3662" xr:uid="{00000000-0005-0000-0000-0000AD0E0000}"/>
    <cellStyle name="Linked Cell 49" xfId="3663" xr:uid="{00000000-0005-0000-0000-0000AE0E0000}"/>
    <cellStyle name="Linked Cell 49 2" xfId="3664" xr:uid="{00000000-0005-0000-0000-0000AF0E0000}"/>
    <cellStyle name="Linked Cell 5" xfId="674" xr:uid="{00000000-0005-0000-0000-0000B00E0000}"/>
    <cellStyle name="Linked Cell 5 2" xfId="3665" xr:uid="{00000000-0005-0000-0000-0000B10E0000}"/>
    <cellStyle name="Linked Cell 50" xfId="3666" xr:uid="{00000000-0005-0000-0000-0000B20E0000}"/>
    <cellStyle name="Linked Cell 50 2" xfId="3667" xr:uid="{00000000-0005-0000-0000-0000B30E0000}"/>
    <cellStyle name="Linked Cell 51" xfId="3668" xr:uid="{00000000-0005-0000-0000-0000B40E0000}"/>
    <cellStyle name="Linked Cell 51 2" xfId="3669" xr:uid="{00000000-0005-0000-0000-0000B50E0000}"/>
    <cellStyle name="Linked Cell 52" xfId="3670" xr:uid="{00000000-0005-0000-0000-0000B60E0000}"/>
    <cellStyle name="Linked Cell 6" xfId="675" xr:uid="{00000000-0005-0000-0000-0000B70E0000}"/>
    <cellStyle name="Linked Cell 6 2" xfId="3671" xr:uid="{00000000-0005-0000-0000-0000B80E0000}"/>
    <cellStyle name="Linked Cell 7" xfId="676" xr:uid="{00000000-0005-0000-0000-0000B90E0000}"/>
    <cellStyle name="Linked Cell 7 2" xfId="3672" xr:uid="{00000000-0005-0000-0000-0000BA0E0000}"/>
    <cellStyle name="Linked Cell 8" xfId="677" xr:uid="{00000000-0005-0000-0000-0000BB0E0000}"/>
    <cellStyle name="Linked Cell 8 2" xfId="3673" xr:uid="{00000000-0005-0000-0000-0000BC0E0000}"/>
    <cellStyle name="Linked Cell 9" xfId="678" xr:uid="{00000000-0005-0000-0000-0000BD0E0000}"/>
    <cellStyle name="Linked Cell 9 2" xfId="3674" xr:uid="{00000000-0005-0000-0000-0000BE0E0000}"/>
    <cellStyle name="Neutral" xfId="8" builtinId="28" customBuiltin="1"/>
    <cellStyle name="Neutral 10" xfId="679" xr:uid="{00000000-0005-0000-0000-0000C00E0000}"/>
    <cellStyle name="Neutral 10 2" xfId="3675" xr:uid="{00000000-0005-0000-0000-0000C10E0000}"/>
    <cellStyle name="Neutral 11" xfId="680" xr:uid="{00000000-0005-0000-0000-0000C20E0000}"/>
    <cellStyle name="Neutral 11 2" xfId="3676" xr:uid="{00000000-0005-0000-0000-0000C30E0000}"/>
    <cellStyle name="Neutral 12" xfId="681" xr:uid="{00000000-0005-0000-0000-0000C40E0000}"/>
    <cellStyle name="Neutral 12 2" xfId="3677" xr:uid="{00000000-0005-0000-0000-0000C50E0000}"/>
    <cellStyle name="Neutral 13" xfId="682" xr:uid="{00000000-0005-0000-0000-0000C60E0000}"/>
    <cellStyle name="Neutral 13 2" xfId="3678" xr:uid="{00000000-0005-0000-0000-0000C70E0000}"/>
    <cellStyle name="Neutral 14" xfId="683" xr:uid="{00000000-0005-0000-0000-0000C80E0000}"/>
    <cellStyle name="Neutral 14 2" xfId="3679" xr:uid="{00000000-0005-0000-0000-0000C90E0000}"/>
    <cellStyle name="Neutral 15" xfId="684" xr:uid="{00000000-0005-0000-0000-0000CA0E0000}"/>
    <cellStyle name="Neutral 15 2" xfId="3680" xr:uid="{00000000-0005-0000-0000-0000CB0E0000}"/>
    <cellStyle name="Neutral 16" xfId="685" xr:uid="{00000000-0005-0000-0000-0000CC0E0000}"/>
    <cellStyle name="Neutral 16 2" xfId="3681" xr:uid="{00000000-0005-0000-0000-0000CD0E0000}"/>
    <cellStyle name="Neutral 17" xfId="686" xr:uid="{00000000-0005-0000-0000-0000CE0E0000}"/>
    <cellStyle name="Neutral 17 2" xfId="3682" xr:uid="{00000000-0005-0000-0000-0000CF0E0000}"/>
    <cellStyle name="Neutral 18" xfId="687" xr:uid="{00000000-0005-0000-0000-0000D00E0000}"/>
    <cellStyle name="Neutral 18 2" xfId="3683" xr:uid="{00000000-0005-0000-0000-0000D10E0000}"/>
    <cellStyle name="Neutral 19" xfId="688" xr:uid="{00000000-0005-0000-0000-0000D20E0000}"/>
    <cellStyle name="Neutral 19 2" xfId="3684" xr:uid="{00000000-0005-0000-0000-0000D30E0000}"/>
    <cellStyle name="Neutral 2" xfId="689" xr:uid="{00000000-0005-0000-0000-0000D40E0000}"/>
    <cellStyle name="Neutral 20" xfId="3685" xr:uid="{00000000-0005-0000-0000-0000D50E0000}"/>
    <cellStyle name="Neutral 20 2" xfId="3686" xr:uid="{00000000-0005-0000-0000-0000D60E0000}"/>
    <cellStyle name="Neutral 21" xfId="3687" xr:uid="{00000000-0005-0000-0000-0000D70E0000}"/>
    <cellStyle name="Neutral 21 2" xfId="3688" xr:uid="{00000000-0005-0000-0000-0000D80E0000}"/>
    <cellStyle name="Neutral 22" xfId="3689" xr:uid="{00000000-0005-0000-0000-0000D90E0000}"/>
    <cellStyle name="Neutral 22 2" xfId="3690" xr:uid="{00000000-0005-0000-0000-0000DA0E0000}"/>
    <cellStyle name="Neutral 23" xfId="3691" xr:uid="{00000000-0005-0000-0000-0000DB0E0000}"/>
    <cellStyle name="Neutral 23 2" xfId="3692" xr:uid="{00000000-0005-0000-0000-0000DC0E0000}"/>
    <cellStyle name="Neutral 24" xfId="3693" xr:uid="{00000000-0005-0000-0000-0000DD0E0000}"/>
    <cellStyle name="Neutral 24 2" xfId="3694" xr:uid="{00000000-0005-0000-0000-0000DE0E0000}"/>
    <cellStyle name="Neutral 25" xfId="3695" xr:uid="{00000000-0005-0000-0000-0000DF0E0000}"/>
    <cellStyle name="Neutral 25 2" xfId="3696" xr:uid="{00000000-0005-0000-0000-0000E00E0000}"/>
    <cellStyle name="Neutral 26" xfId="3697" xr:uid="{00000000-0005-0000-0000-0000E10E0000}"/>
    <cellStyle name="Neutral 26 2" xfId="3698" xr:uid="{00000000-0005-0000-0000-0000E20E0000}"/>
    <cellStyle name="Neutral 27" xfId="3699" xr:uid="{00000000-0005-0000-0000-0000E30E0000}"/>
    <cellStyle name="Neutral 27 2" xfId="3700" xr:uid="{00000000-0005-0000-0000-0000E40E0000}"/>
    <cellStyle name="Neutral 28" xfId="3701" xr:uid="{00000000-0005-0000-0000-0000E50E0000}"/>
    <cellStyle name="Neutral 28 2" xfId="3702" xr:uid="{00000000-0005-0000-0000-0000E60E0000}"/>
    <cellStyle name="Neutral 29" xfId="3703" xr:uid="{00000000-0005-0000-0000-0000E70E0000}"/>
    <cellStyle name="Neutral 29 2" xfId="3704" xr:uid="{00000000-0005-0000-0000-0000E80E0000}"/>
    <cellStyle name="Neutral 3" xfId="690" xr:uid="{00000000-0005-0000-0000-0000E90E0000}"/>
    <cellStyle name="Neutral 3 2" xfId="3705" xr:uid="{00000000-0005-0000-0000-0000EA0E0000}"/>
    <cellStyle name="Neutral 30" xfId="3706" xr:uid="{00000000-0005-0000-0000-0000EB0E0000}"/>
    <cellStyle name="Neutral 30 2" xfId="3707" xr:uid="{00000000-0005-0000-0000-0000EC0E0000}"/>
    <cellStyle name="Neutral 31" xfId="3708" xr:uid="{00000000-0005-0000-0000-0000ED0E0000}"/>
    <cellStyle name="Neutral 31 2" xfId="3709" xr:uid="{00000000-0005-0000-0000-0000EE0E0000}"/>
    <cellStyle name="Neutral 32" xfId="3710" xr:uid="{00000000-0005-0000-0000-0000EF0E0000}"/>
    <cellStyle name="Neutral 32 2" xfId="3711" xr:uid="{00000000-0005-0000-0000-0000F00E0000}"/>
    <cellStyle name="Neutral 33" xfId="3712" xr:uid="{00000000-0005-0000-0000-0000F10E0000}"/>
    <cellStyle name="Neutral 33 2" xfId="3713" xr:uid="{00000000-0005-0000-0000-0000F20E0000}"/>
    <cellStyle name="Neutral 34" xfId="3714" xr:uid="{00000000-0005-0000-0000-0000F30E0000}"/>
    <cellStyle name="Neutral 34 2" xfId="3715" xr:uid="{00000000-0005-0000-0000-0000F40E0000}"/>
    <cellStyle name="Neutral 35" xfId="3716" xr:uid="{00000000-0005-0000-0000-0000F50E0000}"/>
    <cellStyle name="Neutral 35 2" xfId="3717" xr:uid="{00000000-0005-0000-0000-0000F60E0000}"/>
    <cellStyle name="Neutral 36" xfId="3718" xr:uid="{00000000-0005-0000-0000-0000F70E0000}"/>
    <cellStyle name="Neutral 36 2" xfId="3719" xr:uid="{00000000-0005-0000-0000-0000F80E0000}"/>
    <cellStyle name="Neutral 37" xfId="3720" xr:uid="{00000000-0005-0000-0000-0000F90E0000}"/>
    <cellStyle name="Neutral 37 2" xfId="3721" xr:uid="{00000000-0005-0000-0000-0000FA0E0000}"/>
    <cellStyle name="Neutral 38" xfId="3722" xr:uid="{00000000-0005-0000-0000-0000FB0E0000}"/>
    <cellStyle name="Neutral 38 2" xfId="3723" xr:uid="{00000000-0005-0000-0000-0000FC0E0000}"/>
    <cellStyle name="Neutral 39" xfId="3724" xr:uid="{00000000-0005-0000-0000-0000FD0E0000}"/>
    <cellStyle name="Neutral 39 2" xfId="3725" xr:uid="{00000000-0005-0000-0000-0000FE0E0000}"/>
    <cellStyle name="Neutral 4" xfId="691" xr:uid="{00000000-0005-0000-0000-0000FF0E0000}"/>
    <cellStyle name="Neutral 4 2" xfId="3726" xr:uid="{00000000-0005-0000-0000-0000000F0000}"/>
    <cellStyle name="Neutral 40" xfId="3727" xr:uid="{00000000-0005-0000-0000-0000010F0000}"/>
    <cellStyle name="Neutral 40 2" xfId="3728" xr:uid="{00000000-0005-0000-0000-0000020F0000}"/>
    <cellStyle name="Neutral 41" xfId="3729" xr:uid="{00000000-0005-0000-0000-0000030F0000}"/>
    <cellStyle name="Neutral 41 2" xfId="3730" xr:uid="{00000000-0005-0000-0000-0000040F0000}"/>
    <cellStyle name="Neutral 42" xfId="3731" xr:uid="{00000000-0005-0000-0000-0000050F0000}"/>
    <cellStyle name="Neutral 42 2" xfId="3732" xr:uid="{00000000-0005-0000-0000-0000060F0000}"/>
    <cellStyle name="Neutral 43" xfId="3733" xr:uid="{00000000-0005-0000-0000-0000070F0000}"/>
    <cellStyle name="Neutral 43 2" xfId="3734" xr:uid="{00000000-0005-0000-0000-0000080F0000}"/>
    <cellStyle name="Neutral 44" xfId="3735" xr:uid="{00000000-0005-0000-0000-0000090F0000}"/>
    <cellStyle name="Neutral 44 2" xfId="3736" xr:uid="{00000000-0005-0000-0000-00000A0F0000}"/>
    <cellStyle name="Neutral 45" xfId="3737" xr:uid="{00000000-0005-0000-0000-00000B0F0000}"/>
    <cellStyle name="Neutral 45 2" xfId="3738" xr:uid="{00000000-0005-0000-0000-00000C0F0000}"/>
    <cellStyle name="Neutral 46" xfId="3739" xr:uid="{00000000-0005-0000-0000-00000D0F0000}"/>
    <cellStyle name="Neutral 46 2" xfId="3740" xr:uid="{00000000-0005-0000-0000-00000E0F0000}"/>
    <cellStyle name="Neutral 47" xfId="3741" xr:uid="{00000000-0005-0000-0000-00000F0F0000}"/>
    <cellStyle name="Neutral 47 2" xfId="3742" xr:uid="{00000000-0005-0000-0000-0000100F0000}"/>
    <cellStyle name="Neutral 48" xfId="3743" xr:uid="{00000000-0005-0000-0000-0000110F0000}"/>
    <cellStyle name="Neutral 48 2" xfId="3744" xr:uid="{00000000-0005-0000-0000-0000120F0000}"/>
    <cellStyle name="Neutral 49" xfId="3745" xr:uid="{00000000-0005-0000-0000-0000130F0000}"/>
    <cellStyle name="Neutral 49 2" xfId="3746" xr:uid="{00000000-0005-0000-0000-0000140F0000}"/>
    <cellStyle name="Neutral 5" xfId="692" xr:uid="{00000000-0005-0000-0000-0000150F0000}"/>
    <cellStyle name="Neutral 5 2" xfId="3747" xr:uid="{00000000-0005-0000-0000-0000160F0000}"/>
    <cellStyle name="Neutral 50" xfId="3748" xr:uid="{00000000-0005-0000-0000-0000170F0000}"/>
    <cellStyle name="Neutral 50 2" xfId="3749" xr:uid="{00000000-0005-0000-0000-0000180F0000}"/>
    <cellStyle name="Neutral 51" xfId="3750" xr:uid="{00000000-0005-0000-0000-0000190F0000}"/>
    <cellStyle name="Neutral 51 2" xfId="3751" xr:uid="{00000000-0005-0000-0000-00001A0F0000}"/>
    <cellStyle name="Neutral 52" xfId="3752" xr:uid="{00000000-0005-0000-0000-00001B0F0000}"/>
    <cellStyle name="Neutral 6" xfId="693" xr:uid="{00000000-0005-0000-0000-00001C0F0000}"/>
    <cellStyle name="Neutral 6 2" xfId="3753" xr:uid="{00000000-0005-0000-0000-00001D0F0000}"/>
    <cellStyle name="Neutral 7" xfId="694" xr:uid="{00000000-0005-0000-0000-00001E0F0000}"/>
    <cellStyle name="Neutral 7 2" xfId="3754" xr:uid="{00000000-0005-0000-0000-00001F0F0000}"/>
    <cellStyle name="Neutral 8" xfId="695" xr:uid="{00000000-0005-0000-0000-0000200F0000}"/>
    <cellStyle name="Neutral 8 2" xfId="3755" xr:uid="{00000000-0005-0000-0000-0000210F0000}"/>
    <cellStyle name="Neutral 9" xfId="696" xr:uid="{00000000-0005-0000-0000-0000220F0000}"/>
    <cellStyle name="Neutral 9 2" xfId="3756" xr:uid="{00000000-0005-0000-0000-0000230F0000}"/>
    <cellStyle name="Normal" xfId="0" builtinId="0"/>
    <cellStyle name="Normal 11" xfId="697" xr:uid="{00000000-0005-0000-0000-0000250F0000}"/>
    <cellStyle name="Normal 11 2" xfId="3757" xr:uid="{00000000-0005-0000-0000-0000260F0000}"/>
    <cellStyle name="Normal 16" xfId="698" xr:uid="{00000000-0005-0000-0000-0000270F0000}"/>
    <cellStyle name="Normal 2" xfId="42" xr:uid="{00000000-0005-0000-0000-0000280F0000}"/>
    <cellStyle name="Normal 2 2" xfId="699" xr:uid="{00000000-0005-0000-0000-0000290F0000}"/>
    <cellStyle name="Normal 2 2 10" xfId="8707" xr:uid="{00000000-0005-0000-0000-00002A0F0000}"/>
    <cellStyle name="Normal 2 2 11" xfId="8805" xr:uid="{00000000-0005-0000-0000-00002B0F0000}"/>
    <cellStyle name="Normal 2 2 12" xfId="9571" xr:uid="{00000000-0005-0000-0000-00002C0F0000}"/>
    <cellStyle name="Normal 2 2 13" xfId="9630" xr:uid="{00000000-0005-0000-0000-00002D0F0000}"/>
    <cellStyle name="Normal 2 2 14" xfId="10084" xr:uid="{00000000-0005-0000-0000-00002E0F0000}"/>
    <cellStyle name="Normal 2 2 15" xfId="10567" xr:uid="{00000000-0005-0000-0000-00002F0F0000}"/>
    <cellStyle name="Normal 2 2 16" xfId="10989" xr:uid="{00000000-0005-0000-0000-0000300F0000}"/>
    <cellStyle name="Normal 2 2 17" xfId="11442" xr:uid="{00000000-0005-0000-0000-0000310F0000}"/>
    <cellStyle name="Normal 2 2 18" xfId="12076" xr:uid="{00000000-0005-0000-0000-0000320F0000}"/>
    <cellStyle name="Normal 2 2 19" xfId="12529" xr:uid="{00000000-0005-0000-0000-0000330F0000}"/>
    <cellStyle name="Normal 2 2 2" xfId="4712" xr:uid="{00000000-0005-0000-0000-0000340F0000}"/>
    <cellStyle name="Normal 2 2 3" xfId="4664" xr:uid="{00000000-0005-0000-0000-0000350F0000}"/>
    <cellStyle name="Normal 2 2 4" xfId="4714" xr:uid="{00000000-0005-0000-0000-0000360F0000}"/>
    <cellStyle name="Normal 2 2 5" xfId="4662" xr:uid="{00000000-0005-0000-0000-0000370F0000}"/>
    <cellStyle name="Normal 2 2 6" xfId="4721" xr:uid="{00000000-0005-0000-0000-0000380F0000}"/>
    <cellStyle name="Normal 2 2 7" xfId="4665" xr:uid="{00000000-0005-0000-0000-0000390F0000}"/>
    <cellStyle name="Normal 2 2 8" xfId="4729" xr:uid="{00000000-0005-0000-0000-00003A0F0000}"/>
    <cellStyle name="Normal 2 2 9" xfId="8213" xr:uid="{00000000-0005-0000-0000-00003B0F0000}"/>
    <cellStyle name="Normal 2 3" xfId="802" xr:uid="{00000000-0005-0000-0000-00003C0F0000}"/>
    <cellStyle name="Normal 2 3 2" xfId="3758" xr:uid="{00000000-0005-0000-0000-00003D0F0000}"/>
    <cellStyle name="Normal 2 3 2 10" xfId="8706" xr:uid="{00000000-0005-0000-0000-00003E0F0000}"/>
    <cellStyle name="Normal 2 3 2 11" xfId="8807" xr:uid="{00000000-0005-0000-0000-00003F0F0000}"/>
    <cellStyle name="Normal 2 3 2 12" xfId="9550" xr:uid="{00000000-0005-0000-0000-0000400F0000}"/>
    <cellStyle name="Normal 2 3 2 13" xfId="9631" xr:uid="{00000000-0005-0000-0000-0000410F0000}"/>
    <cellStyle name="Normal 2 3 2 14" xfId="10085" xr:uid="{00000000-0005-0000-0000-0000420F0000}"/>
    <cellStyle name="Normal 2 3 2 15" xfId="10947" xr:uid="{00000000-0005-0000-0000-0000430F0000}"/>
    <cellStyle name="Normal 2 3 2 16" xfId="10990" xr:uid="{00000000-0005-0000-0000-0000440F0000}"/>
    <cellStyle name="Normal 2 3 2 17" xfId="11443" xr:uid="{00000000-0005-0000-0000-0000450F0000}"/>
    <cellStyle name="Normal 2 3 2 18" xfId="12018" xr:uid="{00000000-0005-0000-0000-0000460F0000}"/>
    <cellStyle name="Normal 2 3 2 19" xfId="12530" xr:uid="{00000000-0005-0000-0000-0000470F0000}"/>
    <cellStyle name="Normal 2 3 2 2" xfId="4713" xr:uid="{00000000-0005-0000-0000-0000480F0000}"/>
    <cellStyle name="Normal 2 3 2 3" xfId="4663" xr:uid="{00000000-0005-0000-0000-0000490F0000}"/>
    <cellStyle name="Normal 2 3 2 4" xfId="4715" xr:uid="{00000000-0005-0000-0000-00004A0F0000}"/>
    <cellStyle name="Normal 2 3 2 5" xfId="4661" xr:uid="{00000000-0005-0000-0000-00004B0F0000}"/>
    <cellStyle name="Normal 2 3 2 6" xfId="4722" xr:uid="{00000000-0005-0000-0000-00004C0F0000}"/>
    <cellStyle name="Normal 2 3 2 7" xfId="4749" xr:uid="{00000000-0005-0000-0000-00004D0F0000}"/>
    <cellStyle name="Normal 2 3 2 8" xfId="4730" xr:uid="{00000000-0005-0000-0000-00004E0F0000}"/>
    <cellStyle name="Normal 2 3 2 9" xfId="8214" xr:uid="{00000000-0005-0000-0000-00004F0F0000}"/>
    <cellStyle name="Normal 2 3 3" xfId="4209" xr:uid="{00000000-0005-0000-0000-0000500F0000}"/>
    <cellStyle name="Normal 2 3 3 10" xfId="8201" xr:uid="{00000000-0005-0000-0000-0000510F0000}"/>
    <cellStyle name="Normal 2 3 3 11" xfId="9030" xr:uid="{00000000-0005-0000-0000-0000520F0000}"/>
    <cellStyle name="Normal 2 3 3 12" xfId="9021" xr:uid="{00000000-0005-0000-0000-0000530F0000}"/>
    <cellStyle name="Normal 2 3 3 13" xfId="9643" xr:uid="{00000000-0005-0000-0000-0000540F0000}"/>
    <cellStyle name="Normal 2 3 3 14" xfId="10115" xr:uid="{00000000-0005-0000-0000-0000550F0000}"/>
    <cellStyle name="Normal 2 3 3 15" xfId="10824" xr:uid="{00000000-0005-0000-0000-0000560F0000}"/>
    <cellStyle name="Normal 2 3 3 16" xfId="11002" xr:uid="{00000000-0005-0000-0000-0000570F0000}"/>
    <cellStyle name="Normal 2 3 3 17" xfId="11471" xr:uid="{00000000-0005-0000-0000-0000580F0000}"/>
    <cellStyle name="Normal 2 3 3 18" xfId="12002" xr:uid="{00000000-0005-0000-0000-0000590F0000}"/>
    <cellStyle name="Normal 2 3 3 19" xfId="12542" xr:uid="{00000000-0005-0000-0000-00005A0F0000}"/>
    <cellStyle name="Normal 2 3 3 2" xfId="4754" xr:uid="{00000000-0005-0000-0000-00005B0F0000}"/>
    <cellStyle name="Normal 2 3 3 3" xfId="5192" xr:uid="{00000000-0005-0000-0000-00005C0F0000}"/>
    <cellStyle name="Normal 2 3 3 4" xfId="5630" xr:uid="{00000000-0005-0000-0000-00005D0F0000}"/>
    <cellStyle name="Normal 2 3 3 5" xfId="6067" xr:uid="{00000000-0005-0000-0000-00005E0F0000}"/>
    <cellStyle name="Normal 2 3 3 6" xfId="6504" xr:uid="{00000000-0005-0000-0000-00005F0F0000}"/>
    <cellStyle name="Normal 2 3 3 7" xfId="6941" xr:uid="{00000000-0005-0000-0000-0000600F0000}"/>
    <cellStyle name="Normal 2 3 3 8" xfId="7378" xr:uid="{00000000-0005-0000-0000-0000610F0000}"/>
    <cellStyle name="Normal 2 3 3 9" xfId="8226" xr:uid="{00000000-0005-0000-0000-0000620F0000}"/>
    <cellStyle name="Normal 2 3 4" xfId="4206" xr:uid="{00000000-0005-0000-0000-0000630F0000}"/>
    <cellStyle name="Normal 2 3 4 10" xfId="8204" xr:uid="{00000000-0005-0000-0000-0000640F0000}"/>
    <cellStyle name="Normal 2 3 4 11" xfId="9027" xr:uid="{00000000-0005-0000-0000-0000650F0000}"/>
    <cellStyle name="Normal 2 3 4 12" xfId="9024" xr:uid="{00000000-0005-0000-0000-0000660F0000}"/>
    <cellStyle name="Normal 2 3 4 13" xfId="9640" xr:uid="{00000000-0005-0000-0000-0000670F0000}"/>
    <cellStyle name="Normal 2 3 4 14" xfId="10112" xr:uid="{00000000-0005-0000-0000-0000680F0000}"/>
    <cellStyle name="Normal 2 3 4 15" xfId="10585" xr:uid="{00000000-0005-0000-0000-0000690F0000}"/>
    <cellStyle name="Normal 2 3 4 16" xfId="10999" xr:uid="{00000000-0005-0000-0000-00006A0F0000}"/>
    <cellStyle name="Normal 2 3 4 17" xfId="11468" xr:uid="{00000000-0005-0000-0000-00006B0F0000}"/>
    <cellStyle name="Normal 2 3 4 18" xfId="12090" xr:uid="{00000000-0005-0000-0000-00006C0F0000}"/>
    <cellStyle name="Normal 2 3 4 19" xfId="12539" xr:uid="{00000000-0005-0000-0000-00006D0F0000}"/>
    <cellStyle name="Normal 2 3 4 2" xfId="4751" xr:uid="{00000000-0005-0000-0000-00006E0F0000}"/>
    <cellStyle name="Normal 2 3 4 3" xfId="5189" xr:uid="{00000000-0005-0000-0000-00006F0F0000}"/>
    <cellStyle name="Normal 2 3 4 4" xfId="5627" xr:uid="{00000000-0005-0000-0000-0000700F0000}"/>
    <cellStyle name="Normal 2 3 4 5" xfId="6064" xr:uid="{00000000-0005-0000-0000-0000710F0000}"/>
    <cellStyle name="Normal 2 3 4 6" xfId="6501" xr:uid="{00000000-0005-0000-0000-0000720F0000}"/>
    <cellStyle name="Normal 2 3 4 7" xfId="6938" xr:uid="{00000000-0005-0000-0000-0000730F0000}"/>
    <cellStyle name="Normal 2 3 4 8" xfId="7375" xr:uid="{00000000-0005-0000-0000-0000740F0000}"/>
    <cellStyle name="Normal 2 3 4 9" xfId="8223" xr:uid="{00000000-0005-0000-0000-0000750F0000}"/>
    <cellStyle name="Normal 2 4" xfId="4208" xr:uid="{00000000-0005-0000-0000-0000760F0000}"/>
    <cellStyle name="Normal 2 4 10" xfId="8202" xr:uid="{00000000-0005-0000-0000-0000770F0000}"/>
    <cellStyle name="Normal 2 4 11" xfId="9029" xr:uid="{00000000-0005-0000-0000-0000780F0000}"/>
    <cellStyle name="Normal 2 4 12" xfId="9022" xr:uid="{00000000-0005-0000-0000-0000790F0000}"/>
    <cellStyle name="Normal 2 4 13" xfId="9642" xr:uid="{00000000-0005-0000-0000-00007A0F0000}"/>
    <cellStyle name="Normal 2 4 14" xfId="10114" xr:uid="{00000000-0005-0000-0000-00007B0F0000}"/>
    <cellStyle name="Normal 2 4 15" xfId="10965" xr:uid="{00000000-0005-0000-0000-00007C0F0000}"/>
    <cellStyle name="Normal 2 4 16" xfId="11001" xr:uid="{00000000-0005-0000-0000-00007D0F0000}"/>
    <cellStyle name="Normal 2 4 17" xfId="11470" xr:uid="{00000000-0005-0000-0000-00007E0F0000}"/>
    <cellStyle name="Normal 2 4 18" xfId="12031" xr:uid="{00000000-0005-0000-0000-00007F0F0000}"/>
    <cellStyle name="Normal 2 4 19" xfId="12541" xr:uid="{00000000-0005-0000-0000-0000800F0000}"/>
    <cellStyle name="Normal 2 4 2" xfId="4753" xr:uid="{00000000-0005-0000-0000-0000810F0000}"/>
    <cellStyle name="Normal 2 4 3" xfId="5191" xr:uid="{00000000-0005-0000-0000-0000820F0000}"/>
    <cellStyle name="Normal 2 4 4" xfId="5629" xr:uid="{00000000-0005-0000-0000-0000830F0000}"/>
    <cellStyle name="Normal 2 4 5" xfId="6066" xr:uid="{00000000-0005-0000-0000-0000840F0000}"/>
    <cellStyle name="Normal 2 4 6" xfId="6503" xr:uid="{00000000-0005-0000-0000-0000850F0000}"/>
    <cellStyle name="Normal 2 4 7" xfId="6940" xr:uid="{00000000-0005-0000-0000-0000860F0000}"/>
    <cellStyle name="Normal 2 4 8" xfId="7377" xr:uid="{00000000-0005-0000-0000-0000870F0000}"/>
    <cellStyle name="Normal 2 4 9" xfId="8225" xr:uid="{00000000-0005-0000-0000-0000880F0000}"/>
    <cellStyle name="Normal 2 5" xfId="4207" xr:uid="{00000000-0005-0000-0000-0000890F0000}"/>
    <cellStyle name="Normal 2 5 10" xfId="8203" xr:uid="{00000000-0005-0000-0000-00008A0F0000}"/>
    <cellStyle name="Normal 2 5 11" xfId="9028" xr:uid="{00000000-0005-0000-0000-00008B0F0000}"/>
    <cellStyle name="Normal 2 5 12" xfId="9023" xr:uid="{00000000-0005-0000-0000-00008C0F0000}"/>
    <cellStyle name="Normal 2 5 13" xfId="9641" xr:uid="{00000000-0005-0000-0000-00008D0F0000}"/>
    <cellStyle name="Normal 2 5 14" xfId="10113" xr:uid="{00000000-0005-0000-0000-00008E0F0000}"/>
    <cellStyle name="Normal 2 5 15" xfId="10977" xr:uid="{00000000-0005-0000-0000-00008F0F0000}"/>
    <cellStyle name="Normal 2 5 16" xfId="11000" xr:uid="{00000000-0005-0000-0000-0000900F0000}"/>
    <cellStyle name="Normal 2 5 17" xfId="11469" xr:uid="{00000000-0005-0000-0000-0000910F0000}"/>
    <cellStyle name="Normal 2 5 18" xfId="12060" xr:uid="{00000000-0005-0000-0000-0000920F0000}"/>
    <cellStyle name="Normal 2 5 19" xfId="12540" xr:uid="{00000000-0005-0000-0000-0000930F0000}"/>
    <cellStyle name="Normal 2 5 2" xfId="4752" xr:uid="{00000000-0005-0000-0000-0000940F0000}"/>
    <cellStyle name="Normal 2 5 3" xfId="5190" xr:uid="{00000000-0005-0000-0000-0000950F0000}"/>
    <cellStyle name="Normal 2 5 4" xfId="5628" xr:uid="{00000000-0005-0000-0000-0000960F0000}"/>
    <cellStyle name="Normal 2 5 5" xfId="6065" xr:uid="{00000000-0005-0000-0000-0000970F0000}"/>
    <cellStyle name="Normal 2 5 6" xfId="6502" xr:uid="{00000000-0005-0000-0000-0000980F0000}"/>
    <cellStyle name="Normal 2 5 7" xfId="6939" xr:uid="{00000000-0005-0000-0000-0000990F0000}"/>
    <cellStyle name="Normal 2 5 8" xfId="7376" xr:uid="{00000000-0005-0000-0000-00009A0F0000}"/>
    <cellStyle name="Normal 2 5 9" xfId="8224" xr:uid="{00000000-0005-0000-0000-00009B0F0000}"/>
    <cellStyle name="Normal 2 6" xfId="4202" xr:uid="{00000000-0005-0000-0000-00009C0F0000}"/>
    <cellStyle name="Normal 20" xfId="700" xr:uid="{00000000-0005-0000-0000-00009D0F0000}"/>
    <cellStyle name="Normal 20 2" xfId="3759" xr:uid="{00000000-0005-0000-0000-00009E0F0000}"/>
    <cellStyle name="Normal 21" xfId="701" xr:uid="{00000000-0005-0000-0000-00009F0F0000}"/>
    <cellStyle name="Normal 21 2" xfId="3760" xr:uid="{00000000-0005-0000-0000-0000A00F0000}"/>
    <cellStyle name="Normal 22" xfId="702" xr:uid="{00000000-0005-0000-0000-0000A10F0000}"/>
    <cellStyle name="Normal 22 2" xfId="3761" xr:uid="{00000000-0005-0000-0000-0000A20F0000}"/>
    <cellStyle name="Normal 23" xfId="703" xr:uid="{00000000-0005-0000-0000-0000A30F0000}"/>
    <cellStyle name="Normal 23 2" xfId="3762" xr:uid="{00000000-0005-0000-0000-0000A40F0000}"/>
    <cellStyle name="Normal 24" xfId="704" xr:uid="{00000000-0005-0000-0000-0000A50F0000}"/>
    <cellStyle name="Normal 26 2" xfId="3763" xr:uid="{00000000-0005-0000-0000-0000A60F0000}"/>
    <cellStyle name="Normal 27 2" xfId="3764" xr:uid="{00000000-0005-0000-0000-0000A70F0000}"/>
    <cellStyle name="Normal 29 2" xfId="3765" xr:uid="{00000000-0005-0000-0000-0000A80F0000}"/>
    <cellStyle name="Normal 3" xfId="705" xr:uid="{00000000-0005-0000-0000-0000A90F0000}"/>
    <cellStyle name="Normal 3 10" xfId="8212" xr:uid="{00000000-0005-0000-0000-0000AA0F0000}"/>
    <cellStyle name="Normal 3 11" xfId="8815" xr:uid="{00000000-0005-0000-0000-0000AB0F0000}"/>
    <cellStyle name="Normal 3 12" xfId="9558" xr:uid="{00000000-0005-0000-0000-0000AC0F0000}"/>
    <cellStyle name="Normal 3 13" xfId="9632" xr:uid="{00000000-0005-0000-0000-0000AD0F0000}"/>
    <cellStyle name="Normal 3 14" xfId="10086" xr:uid="{00000000-0005-0000-0000-0000AE0F0000}"/>
    <cellStyle name="Normal 3 15" xfId="10704" xr:uid="{00000000-0005-0000-0000-0000AF0F0000}"/>
    <cellStyle name="Normal 3 16" xfId="10991" xr:uid="{00000000-0005-0000-0000-0000B00F0000}"/>
    <cellStyle name="Normal 3 17" xfId="11444" xr:uid="{00000000-0005-0000-0000-0000B10F0000}"/>
    <cellStyle name="Normal 3 18" xfId="12222" xr:uid="{00000000-0005-0000-0000-0000B20F0000}"/>
    <cellStyle name="Normal 3 19" xfId="12531" xr:uid="{00000000-0005-0000-0000-0000B30F0000}"/>
    <cellStyle name="Normal 3 2" xfId="4716" xr:uid="{00000000-0005-0000-0000-0000B40F0000}"/>
    <cellStyle name="Normal 3 3" xfId="4660" xr:uid="{00000000-0005-0000-0000-0000B50F0000}"/>
    <cellStyle name="Normal 3 4" xfId="4717" xr:uid="{00000000-0005-0000-0000-0000B60F0000}"/>
    <cellStyle name="Normal 3 5" xfId="4659" xr:uid="{00000000-0005-0000-0000-0000B70F0000}"/>
    <cellStyle name="Normal 3 6" xfId="4731" xr:uid="{00000000-0005-0000-0000-0000B80F0000}"/>
    <cellStyle name="Normal 3 7" xfId="5625" xr:uid="{00000000-0005-0000-0000-0000B90F0000}"/>
    <cellStyle name="Normal 3 8" xfId="4735" xr:uid="{00000000-0005-0000-0000-0000BA0F0000}"/>
    <cellStyle name="Normal 3 9" xfId="8215" xr:uid="{00000000-0005-0000-0000-0000BB0F0000}"/>
    <cellStyle name="Normal 30 2" xfId="3766" xr:uid="{00000000-0005-0000-0000-0000BC0F0000}"/>
    <cellStyle name="Normal 31 2" xfId="3767" xr:uid="{00000000-0005-0000-0000-0000BD0F0000}"/>
    <cellStyle name="Normal 33 2" xfId="3768" xr:uid="{00000000-0005-0000-0000-0000BE0F0000}"/>
    <cellStyle name="Normal 35 2" xfId="3769" xr:uid="{00000000-0005-0000-0000-0000BF0F0000}"/>
    <cellStyle name="Normal 36 2" xfId="3770" xr:uid="{00000000-0005-0000-0000-0000C00F0000}"/>
    <cellStyle name="Normal 37 2" xfId="3771" xr:uid="{00000000-0005-0000-0000-0000C10F0000}"/>
    <cellStyle name="Normal 38 2" xfId="3772" xr:uid="{00000000-0005-0000-0000-0000C20F0000}"/>
    <cellStyle name="Normal 39 2" xfId="3773" xr:uid="{00000000-0005-0000-0000-0000C30F0000}"/>
    <cellStyle name="Normal 4" xfId="706" xr:uid="{00000000-0005-0000-0000-0000C40F0000}"/>
    <cellStyle name="Normal 40 2" xfId="3774" xr:uid="{00000000-0005-0000-0000-0000C50F0000}"/>
    <cellStyle name="Normal 42 2" xfId="3775" xr:uid="{00000000-0005-0000-0000-0000C60F0000}"/>
    <cellStyle name="Normal 43 2" xfId="3776" xr:uid="{00000000-0005-0000-0000-0000C70F0000}"/>
    <cellStyle name="Normal 46 2" xfId="3777" xr:uid="{00000000-0005-0000-0000-0000C80F0000}"/>
    <cellStyle name="Normal 47 2" xfId="3778" xr:uid="{00000000-0005-0000-0000-0000C90F0000}"/>
    <cellStyle name="Normal 48 2" xfId="3779" xr:uid="{00000000-0005-0000-0000-0000CA0F0000}"/>
    <cellStyle name="Normal 49 2" xfId="3780" xr:uid="{00000000-0005-0000-0000-0000CB0F0000}"/>
    <cellStyle name="Normal 5" xfId="707" xr:uid="{00000000-0005-0000-0000-0000CC0F0000}"/>
    <cellStyle name="Normal 5 10" xfId="4742" xr:uid="{00000000-0005-0000-0000-0000CD0F0000}"/>
    <cellStyle name="Normal 5 11" xfId="8216" xr:uid="{00000000-0005-0000-0000-0000CE0F0000}"/>
    <cellStyle name="Normal 5 12" xfId="8211" xr:uid="{00000000-0005-0000-0000-0000CF0F0000}"/>
    <cellStyle name="Normal 5 13" xfId="8832" xr:uid="{00000000-0005-0000-0000-0000D00F0000}"/>
    <cellStyle name="Normal 5 14" xfId="9568" xr:uid="{00000000-0005-0000-0000-0000D10F0000}"/>
    <cellStyle name="Normal 5 15" xfId="9633" xr:uid="{00000000-0005-0000-0000-0000D20F0000}"/>
    <cellStyle name="Normal 5 16" xfId="10087" xr:uid="{00000000-0005-0000-0000-0000D30F0000}"/>
    <cellStyle name="Normal 5 17" xfId="10842" xr:uid="{00000000-0005-0000-0000-0000D40F0000}"/>
    <cellStyle name="Normal 5 18" xfId="10992" xr:uid="{00000000-0005-0000-0000-0000D50F0000}"/>
    <cellStyle name="Normal 5 19" xfId="11445" xr:uid="{00000000-0005-0000-0000-0000D60F0000}"/>
    <cellStyle name="Normal 5 2" xfId="708" xr:uid="{00000000-0005-0000-0000-0000D70F0000}"/>
    <cellStyle name="Normal 5 2 10" xfId="8210" xr:uid="{00000000-0005-0000-0000-0000D80F0000}"/>
    <cellStyle name="Normal 5 2 11" xfId="8833" xr:uid="{00000000-0005-0000-0000-0000D90F0000}"/>
    <cellStyle name="Normal 5 2 12" xfId="9559" xr:uid="{00000000-0005-0000-0000-0000DA0F0000}"/>
    <cellStyle name="Normal 5 2 13" xfId="9634" xr:uid="{00000000-0005-0000-0000-0000DB0F0000}"/>
    <cellStyle name="Normal 5 2 14" xfId="10088" xr:uid="{00000000-0005-0000-0000-0000DC0F0000}"/>
    <cellStyle name="Normal 5 2 15" xfId="10901" xr:uid="{00000000-0005-0000-0000-0000DD0F0000}"/>
    <cellStyle name="Normal 5 2 16" xfId="10993" xr:uid="{00000000-0005-0000-0000-0000DE0F0000}"/>
    <cellStyle name="Normal 5 2 17" xfId="11446" xr:uid="{00000000-0005-0000-0000-0000DF0F0000}"/>
    <cellStyle name="Normal 5 2 18" xfId="11466" xr:uid="{00000000-0005-0000-0000-0000E00F0000}"/>
    <cellStyle name="Normal 5 2 19" xfId="12533" xr:uid="{00000000-0005-0000-0000-0000E10F0000}"/>
    <cellStyle name="Normal 5 2 2" xfId="4719" xr:uid="{00000000-0005-0000-0000-0000E20F0000}"/>
    <cellStyle name="Normal 5 2 3" xfId="4656" xr:uid="{00000000-0005-0000-0000-0000E30F0000}"/>
    <cellStyle name="Normal 5 2 4" xfId="4727" xr:uid="{00000000-0005-0000-0000-0000E40F0000}"/>
    <cellStyle name="Normal 5 2 5" xfId="4648" xr:uid="{00000000-0005-0000-0000-0000E50F0000}"/>
    <cellStyle name="Normal 5 2 6" xfId="4737" xr:uid="{00000000-0005-0000-0000-0000E60F0000}"/>
    <cellStyle name="Normal 5 2 7" xfId="4654" xr:uid="{00000000-0005-0000-0000-0000E70F0000}"/>
    <cellStyle name="Normal 5 2 8" xfId="4743" xr:uid="{00000000-0005-0000-0000-0000E80F0000}"/>
    <cellStyle name="Normal 5 2 9" xfId="8217" xr:uid="{00000000-0005-0000-0000-0000E90F0000}"/>
    <cellStyle name="Normal 5 20" xfId="12122" xr:uid="{00000000-0005-0000-0000-0000EA0F0000}"/>
    <cellStyle name="Normal 5 21" xfId="12532" xr:uid="{00000000-0005-0000-0000-0000EB0F0000}"/>
    <cellStyle name="Normal 5 3" xfId="3781" xr:uid="{00000000-0005-0000-0000-0000EC0F0000}"/>
    <cellStyle name="Normal 5 3 10" xfId="8209" xr:uid="{00000000-0005-0000-0000-0000ED0F0000}"/>
    <cellStyle name="Normal 5 3 11" xfId="8834" xr:uid="{00000000-0005-0000-0000-0000EE0F0000}"/>
    <cellStyle name="Normal 5 3 12" xfId="9548" xr:uid="{00000000-0005-0000-0000-0000EF0F0000}"/>
    <cellStyle name="Normal 5 3 13" xfId="9635" xr:uid="{00000000-0005-0000-0000-0000F00F0000}"/>
    <cellStyle name="Normal 5 3 14" xfId="10089" xr:uid="{00000000-0005-0000-0000-0000F10F0000}"/>
    <cellStyle name="Normal 5 3 15" xfId="10820" xr:uid="{00000000-0005-0000-0000-0000F20F0000}"/>
    <cellStyle name="Normal 5 3 16" xfId="10994" xr:uid="{00000000-0005-0000-0000-0000F30F0000}"/>
    <cellStyle name="Normal 5 3 17" xfId="11447" xr:uid="{00000000-0005-0000-0000-0000F40F0000}"/>
    <cellStyle name="Normal 5 3 18" xfId="11465" xr:uid="{00000000-0005-0000-0000-0000F50F0000}"/>
    <cellStyle name="Normal 5 3 19" xfId="12534" xr:uid="{00000000-0005-0000-0000-0000F60F0000}"/>
    <cellStyle name="Normal 5 3 2" xfId="4720" xr:uid="{00000000-0005-0000-0000-0000F70F0000}"/>
    <cellStyle name="Normal 5 3 3" xfId="4655" xr:uid="{00000000-0005-0000-0000-0000F80F0000}"/>
    <cellStyle name="Normal 5 3 4" xfId="4728" xr:uid="{00000000-0005-0000-0000-0000F90F0000}"/>
    <cellStyle name="Normal 5 3 5" xfId="4647" xr:uid="{00000000-0005-0000-0000-0000FA0F0000}"/>
    <cellStyle name="Normal 5 3 6" xfId="4738" xr:uid="{00000000-0005-0000-0000-0000FB0F0000}"/>
    <cellStyle name="Normal 5 3 7" xfId="4653" xr:uid="{00000000-0005-0000-0000-0000FC0F0000}"/>
    <cellStyle name="Normal 5 3 8" xfId="4744" xr:uid="{00000000-0005-0000-0000-0000FD0F0000}"/>
    <cellStyle name="Normal 5 3 9" xfId="8218" xr:uid="{00000000-0005-0000-0000-0000FE0F0000}"/>
    <cellStyle name="Normal 5 4" xfId="4718" xr:uid="{00000000-0005-0000-0000-0000FF0F0000}"/>
    <cellStyle name="Normal 5 5" xfId="4657" xr:uid="{00000000-0005-0000-0000-000000100000}"/>
    <cellStyle name="Normal 5 6" xfId="4726" xr:uid="{00000000-0005-0000-0000-000001100000}"/>
    <cellStyle name="Normal 5 7" xfId="4649" xr:uid="{00000000-0005-0000-0000-000002100000}"/>
    <cellStyle name="Normal 5 8" xfId="4736" xr:uid="{00000000-0005-0000-0000-000003100000}"/>
    <cellStyle name="Normal 5 9" xfId="4658" xr:uid="{00000000-0005-0000-0000-000004100000}"/>
    <cellStyle name="Normal 50 2" xfId="3782" xr:uid="{00000000-0005-0000-0000-000005100000}"/>
    <cellStyle name="Normal 51 2" xfId="3783" xr:uid="{00000000-0005-0000-0000-000006100000}"/>
    <cellStyle name="Normal 52 2" xfId="3784" xr:uid="{00000000-0005-0000-0000-000007100000}"/>
    <cellStyle name="Normal 53 2" xfId="3785" xr:uid="{00000000-0005-0000-0000-000008100000}"/>
    <cellStyle name="Normal 54 2" xfId="3786" xr:uid="{00000000-0005-0000-0000-000009100000}"/>
    <cellStyle name="Normal 55 2" xfId="3787" xr:uid="{00000000-0005-0000-0000-00000A100000}"/>
    <cellStyle name="Normal 6" xfId="709" xr:uid="{00000000-0005-0000-0000-00000B100000}"/>
    <cellStyle name="Normal 6 10" xfId="8219" xr:uid="{00000000-0005-0000-0000-00000C100000}"/>
    <cellStyle name="Normal 6 11" xfId="8208" xr:uid="{00000000-0005-0000-0000-00000D100000}"/>
    <cellStyle name="Normal 6 12" xfId="8841" xr:uid="{00000000-0005-0000-0000-00000E100000}"/>
    <cellStyle name="Normal 6 13" xfId="9588" xr:uid="{00000000-0005-0000-0000-00000F100000}"/>
    <cellStyle name="Normal 6 14" xfId="9636" xr:uid="{00000000-0005-0000-0000-000010100000}"/>
    <cellStyle name="Normal 6 15" xfId="10090" xr:uid="{00000000-0005-0000-0000-000011100000}"/>
    <cellStyle name="Normal 6 16" xfId="10902" xr:uid="{00000000-0005-0000-0000-000012100000}"/>
    <cellStyle name="Normal 6 17" xfId="10995" xr:uid="{00000000-0005-0000-0000-000013100000}"/>
    <cellStyle name="Normal 6 18" xfId="11448" xr:uid="{00000000-0005-0000-0000-000014100000}"/>
    <cellStyle name="Normal 6 19" xfId="11961" xr:uid="{00000000-0005-0000-0000-000015100000}"/>
    <cellStyle name="Normal 6 2" xfId="3788" xr:uid="{00000000-0005-0000-0000-000016100000}"/>
    <cellStyle name="Normal 6 2 10" xfId="8207" xr:uid="{00000000-0005-0000-0000-000017100000}"/>
    <cellStyle name="Normal 6 2 11" xfId="8842" xr:uid="{00000000-0005-0000-0000-000018100000}"/>
    <cellStyle name="Normal 6 2 12" xfId="9580" xr:uid="{00000000-0005-0000-0000-000019100000}"/>
    <cellStyle name="Normal 6 2 13" xfId="9637" xr:uid="{00000000-0005-0000-0000-00001A100000}"/>
    <cellStyle name="Normal 6 2 14" xfId="10091" xr:uid="{00000000-0005-0000-0000-00001B100000}"/>
    <cellStyle name="Normal 6 2 15" xfId="10967" xr:uid="{00000000-0005-0000-0000-00001C100000}"/>
    <cellStyle name="Normal 6 2 16" xfId="10996" xr:uid="{00000000-0005-0000-0000-00001D100000}"/>
    <cellStyle name="Normal 6 2 17" xfId="11449" xr:uid="{00000000-0005-0000-0000-00001E100000}"/>
    <cellStyle name="Normal 6 2 18" xfId="11932" xr:uid="{00000000-0005-0000-0000-00001F100000}"/>
    <cellStyle name="Normal 6 2 19" xfId="12536" xr:uid="{00000000-0005-0000-0000-000020100000}"/>
    <cellStyle name="Normal 6 2 2" xfId="4724" xr:uid="{00000000-0005-0000-0000-000021100000}"/>
    <cellStyle name="Normal 6 2 3" xfId="4651" xr:uid="{00000000-0005-0000-0000-000022100000}"/>
    <cellStyle name="Normal 6 2 4" xfId="4733" xr:uid="{00000000-0005-0000-0000-000023100000}"/>
    <cellStyle name="Normal 6 2 5" xfId="4642" xr:uid="{00000000-0005-0000-0000-000024100000}"/>
    <cellStyle name="Normal 6 2 6" xfId="4740" xr:uid="{00000000-0005-0000-0000-000025100000}"/>
    <cellStyle name="Normal 6 2 7" xfId="4645" xr:uid="{00000000-0005-0000-0000-000026100000}"/>
    <cellStyle name="Normal 6 2 8" xfId="4746" xr:uid="{00000000-0005-0000-0000-000027100000}"/>
    <cellStyle name="Normal 6 2 9" xfId="8220" xr:uid="{00000000-0005-0000-0000-000028100000}"/>
    <cellStyle name="Normal 6 20" xfId="12535" xr:uid="{00000000-0005-0000-0000-000029100000}"/>
    <cellStyle name="Normal 6 3" xfId="4723" xr:uid="{00000000-0005-0000-0000-00002A100000}"/>
    <cellStyle name="Normal 6 4" xfId="4652" xr:uid="{00000000-0005-0000-0000-00002B100000}"/>
    <cellStyle name="Normal 6 5" xfId="4732" xr:uid="{00000000-0005-0000-0000-00002C100000}"/>
    <cellStyle name="Normal 6 6" xfId="4643" xr:uid="{00000000-0005-0000-0000-00002D100000}"/>
    <cellStyle name="Normal 6 7" xfId="4739" xr:uid="{00000000-0005-0000-0000-00002E100000}"/>
    <cellStyle name="Normal 6 8" xfId="4646" xr:uid="{00000000-0005-0000-0000-00002F100000}"/>
    <cellStyle name="Normal 6 9" xfId="4745" xr:uid="{00000000-0005-0000-0000-000030100000}"/>
    <cellStyle name="Normal 7" xfId="710" xr:uid="{00000000-0005-0000-0000-000031100000}"/>
    <cellStyle name="Normal 7 10" xfId="8206" xr:uid="{00000000-0005-0000-0000-000032100000}"/>
    <cellStyle name="Normal 7 11" xfId="8843" xr:uid="{00000000-0005-0000-0000-000033100000}"/>
    <cellStyle name="Normal 7 12" xfId="9570" xr:uid="{00000000-0005-0000-0000-000034100000}"/>
    <cellStyle name="Normal 7 13" xfId="9638" xr:uid="{00000000-0005-0000-0000-000035100000}"/>
    <cellStyle name="Normal 7 14" xfId="10092" xr:uid="{00000000-0005-0000-0000-000036100000}"/>
    <cellStyle name="Normal 7 15" xfId="10822" xr:uid="{00000000-0005-0000-0000-000037100000}"/>
    <cellStyle name="Normal 7 16" xfId="10997" xr:uid="{00000000-0005-0000-0000-000038100000}"/>
    <cellStyle name="Normal 7 17" xfId="11450" xr:uid="{00000000-0005-0000-0000-000039100000}"/>
    <cellStyle name="Normal 7 18" xfId="12340" xr:uid="{00000000-0005-0000-0000-00003A100000}"/>
    <cellStyle name="Normal 7 19" xfId="12537" xr:uid="{00000000-0005-0000-0000-00003B100000}"/>
    <cellStyle name="Normal 7 2" xfId="4725" xr:uid="{00000000-0005-0000-0000-00003C100000}"/>
    <cellStyle name="Normal 7 3" xfId="4650" xr:uid="{00000000-0005-0000-0000-00003D100000}"/>
    <cellStyle name="Normal 7 4" xfId="4734" xr:uid="{00000000-0005-0000-0000-00003E100000}"/>
    <cellStyle name="Normal 7 5" xfId="4641" xr:uid="{00000000-0005-0000-0000-00003F100000}"/>
    <cellStyle name="Normal 7 6" xfId="4741" xr:uid="{00000000-0005-0000-0000-000040100000}"/>
    <cellStyle name="Normal 7 7" xfId="4644" xr:uid="{00000000-0005-0000-0000-000041100000}"/>
    <cellStyle name="Normal 7 8" xfId="4747" xr:uid="{00000000-0005-0000-0000-000042100000}"/>
    <cellStyle name="Normal 7 9" xfId="8221" xr:uid="{00000000-0005-0000-0000-000043100000}"/>
    <cellStyle name="Normal 8" xfId="711" xr:uid="{00000000-0005-0000-0000-000044100000}"/>
    <cellStyle name="Normal 8 2" xfId="3789" xr:uid="{00000000-0005-0000-0000-000045100000}"/>
    <cellStyle name="Normal 9" xfId="4211" xr:uid="{00000000-0005-0000-0000-000046100000}"/>
    <cellStyle name="Normal 9 10" xfId="8228" xr:uid="{00000000-0005-0000-0000-000047100000}"/>
    <cellStyle name="Normal 9 11" xfId="8199" xr:uid="{00000000-0005-0000-0000-000048100000}"/>
    <cellStyle name="Normal 9 12" xfId="9032" xr:uid="{00000000-0005-0000-0000-000049100000}"/>
    <cellStyle name="Normal 9 13" xfId="9019" xr:uid="{00000000-0005-0000-0000-00004A100000}"/>
    <cellStyle name="Normal 9 14" xfId="9645" xr:uid="{00000000-0005-0000-0000-00004B100000}"/>
    <cellStyle name="Normal 9 15" xfId="10117" xr:uid="{00000000-0005-0000-0000-00004C100000}"/>
    <cellStyle name="Normal 9 16" xfId="10798" xr:uid="{00000000-0005-0000-0000-00004D100000}"/>
    <cellStyle name="Normal 9 17" xfId="11004" xr:uid="{00000000-0005-0000-0000-00004E100000}"/>
    <cellStyle name="Normal 9 18" xfId="11473" xr:uid="{00000000-0005-0000-0000-00004F100000}"/>
    <cellStyle name="Normal 9 19" xfId="11945" xr:uid="{00000000-0005-0000-0000-000050100000}"/>
    <cellStyle name="Normal 9 2" xfId="3790" xr:uid="{00000000-0005-0000-0000-000051100000}"/>
    <cellStyle name="Normal 9 2 2" xfId="4210" xr:uid="{00000000-0005-0000-0000-000052100000}"/>
    <cellStyle name="Normal 9 2 2 10" xfId="8200" xr:uid="{00000000-0005-0000-0000-000053100000}"/>
    <cellStyle name="Normal 9 2 2 11" xfId="9031" xr:uid="{00000000-0005-0000-0000-000054100000}"/>
    <cellStyle name="Normal 9 2 2 12" xfId="9020" xr:uid="{00000000-0005-0000-0000-000055100000}"/>
    <cellStyle name="Normal 9 2 2 13" xfId="9644" xr:uid="{00000000-0005-0000-0000-000056100000}"/>
    <cellStyle name="Normal 9 2 2 14" xfId="10116" xr:uid="{00000000-0005-0000-0000-000057100000}"/>
    <cellStyle name="Normal 9 2 2 15" xfId="10879" xr:uid="{00000000-0005-0000-0000-000058100000}"/>
    <cellStyle name="Normal 9 2 2 16" xfId="11003" xr:uid="{00000000-0005-0000-0000-000059100000}"/>
    <cellStyle name="Normal 9 2 2 17" xfId="11472" xr:uid="{00000000-0005-0000-0000-00005A100000}"/>
    <cellStyle name="Normal 9 2 2 18" xfId="11974" xr:uid="{00000000-0005-0000-0000-00005B100000}"/>
    <cellStyle name="Normal 9 2 2 19" xfId="12543" xr:uid="{00000000-0005-0000-0000-00005C100000}"/>
    <cellStyle name="Normal 9 2 2 2" xfId="4755" xr:uid="{00000000-0005-0000-0000-00005D100000}"/>
    <cellStyle name="Normal 9 2 2 3" xfId="5193" xr:uid="{00000000-0005-0000-0000-00005E100000}"/>
    <cellStyle name="Normal 9 2 2 4" xfId="5631" xr:uid="{00000000-0005-0000-0000-00005F100000}"/>
    <cellStyle name="Normal 9 2 2 5" xfId="6068" xr:uid="{00000000-0005-0000-0000-000060100000}"/>
    <cellStyle name="Normal 9 2 2 6" xfId="6505" xr:uid="{00000000-0005-0000-0000-000061100000}"/>
    <cellStyle name="Normal 9 2 2 7" xfId="6942" xr:uid="{00000000-0005-0000-0000-000062100000}"/>
    <cellStyle name="Normal 9 2 2 8" xfId="7379" xr:uid="{00000000-0005-0000-0000-000063100000}"/>
    <cellStyle name="Normal 9 2 2 9" xfId="8227" xr:uid="{00000000-0005-0000-0000-000064100000}"/>
    <cellStyle name="Normal 9 2 3" xfId="4205" xr:uid="{00000000-0005-0000-0000-000065100000}"/>
    <cellStyle name="Normal 9 2 3 10" xfId="8205" xr:uid="{00000000-0005-0000-0000-000066100000}"/>
    <cellStyle name="Normal 9 2 3 11" xfId="9026" xr:uid="{00000000-0005-0000-0000-000067100000}"/>
    <cellStyle name="Normal 9 2 3 12" xfId="9025" xr:uid="{00000000-0005-0000-0000-000068100000}"/>
    <cellStyle name="Normal 9 2 3 13" xfId="9639" xr:uid="{00000000-0005-0000-0000-000069100000}"/>
    <cellStyle name="Normal 9 2 3 14" xfId="10111" xr:uid="{00000000-0005-0000-0000-00006A100000}"/>
    <cellStyle name="Normal 9 2 3 15" xfId="10624" xr:uid="{00000000-0005-0000-0000-00006B100000}"/>
    <cellStyle name="Normal 9 2 3 16" xfId="10998" xr:uid="{00000000-0005-0000-0000-00006C100000}"/>
    <cellStyle name="Normal 9 2 3 17" xfId="11467" xr:uid="{00000000-0005-0000-0000-00006D100000}"/>
    <cellStyle name="Normal 9 2 3 18" xfId="12149" xr:uid="{00000000-0005-0000-0000-00006E100000}"/>
    <cellStyle name="Normal 9 2 3 19" xfId="12538" xr:uid="{00000000-0005-0000-0000-00006F100000}"/>
    <cellStyle name="Normal 9 2 3 2" xfId="4750" xr:uid="{00000000-0005-0000-0000-000070100000}"/>
    <cellStyle name="Normal 9 2 3 3" xfId="5188" xr:uid="{00000000-0005-0000-0000-000071100000}"/>
    <cellStyle name="Normal 9 2 3 4" xfId="5626" xr:uid="{00000000-0005-0000-0000-000072100000}"/>
    <cellStyle name="Normal 9 2 3 5" xfId="6063" xr:uid="{00000000-0005-0000-0000-000073100000}"/>
    <cellStyle name="Normal 9 2 3 6" xfId="6500" xr:uid="{00000000-0005-0000-0000-000074100000}"/>
    <cellStyle name="Normal 9 2 3 7" xfId="6937" xr:uid="{00000000-0005-0000-0000-000075100000}"/>
    <cellStyle name="Normal 9 2 3 8" xfId="7374" xr:uid="{00000000-0005-0000-0000-000076100000}"/>
    <cellStyle name="Normal 9 2 3 9" xfId="8222" xr:uid="{00000000-0005-0000-0000-000077100000}"/>
    <cellStyle name="Normal 9 20" xfId="12544" xr:uid="{00000000-0005-0000-0000-000078100000}"/>
    <cellStyle name="Normal 9 3" xfId="4756" xr:uid="{00000000-0005-0000-0000-000079100000}"/>
    <cellStyle name="Normal 9 4" xfId="5194" xr:uid="{00000000-0005-0000-0000-00007A100000}"/>
    <cellStyle name="Normal 9 5" xfId="5632" xr:uid="{00000000-0005-0000-0000-00007B100000}"/>
    <cellStyle name="Normal 9 6" xfId="6069" xr:uid="{00000000-0005-0000-0000-00007C100000}"/>
    <cellStyle name="Normal 9 7" xfId="6506" xr:uid="{00000000-0005-0000-0000-00007D100000}"/>
    <cellStyle name="Normal 9 8" xfId="6943" xr:uid="{00000000-0005-0000-0000-00007E100000}"/>
    <cellStyle name="Normal 9 9" xfId="7380" xr:uid="{00000000-0005-0000-0000-00007F100000}"/>
    <cellStyle name="Note" xfId="15" builtinId="10" customBuiltin="1"/>
    <cellStyle name="Note 10" xfId="712" xr:uid="{00000000-0005-0000-0000-000081100000}"/>
    <cellStyle name="Note 10 2" xfId="3791" xr:uid="{00000000-0005-0000-0000-000082100000}"/>
    <cellStyle name="Note 10 3" xfId="12343" xr:uid="{00000000-0005-0000-0000-000083100000}"/>
    <cellStyle name="Note 10 4" xfId="12404" xr:uid="{00000000-0005-0000-0000-000084100000}"/>
    <cellStyle name="Note 10 5" xfId="12513" xr:uid="{00000000-0005-0000-0000-000085100000}"/>
    <cellStyle name="Note 11" xfId="713" xr:uid="{00000000-0005-0000-0000-000086100000}"/>
    <cellStyle name="Note 11 2" xfId="3792" xr:uid="{00000000-0005-0000-0000-000087100000}"/>
    <cellStyle name="Note 11 3" xfId="12344" xr:uid="{00000000-0005-0000-0000-000088100000}"/>
    <cellStyle name="Note 11 4" xfId="12405" xr:uid="{00000000-0005-0000-0000-000089100000}"/>
    <cellStyle name="Note 11 5" xfId="12506" xr:uid="{00000000-0005-0000-0000-00008A100000}"/>
    <cellStyle name="Note 12" xfId="714" xr:uid="{00000000-0005-0000-0000-00008B100000}"/>
    <cellStyle name="Note 12 2" xfId="3793" xr:uid="{00000000-0005-0000-0000-00008C100000}"/>
    <cellStyle name="Note 12 3" xfId="12345" xr:uid="{00000000-0005-0000-0000-00008D100000}"/>
    <cellStyle name="Note 12 4" xfId="12406" xr:uid="{00000000-0005-0000-0000-00008E100000}"/>
    <cellStyle name="Note 12 5" xfId="12499" xr:uid="{00000000-0005-0000-0000-00008F100000}"/>
    <cellStyle name="Note 13" xfId="715" xr:uid="{00000000-0005-0000-0000-000090100000}"/>
    <cellStyle name="Note 13 2" xfId="3794" xr:uid="{00000000-0005-0000-0000-000091100000}"/>
    <cellStyle name="Note 13 3" xfId="12346" xr:uid="{00000000-0005-0000-0000-000092100000}"/>
    <cellStyle name="Note 13 4" xfId="12407" xr:uid="{00000000-0005-0000-0000-000093100000}"/>
    <cellStyle name="Note 13 5" xfId="12466" xr:uid="{00000000-0005-0000-0000-000094100000}"/>
    <cellStyle name="Note 14" xfId="716" xr:uid="{00000000-0005-0000-0000-000095100000}"/>
    <cellStyle name="Note 14 2" xfId="3795" xr:uid="{00000000-0005-0000-0000-000096100000}"/>
    <cellStyle name="Note 14 3" xfId="12347" xr:uid="{00000000-0005-0000-0000-000097100000}"/>
    <cellStyle name="Note 14 4" xfId="12408" xr:uid="{00000000-0005-0000-0000-000098100000}"/>
    <cellStyle name="Note 14 5" xfId="12486" xr:uid="{00000000-0005-0000-0000-000099100000}"/>
    <cellStyle name="Note 15" xfId="717" xr:uid="{00000000-0005-0000-0000-00009A100000}"/>
    <cellStyle name="Note 15 2" xfId="3796" xr:uid="{00000000-0005-0000-0000-00009B100000}"/>
    <cellStyle name="Note 15 3" xfId="12348" xr:uid="{00000000-0005-0000-0000-00009C100000}"/>
    <cellStyle name="Note 15 4" xfId="12409" xr:uid="{00000000-0005-0000-0000-00009D100000}"/>
    <cellStyle name="Note 15 5" xfId="12480" xr:uid="{00000000-0005-0000-0000-00009E100000}"/>
    <cellStyle name="Note 16" xfId="718" xr:uid="{00000000-0005-0000-0000-00009F100000}"/>
    <cellStyle name="Note 16 2" xfId="3797" xr:uid="{00000000-0005-0000-0000-0000A0100000}"/>
    <cellStyle name="Note 16 3" xfId="12349" xr:uid="{00000000-0005-0000-0000-0000A1100000}"/>
    <cellStyle name="Note 16 4" xfId="12410" xr:uid="{00000000-0005-0000-0000-0000A2100000}"/>
    <cellStyle name="Note 16 5" xfId="12475" xr:uid="{00000000-0005-0000-0000-0000A3100000}"/>
    <cellStyle name="Note 17" xfId="719" xr:uid="{00000000-0005-0000-0000-0000A4100000}"/>
    <cellStyle name="Note 17 2" xfId="3798" xr:uid="{00000000-0005-0000-0000-0000A5100000}"/>
    <cellStyle name="Note 17 3" xfId="12350" xr:uid="{00000000-0005-0000-0000-0000A6100000}"/>
    <cellStyle name="Note 17 4" xfId="12411" xr:uid="{00000000-0005-0000-0000-0000A7100000}"/>
    <cellStyle name="Note 17 5" xfId="12469" xr:uid="{00000000-0005-0000-0000-0000A8100000}"/>
    <cellStyle name="Note 18" xfId="720" xr:uid="{00000000-0005-0000-0000-0000A9100000}"/>
    <cellStyle name="Note 18 2" xfId="3799" xr:uid="{00000000-0005-0000-0000-0000AA100000}"/>
    <cellStyle name="Note 18 3" xfId="12351" xr:uid="{00000000-0005-0000-0000-0000AB100000}"/>
    <cellStyle name="Note 18 4" xfId="12412" xr:uid="{00000000-0005-0000-0000-0000AC100000}"/>
    <cellStyle name="Note 18 5" xfId="12519" xr:uid="{00000000-0005-0000-0000-0000AD100000}"/>
    <cellStyle name="Note 19" xfId="721" xr:uid="{00000000-0005-0000-0000-0000AE100000}"/>
    <cellStyle name="Note 19 2" xfId="3800" xr:uid="{00000000-0005-0000-0000-0000AF100000}"/>
    <cellStyle name="Note 19 3" xfId="12352" xr:uid="{00000000-0005-0000-0000-0000B0100000}"/>
    <cellStyle name="Note 19 4" xfId="12413" xr:uid="{00000000-0005-0000-0000-0000B1100000}"/>
    <cellStyle name="Note 19 5" xfId="12512" xr:uid="{00000000-0005-0000-0000-0000B2100000}"/>
    <cellStyle name="Note 2" xfId="722" xr:uid="{00000000-0005-0000-0000-0000B3100000}"/>
    <cellStyle name="Note 2 2" xfId="3801" xr:uid="{00000000-0005-0000-0000-0000B4100000}"/>
    <cellStyle name="Note 2 3" xfId="12353" xr:uid="{00000000-0005-0000-0000-0000B5100000}"/>
    <cellStyle name="Note 2 4" xfId="12414" xr:uid="{00000000-0005-0000-0000-0000B6100000}"/>
    <cellStyle name="Note 2 5" xfId="12503" xr:uid="{00000000-0005-0000-0000-0000B7100000}"/>
    <cellStyle name="Note 20" xfId="3802" xr:uid="{00000000-0005-0000-0000-0000B8100000}"/>
    <cellStyle name="Note 20 2" xfId="3803" xr:uid="{00000000-0005-0000-0000-0000B9100000}"/>
    <cellStyle name="Note 21" xfId="3804" xr:uid="{00000000-0005-0000-0000-0000BA100000}"/>
    <cellStyle name="Note 21 2" xfId="3805" xr:uid="{00000000-0005-0000-0000-0000BB100000}"/>
    <cellStyle name="Note 22" xfId="3806" xr:uid="{00000000-0005-0000-0000-0000BC100000}"/>
    <cellStyle name="Note 22 2" xfId="3807" xr:uid="{00000000-0005-0000-0000-0000BD100000}"/>
    <cellStyle name="Note 23" xfId="3808" xr:uid="{00000000-0005-0000-0000-0000BE100000}"/>
    <cellStyle name="Note 23 2" xfId="3809" xr:uid="{00000000-0005-0000-0000-0000BF100000}"/>
    <cellStyle name="Note 24" xfId="3810" xr:uid="{00000000-0005-0000-0000-0000C0100000}"/>
    <cellStyle name="Note 24 2" xfId="3811" xr:uid="{00000000-0005-0000-0000-0000C1100000}"/>
    <cellStyle name="Note 25" xfId="3812" xr:uid="{00000000-0005-0000-0000-0000C2100000}"/>
    <cellStyle name="Note 25 2" xfId="3813" xr:uid="{00000000-0005-0000-0000-0000C3100000}"/>
    <cellStyle name="Note 26" xfId="3814" xr:uid="{00000000-0005-0000-0000-0000C4100000}"/>
    <cellStyle name="Note 26 2" xfId="3815" xr:uid="{00000000-0005-0000-0000-0000C5100000}"/>
    <cellStyle name="Note 27" xfId="3816" xr:uid="{00000000-0005-0000-0000-0000C6100000}"/>
    <cellStyle name="Note 27 2" xfId="3817" xr:uid="{00000000-0005-0000-0000-0000C7100000}"/>
    <cellStyle name="Note 28" xfId="3818" xr:uid="{00000000-0005-0000-0000-0000C8100000}"/>
    <cellStyle name="Note 28 2" xfId="3819" xr:uid="{00000000-0005-0000-0000-0000C9100000}"/>
    <cellStyle name="Note 29" xfId="3820" xr:uid="{00000000-0005-0000-0000-0000CA100000}"/>
    <cellStyle name="Note 29 2" xfId="3821" xr:uid="{00000000-0005-0000-0000-0000CB100000}"/>
    <cellStyle name="Note 3" xfId="723" xr:uid="{00000000-0005-0000-0000-0000CC100000}"/>
    <cellStyle name="Note 3 2" xfId="3822" xr:uid="{00000000-0005-0000-0000-0000CD100000}"/>
    <cellStyle name="Note 3 3" xfId="12354" xr:uid="{00000000-0005-0000-0000-0000CE100000}"/>
    <cellStyle name="Note 3 4" xfId="12415" xr:uid="{00000000-0005-0000-0000-0000CF100000}"/>
    <cellStyle name="Note 3 5" xfId="12488" xr:uid="{00000000-0005-0000-0000-0000D0100000}"/>
    <cellStyle name="Note 30" xfId="3823" xr:uid="{00000000-0005-0000-0000-0000D1100000}"/>
    <cellStyle name="Note 30 2" xfId="3824" xr:uid="{00000000-0005-0000-0000-0000D2100000}"/>
    <cellStyle name="Note 31" xfId="3825" xr:uid="{00000000-0005-0000-0000-0000D3100000}"/>
    <cellStyle name="Note 31 2" xfId="3826" xr:uid="{00000000-0005-0000-0000-0000D4100000}"/>
    <cellStyle name="Note 32" xfId="3827" xr:uid="{00000000-0005-0000-0000-0000D5100000}"/>
    <cellStyle name="Note 32 2" xfId="3828" xr:uid="{00000000-0005-0000-0000-0000D6100000}"/>
    <cellStyle name="Note 33" xfId="3829" xr:uid="{00000000-0005-0000-0000-0000D7100000}"/>
    <cellStyle name="Note 33 2" xfId="3830" xr:uid="{00000000-0005-0000-0000-0000D8100000}"/>
    <cellStyle name="Note 34" xfId="3831" xr:uid="{00000000-0005-0000-0000-0000D9100000}"/>
    <cellStyle name="Note 34 2" xfId="3832" xr:uid="{00000000-0005-0000-0000-0000DA100000}"/>
    <cellStyle name="Note 35" xfId="3833" xr:uid="{00000000-0005-0000-0000-0000DB100000}"/>
    <cellStyle name="Note 35 2" xfId="3834" xr:uid="{00000000-0005-0000-0000-0000DC100000}"/>
    <cellStyle name="Note 36" xfId="3835" xr:uid="{00000000-0005-0000-0000-0000DD100000}"/>
    <cellStyle name="Note 36 2" xfId="3836" xr:uid="{00000000-0005-0000-0000-0000DE100000}"/>
    <cellStyle name="Note 37" xfId="3837" xr:uid="{00000000-0005-0000-0000-0000DF100000}"/>
    <cellStyle name="Note 37 2" xfId="3838" xr:uid="{00000000-0005-0000-0000-0000E0100000}"/>
    <cellStyle name="Note 38" xfId="3839" xr:uid="{00000000-0005-0000-0000-0000E1100000}"/>
    <cellStyle name="Note 38 2" xfId="3840" xr:uid="{00000000-0005-0000-0000-0000E2100000}"/>
    <cellStyle name="Note 39" xfId="3841" xr:uid="{00000000-0005-0000-0000-0000E3100000}"/>
    <cellStyle name="Note 39 2" xfId="3842" xr:uid="{00000000-0005-0000-0000-0000E4100000}"/>
    <cellStyle name="Note 4" xfId="724" xr:uid="{00000000-0005-0000-0000-0000E5100000}"/>
    <cellStyle name="Note 4 2" xfId="3843" xr:uid="{00000000-0005-0000-0000-0000E6100000}"/>
    <cellStyle name="Note 4 3" xfId="12355" xr:uid="{00000000-0005-0000-0000-0000E7100000}"/>
    <cellStyle name="Note 4 4" xfId="12416" xr:uid="{00000000-0005-0000-0000-0000E8100000}"/>
    <cellStyle name="Note 4 5" xfId="12487" xr:uid="{00000000-0005-0000-0000-0000E9100000}"/>
    <cellStyle name="Note 40" xfId="3844" xr:uid="{00000000-0005-0000-0000-0000EA100000}"/>
    <cellStyle name="Note 40 2" xfId="3845" xr:uid="{00000000-0005-0000-0000-0000EB100000}"/>
    <cellStyle name="Note 41" xfId="3846" xr:uid="{00000000-0005-0000-0000-0000EC100000}"/>
    <cellStyle name="Note 41 2" xfId="3847" xr:uid="{00000000-0005-0000-0000-0000ED100000}"/>
    <cellStyle name="Note 42" xfId="3848" xr:uid="{00000000-0005-0000-0000-0000EE100000}"/>
    <cellStyle name="Note 42 2" xfId="3849" xr:uid="{00000000-0005-0000-0000-0000EF100000}"/>
    <cellStyle name="Note 43" xfId="3850" xr:uid="{00000000-0005-0000-0000-0000F0100000}"/>
    <cellStyle name="Note 43 2" xfId="3851" xr:uid="{00000000-0005-0000-0000-0000F1100000}"/>
    <cellStyle name="Note 44" xfId="3852" xr:uid="{00000000-0005-0000-0000-0000F2100000}"/>
    <cellStyle name="Note 44 2" xfId="3853" xr:uid="{00000000-0005-0000-0000-0000F3100000}"/>
    <cellStyle name="Note 45" xfId="3854" xr:uid="{00000000-0005-0000-0000-0000F4100000}"/>
    <cellStyle name="Note 45 2" xfId="3855" xr:uid="{00000000-0005-0000-0000-0000F5100000}"/>
    <cellStyle name="Note 46" xfId="3856" xr:uid="{00000000-0005-0000-0000-0000F6100000}"/>
    <cellStyle name="Note 46 2" xfId="3857" xr:uid="{00000000-0005-0000-0000-0000F7100000}"/>
    <cellStyle name="Note 47" xfId="3858" xr:uid="{00000000-0005-0000-0000-0000F8100000}"/>
    <cellStyle name="Note 47 2" xfId="3859" xr:uid="{00000000-0005-0000-0000-0000F9100000}"/>
    <cellStyle name="Note 48" xfId="3860" xr:uid="{00000000-0005-0000-0000-0000FA100000}"/>
    <cellStyle name="Note 48 2" xfId="3861" xr:uid="{00000000-0005-0000-0000-0000FB100000}"/>
    <cellStyle name="Note 49" xfId="3862" xr:uid="{00000000-0005-0000-0000-0000FC100000}"/>
    <cellStyle name="Note 49 2" xfId="3863" xr:uid="{00000000-0005-0000-0000-0000FD100000}"/>
    <cellStyle name="Note 5" xfId="725" xr:uid="{00000000-0005-0000-0000-0000FE100000}"/>
    <cellStyle name="Note 5 2" xfId="3864" xr:uid="{00000000-0005-0000-0000-0000FF100000}"/>
    <cellStyle name="Note 5 3" xfId="12356" xr:uid="{00000000-0005-0000-0000-000000110000}"/>
    <cellStyle name="Note 5 4" xfId="12417" xr:uid="{00000000-0005-0000-0000-000001110000}"/>
    <cellStyle name="Note 5 5" xfId="12474" xr:uid="{00000000-0005-0000-0000-000002110000}"/>
    <cellStyle name="Note 50" xfId="3865" xr:uid="{00000000-0005-0000-0000-000003110000}"/>
    <cellStyle name="Note 50 2" xfId="3866" xr:uid="{00000000-0005-0000-0000-000004110000}"/>
    <cellStyle name="Note 51" xfId="3867" xr:uid="{00000000-0005-0000-0000-000005110000}"/>
    <cellStyle name="Note 51 2" xfId="3868" xr:uid="{00000000-0005-0000-0000-000006110000}"/>
    <cellStyle name="Note 52" xfId="3869" xr:uid="{00000000-0005-0000-0000-000007110000}"/>
    <cellStyle name="Note 6" xfId="726" xr:uid="{00000000-0005-0000-0000-000008110000}"/>
    <cellStyle name="Note 6 2" xfId="3870" xr:uid="{00000000-0005-0000-0000-000009110000}"/>
    <cellStyle name="Note 6 3" xfId="12357" xr:uid="{00000000-0005-0000-0000-00000A110000}"/>
    <cellStyle name="Note 6 4" xfId="12418" xr:uid="{00000000-0005-0000-0000-00000B110000}"/>
    <cellStyle name="Note 6 5" xfId="12508" xr:uid="{00000000-0005-0000-0000-00000C110000}"/>
    <cellStyle name="Note 7" xfId="727" xr:uid="{00000000-0005-0000-0000-00000D110000}"/>
    <cellStyle name="Note 7 2" xfId="3871" xr:uid="{00000000-0005-0000-0000-00000E110000}"/>
    <cellStyle name="Note 7 3" xfId="12358" xr:uid="{00000000-0005-0000-0000-00000F110000}"/>
    <cellStyle name="Note 7 4" xfId="12419" xr:uid="{00000000-0005-0000-0000-000010110000}"/>
    <cellStyle name="Note 7 5" xfId="12495" xr:uid="{00000000-0005-0000-0000-000011110000}"/>
    <cellStyle name="Note 8" xfId="728" xr:uid="{00000000-0005-0000-0000-000012110000}"/>
    <cellStyle name="Note 8 2" xfId="3872" xr:uid="{00000000-0005-0000-0000-000013110000}"/>
    <cellStyle name="Note 8 3" xfId="12359" xr:uid="{00000000-0005-0000-0000-000014110000}"/>
    <cellStyle name="Note 8 4" xfId="12420" xr:uid="{00000000-0005-0000-0000-000015110000}"/>
    <cellStyle name="Note 8 5" xfId="12490" xr:uid="{00000000-0005-0000-0000-000016110000}"/>
    <cellStyle name="Note 9" xfId="729" xr:uid="{00000000-0005-0000-0000-000017110000}"/>
    <cellStyle name="Note 9 2" xfId="3873" xr:uid="{00000000-0005-0000-0000-000018110000}"/>
    <cellStyle name="Note 9 3" xfId="12360" xr:uid="{00000000-0005-0000-0000-000019110000}"/>
    <cellStyle name="Note 9 4" xfId="12421" xr:uid="{00000000-0005-0000-0000-00001A110000}"/>
    <cellStyle name="Note 9 5" xfId="12494" xr:uid="{00000000-0005-0000-0000-00001B110000}"/>
    <cellStyle name="Output" xfId="10" builtinId="21" customBuiltin="1"/>
    <cellStyle name="Output 10" xfId="730" xr:uid="{00000000-0005-0000-0000-00001D110000}"/>
    <cellStyle name="Output 10 2" xfId="3874" xr:uid="{00000000-0005-0000-0000-00001E110000}"/>
    <cellStyle name="Output 11" xfId="731" xr:uid="{00000000-0005-0000-0000-00001F110000}"/>
    <cellStyle name="Output 11 2" xfId="3875" xr:uid="{00000000-0005-0000-0000-000020110000}"/>
    <cellStyle name="Output 12" xfId="732" xr:uid="{00000000-0005-0000-0000-000021110000}"/>
    <cellStyle name="Output 12 2" xfId="3876" xr:uid="{00000000-0005-0000-0000-000022110000}"/>
    <cellStyle name="Output 13" xfId="733" xr:uid="{00000000-0005-0000-0000-000023110000}"/>
    <cellStyle name="Output 13 2" xfId="3877" xr:uid="{00000000-0005-0000-0000-000024110000}"/>
    <cellStyle name="Output 14" xfId="734" xr:uid="{00000000-0005-0000-0000-000025110000}"/>
    <cellStyle name="Output 14 2" xfId="3878" xr:uid="{00000000-0005-0000-0000-000026110000}"/>
    <cellStyle name="Output 15" xfId="735" xr:uid="{00000000-0005-0000-0000-000027110000}"/>
    <cellStyle name="Output 15 2" xfId="3879" xr:uid="{00000000-0005-0000-0000-000028110000}"/>
    <cellStyle name="Output 16" xfId="736" xr:uid="{00000000-0005-0000-0000-000029110000}"/>
    <cellStyle name="Output 16 2" xfId="3880" xr:uid="{00000000-0005-0000-0000-00002A110000}"/>
    <cellStyle name="Output 17" xfId="737" xr:uid="{00000000-0005-0000-0000-00002B110000}"/>
    <cellStyle name="Output 17 2" xfId="3881" xr:uid="{00000000-0005-0000-0000-00002C110000}"/>
    <cellStyle name="Output 18" xfId="738" xr:uid="{00000000-0005-0000-0000-00002D110000}"/>
    <cellStyle name="Output 18 2" xfId="3882" xr:uid="{00000000-0005-0000-0000-00002E110000}"/>
    <cellStyle name="Output 19" xfId="739" xr:uid="{00000000-0005-0000-0000-00002F110000}"/>
    <cellStyle name="Output 19 2" xfId="3883" xr:uid="{00000000-0005-0000-0000-000030110000}"/>
    <cellStyle name="Output 2" xfId="740" xr:uid="{00000000-0005-0000-0000-000031110000}"/>
    <cellStyle name="Output 20" xfId="3884" xr:uid="{00000000-0005-0000-0000-000032110000}"/>
    <cellStyle name="Output 20 2" xfId="3885" xr:uid="{00000000-0005-0000-0000-000033110000}"/>
    <cellStyle name="Output 21" xfId="3886" xr:uid="{00000000-0005-0000-0000-000034110000}"/>
    <cellStyle name="Output 21 2" xfId="3887" xr:uid="{00000000-0005-0000-0000-000035110000}"/>
    <cellStyle name="Output 22" xfId="3888" xr:uid="{00000000-0005-0000-0000-000036110000}"/>
    <cellStyle name="Output 22 2" xfId="3889" xr:uid="{00000000-0005-0000-0000-000037110000}"/>
    <cellStyle name="Output 23" xfId="3890" xr:uid="{00000000-0005-0000-0000-000038110000}"/>
    <cellStyle name="Output 23 2" xfId="3891" xr:uid="{00000000-0005-0000-0000-000039110000}"/>
    <cellStyle name="Output 24" xfId="3892" xr:uid="{00000000-0005-0000-0000-00003A110000}"/>
    <cellStyle name="Output 24 2" xfId="3893" xr:uid="{00000000-0005-0000-0000-00003B110000}"/>
    <cellStyle name="Output 25" xfId="3894" xr:uid="{00000000-0005-0000-0000-00003C110000}"/>
    <cellStyle name="Output 25 2" xfId="3895" xr:uid="{00000000-0005-0000-0000-00003D110000}"/>
    <cellStyle name="Output 26" xfId="3896" xr:uid="{00000000-0005-0000-0000-00003E110000}"/>
    <cellStyle name="Output 26 2" xfId="3897" xr:uid="{00000000-0005-0000-0000-00003F110000}"/>
    <cellStyle name="Output 27" xfId="3898" xr:uid="{00000000-0005-0000-0000-000040110000}"/>
    <cellStyle name="Output 27 2" xfId="3899" xr:uid="{00000000-0005-0000-0000-000041110000}"/>
    <cellStyle name="Output 28" xfId="3900" xr:uid="{00000000-0005-0000-0000-000042110000}"/>
    <cellStyle name="Output 28 2" xfId="3901" xr:uid="{00000000-0005-0000-0000-000043110000}"/>
    <cellStyle name="Output 29" xfId="3902" xr:uid="{00000000-0005-0000-0000-000044110000}"/>
    <cellStyle name="Output 29 2" xfId="3903" xr:uid="{00000000-0005-0000-0000-000045110000}"/>
    <cellStyle name="Output 3" xfId="741" xr:uid="{00000000-0005-0000-0000-000046110000}"/>
    <cellStyle name="Output 3 2" xfId="3904" xr:uid="{00000000-0005-0000-0000-000047110000}"/>
    <cellStyle name="Output 30" xfId="3905" xr:uid="{00000000-0005-0000-0000-000048110000}"/>
    <cellStyle name="Output 30 2" xfId="3906" xr:uid="{00000000-0005-0000-0000-000049110000}"/>
    <cellStyle name="Output 31" xfId="3907" xr:uid="{00000000-0005-0000-0000-00004A110000}"/>
    <cellStyle name="Output 31 2" xfId="3908" xr:uid="{00000000-0005-0000-0000-00004B110000}"/>
    <cellStyle name="Output 32" xfId="3909" xr:uid="{00000000-0005-0000-0000-00004C110000}"/>
    <cellStyle name="Output 32 2" xfId="3910" xr:uid="{00000000-0005-0000-0000-00004D110000}"/>
    <cellStyle name="Output 33" xfId="3911" xr:uid="{00000000-0005-0000-0000-00004E110000}"/>
    <cellStyle name="Output 33 2" xfId="3912" xr:uid="{00000000-0005-0000-0000-00004F110000}"/>
    <cellStyle name="Output 34" xfId="3913" xr:uid="{00000000-0005-0000-0000-000050110000}"/>
    <cellStyle name="Output 34 2" xfId="3914" xr:uid="{00000000-0005-0000-0000-000051110000}"/>
    <cellStyle name="Output 35" xfId="3915" xr:uid="{00000000-0005-0000-0000-000052110000}"/>
    <cellStyle name="Output 35 2" xfId="3916" xr:uid="{00000000-0005-0000-0000-000053110000}"/>
    <cellStyle name="Output 36" xfId="3917" xr:uid="{00000000-0005-0000-0000-000054110000}"/>
    <cellStyle name="Output 36 2" xfId="3918" xr:uid="{00000000-0005-0000-0000-000055110000}"/>
    <cellStyle name="Output 37" xfId="3919" xr:uid="{00000000-0005-0000-0000-000056110000}"/>
    <cellStyle name="Output 37 2" xfId="3920" xr:uid="{00000000-0005-0000-0000-000057110000}"/>
    <cellStyle name="Output 38" xfId="3921" xr:uid="{00000000-0005-0000-0000-000058110000}"/>
    <cellStyle name="Output 38 2" xfId="3922" xr:uid="{00000000-0005-0000-0000-000059110000}"/>
    <cellStyle name="Output 39" xfId="3923" xr:uid="{00000000-0005-0000-0000-00005A110000}"/>
    <cellStyle name="Output 39 2" xfId="3924" xr:uid="{00000000-0005-0000-0000-00005B110000}"/>
    <cellStyle name="Output 4" xfId="742" xr:uid="{00000000-0005-0000-0000-00005C110000}"/>
    <cellStyle name="Output 4 2" xfId="3925" xr:uid="{00000000-0005-0000-0000-00005D110000}"/>
    <cellStyle name="Output 40" xfId="3926" xr:uid="{00000000-0005-0000-0000-00005E110000}"/>
    <cellStyle name="Output 40 2" xfId="3927" xr:uid="{00000000-0005-0000-0000-00005F110000}"/>
    <cellStyle name="Output 41" xfId="3928" xr:uid="{00000000-0005-0000-0000-000060110000}"/>
    <cellStyle name="Output 41 2" xfId="3929" xr:uid="{00000000-0005-0000-0000-000061110000}"/>
    <cellStyle name="Output 42" xfId="3930" xr:uid="{00000000-0005-0000-0000-000062110000}"/>
    <cellStyle name="Output 42 2" xfId="3931" xr:uid="{00000000-0005-0000-0000-000063110000}"/>
    <cellStyle name="Output 43" xfId="3932" xr:uid="{00000000-0005-0000-0000-000064110000}"/>
    <cellStyle name="Output 43 2" xfId="3933" xr:uid="{00000000-0005-0000-0000-000065110000}"/>
    <cellStyle name="Output 44" xfId="3934" xr:uid="{00000000-0005-0000-0000-000066110000}"/>
    <cellStyle name="Output 44 2" xfId="3935" xr:uid="{00000000-0005-0000-0000-000067110000}"/>
    <cellStyle name="Output 45" xfId="3936" xr:uid="{00000000-0005-0000-0000-000068110000}"/>
    <cellStyle name="Output 45 2" xfId="3937" xr:uid="{00000000-0005-0000-0000-000069110000}"/>
    <cellStyle name="Output 46" xfId="3938" xr:uid="{00000000-0005-0000-0000-00006A110000}"/>
    <cellStyle name="Output 46 2" xfId="3939" xr:uid="{00000000-0005-0000-0000-00006B110000}"/>
    <cellStyle name="Output 47" xfId="3940" xr:uid="{00000000-0005-0000-0000-00006C110000}"/>
    <cellStyle name="Output 47 2" xfId="3941" xr:uid="{00000000-0005-0000-0000-00006D110000}"/>
    <cellStyle name="Output 48" xfId="3942" xr:uid="{00000000-0005-0000-0000-00006E110000}"/>
    <cellStyle name="Output 48 2" xfId="3943" xr:uid="{00000000-0005-0000-0000-00006F110000}"/>
    <cellStyle name="Output 49" xfId="3944" xr:uid="{00000000-0005-0000-0000-000070110000}"/>
    <cellStyle name="Output 49 2" xfId="3945" xr:uid="{00000000-0005-0000-0000-000071110000}"/>
    <cellStyle name="Output 5" xfId="743" xr:uid="{00000000-0005-0000-0000-000072110000}"/>
    <cellStyle name="Output 5 2" xfId="3946" xr:uid="{00000000-0005-0000-0000-000073110000}"/>
    <cellStyle name="Output 50" xfId="3947" xr:uid="{00000000-0005-0000-0000-000074110000}"/>
    <cellStyle name="Output 50 2" xfId="3948" xr:uid="{00000000-0005-0000-0000-000075110000}"/>
    <cellStyle name="Output 51" xfId="3949" xr:uid="{00000000-0005-0000-0000-000076110000}"/>
    <cellStyle name="Output 51 2" xfId="3950" xr:uid="{00000000-0005-0000-0000-000077110000}"/>
    <cellStyle name="Output 52" xfId="3951" xr:uid="{00000000-0005-0000-0000-000078110000}"/>
    <cellStyle name="Output 6" xfId="744" xr:uid="{00000000-0005-0000-0000-000079110000}"/>
    <cellStyle name="Output 6 2" xfId="3952" xr:uid="{00000000-0005-0000-0000-00007A110000}"/>
    <cellStyle name="Output 7" xfId="745" xr:uid="{00000000-0005-0000-0000-00007B110000}"/>
    <cellStyle name="Output 7 2" xfId="3953" xr:uid="{00000000-0005-0000-0000-00007C110000}"/>
    <cellStyle name="Output 8" xfId="746" xr:uid="{00000000-0005-0000-0000-00007D110000}"/>
    <cellStyle name="Output 8 2" xfId="3954" xr:uid="{00000000-0005-0000-0000-00007E110000}"/>
    <cellStyle name="Output 9" xfId="747" xr:uid="{00000000-0005-0000-0000-00007F110000}"/>
    <cellStyle name="Output 9 2" xfId="3955" xr:uid="{00000000-0005-0000-0000-000080110000}"/>
    <cellStyle name="Title" xfId="1" builtinId="15" customBuiltin="1"/>
    <cellStyle name="Title 10" xfId="748" xr:uid="{00000000-0005-0000-0000-000082110000}"/>
    <cellStyle name="Title 10 2" xfId="3956" xr:uid="{00000000-0005-0000-0000-000083110000}"/>
    <cellStyle name="Title 11" xfId="749" xr:uid="{00000000-0005-0000-0000-000084110000}"/>
    <cellStyle name="Title 11 2" xfId="3957" xr:uid="{00000000-0005-0000-0000-000085110000}"/>
    <cellStyle name="Title 12" xfId="750" xr:uid="{00000000-0005-0000-0000-000086110000}"/>
    <cellStyle name="Title 12 2" xfId="3958" xr:uid="{00000000-0005-0000-0000-000087110000}"/>
    <cellStyle name="Title 13" xfId="751" xr:uid="{00000000-0005-0000-0000-000088110000}"/>
    <cellStyle name="Title 13 2" xfId="3959" xr:uid="{00000000-0005-0000-0000-000089110000}"/>
    <cellStyle name="Title 14" xfId="752" xr:uid="{00000000-0005-0000-0000-00008A110000}"/>
    <cellStyle name="Title 14 2" xfId="3960" xr:uid="{00000000-0005-0000-0000-00008B110000}"/>
    <cellStyle name="Title 15" xfId="753" xr:uid="{00000000-0005-0000-0000-00008C110000}"/>
    <cellStyle name="Title 15 2" xfId="3961" xr:uid="{00000000-0005-0000-0000-00008D110000}"/>
    <cellStyle name="Title 16" xfId="754" xr:uid="{00000000-0005-0000-0000-00008E110000}"/>
    <cellStyle name="Title 16 2" xfId="3962" xr:uid="{00000000-0005-0000-0000-00008F110000}"/>
    <cellStyle name="Title 17" xfId="755" xr:uid="{00000000-0005-0000-0000-000090110000}"/>
    <cellStyle name="Title 17 2" xfId="3963" xr:uid="{00000000-0005-0000-0000-000091110000}"/>
    <cellStyle name="Title 18" xfId="756" xr:uid="{00000000-0005-0000-0000-000092110000}"/>
    <cellStyle name="Title 18 2" xfId="3964" xr:uid="{00000000-0005-0000-0000-000093110000}"/>
    <cellStyle name="Title 19" xfId="757" xr:uid="{00000000-0005-0000-0000-000094110000}"/>
    <cellStyle name="Title 19 2" xfId="3965" xr:uid="{00000000-0005-0000-0000-000095110000}"/>
    <cellStyle name="Title 2" xfId="758" xr:uid="{00000000-0005-0000-0000-000096110000}"/>
    <cellStyle name="Title 20" xfId="3966" xr:uid="{00000000-0005-0000-0000-000097110000}"/>
    <cellStyle name="Title 20 2" xfId="3967" xr:uid="{00000000-0005-0000-0000-000098110000}"/>
    <cellStyle name="Title 21" xfId="3968" xr:uid="{00000000-0005-0000-0000-000099110000}"/>
    <cellStyle name="Title 21 2" xfId="3969" xr:uid="{00000000-0005-0000-0000-00009A110000}"/>
    <cellStyle name="Title 22" xfId="3970" xr:uid="{00000000-0005-0000-0000-00009B110000}"/>
    <cellStyle name="Title 22 2" xfId="3971" xr:uid="{00000000-0005-0000-0000-00009C110000}"/>
    <cellStyle name="Title 23" xfId="3972" xr:uid="{00000000-0005-0000-0000-00009D110000}"/>
    <cellStyle name="Title 23 2" xfId="3973" xr:uid="{00000000-0005-0000-0000-00009E110000}"/>
    <cellStyle name="Title 24" xfId="3974" xr:uid="{00000000-0005-0000-0000-00009F110000}"/>
    <cellStyle name="Title 24 2" xfId="3975" xr:uid="{00000000-0005-0000-0000-0000A0110000}"/>
    <cellStyle name="Title 25" xfId="3976" xr:uid="{00000000-0005-0000-0000-0000A1110000}"/>
    <cellStyle name="Title 25 2" xfId="3977" xr:uid="{00000000-0005-0000-0000-0000A2110000}"/>
    <cellStyle name="Title 26" xfId="3978" xr:uid="{00000000-0005-0000-0000-0000A3110000}"/>
    <cellStyle name="Title 26 2" xfId="3979" xr:uid="{00000000-0005-0000-0000-0000A4110000}"/>
    <cellStyle name="Title 27" xfId="3980" xr:uid="{00000000-0005-0000-0000-0000A5110000}"/>
    <cellStyle name="Title 27 2" xfId="3981" xr:uid="{00000000-0005-0000-0000-0000A6110000}"/>
    <cellStyle name="Title 28" xfId="3982" xr:uid="{00000000-0005-0000-0000-0000A7110000}"/>
    <cellStyle name="Title 28 2" xfId="3983" xr:uid="{00000000-0005-0000-0000-0000A8110000}"/>
    <cellStyle name="Title 29" xfId="3984" xr:uid="{00000000-0005-0000-0000-0000A9110000}"/>
    <cellStyle name="Title 29 2" xfId="3985" xr:uid="{00000000-0005-0000-0000-0000AA110000}"/>
    <cellStyle name="Title 3" xfId="759" xr:uid="{00000000-0005-0000-0000-0000AB110000}"/>
    <cellStyle name="Title 3 2" xfId="3986" xr:uid="{00000000-0005-0000-0000-0000AC110000}"/>
    <cellStyle name="Title 30" xfId="3987" xr:uid="{00000000-0005-0000-0000-0000AD110000}"/>
    <cellStyle name="Title 30 2" xfId="3988" xr:uid="{00000000-0005-0000-0000-0000AE110000}"/>
    <cellStyle name="Title 31" xfId="3989" xr:uid="{00000000-0005-0000-0000-0000AF110000}"/>
    <cellStyle name="Title 31 2" xfId="3990" xr:uid="{00000000-0005-0000-0000-0000B0110000}"/>
    <cellStyle name="Title 32" xfId="3991" xr:uid="{00000000-0005-0000-0000-0000B1110000}"/>
    <cellStyle name="Title 32 2" xfId="3992" xr:uid="{00000000-0005-0000-0000-0000B2110000}"/>
    <cellStyle name="Title 33" xfId="3993" xr:uid="{00000000-0005-0000-0000-0000B3110000}"/>
    <cellStyle name="Title 33 2" xfId="3994" xr:uid="{00000000-0005-0000-0000-0000B4110000}"/>
    <cellStyle name="Title 34" xfId="3995" xr:uid="{00000000-0005-0000-0000-0000B5110000}"/>
    <cellStyle name="Title 34 2" xfId="3996" xr:uid="{00000000-0005-0000-0000-0000B6110000}"/>
    <cellStyle name="Title 35" xfId="3997" xr:uid="{00000000-0005-0000-0000-0000B7110000}"/>
    <cellStyle name="Title 35 2" xfId="3998" xr:uid="{00000000-0005-0000-0000-0000B8110000}"/>
    <cellStyle name="Title 36" xfId="3999" xr:uid="{00000000-0005-0000-0000-0000B9110000}"/>
    <cellStyle name="Title 36 2" xfId="4000" xr:uid="{00000000-0005-0000-0000-0000BA110000}"/>
    <cellStyle name="Title 37" xfId="4001" xr:uid="{00000000-0005-0000-0000-0000BB110000}"/>
    <cellStyle name="Title 37 2" xfId="4002" xr:uid="{00000000-0005-0000-0000-0000BC110000}"/>
    <cellStyle name="Title 38" xfId="4003" xr:uid="{00000000-0005-0000-0000-0000BD110000}"/>
    <cellStyle name="Title 38 2" xfId="4004" xr:uid="{00000000-0005-0000-0000-0000BE110000}"/>
    <cellStyle name="Title 39" xfId="4005" xr:uid="{00000000-0005-0000-0000-0000BF110000}"/>
    <cellStyle name="Title 39 2" xfId="4006" xr:uid="{00000000-0005-0000-0000-0000C0110000}"/>
    <cellStyle name="Title 4" xfId="760" xr:uid="{00000000-0005-0000-0000-0000C1110000}"/>
    <cellStyle name="Title 4 2" xfId="4007" xr:uid="{00000000-0005-0000-0000-0000C2110000}"/>
    <cellStyle name="Title 40" xfId="4008" xr:uid="{00000000-0005-0000-0000-0000C3110000}"/>
    <cellStyle name="Title 40 2" xfId="4009" xr:uid="{00000000-0005-0000-0000-0000C4110000}"/>
    <cellStyle name="Title 41" xfId="4010" xr:uid="{00000000-0005-0000-0000-0000C5110000}"/>
    <cellStyle name="Title 41 2" xfId="4011" xr:uid="{00000000-0005-0000-0000-0000C6110000}"/>
    <cellStyle name="Title 42" xfId="4012" xr:uid="{00000000-0005-0000-0000-0000C7110000}"/>
    <cellStyle name="Title 42 2" xfId="4013" xr:uid="{00000000-0005-0000-0000-0000C8110000}"/>
    <cellStyle name="Title 43" xfId="4014" xr:uid="{00000000-0005-0000-0000-0000C9110000}"/>
    <cellStyle name="Title 43 2" xfId="4015" xr:uid="{00000000-0005-0000-0000-0000CA110000}"/>
    <cellStyle name="Title 44" xfId="4016" xr:uid="{00000000-0005-0000-0000-0000CB110000}"/>
    <cellStyle name="Title 44 2" xfId="4017" xr:uid="{00000000-0005-0000-0000-0000CC110000}"/>
    <cellStyle name="Title 45" xfId="4018" xr:uid="{00000000-0005-0000-0000-0000CD110000}"/>
    <cellStyle name="Title 45 2" xfId="4019" xr:uid="{00000000-0005-0000-0000-0000CE110000}"/>
    <cellStyle name="Title 46" xfId="4020" xr:uid="{00000000-0005-0000-0000-0000CF110000}"/>
    <cellStyle name="Title 46 2" xfId="4021" xr:uid="{00000000-0005-0000-0000-0000D0110000}"/>
    <cellStyle name="Title 47" xfId="4022" xr:uid="{00000000-0005-0000-0000-0000D1110000}"/>
    <cellStyle name="Title 47 2" xfId="4023" xr:uid="{00000000-0005-0000-0000-0000D2110000}"/>
    <cellStyle name="Title 48" xfId="4024" xr:uid="{00000000-0005-0000-0000-0000D3110000}"/>
    <cellStyle name="Title 48 2" xfId="4025" xr:uid="{00000000-0005-0000-0000-0000D4110000}"/>
    <cellStyle name="Title 49" xfId="4026" xr:uid="{00000000-0005-0000-0000-0000D5110000}"/>
    <cellStyle name="Title 49 2" xfId="4027" xr:uid="{00000000-0005-0000-0000-0000D6110000}"/>
    <cellStyle name="Title 5" xfId="761" xr:uid="{00000000-0005-0000-0000-0000D7110000}"/>
    <cellStyle name="Title 5 2" xfId="4028" xr:uid="{00000000-0005-0000-0000-0000D8110000}"/>
    <cellStyle name="Title 5 2 2" xfId="4213" xr:uid="{00000000-0005-0000-0000-0000D9110000}"/>
    <cellStyle name="Title 5 2 2 10" xfId="8197" xr:uid="{00000000-0005-0000-0000-0000DA110000}"/>
    <cellStyle name="Title 5 2 2 11" xfId="9034" xr:uid="{00000000-0005-0000-0000-0000DB110000}"/>
    <cellStyle name="Title 5 2 2 12" xfId="9017" xr:uid="{00000000-0005-0000-0000-0000DC110000}"/>
    <cellStyle name="Title 5 2 2 13" xfId="9647" xr:uid="{00000000-0005-0000-0000-0000DD110000}"/>
    <cellStyle name="Title 5 2 2 14" xfId="10119" xr:uid="{00000000-0005-0000-0000-0000DE110000}"/>
    <cellStyle name="Title 5 2 2 15" xfId="10722" xr:uid="{00000000-0005-0000-0000-0000DF110000}"/>
    <cellStyle name="Title 5 2 2 16" xfId="11006" xr:uid="{00000000-0005-0000-0000-0000E0110000}"/>
    <cellStyle name="Title 5 2 2 17" xfId="11475" xr:uid="{00000000-0005-0000-0000-0000E1110000}"/>
    <cellStyle name="Title 5 2 2 18" xfId="12323" xr:uid="{00000000-0005-0000-0000-0000E2110000}"/>
    <cellStyle name="Title 5 2 2 19" xfId="12546" xr:uid="{00000000-0005-0000-0000-0000E3110000}"/>
    <cellStyle name="Title 5 2 2 2" xfId="4758" xr:uid="{00000000-0005-0000-0000-0000E4110000}"/>
    <cellStyle name="Title 5 2 2 3" xfId="5196" xr:uid="{00000000-0005-0000-0000-0000E5110000}"/>
    <cellStyle name="Title 5 2 2 4" xfId="5634" xr:uid="{00000000-0005-0000-0000-0000E6110000}"/>
    <cellStyle name="Title 5 2 2 5" xfId="6071" xr:uid="{00000000-0005-0000-0000-0000E7110000}"/>
    <cellStyle name="Title 5 2 2 6" xfId="6508" xr:uid="{00000000-0005-0000-0000-0000E8110000}"/>
    <cellStyle name="Title 5 2 2 7" xfId="6945" xr:uid="{00000000-0005-0000-0000-0000E9110000}"/>
    <cellStyle name="Title 5 2 2 8" xfId="7382" xr:uid="{00000000-0005-0000-0000-0000EA110000}"/>
    <cellStyle name="Title 5 2 2 9" xfId="8230" xr:uid="{00000000-0005-0000-0000-0000EB110000}"/>
    <cellStyle name="Title 5 2 3" xfId="4426" xr:uid="{00000000-0005-0000-0000-0000EC110000}"/>
    <cellStyle name="Title 5 2 3 10" xfId="7984" xr:uid="{00000000-0005-0000-0000-0000ED110000}"/>
    <cellStyle name="Title 5 2 3 11" xfId="9249" xr:uid="{00000000-0005-0000-0000-0000EE110000}"/>
    <cellStyle name="Title 5 2 3 12" xfId="9465" xr:uid="{00000000-0005-0000-0000-0000EF110000}"/>
    <cellStyle name="Title 5 2 3 13" xfId="9862" xr:uid="{00000000-0005-0000-0000-0000F0110000}"/>
    <cellStyle name="Title 5 2 3 14" xfId="10334" xr:uid="{00000000-0005-0000-0000-0000F1110000}"/>
    <cellStyle name="Title 5 2 3 15" xfId="10101" xr:uid="{00000000-0005-0000-0000-0000F2110000}"/>
    <cellStyle name="Title 5 2 3 16" xfId="11221" xr:uid="{00000000-0005-0000-0000-0000F3110000}"/>
    <cellStyle name="Title 5 2 3 17" xfId="11690" xr:uid="{00000000-0005-0000-0000-0000F4110000}"/>
    <cellStyle name="Title 5 2 3 18" xfId="11911" xr:uid="{00000000-0005-0000-0000-0000F5110000}"/>
    <cellStyle name="Title 5 2 3 19" xfId="12761" xr:uid="{00000000-0005-0000-0000-0000F6110000}"/>
    <cellStyle name="Title 5 2 3 2" xfId="4973" xr:uid="{00000000-0005-0000-0000-0000F7110000}"/>
    <cellStyle name="Title 5 2 3 3" xfId="5411" xr:uid="{00000000-0005-0000-0000-0000F8110000}"/>
    <cellStyle name="Title 5 2 3 4" xfId="5849" xr:uid="{00000000-0005-0000-0000-0000F9110000}"/>
    <cellStyle name="Title 5 2 3 5" xfId="6286" xr:uid="{00000000-0005-0000-0000-0000FA110000}"/>
    <cellStyle name="Title 5 2 3 6" xfId="6723" xr:uid="{00000000-0005-0000-0000-0000FB110000}"/>
    <cellStyle name="Title 5 2 3 7" xfId="7160" xr:uid="{00000000-0005-0000-0000-0000FC110000}"/>
    <cellStyle name="Title 5 2 3 8" xfId="7597" xr:uid="{00000000-0005-0000-0000-0000FD110000}"/>
    <cellStyle name="Title 5 2 3 9" xfId="8445" xr:uid="{00000000-0005-0000-0000-0000FE110000}"/>
    <cellStyle name="Title 5 3" xfId="4212" xr:uid="{00000000-0005-0000-0000-0000FF110000}"/>
    <cellStyle name="Title 5 3 10" xfId="8198" xr:uid="{00000000-0005-0000-0000-000000120000}"/>
    <cellStyle name="Title 5 3 11" xfId="9033" xr:uid="{00000000-0005-0000-0000-000001120000}"/>
    <cellStyle name="Title 5 3 12" xfId="9018" xr:uid="{00000000-0005-0000-0000-000002120000}"/>
    <cellStyle name="Title 5 3 13" xfId="9646" xr:uid="{00000000-0005-0000-0000-000003120000}"/>
    <cellStyle name="Title 5 3 14" xfId="10118" xr:uid="{00000000-0005-0000-0000-000004120000}"/>
    <cellStyle name="Title 5 3 15" xfId="10760" xr:uid="{00000000-0005-0000-0000-000005120000}"/>
    <cellStyle name="Title 5 3 16" xfId="11005" xr:uid="{00000000-0005-0000-0000-000006120000}"/>
    <cellStyle name="Title 5 3 17" xfId="11474" xr:uid="{00000000-0005-0000-0000-000007120000}"/>
    <cellStyle name="Title 5 3 18" xfId="11916" xr:uid="{00000000-0005-0000-0000-000008120000}"/>
    <cellStyle name="Title 5 3 19" xfId="12545" xr:uid="{00000000-0005-0000-0000-000009120000}"/>
    <cellStyle name="Title 5 3 2" xfId="4757" xr:uid="{00000000-0005-0000-0000-00000A120000}"/>
    <cellStyle name="Title 5 3 3" xfId="5195" xr:uid="{00000000-0005-0000-0000-00000B120000}"/>
    <cellStyle name="Title 5 3 4" xfId="5633" xr:uid="{00000000-0005-0000-0000-00000C120000}"/>
    <cellStyle name="Title 5 3 5" xfId="6070" xr:uid="{00000000-0005-0000-0000-00000D120000}"/>
    <cellStyle name="Title 5 3 6" xfId="6507" xr:uid="{00000000-0005-0000-0000-00000E120000}"/>
    <cellStyle name="Title 5 3 7" xfId="6944" xr:uid="{00000000-0005-0000-0000-00000F120000}"/>
    <cellStyle name="Title 5 3 8" xfId="7381" xr:uid="{00000000-0005-0000-0000-000010120000}"/>
    <cellStyle name="Title 5 3 9" xfId="8229" xr:uid="{00000000-0005-0000-0000-000011120000}"/>
    <cellStyle name="Title 5 4" xfId="4425" xr:uid="{00000000-0005-0000-0000-000012120000}"/>
    <cellStyle name="Title 5 4 10" xfId="7985" xr:uid="{00000000-0005-0000-0000-000013120000}"/>
    <cellStyle name="Title 5 4 11" xfId="9248" xr:uid="{00000000-0005-0000-0000-000014120000}"/>
    <cellStyle name="Title 5 4 12" xfId="9515" xr:uid="{00000000-0005-0000-0000-000015120000}"/>
    <cellStyle name="Title 5 4 13" xfId="9861" xr:uid="{00000000-0005-0000-0000-000016120000}"/>
    <cellStyle name="Title 5 4 14" xfId="10333" xr:uid="{00000000-0005-0000-0000-000017120000}"/>
    <cellStyle name="Title 5 4 15" xfId="10102" xr:uid="{00000000-0005-0000-0000-000018120000}"/>
    <cellStyle name="Title 5 4 16" xfId="11220" xr:uid="{00000000-0005-0000-0000-000019120000}"/>
    <cellStyle name="Title 5 4 17" xfId="11689" xr:uid="{00000000-0005-0000-0000-00001A120000}"/>
    <cellStyle name="Title 5 4 18" xfId="11940" xr:uid="{00000000-0005-0000-0000-00001B120000}"/>
    <cellStyle name="Title 5 4 19" xfId="12760" xr:uid="{00000000-0005-0000-0000-00001C120000}"/>
    <cellStyle name="Title 5 4 2" xfId="4972" xr:uid="{00000000-0005-0000-0000-00001D120000}"/>
    <cellStyle name="Title 5 4 3" xfId="5410" xr:uid="{00000000-0005-0000-0000-00001E120000}"/>
    <cellStyle name="Title 5 4 4" xfId="5848" xr:uid="{00000000-0005-0000-0000-00001F120000}"/>
    <cellStyle name="Title 5 4 5" xfId="6285" xr:uid="{00000000-0005-0000-0000-000020120000}"/>
    <cellStyle name="Title 5 4 6" xfId="6722" xr:uid="{00000000-0005-0000-0000-000021120000}"/>
    <cellStyle name="Title 5 4 7" xfId="7159" xr:uid="{00000000-0005-0000-0000-000022120000}"/>
    <cellStyle name="Title 5 4 8" xfId="7596" xr:uid="{00000000-0005-0000-0000-000023120000}"/>
    <cellStyle name="Title 5 4 9" xfId="8444" xr:uid="{00000000-0005-0000-0000-000024120000}"/>
    <cellStyle name="Title 5 5" xfId="12361" xr:uid="{00000000-0005-0000-0000-000025120000}"/>
    <cellStyle name="Title 5 6" xfId="12422" xr:uid="{00000000-0005-0000-0000-000026120000}"/>
    <cellStyle name="Title 5 7" xfId="12478" xr:uid="{00000000-0005-0000-0000-000027120000}"/>
    <cellStyle name="Title 50" xfId="4029" xr:uid="{00000000-0005-0000-0000-000028120000}"/>
    <cellStyle name="Title 50 2" xfId="4030" xr:uid="{00000000-0005-0000-0000-000029120000}"/>
    <cellStyle name="Title 50 2 2" xfId="4215" xr:uid="{00000000-0005-0000-0000-00002A120000}"/>
    <cellStyle name="Title 50 2 2 10" xfId="8195" xr:uid="{00000000-0005-0000-0000-00002B120000}"/>
    <cellStyle name="Title 50 2 2 11" xfId="9036" xr:uid="{00000000-0005-0000-0000-00002C120000}"/>
    <cellStyle name="Title 50 2 2 12" xfId="9015" xr:uid="{00000000-0005-0000-0000-00002D120000}"/>
    <cellStyle name="Title 50 2 2 13" xfId="9649" xr:uid="{00000000-0005-0000-0000-00002E120000}"/>
    <cellStyle name="Title 50 2 2 14" xfId="10121" xr:uid="{00000000-0005-0000-0000-00002F120000}"/>
    <cellStyle name="Title 50 2 2 15" xfId="10644" xr:uid="{00000000-0005-0000-0000-000030120000}"/>
    <cellStyle name="Title 50 2 2 16" xfId="11008" xr:uid="{00000000-0005-0000-0000-000031120000}"/>
    <cellStyle name="Title 50 2 2 17" xfId="11477" xr:uid="{00000000-0005-0000-0000-000032120000}"/>
    <cellStyle name="Title 50 2 2 18" xfId="12267" xr:uid="{00000000-0005-0000-0000-000033120000}"/>
    <cellStyle name="Title 50 2 2 19" xfId="12548" xr:uid="{00000000-0005-0000-0000-000034120000}"/>
    <cellStyle name="Title 50 2 2 2" xfId="4760" xr:uid="{00000000-0005-0000-0000-000035120000}"/>
    <cellStyle name="Title 50 2 2 3" xfId="5198" xr:uid="{00000000-0005-0000-0000-000036120000}"/>
    <cellStyle name="Title 50 2 2 4" xfId="5636" xr:uid="{00000000-0005-0000-0000-000037120000}"/>
    <cellStyle name="Title 50 2 2 5" xfId="6073" xr:uid="{00000000-0005-0000-0000-000038120000}"/>
    <cellStyle name="Title 50 2 2 6" xfId="6510" xr:uid="{00000000-0005-0000-0000-000039120000}"/>
    <cellStyle name="Title 50 2 2 7" xfId="6947" xr:uid="{00000000-0005-0000-0000-00003A120000}"/>
    <cellStyle name="Title 50 2 2 8" xfId="7384" xr:uid="{00000000-0005-0000-0000-00003B120000}"/>
    <cellStyle name="Title 50 2 2 9" xfId="8232" xr:uid="{00000000-0005-0000-0000-00003C120000}"/>
    <cellStyle name="Title 50 2 3" xfId="4428" xr:uid="{00000000-0005-0000-0000-00003D120000}"/>
    <cellStyle name="Title 50 2 3 10" xfId="7982" xr:uid="{00000000-0005-0000-0000-00003E120000}"/>
    <cellStyle name="Title 50 2 3 11" xfId="9251" xr:uid="{00000000-0005-0000-0000-00003F120000}"/>
    <cellStyle name="Title 50 2 3 12" xfId="9474" xr:uid="{00000000-0005-0000-0000-000040120000}"/>
    <cellStyle name="Title 50 2 3 13" xfId="9864" xr:uid="{00000000-0005-0000-0000-000041120000}"/>
    <cellStyle name="Title 50 2 3 14" xfId="10336" xr:uid="{00000000-0005-0000-0000-000042120000}"/>
    <cellStyle name="Title 50 2 3 15" xfId="10809" xr:uid="{00000000-0005-0000-0000-000043120000}"/>
    <cellStyle name="Title 50 2 3 16" xfId="11223" xr:uid="{00000000-0005-0000-0000-000044120000}"/>
    <cellStyle name="Title 50 2 3 17" xfId="11692" xr:uid="{00000000-0005-0000-0000-000045120000}"/>
    <cellStyle name="Title 50 2 3 18" xfId="12285" xr:uid="{00000000-0005-0000-0000-000046120000}"/>
    <cellStyle name="Title 50 2 3 19" xfId="12763" xr:uid="{00000000-0005-0000-0000-000047120000}"/>
    <cellStyle name="Title 50 2 3 2" xfId="4975" xr:uid="{00000000-0005-0000-0000-000048120000}"/>
    <cellStyle name="Title 50 2 3 3" xfId="5413" xr:uid="{00000000-0005-0000-0000-000049120000}"/>
    <cellStyle name="Title 50 2 3 4" xfId="5851" xr:uid="{00000000-0005-0000-0000-00004A120000}"/>
    <cellStyle name="Title 50 2 3 5" xfId="6288" xr:uid="{00000000-0005-0000-0000-00004B120000}"/>
    <cellStyle name="Title 50 2 3 6" xfId="6725" xr:uid="{00000000-0005-0000-0000-00004C120000}"/>
    <cellStyle name="Title 50 2 3 7" xfId="7162" xr:uid="{00000000-0005-0000-0000-00004D120000}"/>
    <cellStyle name="Title 50 2 3 8" xfId="7599" xr:uid="{00000000-0005-0000-0000-00004E120000}"/>
    <cellStyle name="Title 50 2 3 9" xfId="8447" xr:uid="{00000000-0005-0000-0000-00004F120000}"/>
    <cellStyle name="Title 50 3" xfId="4214" xr:uid="{00000000-0005-0000-0000-000050120000}"/>
    <cellStyle name="Title 50 3 10" xfId="8196" xr:uid="{00000000-0005-0000-0000-000051120000}"/>
    <cellStyle name="Title 50 3 11" xfId="9035" xr:uid="{00000000-0005-0000-0000-000052120000}"/>
    <cellStyle name="Title 50 3 12" xfId="9016" xr:uid="{00000000-0005-0000-0000-000053120000}"/>
    <cellStyle name="Title 50 3 13" xfId="9648" xr:uid="{00000000-0005-0000-0000-000054120000}"/>
    <cellStyle name="Title 50 3 14" xfId="10120" xr:uid="{00000000-0005-0000-0000-000055120000}"/>
    <cellStyle name="Title 50 3 15" xfId="10683" xr:uid="{00000000-0005-0000-0000-000056120000}"/>
    <cellStyle name="Title 50 3 16" xfId="11007" xr:uid="{00000000-0005-0000-0000-000057120000}"/>
    <cellStyle name="Title 50 3 17" xfId="11476" xr:uid="{00000000-0005-0000-0000-000058120000}"/>
    <cellStyle name="Title 50 3 18" xfId="12253" xr:uid="{00000000-0005-0000-0000-000059120000}"/>
    <cellStyle name="Title 50 3 19" xfId="12547" xr:uid="{00000000-0005-0000-0000-00005A120000}"/>
    <cellStyle name="Title 50 3 2" xfId="4759" xr:uid="{00000000-0005-0000-0000-00005B120000}"/>
    <cellStyle name="Title 50 3 3" xfId="5197" xr:uid="{00000000-0005-0000-0000-00005C120000}"/>
    <cellStyle name="Title 50 3 4" xfId="5635" xr:uid="{00000000-0005-0000-0000-00005D120000}"/>
    <cellStyle name="Title 50 3 5" xfId="6072" xr:uid="{00000000-0005-0000-0000-00005E120000}"/>
    <cellStyle name="Title 50 3 6" xfId="6509" xr:uid="{00000000-0005-0000-0000-00005F120000}"/>
    <cellStyle name="Title 50 3 7" xfId="6946" xr:uid="{00000000-0005-0000-0000-000060120000}"/>
    <cellStyle name="Title 50 3 8" xfId="7383" xr:uid="{00000000-0005-0000-0000-000061120000}"/>
    <cellStyle name="Title 50 3 9" xfId="8231" xr:uid="{00000000-0005-0000-0000-000062120000}"/>
    <cellStyle name="Title 50 4" xfId="4427" xr:uid="{00000000-0005-0000-0000-000063120000}"/>
    <cellStyle name="Title 50 4 10" xfId="7983" xr:uid="{00000000-0005-0000-0000-000064120000}"/>
    <cellStyle name="Title 50 4 11" xfId="9250" xr:uid="{00000000-0005-0000-0000-000065120000}"/>
    <cellStyle name="Title 50 4 12" xfId="9508" xr:uid="{00000000-0005-0000-0000-000066120000}"/>
    <cellStyle name="Title 50 4 13" xfId="9863" xr:uid="{00000000-0005-0000-0000-000067120000}"/>
    <cellStyle name="Title 50 4 14" xfId="10335" xr:uid="{00000000-0005-0000-0000-000068120000}"/>
    <cellStyle name="Title 50 4 15" xfId="10890" xr:uid="{00000000-0005-0000-0000-000069120000}"/>
    <cellStyle name="Title 50 4 16" xfId="11222" xr:uid="{00000000-0005-0000-0000-00006A120000}"/>
    <cellStyle name="Title 50 4 17" xfId="11691" xr:uid="{00000000-0005-0000-0000-00006B120000}"/>
    <cellStyle name="Title 50 4 18" xfId="12318" xr:uid="{00000000-0005-0000-0000-00006C120000}"/>
    <cellStyle name="Title 50 4 19" xfId="12762" xr:uid="{00000000-0005-0000-0000-00006D120000}"/>
    <cellStyle name="Title 50 4 2" xfId="4974" xr:uid="{00000000-0005-0000-0000-00006E120000}"/>
    <cellStyle name="Title 50 4 3" xfId="5412" xr:uid="{00000000-0005-0000-0000-00006F120000}"/>
    <cellStyle name="Title 50 4 4" xfId="5850" xr:uid="{00000000-0005-0000-0000-000070120000}"/>
    <cellStyle name="Title 50 4 5" xfId="6287" xr:uid="{00000000-0005-0000-0000-000071120000}"/>
    <cellStyle name="Title 50 4 6" xfId="6724" xr:uid="{00000000-0005-0000-0000-000072120000}"/>
    <cellStyle name="Title 50 4 7" xfId="7161" xr:uid="{00000000-0005-0000-0000-000073120000}"/>
    <cellStyle name="Title 50 4 8" xfId="7598" xr:uid="{00000000-0005-0000-0000-000074120000}"/>
    <cellStyle name="Title 50 4 9" xfId="8446" xr:uid="{00000000-0005-0000-0000-000075120000}"/>
    <cellStyle name="Title 51" xfId="4031" xr:uid="{00000000-0005-0000-0000-000076120000}"/>
    <cellStyle name="Title 51 2" xfId="4032" xr:uid="{00000000-0005-0000-0000-000077120000}"/>
    <cellStyle name="Title 51 2 2" xfId="4217" xr:uid="{00000000-0005-0000-0000-000078120000}"/>
    <cellStyle name="Title 51 2 2 10" xfId="8193" xr:uid="{00000000-0005-0000-0000-000079120000}"/>
    <cellStyle name="Title 51 2 2 11" xfId="9038" xr:uid="{00000000-0005-0000-0000-00007A120000}"/>
    <cellStyle name="Title 51 2 2 12" xfId="9013" xr:uid="{00000000-0005-0000-0000-00007B120000}"/>
    <cellStyle name="Title 51 2 2 13" xfId="9651" xr:uid="{00000000-0005-0000-0000-00007C120000}"/>
    <cellStyle name="Title 51 2 2 14" xfId="10123" xr:uid="{00000000-0005-0000-0000-00007D120000}"/>
    <cellStyle name="Title 51 2 2 15" xfId="10565" xr:uid="{00000000-0005-0000-0000-00007E120000}"/>
    <cellStyle name="Title 51 2 2 16" xfId="11010" xr:uid="{00000000-0005-0000-0000-00007F120000}"/>
    <cellStyle name="Title 51 2 2 17" xfId="11479" xr:uid="{00000000-0005-0000-0000-000080120000}"/>
    <cellStyle name="Title 51 2 2 18" xfId="12175" xr:uid="{00000000-0005-0000-0000-000081120000}"/>
    <cellStyle name="Title 51 2 2 19" xfId="12550" xr:uid="{00000000-0005-0000-0000-000082120000}"/>
    <cellStyle name="Title 51 2 2 2" xfId="4762" xr:uid="{00000000-0005-0000-0000-000083120000}"/>
    <cellStyle name="Title 51 2 2 3" xfId="5200" xr:uid="{00000000-0005-0000-0000-000084120000}"/>
    <cellStyle name="Title 51 2 2 4" xfId="5638" xr:uid="{00000000-0005-0000-0000-000085120000}"/>
    <cellStyle name="Title 51 2 2 5" xfId="6075" xr:uid="{00000000-0005-0000-0000-000086120000}"/>
    <cellStyle name="Title 51 2 2 6" xfId="6512" xr:uid="{00000000-0005-0000-0000-000087120000}"/>
    <cellStyle name="Title 51 2 2 7" xfId="6949" xr:uid="{00000000-0005-0000-0000-000088120000}"/>
    <cellStyle name="Title 51 2 2 8" xfId="7386" xr:uid="{00000000-0005-0000-0000-000089120000}"/>
    <cellStyle name="Title 51 2 2 9" xfId="8234" xr:uid="{00000000-0005-0000-0000-00008A120000}"/>
    <cellStyle name="Title 51 2 3" xfId="4430" xr:uid="{00000000-0005-0000-0000-00008B120000}"/>
    <cellStyle name="Title 51 2 3 10" xfId="7980" xr:uid="{00000000-0005-0000-0000-00008C120000}"/>
    <cellStyle name="Title 51 2 3 11" xfId="9253" xr:uid="{00000000-0005-0000-0000-00008D120000}"/>
    <cellStyle name="Title 51 2 3 12" xfId="9611" xr:uid="{00000000-0005-0000-0000-00008E120000}"/>
    <cellStyle name="Title 51 2 3 13" xfId="9866" xr:uid="{00000000-0005-0000-0000-00008F120000}"/>
    <cellStyle name="Title 51 2 3 14" xfId="10338" xr:uid="{00000000-0005-0000-0000-000090120000}"/>
    <cellStyle name="Title 51 2 3 15" xfId="10732" xr:uid="{00000000-0005-0000-0000-000091120000}"/>
    <cellStyle name="Title 51 2 3 16" xfId="11225" xr:uid="{00000000-0005-0000-0000-000092120000}"/>
    <cellStyle name="Title 51 2 3 17" xfId="11694" xr:uid="{00000000-0005-0000-0000-000093120000}"/>
    <cellStyle name="Title 51 2 3 18" xfId="12232" xr:uid="{00000000-0005-0000-0000-000094120000}"/>
    <cellStyle name="Title 51 2 3 19" xfId="12765" xr:uid="{00000000-0005-0000-0000-000095120000}"/>
    <cellStyle name="Title 51 2 3 2" xfId="4977" xr:uid="{00000000-0005-0000-0000-000096120000}"/>
    <cellStyle name="Title 51 2 3 3" xfId="5415" xr:uid="{00000000-0005-0000-0000-000097120000}"/>
    <cellStyle name="Title 51 2 3 4" xfId="5853" xr:uid="{00000000-0005-0000-0000-000098120000}"/>
    <cellStyle name="Title 51 2 3 5" xfId="6290" xr:uid="{00000000-0005-0000-0000-000099120000}"/>
    <cellStyle name="Title 51 2 3 6" xfId="6727" xr:uid="{00000000-0005-0000-0000-00009A120000}"/>
    <cellStyle name="Title 51 2 3 7" xfId="7164" xr:uid="{00000000-0005-0000-0000-00009B120000}"/>
    <cellStyle name="Title 51 2 3 8" xfId="7601" xr:uid="{00000000-0005-0000-0000-00009C120000}"/>
    <cellStyle name="Title 51 2 3 9" xfId="8449" xr:uid="{00000000-0005-0000-0000-00009D120000}"/>
    <cellStyle name="Title 51 3" xfId="4216" xr:uid="{00000000-0005-0000-0000-00009E120000}"/>
    <cellStyle name="Title 51 3 10" xfId="8194" xr:uid="{00000000-0005-0000-0000-00009F120000}"/>
    <cellStyle name="Title 51 3 11" xfId="9037" xr:uid="{00000000-0005-0000-0000-0000A0120000}"/>
    <cellStyle name="Title 51 3 12" xfId="9014" xr:uid="{00000000-0005-0000-0000-0000A1120000}"/>
    <cellStyle name="Title 51 3 13" xfId="9650" xr:uid="{00000000-0005-0000-0000-0000A2120000}"/>
    <cellStyle name="Title 51 3 14" xfId="10122" xr:uid="{00000000-0005-0000-0000-0000A3120000}"/>
    <cellStyle name="Title 51 3 15" xfId="10605" xr:uid="{00000000-0005-0000-0000-0000A4120000}"/>
    <cellStyle name="Title 51 3 16" xfId="11009" xr:uid="{00000000-0005-0000-0000-0000A5120000}"/>
    <cellStyle name="Title 51 3 17" xfId="11478" xr:uid="{00000000-0005-0000-0000-0000A6120000}"/>
    <cellStyle name="Title 51 3 18" xfId="12237" xr:uid="{00000000-0005-0000-0000-0000A7120000}"/>
    <cellStyle name="Title 51 3 19" xfId="12549" xr:uid="{00000000-0005-0000-0000-0000A8120000}"/>
    <cellStyle name="Title 51 3 2" xfId="4761" xr:uid="{00000000-0005-0000-0000-0000A9120000}"/>
    <cellStyle name="Title 51 3 3" xfId="5199" xr:uid="{00000000-0005-0000-0000-0000AA120000}"/>
    <cellStyle name="Title 51 3 4" xfId="5637" xr:uid="{00000000-0005-0000-0000-0000AB120000}"/>
    <cellStyle name="Title 51 3 5" xfId="6074" xr:uid="{00000000-0005-0000-0000-0000AC120000}"/>
    <cellStyle name="Title 51 3 6" xfId="6511" xr:uid="{00000000-0005-0000-0000-0000AD120000}"/>
    <cellStyle name="Title 51 3 7" xfId="6948" xr:uid="{00000000-0005-0000-0000-0000AE120000}"/>
    <cellStyle name="Title 51 3 8" xfId="7385" xr:uid="{00000000-0005-0000-0000-0000AF120000}"/>
    <cellStyle name="Title 51 3 9" xfId="8233" xr:uid="{00000000-0005-0000-0000-0000B0120000}"/>
    <cellStyle name="Title 51 4" xfId="4429" xr:uid="{00000000-0005-0000-0000-0000B1120000}"/>
    <cellStyle name="Title 51 4 10" xfId="7981" xr:uid="{00000000-0005-0000-0000-0000B2120000}"/>
    <cellStyle name="Title 51 4 11" xfId="9252" xr:uid="{00000000-0005-0000-0000-0000B3120000}"/>
    <cellStyle name="Title 51 4 12" xfId="9499" xr:uid="{00000000-0005-0000-0000-0000B4120000}"/>
    <cellStyle name="Title 51 4 13" xfId="9865" xr:uid="{00000000-0005-0000-0000-0000B5120000}"/>
    <cellStyle name="Title 51 4 14" xfId="10337" xr:uid="{00000000-0005-0000-0000-0000B6120000}"/>
    <cellStyle name="Title 51 4 15" xfId="10770" xr:uid="{00000000-0005-0000-0000-0000B7120000}"/>
    <cellStyle name="Title 51 4 16" xfId="11224" xr:uid="{00000000-0005-0000-0000-0000B8120000}"/>
    <cellStyle name="Title 51 4 17" xfId="11693" xr:uid="{00000000-0005-0000-0000-0000B9120000}"/>
    <cellStyle name="Title 51 4 18" xfId="12262" xr:uid="{00000000-0005-0000-0000-0000BA120000}"/>
    <cellStyle name="Title 51 4 19" xfId="12764" xr:uid="{00000000-0005-0000-0000-0000BB120000}"/>
    <cellStyle name="Title 51 4 2" xfId="4976" xr:uid="{00000000-0005-0000-0000-0000BC120000}"/>
    <cellStyle name="Title 51 4 3" xfId="5414" xr:uid="{00000000-0005-0000-0000-0000BD120000}"/>
    <cellStyle name="Title 51 4 4" xfId="5852" xr:uid="{00000000-0005-0000-0000-0000BE120000}"/>
    <cellStyle name="Title 51 4 5" xfId="6289" xr:uid="{00000000-0005-0000-0000-0000BF120000}"/>
    <cellStyle name="Title 51 4 6" xfId="6726" xr:uid="{00000000-0005-0000-0000-0000C0120000}"/>
    <cellStyle name="Title 51 4 7" xfId="7163" xr:uid="{00000000-0005-0000-0000-0000C1120000}"/>
    <cellStyle name="Title 51 4 8" xfId="7600" xr:uid="{00000000-0005-0000-0000-0000C2120000}"/>
    <cellStyle name="Title 51 4 9" xfId="8448" xr:uid="{00000000-0005-0000-0000-0000C3120000}"/>
    <cellStyle name="Title 52" xfId="4033" xr:uid="{00000000-0005-0000-0000-0000C4120000}"/>
    <cellStyle name="Title 52 2" xfId="4218" xr:uid="{00000000-0005-0000-0000-0000C5120000}"/>
    <cellStyle name="Title 52 2 10" xfId="8192" xr:uid="{00000000-0005-0000-0000-0000C6120000}"/>
    <cellStyle name="Title 52 2 11" xfId="9039" xr:uid="{00000000-0005-0000-0000-0000C7120000}"/>
    <cellStyle name="Title 52 2 12" xfId="9012" xr:uid="{00000000-0005-0000-0000-0000C8120000}"/>
    <cellStyle name="Title 52 2 13" xfId="9652" xr:uid="{00000000-0005-0000-0000-0000C9120000}"/>
    <cellStyle name="Title 52 2 14" xfId="10124" xr:uid="{00000000-0005-0000-0000-0000CA120000}"/>
    <cellStyle name="Title 52 2 15" xfId="10910" xr:uid="{00000000-0005-0000-0000-0000CB120000}"/>
    <cellStyle name="Title 52 2 16" xfId="11011" xr:uid="{00000000-0005-0000-0000-0000CC120000}"/>
    <cellStyle name="Title 52 2 17" xfId="11480" xr:uid="{00000000-0005-0000-0000-0000CD120000}"/>
    <cellStyle name="Title 52 2 18" xfId="12199" xr:uid="{00000000-0005-0000-0000-0000CE120000}"/>
    <cellStyle name="Title 52 2 19" xfId="12551" xr:uid="{00000000-0005-0000-0000-0000CF120000}"/>
    <cellStyle name="Title 52 2 2" xfId="4763" xr:uid="{00000000-0005-0000-0000-0000D0120000}"/>
    <cellStyle name="Title 52 2 3" xfId="5201" xr:uid="{00000000-0005-0000-0000-0000D1120000}"/>
    <cellStyle name="Title 52 2 4" xfId="5639" xr:uid="{00000000-0005-0000-0000-0000D2120000}"/>
    <cellStyle name="Title 52 2 5" xfId="6076" xr:uid="{00000000-0005-0000-0000-0000D3120000}"/>
    <cellStyle name="Title 52 2 6" xfId="6513" xr:uid="{00000000-0005-0000-0000-0000D4120000}"/>
    <cellStyle name="Title 52 2 7" xfId="6950" xr:uid="{00000000-0005-0000-0000-0000D5120000}"/>
    <cellStyle name="Title 52 2 8" xfId="7387" xr:uid="{00000000-0005-0000-0000-0000D6120000}"/>
    <cellStyle name="Title 52 2 9" xfId="8235" xr:uid="{00000000-0005-0000-0000-0000D7120000}"/>
    <cellStyle name="Title 52 3" xfId="4431" xr:uid="{00000000-0005-0000-0000-0000D8120000}"/>
    <cellStyle name="Title 52 3 10" xfId="7979" xr:uid="{00000000-0005-0000-0000-0000D9120000}"/>
    <cellStyle name="Title 52 3 11" xfId="9254" xr:uid="{00000000-0005-0000-0000-0000DA120000}"/>
    <cellStyle name="Title 52 3 12" xfId="9522" xr:uid="{00000000-0005-0000-0000-0000DB120000}"/>
    <cellStyle name="Title 52 3 13" xfId="9867" xr:uid="{00000000-0005-0000-0000-0000DC120000}"/>
    <cellStyle name="Title 52 3 14" xfId="10339" xr:uid="{00000000-0005-0000-0000-0000DD120000}"/>
    <cellStyle name="Title 52 3 15" xfId="10693" xr:uid="{00000000-0005-0000-0000-0000DE120000}"/>
    <cellStyle name="Title 52 3 16" xfId="11226" xr:uid="{00000000-0005-0000-0000-0000DF120000}"/>
    <cellStyle name="Title 52 3 17" xfId="11695" xr:uid="{00000000-0005-0000-0000-0000E0120000}"/>
    <cellStyle name="Title 52 3 18" xfId="12166" xr:uid="{00000000-0005-0000-0000-0000E1120000}"/>
    <cellStyle name="Title 52 3 19" xfId="12766" xr:uid="{00000000-0005-0000-0000-0000E2120000}"/>
    <cellStyle name="Title 52 3 2" xfId="4978" xr:uid="{00000000-0005-0000-0000-0000E3120000}"/>
    <cellStyle name="Title 52 3 3" xfId="5416" xr:uid="{00000000-0005-0000-0000-0000E4120000}"/>
    <cellStyle name="Title 52 3 4" xfId="5854" xr:uid="{00000000-0005-0000-0000-0000E5120000}"/>
    <cellStyle name="Title 52 3 5" xfId="6291" xr:uid="{00000000-0005-0000-0000-0000E6120000}"/>
    <cellStyle name="Title 52 3 6" xfId="6728" xr:uid="{00000000-0005-0000-0000-0000E7120000}"/>
    <cellStyle name="Title 52 3 7" xfId="7165" xr:uid="{00000000-0005-0000-0000-0000E8120000}"/>
    <cellStyle name="Title 52 3 8" xfId="7602" xr:uid="{00000000-0005-0000-0000-0000E9120000}"/>
    <cellStyle name="Title 52 3 9" xfId="8450" xr:uid="{00000000-0005-0000-0000-0000EA120000}"/>
    <cellStyle name="Title 53" xfId="12976" xr:uid="{00000000-0005-0000-0000-0000EB120000}"/>
    <cellStyle name="Title 6" xfId="762" xr:uid="{00000000-0005-0000-0000-0000EC120000}"/>
    <cellStyle name="Title 6 2" xfId="4034" xr:uid="{00000000-0005-0000-0000-0000ED120000}"/>
    <cellStyle name="Title 6 2 2" xfId="4220" xr:uid="{00000000-0005-0000-0000-0000EE120000}"/>
    <cellStyle name="Title 6 2 2 10" xfId="8190" xr:uid="{00000000-0005-0000-0000-0000EF120000}"/>
    <cellStyle name="Title 6 2 2 11" xfId="9041" xr:uid="{00000000-0005-0000-0000-0000F0120000}"/>
    <cellStyle name="Title 6 2 2 12" xfId="9010" xr:uid="{00000000-0005-0000-0000-0000F1120000}"/>
    <cellStyle name="Title 6 2 2 13" xfId="9654" xr:uid="{00000000-0005-0000-0000-0000F2120000}"/>
    <cellStyle name="Title 6 2 2 14" xfId="10126" xr:uid="{00000000-0005-0000-0000-0000F3120000}"/>
    <cellStyle name="Title 6 2 2 15" xfId="10844" xr:uid="{00000000-0005-0000-0000-0000F4120000}"/>
    <cellStyle name="Title 6 2 2 16" xfId="11013" xr:uid="{00000000-0005-0000-0000-0000F5120000}"/>
    <cellStyle name="Title 6 2 2 17" xfId="11482" xr:uid="{00000000-0005-0000-0000-0000F6120000}"/>
    <cellStyle name="Title 6 2 2 18" xfId="12164" xr:uid="{00000000-0005-0000-0000-0000F7120000}"/>
    <cellStyle name="Title 6 2 2 19" xfId="12553" xr:uid="{00000000-0005-0000-0000-0000F8120000}"/>
    <cellStyle name="Title 6 2 2 2" xfId="4765" xr:uid="{00000000-0005-0000-0000-0000F9120000}"/>
    <cellStyle name="Title 6 2 2 3" xfId="5203" xr:uid="{00000000-0005-0000-0000-0000FA120000}"/>
    <cellStyle name="Title 6 2 2 4" xfId="5641" xr:uid="{00000000-0005-0000-0000-0000FB120000}"/>
    <cellStyle name="Title 6 2 2 5" xfId="6078" xr:uid="{00000000-0005-0000-0000-0000FC120000}"/>
    <cellStyle name="Title 6 2 2 6" xfId="6515" xr:uid="{00000000-0005-0000-0000-0000FD120000}"/>
    <cellStyle name="Title 6 2 2 7" xfId="6952" xr:uid="{00000000-0005-0000-0000-0000FE120000}"/>
    <cellStyle name="Title 6 2 2 8" xfId="7389" xr:uid="{00000000-0005-0000-0000-0000FF120000}"/>
    <cellStyle name="Title 6 2 2 9" xfId="8237" xr:uid="{00000000-0005-0000-0000-000000130000}"/>
    <cellStyle name="Title 6 2 3" xfId="4433" xr:uid="{00000000-0005-0000-0000-000001130000}"/>
    <cellStyle name="Title 6 2 3 10" xfId="7977" xr:uid="{00000000-0005-0000-0000-000002130000}"/>
    <cellStyle name="Title 6 2 3 11" xfId="9256" xr:uid="{00000000-0005-0000-0000-000003130000}"/>
    <cellStyle name="Title 6 2 3 12" xfId="9516" xr:uid="{00000000-0005-0000-0000-000004130000}"/>
    <cellStyle name="Title 6 2 3 13" xfId="9869" xr:uid="{00000000-0005-0000-0000-000005130000}"/>
    <cellStyle name="Title 6 2 3 14" xfId="10341" xr:uid="{00000000-0005-0000-0000-000006130000}"/>
    <cellStyle name="Title 6 2 3 15" xfId="10614" xr:uid="{00000000-0005-0000-0000-000007130000}"/>
    <cellStyle name="Title 6 2 3 16" xfId="11228" xr:uid="{00000000-0005-0000-0000-000008130000}"/>
    <cellStyle name="Title 6 2 3 17" xfId="11697" xr:uid="{00000000-0005-0000-0000-000009130000}"/>
    <cellStyle name="Title 6 2 3 18" xfId="12129" xr:uid="{00000000-0005-0000-0000-00000A130000}"/>
    <cellStyle name="Title 6 2 3 19" xfId="12768" xr:uid="{00000000-0005-0000-0000-00000B130000}"/>
    <cellStyle name="Title 6 2 3 2" xfId="4980" xr:uid="{00000000-0005-0000-0000-00000C130000}"/>
    <cellStyle name="Title 6 2 3 3" xfId="5418" xr:uid="{00000000-0005-0000-0000-00000D130000}"/>
    <cellStyle name="Title 6 2 3 4" xfId="5856" xr:uid="{00000000-0005-0000-0000-00000E130000}"/>
    <cellStyle name="Title 6 2 3 5" xfId="6293" xr:uid="{00000000-0005-0000-0000-00000F130000}"/>
    <cellStyle name="Title 6 2 3 6" xfId="6730" xr:uid="{00000000-0005-0000-0000-000010130000}"/>
    <cellStyle name="Title 6 2 3 7" xfId="7167" xr:uid="{00000000-0005-0000-0000-000011130000}"/>
    <cellStyle name="Title 6 2 3 8" xfId="7604" xr:uid="{00000000-0005-0000-0000-000012130000}"/>
    <cellStyle name="Title 6 2 3 9" xfId="8452" xr:uid="{00000000-0005-0000-0000-000013130000}"/>
    <cellStyle name="Title 6 3" xfId="4219" xr:uid="{00000000-0005-0000-0000-000014130000}"/>
    <cellStyle name="Title 6 3 10" xfId="8191" xr:uid="{00000000-0005-0000-0000-000015130000}"/>
    <cellStyle name="Title 6 3 11" xfId="9040" xr:uid="{00000000-0005-0000-0000-000016130000}"/>
    <cellStyle name="Title 6 3 12" xfId="9011" xr:uid="{00000000-0005-0000-0000-000017130000}"/>
    <cellStyle name="Title 6 3 13" xfId="9653" xr:uid="{00000000-0005-0000-0000-000018130000}"/>
    <cellStyle name="Title 6 3 14" xfId="10125" xr:uid="{00000000-0005-0000-0000-000019130000}"/>
    <cellStyle name="Title 6 3 15" xfId="10945" xr:uid="{00000000-0005-0000-0000-00001A130000}"/>
    <cellStyle name="Title 6 3 16" xfId="11012" xr:uid="{00000000-0005-0000-0000-00001B130000}"/>
    <cellStyle name="Title 6 3 17" xfId="11481" xr:uid="{00000000-0005-0000-0000-00001C130000}"/>
    <cellStyle name="Title 6 3 18" xfId="12124" xr:uid="{00000000-0005-0000-0000-00001D130000}"/>
    <cellStyle name="Title 6 3 19" xfId="12552" xr:uid="{00000000-0005-0000-0000-00001E130000}"/>
    <cellStyle name="Title 6 3 2" xfId="4764" xr:uid="{00000000-0005-0000-0000-00001F130000}"/>
    <cellStyle name="Title 6 3 3" xfId="5202" xr:uid="{00000000-0005-0000-0000-000020130000}"/>
    <cellStyle name="Title 6 3 4" xfId="5640" xr:uid="{00000000-0005-0000-0000-000021130000}"/>
    <cellStyle name="Title 6 3 5" xfId="6077" xr:uid="{00000000-0005-0000-0000-000022130000}"/>
    <cellStyle name="Title 6 3 6" xfId="6514" xr:uid="{00000000-0005-0000-0000-000023130000}"/>
    <cellStyle name="Title 6 3 7" xfId="6951" xr:uid="{00000000-0005-0000-0000-000024130000}"/>
    <cellStyle name="Title 6 3 8" xfId="7388" xr:uid="{00000000-0005-0000-0000-000025130000}"/>
    <cellStyle name="Title 6 3 9" xfId="8236" xr:uid="{00000000-0005-0000-0000-000026130000}"/>
    <cellStyle name="Title 6 4" xfId="4432" xr:uid="{00000000-0005-0000-0000-000027130000}"/>
    <cellStyle name="Title 6 4 10" xfId="7978" xr:uid="{00000000-0005-0000-0000-000028130000}"/>
    <cellStyle name="Title 6 4 11" xfId="9255" xr:uid="{00000000-0005-0000-0000-000029130000}"/>
    <cellStyle name="Title 6 4 12" xfId="9467" xr:uid="{00000000-0005-0000-0000-00002A130000}"/>
    <cellStyle name="Title 6 4 13" xfId="9868" xr:uid="{00000000-0005-0000-0000-00002B130000}"/>
    <cellStyle name="Title 6 4 14" xfId="10340" xr:uid="{00000000-0005-0000-0000-00002C130000}"/>
    <cellStyle name="Title 6 4 15" xfId="10654" xr:uid="{00000000-0005-0000-0000-00002D130000}"/>
    <cellStyle name="Title 6 4 16" xfId="11227" xr:uid="{00000000-0005-0000-0000-00002E130000}"/>
    <cellStyle name="Title 6 4 17" xfId="11696" xr:uid="{00000000-0005-0000-0000-00002F130000}"/>
    <cellStyle name="Title 6 4 18" xfId="12194" xr:uid="{00000000-0005-0000-0000-000030130000}"/>
    <cellStyle name="Title 6 4 19" xfId="12767" xr:uid="{00000000-0005-0000-0000-000031130000}"/>
    <cellStyle name="Title 6 4 2" xfId="4979" xr:uid="{00000000-0005-0000-0000-000032130000}"/>
    <cellStyle name="Title 6 4 3" xfId="5417" xr:uid="{00000000-0005-0000-0000-000033130000}"/>
    <cellStyle name="Title 6 4 4" xfId="5855" xr:uid="{00000000-0005-0000-0000-000034130000}"/>
    <cellStyle name="Title 6 4 5" xfId="6292" xr:uid="{00000000-0005-0000-0000-000035130000}"/>
    <cellStyle name="Title 6 4 6" xfId="6729" xr:uid="{00000000-0005-0000-0000-000036130000}"/>
    <cellStyle name="Title 6 4 7" xfId="7166" xr:uid="{00000000-0005-0000-0000-000037130000}"/>
    <cellStyle name="Title 6 4 8" xfId="7603" xr:uid="{00000000-0005-0000-0000-000038130000}"/>
    <cellStyle name="Title 6 4 9" xfId="8451" xr:uid="{00000000-0005-0000-0000-000039130000}"/>
    <cellStyle name="Title 6 5" xfId="12362" xr:uid="{00000000-0005-0000-0000-00003A130000}"/>
    <cellStyle name="Title 6 6" xfId="12423" xr:uid="{00000000-0005-0000-0000-00003B130000}"/>
    <cellStyle name="Title 6 7" xfId="12511" xr:uid="{00000000-0005-0000-0000-00003C130000}"/>
    <cellStyle name="Title 7" xfId="763" xr:uid="{00000000-0005-0000-0000-00003D130000}"/>
    <cellStyle name="Title 7 2" xfId="4035" xr:uid="{00000000-0005-0000-0000-00003E130000}"/>
    <cellStyle name="Title 7 2 2" xfId="4222" xr:uid="{00000000-0005-0000-0000-00003F130000}"/>
    <cellStyle name="Title 7 2 2 10" xfId="8188" xr:uid="{00000000-0005-0000-0000-000040130000}"/>
    <cellStyle name="Title 7 2 2 11" xfId="9043" xr:uid="{00000000-0005-0000-0000-000041130000}"/>
    <cellStyle name="Title 7 2 2 12" xfId="9008" xr:uid="{00000000-0005-0000-0000-000042130000}"/>
    <cellStyle name="Title 7 2 2 13" xfId="9656" xr:uid="{00000000-0005-0000-0000-000043130000}"/>
    <cellStyle name="Title 7 2 2 14" xfId="10128" xr:uid="{00000000-0005-0000-0000-000044130000}"/>
    <cellStyle name="Title 7 2 2 15" xfId="10819" xr:uid="{00000000-0005-0000-0000-000045130000}"/>
    <cellStyle name="Title 7 2 2 16" xfId="11015" xr:uid="{00000000-0005-0000-0000-000046130000}"/>
    <cellStyle name="Title 7 2 2 17" xfId="11484" xr:uid="{00000000-0005-0000-0000-000047130000}"/>
    <cellStyle name="Title 7 2 2 18" xfId="12075" xr:uid="{00000000-0005-0000-0000-000048130000}"/>
    <cellStyle name="Title 7 2 2 19" xfId="12555" xr:uid="{00000000-0005-0000-0000-000049130000}"/>
    <cellStyle name="Title 7 2 2 2" xfId="4767" xr:uid="{00000000-0005-0000-0000-00004A130000}"/>
    <cellStyle name="Title 7 2 2 3" xfId="5205" xr:uid="{00000000-0005-0000-0000-00004B130000}"/>
    <cellStyle name="Title 7 2 2 4" xfId="5643" xr:uid="{00000000-0005-0000-0000-00004C130000}"/>
    <cellStyle name="Title 7 2 2 5" xfId="6080" xr:uid="{00000000-0005-0000-0000-00004D130000}"/>
    <cellStyle name="Title 7 2 2 6" xfId="6517" xr:uid="{00000000-0005-0000-0000-00004E130000}"/>
    <cellStyle name="Title 7 2 2 7" xfId="6954" xr:uid="{00000000-0005-0000-0000-00004F130000}"/>
    <cellStyle name="Title 7 2 2 8" xfId="7391" xr:uid="{00000000-0005-0000-0000-000050130000}"/>
    <cellStyle name="Title 7 2 2 9" xfId="8239" xr:uid="{00000000-0005-0000-0000-000051130000}"/>
    <cellStyle name="Title 7 2 3" xfId="4435" xr:uid="{00000000-0005-0000-0000-000052130000}"/>
    <cellStyle name="Title 7 2 3 10" xfId="7975" xr:uid="{00000000-0005-0000-0000-000053130000}"/>
    <cellStyle name="Title 7 2 3 11" xfId="9258" xr:uid="{00000000-0005-0000-0000-000054130000}"/>
    <cellStyle name="Title 7 2 3 12" xfId="9509" xr:uid="{00000000-0005-0000-0000-000055130000}"/>
    <cellStyle name="Title 7 2 3 13" xfId="9871" xr:uid="{00000000-0005-0000-0000-000056130000}"/>
    <cellStyle name="Title 7 2 3 14" xfId="10343" xr:uid="{00000000-0005-0000-0000-000057130000}"/>
    <cellStyle name="Title 7 2 3 15" xfId="10903" xr:uid="{00000000-0005-0000-0000-000058130000}"/>
    <cellStyle name="Title 7 2 3 16" xfId="11230" xr:uid="{00000000-0005-0000-0000-000059130000}"/>
    <cellStyle name="Title 7 2 3 17" xfId="11699" xr:uid="{00000000-0005-0000-0000-00005A130000}"/>
    <cellStyle name="Title 7 2 3 18" xfId="11457" xr:uid="{00000000-0005-0000-0000-00005B130000}"/>
    <cellStyle name="Title 7 2 3 19" xfId="12770" xr:uid="{00000000-0005-0000-0000-00005C130000}"/>
    <cellStyle name="Title 7 2 3 2" xfId="4982" xr:uid="{00000000-0005-0000-0000-00005D130000}"/>
    <cellStyle name="Title 7 2 3 3" xfId="5420" xr:uid="{00000000-0005-0000-0000-00005E130000}"/>
    <cellStyle name="Title 7 2 3 4" xfId="5858" xr:uid="{00000000-0005-0000-0000-00005F130000}"/>
    <cellStyle name="Title 7 2 3 5" xfId="6295" xr:uid="{00000000-0005-0000-0000-000060130000}"/>
    <cellStyle name="Title 7 2 3 6" xfId="6732" xr:uid="{00000000-0005-0000-0000-000061130000}"/>
    <cellStyle name="Title 7 2 3 7" xfId="7169" xr:uid="{00000000-0005-0000-0000-000062130000}"/>
    <cellStyle name="Title 7 2 3 8" xfId="7606" xr:uid="{00000000-0005-0000-0000-000063130000}"/>
    <cellStyle name="Title 7 2 3 9" xfId="8454" xr:uid="{00000000-0005-0000-0000-000064130000}"/>
    <cellStyle name="Title 7 3" xfId="4221" xr:uid="{00000000-0005-0000-0000-000065130000}"/>
    <cellStyle name="Title 7 3 10" xfId="8189" xr:uid="{00000000-0005-0000-0000-000066130000}"/>
    <cellStyle name="Title 7 3 11" xfId="9042" xr:uid="{00000000-0005-0000-0000-000067130000}"/>
    <cellStyle name="Title 7 3 12" xfId="9009" xr:uid="{00000000-0005-0000-0000-000068130000}"/>
    <cellStyle name="Title 7 3 13" xfId="9655" xr:uid="{00000000-0005-0000-0000-000069130000}"/>
    <cellStyle name="Title 7 3 14" xfId="10127" xr:uid="{00000000-0005-0000-0000-00006A130000}"/>
    <cellStyle name="Title 7 3 15" xfId="10900" xr:uid="{00000000-0005-0000-0000-00006B130000}"/>
    <cellStyle name="Title 7 3 16" xfId="11014" xr:uid="{00000000-0005-0000-0000-00006C130000}"/>
    <cellStyle name="Title 7 3 17" xfId="11483" xr:uid="{00000000-0005-0000-0000-00006D130000}"/>
    <cellStyle name="Title 7 3 18" xfId="12105" xr:uid="{00000000-0005-0000-0000-00006E130000}"/>
    <cellStyle name="Title 7 3 19" xfId="12554" xr:uid="{00000000-0005-0000-0000-00006F130000}"/>
    <cellStyle name="Title 7 3 2" xfId="4766" xr:uid="{00000000-0005-0000-0000-000070130000}"/>
    <cellStyle name="Title 7 3 3" xfId="5204" xr:uid="{00000000-0005-0000-0000-000071130000}"/>
    <cellStyle name="Title 7 3 4" xfId="5642" xr:uid="{00000000-0005-0000-0000-000072130000}"/>
    <cellStyle name="Title 7 3 5" xfId="6079" xr:uid="{00000000-0005-0000-0000-000073130000}"/>
    <cellStyle name="Title 7 3 6" xfId="6516" xr:uid="{00000000-0005-0000-0000-000074130000}"/>
    <cellStyle name="Title 7 3 7" xfId="6953" xr:uid="{00000000-0005-0000-0000-000075130000}"/>
    <cellStyle name="Title 7 3 8" xfId="7390" xr:uid="{00000000-0005-0000-0000-000076130000}"/>
    <cellStyle name="Title 7 3 9" xfId="8238" xr:uid="{00000000-0005-0000-0000-000077130000}"/>
    <cellStyle name="Title 7 4" xfId="4434" xr:uid="{00000000-0005-0000-0000-000078130000}"/>
    <cellStyle name="Title 7 4 10" xfId="7976" xr:uid="{00000000-0005-0000-0000-000079130000}"/>
    <cellStyle name="Title 7 4 11" xfId="9257" xr:uid="{00000000-0005-0000-0000-00007A130000}"/>
    <cellStyle name="Title 7 4 12" xfId="9464" xr:uid="{00000000-0005-0000-0000-00007B130000}"/>
    <cellStyle name="Title 7 4 13" xfId="9870" xr:uid="{00000000-0005-0000-0000-00007C130000}"/>
    <cellStyle name="Title 7 4 14" xfId="10342" xr:uid="{00000000-0005-0000-0000-00007D130000}"/>
    <cellStyle name="Title 7 4 15" xfId="10575" xr:uid="{00000000-0005-0000-0000-00007E130000}"/>
    <cellStyle name="Title 7 4 16" xfId="11229" xr:uid="{00000000-0005-0000-0000-00007F130000}"/>
    <cellStyle name="Title 7 4 17" xfId="11698" xr:uid="{00000000-0005-0000-0000-000080130000}"/>
    <cellStyle name="Title 7 4 18" xfId="11458" xr:uid="{00000000-0005-0000-0000-000081130000}"/>
    <cellStyle name="Title 7 4 19" xfId="12769" xr:uid="{00000000-0005-0000-0000-000082130000}"/>
    <cellStyle name="Title 7 4 2" xfId="4981" xr:uid="{00000000-0005-0000-0000-000083130000}"/>
    <cellStyle name="Title 7 4 3" xfId="5419" xr:uid="{00000000-0005-0000-0000-000084130000}"/>
    <cellStyle name="Title 7 4 4" xfId="5857" xr:uid="{00000000-0005-0000-0000-000085130000}"/>
    <cellStyle name="Title 7 4 5" xfId="6294" xr:uid="{00000000-0005-0000-0000-000086130000}"/>
    <cellStyle name="Title 7 4 6" xfId="6731" xr:uid="{00000000-0005-0000-0000-000087130000}"/>
    <cellStyle name="Title 7 4 7" xfId="7168" xr:uid="{00000000-0005-0000-0000-000088130000}"/>
    <cellStyle name="Title 7 4 8" xfId="7605" xr:uid="{00000000-0005-0000-0000-000089130000}"/>
    <cellStyle name="Title 7 4 9" xfId="8453" xr:uid="{00000000-0005-0000-0000-00008A130000}"/>
    <cellStyle name="Title 7 5" xfId="12363" xr:uid="{00000000-0005-0000-0000-00008B130000}"/>
    <cellStyle name="Title 7 6" xfId="12424" xr:uid="{00000000-0005-0000-0000-00008C130000}"/>
    <cellStyle name="Title 7 7" xfId="12505" xr:uid="{00000000-0005-0000-0000-00008D130000}"/>
    <cellStyle name="Title 8" xfId="764" xr:uid="{00000000-0005-0000-0000-00008E130000}"/>
    <cellStyle name="Title 8 2" xfId="4036" xr:uid="{00000000-0005-0000-0000-00008F130000}"/>
    <cellStyle name="Title 8 2 2" xfId="4224" xr:uid="{00000000-0005-0000-0000-000090130000}"/>
    <cellStyle name="Title 8 2 2 10" xfId="8186" xr:uid="{00000000-0005-0000-0000-000091130000}"/>
    <cellStyle name="Title 8 2 2 11" xfId="9045" xr:uid="{00000000-0005-0000-0000-000092130000}"/>
    <cellStyle name="Title 8 2 2 12" xfId="9006" xr:uid="{00000000-0005-0000-0000-000093130000}"/>
    <cellStyle name="Title 8 2 2 13" xfId="9658" xr:uid="{00000000-0005-0000-0000-000094130000}"/>
    <cellStyle name="Title 8 2 2 14" xfId="10130" xr:uid="{00000000-0005-0000-0000-000095130000}"/>
    <cellStyle name="Title 8 2 2 15" xfId="10742" xr:uid="{00000000-0005-0000-0000-000096130000}"/>
    <cellStyle name="Title 8 2 2 16" xfId="11017" xr:uid="{00000000-0005-0000-0000-000097130000}"/>
    <cellStyle name="Title 8 2 2 17" xfId="11486" xr:uid="{00000000-0005-0000-0000-000098130000}"/>
    <cellStyle name="Title 8 2 2 18" xfId="12017" xr:uid="{00000000-0005-0000-0000-000099130000}"/>
    <cellStyle name="Title 8 2 2 19" xfId="12557" xr:uid="{00000000-0005-0000-0000-00009A130000}"/>
    <cellStyle name="Title 8 2 2 2" xfId="4769" xr:uid="{00000000-0005-0000-0000-00009B130000}"/>
    <cellStyle name="Title 8 2 2 3" xfId="5207" xr:uid="{00000000-0005-0000-0000-00009C130000}"/>
    <cellStyle name="Title 8 2 2 4" xfId="5645" xr:uid="{00000000-0005-0000-0000-00009D130000}"/>
    <cellStyle name="Title 8 2 2 5" xfId="6082" xr:uid="{00000000-0005-0000-0000-00009E130000}"/>
    <cellStyle name="Title 8 2 2 6" xfId="6519" xr:uid="{00000000-0005-0000-0000-00009F130000}"/>
    <cellStyle name="Title 8 2 2 7" xfId="6956" xr:uid="{00000000-0005-0000-0000-0000A0130000}"/>
    <cellStyle name="Title 8 2 2 8" xfId="7393" xr:uid="{00000000-0005-0000-0000-0000A1130000}"/>
    <cellStyle name="Title 8 2 2 9" xfId="8241" xr:uid="{00000000-0005-0000-0000-0000A2130000}"/>
    <cellStyle name="Title 8 2 3" xfId="4437" xr:uid="{00000000-0005-0000-0000-0000A3130000}"/>
    <cellStyle name="Title 8 2 3 10" xfId="7973" xr:uid="{00000000-0005-0000-0000-0000A4130000}"/>
    <cellStyle name="Title 8 2 3 11" xfId="9260" xr:uid="{00000000-0005-0000-0000-0000A5130000}"/>
    <cellStyle name="Title 8 2 3 12" xfId="9500" xr:uid="{00000000-0005-0000-0000-0000A6130000}"/>
    <cellStyle name="Title 8 2 3 13" xfId="9873" xr:uid="{00000000-0005-0000-0000-0000A7130000}"/>
    <cellStyle name="Title 8 2 3 14" xfId="10345" xr:uid="{00000000-0005-0000-0000-0000A8130000}"/>
    <cellStyle name="Title 8 2 3 15" xfId="10834" xr:uid="{00000000-0005-0000-0000-0000A9130000}"/>
    <cellStyle name="Title 8 2 3 16" xfId="11232" xr:uid="{00000000-0005-0000-0000-0000AA130000}"/>
    <cellStyle name="Title 8 2 3 17" xfId="11701" xr:uid="{00000000-0005-0000-0000-0000AB130000}"/>
    <cellStyle name="Title 8 2 3 18" xfId="12097" xr:uid="{00000000-0005-0000-0000-0000AC130000}"/>
    <cellStyle name="Title 8 2 3 19" xfId="12772" xr:uid="{00000000-0005-0000-0000-0000AD130000}"/>
    <cellStyle name="Title 8 2 3 2" xfId="4984" xr:uid="{00000000-0005-0000-0000-0000AE130000}"/>
    <cellStyle name="Title 8 2 3 3" xfId="5422" xr:uid="{00000000-0005-0000-0000-0000AF130000}"/>
    <cellStyle name="Title 8 2 3 4" xfId="5860" xr:uid="{00000000-0005-0000-0000-0000B0130000}"/>
    <cellStyle name="Title 8 2 3 5" xfId="6297" xr:uid="{00000000-0005-0000-0000-0000B1130000}"/>
    <cellStyle name="Title 8 2 3 6" xfId="6734" xr:uid="{00000000-0005-0000-0000-0000B2130000}"/>
    <cellStyle name="Title 8 2 3 7" xfId="7171" xr:uid="{00000000-0005-0000-0000-0000B3130000}"/>
    <cellStyle name="Title 8 2 3 8" xfId="7608" xr:uid="{00000000-0005-0000-0000-0000B4130000}"/>
    <cellStyle name="Title 8 2 3 9" xfId="8456" xr:uid="{00000000-0005-0000-0000-0000B5130000}"/>
    <cellStyle name="Title 8 3" xfId="4223" xr:uid="{00000000-0005-0000-0000-0000B6130000}"/>
    <cellStyle name="Title 8 3 10" xfId="8187" xr:uid="{00000000-0005-0000-0000-0000B7130000}"/>
    <cellStyle name="Title 8 3 11" xfId="9044" xr:uid="{00000000-0005-0000-0000-0000B8130000}"/>
    <cellStyle name="Title 8 3 12" xfId="9007" xr:uid="{00000000-0005-0000-0000-0000B9130000}"/>
    <cellStyle name="Title 8 3 13" xfId="9657" xr:uid="{00000000-0005-0000-0000-0000BA130000}"/>
    <cellStyle name="Title 8 3 14" xfId="10129" xr:uid="{00000000-0005-0000-0000-0000BB130000}"/>
    <cellStyle name="Title 8 3 15" xfId="10780" xr:uid="{00000000-0005-0000-0000-0000BC130000}"/>
    <cellStyle name="Title 8 3 16" xfId="11016" xr:uid="{00000000-0005-0000-0000-0000BD130000}"/>
    <cellStyle name="Title 8 3 17" xfId="11485" xr:uid="{00000000-0005-0000-0000-0000BE130000}"/>
    <cellStyle name="Title 8 3 18" xfId="12046" xr:uid="{00000000-0005-0000-0000-0000BF130000}"/>
    <cellStyle name="Title 8 3 19" xfId="12556" xr:uid="{00000000-0005-0000-0000-0000C0130000}"/>
    <cellStyle name="Title 8 3 2" xfId="4768" xr:uid="{00000000-0005-0000-0000-0000C1130000}"/>
    <cellStyle name="Title 8 3 3" xfId="5206" xr:uid="{00000000-0005-0000-0000-0000C2130000}"/>
    <cellStyle name="Title 8 3 4" xfId="5644" xr:uid="{00000000-0005-0000-0000-0000C3130000}"/>
    <cellStyle name="Title 8 3 5" xfId="6081" xr:uid="{00000000-0005-0000-0000-0000C4130000}"/>
    <cellStyle name="Title 8 3 6" xfId="6518" xr:uid="{00000000-0005-0000-0000-0000C5130000}"/>
    <cellStyle name="Title 8 3 7" xfId="6955" xr:uid="{00000000-0005-0000-0000-0000C6130000}"/>
    <cellStyle name="Title 8 3 8" xfId="7392" xr:uid="{00000000-0005-0000-0000-0000C7130000}"/>
    <cellStyle name="Title 8 3 9" xfId="8240" xr:uid="{00000000-0005-0000-0000-0000C8130000}"/>
    <cellStyle name="Title 8 4" xfId="4436" xr:uid="{00000000-0005-0000-0000-0000C9130000}"/>
    <cellStyle name="Title 8 4 10" xfId="7974" xr:uid="{00000000-0005-0000-0000-0000CA130000}"/>
    <cellStyle name="Title 8 4 11" xfId="9259" xr:uid="{00000000-0005-0000-0000-0000CB130000}"/>
    <cellStyle name="Title 8 4 12" xfId="9473" xr:uid="{00000000-0005-0000-0000-0000CC130000}"/>
    <cellStyle name="Title 8 4 13" xfId="9872" xr:uid="{00000000-0005-0000-0000-0000CD130000}"/>
    <cellStyle name="Title 8 4 14" xfId="10344" xr:uid="{00000000-0005-0000-0000-0000CE130000}"/>
    <cellStyle name="Title 8 4 15" xfId="10955" xr:uid="{00000000-0005-0000-0000-0000CF130000}"/>
    <cellStyle name="Title 8 4 16" xfId="11231" xr:uid="{00000000-0005-0000-0000-0000D0130000}"/>
    <cellStyle name="Title 8 4 17" xfId="11700" xr:uid="{00000000-0005-0000-0000-0000D1130000}"/>
    <cellStyle name="Title 8 4 18" xfId="12156" xr:uid="{00000000-0005-0000-0000-0000D2130000}"/>
    <cellStyle name="Title 8 4 19" xfId="12771" xr:uid="{00000000-0005-0000-0000-0000D3130000}"/>
    <cellStyle name="Title 8 4 2" xfId="4983" xr:uid="{00000000-0005-0000-0000-0000D4130000}"/>
    <cellStyle name="Title 8 4 3" xfId="5421" xr:uid="{00000000-0005-0000-0000-0000D5130000}"/>
    <cellStyle name="Title 8 4 4" xfId="5859" xr:uid="{00000000-0005-0000-0000-0000D6130000}"/>
    <cellStyle name="Title 8 4 5" xfId="6296" xr:uid="{00000000-0005-0000-0000-0000D7130000}"/>
    <cellStyle name="Title 8 4 6" xfId="6733" xr:uid="{00000000-0005-0000-0000-0000D8130000}"/>
    <cellStyle name="Title 8 4 7" xfId="7170" xr:uid="{00000000-0005-0000-0000-0000D9130000}"/>
    <cellStyle name="Title 8 4 8" xfId="7607" xr:uid="{00000000-0005-0000-0000-0000DA130000}"/>
    <cellStyle name="Title 8 4 9" xfId="8455" xr:uid="{00000000-0005-0000-0000-0000DB130000}"/>
    <cellStyle name="Title 8 5" xfId="12364" xr:uid="{00000000-0005-0000-0000-0000DC130000}"/>
    <cellStyle name="Title 8 6" xfId="12425" xr:uid="{00000000-0005-0000-0000-0000DD130000}"/>
    <cellStyle name="Title 8 7" xfId="12498" xr:uid="{00000000-0005-0000-0000-0000DE130000}"/>
    <cellStyle name="Title 9" xfId="765" xr:uid="{00000000-0005-0000-0000-0000DF130000}"/>
    <cellStyle name="Title 9 2" xfId="4037" xr:uid="{00000000-0005-0000-0000-0000E0130000}"/>
    <cellStyle name="Title 9 2 2" xfId="4226" xr:uid="{00000000-0005-0000-0000-0000E1130000}"/>
    <cellStyle name="Title 9 2 2 10" xfId="8184" xr:uid="{00000000-0005-0000-0000-0000E2130000}"/>
    <cellStyle name="Title 9 2 2 11" xfId="9047" xr:uid="{00000000-0005-0000-0000-0000E3130000}"/>
    <cellStyle name="Title 9 2 2 12" xfId="9004" xr:uid="{00000000-0005-0000-0000-0000E4130000}"/>
    <cellStyle name="Title 9 2 2 13" xfId="9660" xr:uid="{00000000-0005-0000-0000-0000E5130000}"/>
    <cellStyle name="Title 9 2 2 14" xfId="10132" xr:uid="{00000000-0005-0000-0000-0000E6130000}"/>
    <cellStyle name="Title 9 2 2 15" xfId="10664" xr:uid="{00000000-0005-0000-0000-0000E7130000}"/>
    <cellStyle name="Title 9 2 2 16" xfId="11019" xr:uid="{00000000-0005-0000-0000-0000E8130000}"/>
    <cellStyle name="Title 9 2 2 17" xfId="11488" xr:uid="{00000000-0005-0000-0000-0000E9130000}"/>
    <cellStyle name="Title 9 2 2 18" xfId="11960" xr:uid="{00000000-0005-0000-0000-0000EA130000}"/>
    <cellStyle name="Title 9 2 2 19" xfId="12559" xr:uid="{00000000-0005-0000-0000-0000EB130000}"/>
    <cellStyle name="Title 9 2 2 2" xfId="4771" xr:uid="{00000000-0005-0000-0000-0000EC130000}"/>
    <cellStyle name="Title 9 2 2 3" xfId="5209" xr:uid="{00000000-0005-0000-0000-0000ED130000}"/>
    <cellStyle name="Title 9 2 2 4" xfId="5647" xr:uid="{00000000-0005-0000-0000-0000EE130000}"/>
    <cellStyle name="Title 9 2 2 5" xfId="6084" xr:uid="{00000000-0005-0000-0000-0000EF130000}"/>
    <cellStyle name="Title 9 2 2 6" xfId="6521" xr:uid="{00000000-0005-0000-0000-0000F0130000}"/>
    <cellStyle name="Title 9 2 2 7" xfId="6958" xr:uid="{00000000-0005-0000-0000-0000F1130000}"/>
    <cellStyle name="Title 9 2 2 8" xfId="7395" xr:uid="{00000000-0005-0000-0000-0000F2130000}"/>
    <cellStyle name="Title 9 2 2 9" xfId="8243" xr:uid="{00000000-0005-0000-0000-0000F3130000}"/>
    <cellStyle name="Title 9 2 3" xfId="4439" xr:uid="{00000000-0005-0000-0000-0000F4130000}"/>
    <cellStyle name="Title 9 2 3 10" xfId="7971" xr:uid="{00000000-0005-0000-0000-0000F5130000}"/>
    <cellStyle name="Title 9 2 3 11" xfId="9262" xr:uid="{00000000-0005-0000-0000-0000F6130000}"/>
    <cellStyle name="Title 9 2 3 12" xfId="9599" xr:uid="{00000000-0005-0000-0000-0000F7130000}"/>
    <cellStyle name="Title 9 2 3 13" xfId="9875" xr:uid="{00000000-0005-0000-0000-0000F8130000}"/>
    <cellStyle name="Title 9 2 3 14" xfId="10347" xr:uid="{00000000-0005-0000-0000-0000F9130000}"/>
    <cellStyle name="Title 9 2 3 15" xfId="10788" xr:uid="{00000000-0005-0000-0000-0000FA130000}"/>
    <cellStyle name="Title 9 2 3 16" xfId="11234" xr:uid="{00000000-0005-0000-0000-0000FB130000}"/>
    <cellStyle name="Title 9 2 3 17" xfId="11703" xr:uid="{00000000-0005-0000-0000-0000FC130000}"/>
    <cellStyle name="Title 9 2 3 18" xfId="12038" xr:uid="{00000000-0005-0000-0000-0000FD130000}"/>
    <cellStyle name="Title 9 2 3 19" xfId="12774" xr:uid="{00000000-0005-0000-0000-0000FE130000}"/>
    <cellStyle name="Title 9 2 3 2" xfId="4986" xr:uid="{00000000-0005-0000-0000-0000FF130000}"/>
    <cellStyle name="Title 9 2 3 3" xfId="5424" xr:uid="{00000000-0005-0000-0000-000000140000}"/>
    <cellStyle name="Title 9 2 3 4" xfId="5862" xr:uid="{00000000-0005-0000-0000-000001140000}"/>
    <cellStyle name="Title 9 2 3 5" xfId="6299" xr:uid="{00000000-0005-0000-0000-000002140000}"/>
    <cellStyle name="Title 9 2 3 6" xfId="6736" xr:uid="{00000000-0005-0000-0000-000003140000}"/>
    <cellStyle name="Title 9 2 3 7" xfId="7173" xr:uid="{00000000-0005-0000-0000-000004140000}"/>
    <cellStyle name="Title 9 2 3 8" xfId="7610" xr:uid="{00000000-0005-0000-0000-000005140000}"/>
    <cellStyle name="Title 9 2 3 9" xfId="8458" xr:uid="{00000000-0005-0000-0000-000006140000}"/>
    <cellStyle name="Title 9 3" xfId="4225" xr:uid="{00000000-0005-0000-0000-000007140000}"/>
    <cellStyle name="Title 9 3 10" xfId="8185" xr:uid="{00000000-0005-0000-0000-000008140000}"/>
    <cellStyle name="Title 9 3 11" xfId="9046" xr:uid="{00000000-0005-0000-0000-000009140000}"/>
    <cellStyle name="Title 9 3 12" xfId="9005" xr:uid="{00000000-0005-0000-0000-00000A140000}"/>
    <cellStyle name="Title 9 3 13" xfId="9659" xr:uid="{00000000-0005-0000-0000-00000B140000}"/>
    <cellStyle name="Title 9 3 14" xfId="10131" xr:uid="{00000000-0005-0000-0000-00000C140000}"/>
    <cellStyle name="Title 9 3 15" xfId="10703" xr:uid="{00000000-0005-0000-0000-00000D140000}"/>
    <cellStyle name="Title 9 3 16" xfId="11018" xr:uid="{00000000-0005-0000-0000-00000E140000}"/>
    <cellStyle name="Title 9 3 17" xfId="11487" xr:uid="{00000000-0005-0000-0000-00000F140000}"/>
    <cellStyle name="Title 9 3 18" xfId="11989" xr:uid="{00000000-0005-0000-0000-000010140000}"/>
    <cellStyle name="Title 9 3 19" xfId="12558" xr:uid="{00000000-0005-0000-0000-000011140000}"/>
    <cellStyle name="Title 9 3 2" xfId="4770" xr:uid="{00000000-0005-0000-0000-000012140000}"/>
    <cellStyle name="Title 9 3 3" xfId="5208" xr:uid="{00000000-0005-0000-0000-000013140000}"/>
    <cellStyle name="Title 9 3 4" xfId="5646" xr:uid="{00000000-0005-0000-0000-000014140000}"/>
    <cellStyle name="Title 9 3 5" xfId="6083" xr:uid="{00000000-0005-0000-0000-000015140000}"/>
    <cellStyle name="Title 9 3 6" xfId="6520" xr:uid="{00000000-0005-0000-0000-000016140000}"/>
    <cellStyle name="Title 9 3 7" xfId="6957" xr:uid="{00000000-0005-0000-0000-000017140000}"/>
    <cellStyle name="Title 9 3 8" xfId="7394" xr:uid="{00000000-0005-0000-0000-000018140000}"/>
    <cellStyle name="Title 9 3 9" xfId="8242" xr:uid="{00000000-0005-0000-0000-000019140000}"/>
    <cellStyle name="Title 9 4" xfId="4438" xr:uid="{00000000-0005-0000-0000-00001A140000}"/>
    <cellStyle name="Title 9 4 10" xfId="7972" xr:uid="{00000000-0005-0000-0000-00001B140000}"/>
    <cellStyle name="Title 9 4 11" xfId="9261" xr:uid="{00000000-0005-0000-0000-00001C140000}"/>
    <cellStyle name="Title 9 4 12" xfId="9598" xr:uid="{00000000-0005-0000-0000-00001D140000}"/>
    <cellStyle name="Title 9 4 13" xfId="9874" xr:uid="{00000000-0005-0000-0000-00001E140000}"/>
    <cellStyle name="Title 9 4 14" xfId="10346" xr:uid="{00000000-0005-0000-0000-00001F140000}"/>
    <cellStyle name="Title 9 4 15" xfId="10869" xr:uid="{00000000-0005-0000-0000-000020140000}"/>
    <cellStyle name="Title 9 4 16" xfId="11233" xr:uid="{00000000-0005-0000-0000-000021140000}"/>
    <cellStyle name="Title 9 4 17" xfId="11702" xr:uid="{00000000-0005-0000-0000-000022140000}"/>
    <cellStyle name="Title 9 4 18" xfId="12067" xr:uid="{00000000-0005-0000-0000-000023140000}"/>
    <cellStyle name="Title 9 4 19" xfId="12773" xr:uid="{00000000-0005-0000-0000-000024140000}"/>
    <cellStyle name="Title 9 4 2" xfId="4985" xr:uid="{00000000-0005-0000-0000-000025140000}"/>
    <cellStyle name="Title 9 4 3" xfId="5423" xr:uid="{00000000-0005-0000-0000-000026140000}"/>
    <cellStyle name="Title 9 4 4" xfId="5861" xr:uid="{00000000-0005-0000-0000-000027140000}"/>
    <cellStyle name="Title 9 4 5" xfId="6298" xr:uid="{00000000-0005-0000-0000-000028140000}"/>
    <cellStyle name="Title 9 4 6" xfId="6735" xr:uid="{00000000-0005-0000-0000-000029140000}"/>
    <cellStyle name="Title 9 4 7" xfId="7172" xr:uid="{00000000-0005-0000-0000-00002A140000}"/>
    <cellStyle name="Title 9 4 8" xfId="7609" xr:uid="{00000000-0005-0000-0000-00002B140000}"/>
    <cellStyle name="Title 9 4 9" xfId="8457" xr:uid="{00000000-0005-0000-0000-00002C140000}"/>
    <cellStyle name="Title 9 5" xfId="12365" xr:uid="{00000000-0005-0000-0000-00002D140000}"/>
    <cellStyle name="Title 9 6" xfId="12426" xr:uid="{00000000-0005-0000-0000-00002E140000}"/>
    <cellStyle name="Title 9 7" xfId="12465" xr:uid="{00000000-0005-0000-0000-00002F140000}"/>
    <cellStyle name="Total" xfId="17" builtinId="25" customBuiltin="1"/>
    <cellStyle name="Total 10" xfId="766" xr:uid="{00000000-0005-0000-0000-000031140000}"/>
    <cellStyle name="Total 10 2" xfId="4038" xr:uid="{00000000-0005-0000-0000-000032140000}"/>
    <cellStyle name="Total 10 2 2" xfId="4228" xr:uid="{00000000-0005-0000-0000-000033140000}"/>
    <cellStyle name="Total 10 2 2 10" xfId="8182" xr:uid="{00000000-0005-0000-0000-000034140000}"/>
    <cellStyle name="Total 10 2 2 11" xfId="9049" xr:uid="{00000000-0005-0000-0000-000035140000}"/>
    <cellStyle name="Total 10 2 2 12" xfId="9002" xr:uid="{00000000-0005-0000-0000-000036140000}"/>
    <cellStyle name="Total 10 2 2 13" xfId="9662" xr:uid="{00000000-0005-0000-0000-000037140000}"/>
    <cellStyle name="Total 10 2 2 14" xfId="10134" xr:uid="{00000000-0005-0000-0000-000038140000}"/>
    <cellStyle name="Total 10 2 2 15" xfId="10586" xr:uid="{00000000-0005-0000-0000-000039140000}"/>
    <cellStyle name="Total 10 2 2 16" xfId="11021" xr:uid="{00000000-0005-0000-0000-00003A140000}"/>
    <cellStyle name="Total 10 2 2 17" xfId="11490" xr:uid="{00000000-0005-0000-0000-00003B140000}"/>
    <cellStyle name="Total 10 2 2 18" xfId="12339" xr:uid="{00000000-0005-0000-0000-00003C140000}"/>
    <cellStyle name="Total 10 2 2 19" xfId="12561" xr:uid="{00000000-0005-0000-0000-00003D140000}"/>
    <cellStyle name="Total 10 2 2 2" xfId="4773" xr:uid="{00000000-0005-0000-0000-00003E140000}"/>
    <cellStyle name="Total 10 2 2 3" xfId="5211" xr:uid="{00000000-0005-0000-0000-00003F140000}"/>
    <cellStyle name="Total 10 2 2 4" xfId="5649" xr:uid="{00000000-0005-0000-0000-000040140000}"/>
    <cellStyle name="Total 10 2 2 5" xfId="6086" xr:uid="{00000000-0005-0000-0000-000041140000}"/>
    <cellStyle name="Total 10 2 2 6" xfId="6523" xr:uid="{00000000-0005-0000-0000-000042140000}"/>
    <cellStyle name="Total 10 2 2 7" xfId="6960" xr:uid="{00000000-0005-0000-0000-000043140000}"/>
    <cellStyle name="Total 10 2 2 8" xfId="7397" xr:uid="{00000000-0005-0000-0000-000044140000}"/>
    <cellStyle name="Total 10 2 2 9" xfId="8245" xr:uid="{00000000-0005-0000-0000-000045140000}"/>
    <cellStyle name="Total 10 2 3" xfId="4441" xr:uid="{00000000-0005-0000-0000-000046140000}"/>
    <cellStyle name="Total 10 2 3 10" xfId="7969" xr:uid="{00000000-0005-0000-0000-000047140000}"/>
    <cellStyle name="Total 10 2 3 11" xfId="9264" xr:uid="{00000000-0005-0000-0000-000048140000}"/>
    <cellStyle name="Total 10 2 3 12" xfId="8840" xr:uid="{00000000-0005-0000-0000-000049140000}"/>
    <cellStyle name="Total 10 2 3 13" xfId="9877" xr:uid="{00000000-0005-0000-0000-00004A140000}"/>
    <cellStyle name="Total 10 2 3 14" xfId="10349" xr:uid="{00000000-0005-0000-0000-00004B140000}"/>
    <cellStyle name="Total 10 2 3 15" xfId="10712" xr:uid="{00000000-0005-0000-0000-00004C140000}"/>
    <cellStyle name="Total 10 2 3 16" xfId="11236" xr:uid="{00000000-0005-0000-0000-00004D140000}"/>
    <cellStyle name="Total 10 2 3 17" xfId="11705" xr:uid="{00000000-0005-0000-0000-00004E140000}"/>
    <cellStyle name="Total 10 2 3 18" xfId="11981" xr:uid="{00000000-0005-0000-0000-00004F140000}"/>
    <cellStyle name="Total 10 2 3 19" xfId="12776" xr:uid="{00000000-0005-0000-0000-000050140000}"/>
    <cellStyle name="Total 10 2 3 2" xfId="4988" xr:uid="{00000000-0005-0000-0000-000051140000}"/>
    <cellStyle name="Total 10 2 3 3" xfId="5426" xr:uid="{00000000-0005-0000-0000-000052140000}"/>
    <cellStyle name="Total 10 2 3 4" xfId="5864" xr:uid="{00000000-0005-0000-0000-000053140000}"/>
    <cellStyle name="Total 10 2 3 5" xfId="6301" xr:uid="{00000000-0005-0000-0000-000054140000}"/>
    <cellStyle name="Total 10 2 3 6" xfId="6738" xr:uid="{00000000-0005-0000-0000-000055140000}"/>
    <cellStyle name="Total 10 2 3 7" xfId="7175" xr:uid="{00000000-0005-0000-0000-000056140000}"/>
    <cellStyle name="Total 10 2 3 8" xfId="7612" xr:uid="{00000000-0005-0000-0000-000057140000}"/>
    <cellStyle name="Total 10 2 3 9" xfId="8460" xr:uid="{00000000-0005-0000-0000-000058140000}"/>
    <cellStyle name="Total 10 3" xfId="4227" xr:uid="{00000000-0005-0000-0000-000059140000}"/>
    <cellStyle name="Total 10 3 10" xfId="8183" xr:uid="{00000000-0005-0000-0000-00005A140000}"/>
    <cellStyle name="Total 10 3 11" xfId="9048" xr:uid="{00000000-0005-0000-0000-00005B140000}"/>
    <cellStyle name="Total 10 3 12" xfId="9003" xr:uid="{00000000-0005-0000-0000-00005C140000}"/>
    <cellStyle name="Total 10 3 13" xfId="9661" xr:uid="{00000000-0005-0000-0000-00005D140000}"/>
    <cellStyle name="Total 10 3 14" xfId="10133" xr:uid="{00000000-0005-0000-0000-00005E140000}"/>
    <cellStyle name="Total 10 3 15" xfId="10625" xr:uid="{00000000-0005-0000-0000-00005F140000}"/>
    <cellStyle name="Total 10 3 16" xfId="11020" xr:uid="{00000000-0005-0000-0000-000060140000}"/>
    <cellStyle name="Total 10 3 17" xfId="11489" xr:uid="{00000000-0005-0000-0000-000061140000}"/>
    <cellStyle name="Total 10 3 18" xfId="11931" xr:uid="{00000000-0005-0000-0000-000062140000}"/>
    <cellStyle name="Total 10 3 19" xfId="12560" xr:uid="{00000000-0005-0000-0000-000063140000}"/>
    <cellStyle name="Total 10 3 2" xfId="4772" xr:uid="{00000000-0005-0000-0000-000064140000}"/>
    <cellStyle name="Total 10 3 3" xfId="5210" xr:uid="{00000000-0005-0000-0000-000065140000}"/>
    <cellStyle name="Total 10 3 4" xfId="5648" xr:uid="{00000000-0005-0000-0000-000066140000}"/>
    <cellStyle name="Total 10 3 5" xfId="6085" xr:uid="{00000000-0005-0000-0000-000067140000}"/>
    <cellStyle name="Total 10 3 6" xfId="6522" xr:uid="{00000000-0005-0000-0000-000068140000}"/>
    <cellStyle name="Total 10 3 7" xfId="6959" xr:uid="{00000000-0005-0000-0000-000069140000}"/>
    <cellStyle name="Total 10 3 8" xfId="7396" xr:uid="{00000000-0005-0000-0000-00006A140000}"/>
    <cellStyle name="Total 10 3 9" xfId="8244" xr:uid="{00000000-0005-0000-0000-00006B140000}"/>
    <cellStyle name="Total 10 4" xfId="4440" xr:uid="{00000000-0005-0000-0000-00006C140000}"/>
    <cellStyle name="Total 10 4 10" xfId="7970" xr:uid="{00000000-0005-0000-0000-00006D140000}"/>
    <cellStyle name="Total 10 4 11" xfId="9263" xr:uid="{00000000-0005-0000-0000-00006E140000}"/>
    <cellStyle name="Total 10 4 12" xfId="9610" xr:uid="{00000000-0005-0000-0000-00006F140000}"/>
    <cellStyle name="Total 10 4 13" xfId="9876" xr:uid="{00000000-0005-0000-0000-000070140000}"/>
    <cellStyle name="Total 10 4 14" xfId="10348" xr:uid="{00000000-0005-0000-0000-000071140000}"/>
    <cellStyle name="Total 10 4 15" xfId="10750" xr:uid="{00000000-0005-0000-0000-000072140000}"/>
    <cellStyle name="Total 10 4 16" xfId="11235" xr:uid="{00000000-0005-0000-0000-000073140000}"/>
    <cellStyle name="Total 10 4 17" xfId="11704" xr:uid="{00000000-0005-0000-0000-000074140000}"/>
    <cellStyle name="Total 10 4 18" xfId="12009" xr:uid="{00000000-0005-0000-0000-000075140000}"/>
    <cellStyle name="Total 10 4 19" xfId="12775" xr:uid="{00000000-0005-0000-0000-000076140000}"/>
    <cellStyle name="Total 10 4 2" xfId="4987" xr:uid="{00000000-0005-0000-0000-000077140000}"/>
    <cellStyle name="Total 10 4 3" xfId="5425" xr:uid="{00000000-0005-0000-0000-000078140000}"/>
    <cellStyle name="Total 10 4 4" xfId="5863" xr:uid="{00000000-0005-0000-0000-000079140000}"/>
    <cellStyle name="Total 10 4 5" xfId="6300" xr:uid="{00000000-0005-0000-0000-00007A140000}"/>
    <cellStyle name="Total 10 4 6" xfId="6737" xr:uid="{00000000-0005-0000-0000-00007B140000}"/>
    <cellStyle name="Total 10 4 7" xfId="7174" xr:uid="{00000000-0005-0000-0000-00007C140000}"/>
    <cellStyle name="Total 10 4 8" xfId="7611" xr:uid="{00000000-0005-0000-0000-00007D140000}"/>
    <cellStyle name="Total 10 4 9" xfId="8459" xr:uid="{00000000-0005-0000-0000-00007E140000}"/>
    <cellStyle name="Total 10 5" xfId="12366" xr:uid="{00000000-0005-0000-0000-00007F140000}"/>
    <cellStyle name="Total 10 6" xfId="12427" xr:uid="{00000000-0005-0000-0000-000080140000}"/>
    <cellStyle name="Total 10 7" xfId="12485" xr:uid="{00000000-0005-0000-0000-000081140000}"/>
    <cellStyle name="Total 11" xfId="767" xr:uid="{00000000-0005-0000-0000-000082140000}"/>
    <cellStyle name="Total 11 2" xfId="4039" xr:uid="{00000000-0005-0000-0000-000083140000}"/>
    <cellStyle name="Total 11 2 2" xfId="4230" xr:uid="{00000000-0005-0000-0000-000084140000}"/>
    <cellStyle name="Total 11 2 2 10" xfId="8180" xr:uid="{00000000-0005-0000-0000-000085140000}"/>
    <cellStyle name="Total 11 2 2 11" xfId="9051" xr:uid="{00000000-0005-0000-0000-000086140000}"/>
    <cellStyle name="Total 11 2 2 12" xfId="9000" xr:uid="{00000000-0005-0000-0000-000087140000}"/>
    <cellStyle name="Total 11 2 2 13" xfId="9664" xr:uid="{00000000-0005-0000-0000-000088140000}"/>
    <cellStyle name="Total 11 2 2 14" xfId="10136" xr:uid="{00000000-0005-0000-0000-000089140000}"/>
    <cellStyle name="Total 11 2 2 15" xfId="10966" xr:uid="{00000000-0005-0000-0000-00008A140000}"/>
    <cellStyle name="Total 11 2 2 16" xfId="11023" xr:uid="{00000000-0005-0000-0000-00008B140000}"/>
    <cellStyle name="Total 11 2 2 17" xfId="11492" xr:uid="{00000000-0005-0000-0000-00008C140000}"/>
    <cellStyle name="Total 11 2 2 18" xfId="12283" xr:uid="{00000000-0005-0000-0000-00008D140000}"/>
    <cellStyle name="Total 11 2 2 19" xfId="12563" xr:uid="{00000000-0005-0000-0000-00008E140000}"/>
    <cellStyle name="Total 11 2 2 2" xfId="4775" xr:uid="{00000000-0005-0000-0000-00008F140000}"/>
    <cellStyle name="Total 11 2 2 3" xfId="5213" xr:uid="{00000000-0005-0000-0000-000090140000}"/>
    <cellStyle name="Total 11 2 2 4" xfId="5651" xr:uid="{00000000-0005-0000-0000-000091140000}"/>
    <cellStyle name="Total 11 2 2 5" xfId="6088" xr:uid="{00000000-0005-0000-0000-000092140000}"/>
    <cellStyle name="Total 11 2 2 6" xfId="6525" xr:uid="{00000000-0005-0000-0000-000093140000}"/>
    <cellStyle name="Total 11 2 2 7" xfId="6962" xr:uid="{00000000-0005-0000-0000-000094140000}"/>
    <cellStyle name="Total 11 2 2 8" xfId="7399" xr:uid="{00000000-0005-0000-0000-000095140000}"/>
    <cellStyle name="Total 11 2 2 9" xfId="8247" xr:uid="{00000000-0005-0000-0000-000096140000}"/>
    <cellStyle name="Total 11 2 3" xfId="4443" xr:uid="{00000000-0005-0000-0000-000097140000}"/>
    <cellStyle name="Total 11 2 3 10" xfId="7967" xr:uid="{00000000-0005-0000-0000-000098140000}"/>
    <cellStyle name="Total 11 2 3 11" xfId="9266" xr:uid="{00000000-0005-0000-0000-000099140000}"/>
    <cellStyle name="Total 11 2 3 12" xfId="8838" xr:uid="{00000000-0005-0000-0000-00009A140000}"/>
    <cellStyle name="Total 11 2 3 13" xfId="9879" xr:uid="{00000000-0005-0000-0000-00009B140000}"/>
    <cellStyle name="Total 11 2 3 14" xfId="10351" xr:uid="{00000000-0005-0000-0000-00009C140000}"/>
    <cellStyle name="Total 11 2 3 15" xfId="10634" xr:uid="{00000000-0005-0000-0000-00009D140000}"/>
    <cellStyle name="Total 11 2 3 16" xfId="11238" xr:uid="{00000000-0005-0000-0000-00009E140000}"/>
    <cellStyle name="Total 11 2 3 17" xfId="11707" xr:uid="{00000000-0005-0000-0000-00009F140000}"/>
    <cellStyle name="Total 11 2 3 18" xfId="11923" xr:uid="{00000000-0005-0000-0000-0000A0140000}"/>
    <cellStyle name="Total 11 2 3 19" xfId="12778" xr:uid="{00000000-0005-0000-0000-0000A1140000}"/>
    <cellStyle name="Total 11 2 3 2" xfId="4990" xr:uid="{00000000-0005-0000-0000-0000A2140000}"/>
    <cellStyle name="Total 11 2 3 3" xfId="5428" xr:uid="{00000000-0005-0000-0000-0000A3140000}"/>
    <cellStyle name="Total 11 2 3 4" xfId="5866" xr:uid="{00000000-0005-0000-0000-0000A4140000}"/>
    <cellStyle name="Total 11 2 3 5" xfId="6303" xr:uid="{00000000-0005-0000-0000-0000A5140000}"/>
    <cellStyle name="Total 11 2 3 6" xfId="6740" xr:uid="{00000000-0005-0000-0000-0000A6140000}"/>
    <cellStyle name="Total 11 2 3 7" xfId="7177" xr:uid="{00000000-0005-0000-0000-0000A7140000}"/>
    <cellStyle name="Total 11 2 3 8" xfId="7614" xr:uid="{00000000-0005-0000-0000-0000A8140000}"/>
    <cellStyle name="Total 11 2 3 9" xfId="8462" xr:uid="{00000000-0005-0000-0000-0000A9140000}"/>
    <cellStyle name="Total 11 3" xfId="4229" xr:uid="{00000000-0005-0000-0000-0000AA140000}"/>
    <cellStyle name="Total 11 3 10" xfId="8181" xr:uid="{00000000-0005-0000-0000-0000AB140000}"/>
    <cellStyle name="Total 11 3 11" xfId="9050" xr:uid="{00000000-0005-0000-0000-0000AC140000}"/>
    <cellStyle name="Total 11 3 12" xfId="9001" xr:uid="{00000000-0005-0000-0000-0000AD140000}"/>
    <cellStyle name="Total 11 3 13" xfId="9663" xr:uid="{00000000-0005-0000-0000-0000AE140000}"/>
    <cellStyle name="Total 11 3 14" xfId="10135" xr:uid="{00000000-0005-0000-0000-0000AF140000}"/>
    <cellStyle name="Total 11 3 15" xfId="10969" xr:uid="{00000000-0005-0000-0000-0000B0140000}"/>
    <cellStyle name="Total 11 3 16" xfId="11022" xr:uid="{00000000-0005-0000-0000-0000B1140000}"/>
    <cellStyle name="Total 11 3 17" xfId="11491" xr:uid="{00000000-0005-0000-0000-0000B2140000}"/>
    <cellStyle name="Total 11 3 18" xfId="12310" xr:uid="{00000000-0005-0000-0000-0000B3140000}"/>
    <cellStyle name="Total 11 3 19" xfId="12562" xr:uid="{00000000-0005-0000-0000-0000B4140000}"/>
    <cellStyle name="Total 11 3 2" xfId="4774" xr:uid="{00000000-0005-0000-0000-0000B5140000}"/>
    <cellStyle name="Total 11 3 3" xfId="5212" xr:uid="{00000000-0005-0000-0000-0000B6140000}"/>
    <cellStyle name="Total 11 3 4" xfId="5650" xr:uid="{00000000-0005-0000-0000-0000B7140000}"/>
    <cellStyle name="Total 11 3 5" xfId="6087" xr:uid="{00000000-0005-0000-0000-0000B8140000}"/>
    <cellStyle name="Total 11 3 6" xfId="6524" xr:uid="{00000000-0005-0000-0000-0000B9140000}"/>
    <cellStyle name="Total 11 3 7" xfId="6961" xr:uid="{00000000-0005-0000-0000-0000BA140000}"/>
    <cellStyle name="Total 11 3 8" xfId="7398" xr:uid="{00000000-0005-0000-0000-0000BB140000}"/>
    <cellStyle name="Total 11 3 9" xfId="8246" xr:uid="{00000000-0005-0000-0000-0000BC140000}"/>
    <cellStyle name="Total 11 4" xfId="4442" xr:uid="{00000000-0005-0000-0000-0000BD140000}"/>
    <cellStyle name="Total 11 4 10" xfId="7968" xr:uid="{00000000-0005-0000-0000-0000BE140000}"/>
    <cellStyle name="Total 11 4 11" xfId="9265" xr:uid="{00000000-0005-0000-0000-0000BF140000}"/>
    <cellStyle name="Total 11 4 12" xfId="8839" xr:uid="{00000000-0005-0000-0000-0000C0140000}"/>
    <cellStyle name="Total 11 4 13" xfId="9878" xr:uid="{00000000-0005-0000-0000-0000C1140000}"/>
    <cellStyle name="Total 11 4 14" xfId="10350" xr:uid="{00000000-0005-0000-0000-0000C2140000}"/>
    <cellStyle name="Total 11 4 15" xfId="10673" xr:uid="{00000000-0005-0000-0000-0000C3140000}"/>
    <cellStyle name="Total 11 4 16" xfId="11237" xr:uid="{00000000-0005-0000-0000-0000C4140000}"/>
    <cellStyle name="Total 11 4 17" xfId="11706" xr:uid="{00000000-0005-0000-0000-0000C5140000}"/>
    <cellStyle name="Total 11 4 18" xfId="11952" xr:uid="{00000000-0005-0000-0000-0000C6140000}"/>
    <cellStyle name="Total 11 4 19" xfId="12777" xr:uid="{00000000-0005-0000-0000-0000C7140000}"/>
    <cellStyle name="Total 11 4 2" xfId="4989" xr:uid="{00000000-0005-0000-0000-0000C8140000}"/>
    <cellStyle name="Total 11 4 3" xfId="5427" xr:uid="{00000000-0005-0000-0000-0000C9140000}"/>
    <cellStyle name="Total 11 4 4" xfId="5865" xr:uid="{00000000-0005-0000-0000-0000CA140000}"/>
    <cellStyle name="Total 11 4 5" xfId="6302" xr:uid="{00000000-0005-0000-0000-0000CB140000}"/>
    <cellStyle name="Total 11 4 6" xfId="6739" xr:uid="{00000000-0005-0000-0000-0000CC140000}"/>
    <cellStyle name="Total 11 4 7" xfId="7176" xr:uid="{00000000-0005-0000-0000-0000CD140000}"/>
    <cellStyle name="Total 11 4 8" xfId="7613" xr:uid="{00000000-0005-0000-0000-0000CE140000}"/>
    <cellStyle name="Total 11 4 9" xfId="8461" xr:uid="{00000000-0005-0000-0000-0000CF140000}"/>
    <cellStyle name="Total 11 5" xfId="12367" xr:uid="{00000000-0005-0000-0000-0000D0140000}"/>
    <cellStyle name="Total 11 6" xfId="12428" xr:uid="{00000000-0005-0000-0000-0000D1140000}"/>
    <cellStyle name="Total 11 7" xfId="12479" xr:uid="{00000000-0005-0000-0000-0000D2140000}"/>
    <cellStyle name="Total 12" xfId="768" xr:uid="{00000000-0005-0000-0000-0000D3140000}"/>
    <cellStyle name="Total 12 2" xfId="4040" xr:uid="{00000000-0005-0000-0000-0000D4140000}"/>
    <cellStyle name="Total 12 2 2" xfId="4232" xr:uid="{00000000-0005-0000-0000-0000D5140000}"/>
    <cellStyle name="Total 12 2 2 10" xfId="8178" xr:uid="{00000000-0005-0000-0000-0000D6140000}"/>
    <cellStyle name="Total 12 2 2 11" xfId="9053" xr:uid="{00000000-0005-0000-0000-0000D7140000}"/>
    <cellStyle name="Total 12 2 2 12" xfId="8998" xr:uid="{00000000-0005-0000-0000-0000D8140000}"/>
    <cellStyle name="Total 12 2 2 13" xfId="9666" xr:uid="{00000000-0005-0000-0000-0000D9140000}"/>
    <cellStyle name="Total 12 2 2 14" xfId="10138" xr:uid="{00000000-0005-0000-0000-0000DA140000}"/>
    <cellStyle name="Total 12 2 2 15" xfId="10880" xr:uid="{00000000-0005-0000-0000-0000DB140000}"/>
    <cellStyle name="Total 12 2 2 16" xfId="11025" xr:uid="{00000000-0005-0000-0000-0000DC140000}"/>
    <cellStyle name="Total 12 2 2 17" xfId="11494" xr:uid="{00000000-0005-0000-0000-0000DD140000}"/>
    <cellStyle name="Total 12 2 2 18" xfId="12167" xr:uid="{00000000-0005-0000-0000-0000DE140000}"/>
    <cellStyle name="Total 12 2 2 19" xfId="12565" xr:uid="{00000000-0005-0000-0000-0000DF140000}"/>
    <cellStyle name="Total 12 2 2 2" xfId="4777" xr:uid="{00000000-0005-0000-0000-0000E0140000}"/>
    <cellStyle name="Total 12 2 2 3" xfId="5215" xr:uid="{00000000-0005-0000-0000-0000E1140000}"/>
    <cellStyle name="Total 12 2 2 4" xfId="5653" xr:uid="{00000000-0005-0000-0000-0000E2140000}"/>
    <cellStyle name="Total 12 2 2 5" xfId="6090" xr:uid="{00000000-0005-0000-0000-0000E3140000}"/>
    <cellStyle name="Total 12 2 2 6" xfId="6527" xr:uid="{00000000-0005-0000-0000-0000E4140000}"/>
    <cellStyle name="Total 12 2 2 7" xfId="6964" xr:uid="{00000000-0005-0000-0000-0000E5140000}"/>
    <cellStyle name="Total 12 2 2 8" xfId="7401" xr:uid="{00000000-0005-0000-0000-0000E6140000}"/>
    <cellStyle name="Total 12 2 2 9" xfId="8249" xr:uid="{00000000-0005-0000-0000-0000E7140000}"/>
    <cellStyle name="Total 12 2 3" xfId="4445" xr:uid="{00000000-0005-0000-0000-0000E8140000}"/>
    <cellStyle name="Total 12 2 3 10" xfId="7965" xr:uid="{00000000-0005-0000-0000-0000E9140000}"/>
    <cellStyle name="Total 12 2 3 11" xfId="9268" xr:uid="{00000000-0005-0000-0000-0000EA140000}"/>
    <cellStyle name="Total 12 2 3 12" xfId="8836" xr:uid="{00000000-0005-0000-0000-0000EB140000}"/>
    <cellStyle name="Total 12 2 3 13" xfId="9881" xr:uid="{00000000-0005-0000-0000-0000EC140000}"/>
    <cellStyle name="Total 12 2 3 14" xfId="10353" xr:uid="{00000000-0005-0000-0000-0000ED140000}"/>
    <cellStyle name="Total 12 2 3 15" xfId="10555" xr:uid="{00000000-0005-0000-0000-0000EE140000}"/>
    <cellStyle name="Total 12 2 3 16" xfId="11240" xr:uid="{00000000-0005-0000-0000-0000EF140000}"/>
    <cellStyle name="Total 12 2 3 17" xfId="11709" xr:uid="{00000000-0005-0000-0000-0000F0140000}"/>
    <cellStyle name="Total 12 2 3 18" xfId="12303" xr:uid="{00000000-0005-0000-0000-0000F1140000}"/>
    <cellStyle name="Total 12 2 3 19" xfId="12780" xr:uid="{00000000-0005-0000-0000-0000F2140000}"/>
    <cellStyle name="Total 12 2 3 2" xfId="4992" xr:uid="{00000000-0005-0000-0000-0000F3140000}"/>
    <cellStyle name="Total 12 2 3 3" xfId="5430" xr:uid="{00000000-0005-0000-0000-0000F4140000}"/>
    <cellStyle name="Total 12 2 3 4" xfId="5868" xr:uid="{00000000-0005-0000-0000-0000F5140000}"/>
    <cellStyle name="Total 12 2 3 5" xfId="6305" xr:uid="{00000000-0005-0000-0000-0000F6140000}"/>
    <cellStyle name="Total 12 2 3 6" xfId="6742" xr:uid="{00000000-0005-0000-0000-0000F7140000}"/>
    <cellStyle name="Total 12 2 3 7" xfId="7179" xr:uid="{00000000-0005-0000-0000-0000F8140000}"/>
    <cellStyle name="Total 12 2 3 8" xfId="7616" xr:uid="{00000000-0005-0000-0000-0000F9140000}"/>
    <cellStyle name="Total 12 2 3 9" xfId="8464" xr:uid="{00000000-0005-0000-0000-0000FA140000}"/>
    <cellStyle name="Total 12 3" xfId="4231" xr:uid="{00000000-0005-0000-0000-0000FB140000}"/>
    <cellStyle name="Total 12 3 10" xfId="8179" xr:uid="{00000000-0005-0000-0000-0000FC140000}"/>
    <cellStyle name="Total 12 3 11" xfId="9052" xr:uid="{00000000-0005-0000-0000-0000FD140000}"/>
    <cellStyle name="Total 12 3 12" xfId="8999" xr:uid="{00000000-0005-0000-0000-0000FE140000}"/>
    <cellStyle name="Total 12 3 13" xfId="9665" xr:uid="{00000000-0005-0000-0000-0000FF140000}"/>
    <cellStyle name="Total 12 3 14" xfId="10137" xr:uid="{00000000-0005-0000-0000-000000150000}"/>
    <cellStyle name="Total 12 3 15" xfId="10823" xr:uid="{00000000-0005-0000-0000-000001150000}"/>
    <cellStyle name="Total 12 3 16" xfId="11024" xr:uid="{00000000-0005-0000-0000-000002150000}"/>
    <cellStyle name="Total 12 3 17" xfId="11493" xr:uid="{00000000-0005-0000-0000-000003150000}"/>
    <cellStyle name="Total 12 3 18" xfId="12252" xr:uid="{00000000-0005-0000-0000-000004150000}"/>
    <cellStyle name="Total 12 3 19" xfId="12564" xr:uid="{00000000-0005-0000-0000-000005150000}"/>
    <cellStyle name="Total 12 3 2" xfId="4776" xr:uid="{00000000-0005-0000-0000-000006150000}"/>
    <cellStyle name="Total 12 3 3" xfId="5214" xr:uid="{00000000-0005-0000-0000-000007150000}"/>
    <cellStyle name="Total 12 3 4" xfId="5652" xr:uid="{00000000-0005-0000-0000-000008150000}"/>
    <cellStyle name="Total 12 3 5" xfId="6089" xr:uid="{00000000-0005-0000-0000-000009150000}"/>
    <cellStyle name="Total 12 3 6" xfId="6526" xr:uid="{00000000-0005-0000-0000-00000A150000}"/>
    <cellStyle name="Total 12 3 7" xfId="6963" xr:uid="{00000000-0005-0000-0000-00000B150000}"/>
    <cellStyle name="Total 12 3 8" xfId="7400" xr:uid="{00000000-0005-0000-0000-00000C150000}"/>
    <cellStyle name="Total 12 3 9" xfId="8248" xr:uid="{00000000-0005-0000-0000-00000D150000}"/>
    <cellStyle name="Total 12 4" xfId="4444" xr:uid="{00000000-0005-0000-0000-00000E150000}"/>
    <cellStyle name="Total 12 4 10" xfId="7966" xr:uid="{00000000-0005-0000-0000-00000F150000}"/>
    <cellStyle name="Total 12 4 11" xfId="9267" xr:uid="{00000000-0005-0000-0000-000010150000}"/>
    <cellStyle name="Total 12 4 12" xfId="8837" xr:uid="{00000000-0005-0000-0000-000011150000}"/>
    <cellStyle name="Total 12 4 13" xfId="9880" xr:uid="{00000000-0005-0000-0000-000012150000}"/>
    <cellStyle name="Total 12 4 14" xfId="10352" xr:uid="{00000000-0005-0000-0000-000013150000}"/>
    <cellStyle name="Total 12 4 15" xfId="10595" xr:uid="{00000000-0005-0000-0000-000014150000}"/>
    <cellStyle name="Total 12 4 16" xfId="11239" xr:uid="{00000000-0005-0000-0000-000015150000}"/>
    <cellStyle name="Total 12 4 17" xfId="11708" xr:uid="{00000000-0005-0000-0000-000016150000}"/>
    <cellStyle name="Total 12 4 18" xfId="12331" xr:uid="{00000000-0005-0000-0000-000017150000}"/>
    <cellStyle name="Total 12 4 19" xfId="12779" xr:uid="{00000000-0005-0000-0000-000018150000}"/>
    <cellStyle name="Total 12 4 2" xfId="4991" xr:uid="{00000000-0005-0000-0000-000019150000}"/>
    <cellStyle name="Total 12 4 3" xfId="5429" xr:uid="{00000000-0005-0000-0000-00001A150000}"/>
    <cellStyle name="Total 12 4 4" xfId="5867" xr:uid="{00000000-0005-0000-0000-00001B150000}"/>
    <cellStyle name="Total 12 4 5" xfId="6304" xr:uid="{00000000-0005-0000-0000-00001C150000}"/>
    <cellStyle name="Total 12 4 6" xfId="6741" xr:uid="{00000000-0005-0000-0000-00001D150000}"/>
    <cellStyle name="Total 12 4 7" xfId="7178" xr:uid="{00000000-0005-0000-0000-00001E150000}"/>
    <cellStyle name="Total 12 4 8" xfId="7615" xr:uid="{00000000-0005-0000-0000-00001F150000}"/>
    <cellStyle name="Total 12 4 9" xfId="8463" xr:uid="{00000000-0005-0000-0000-000020150000}"/>
    <cellStyle name="Total 12 5" xfId="12368" xr:uid="{00000000-0005-0000-0000-000021150000}"/>
    <cellStyle name="Total 12 6" xfId="12429" xr:uid="{00000000-0005-0000-0000-000022150000}"/>
    <cellStyle name="Total 12 7" xfId="12473" xr:uid="{00000000-0005-0000-0000-000023150000}"/>
    <cellStyle name="Total 13" xfId="769" xr:uid="{00000000-0005-0000-0000-000024150000}"/>
    <cellStyle name="Total 13 2" xfId="4041" xr:uid="{00000000-0005-0000-0000-000025150000}"/>
    <cellStyle name="Total 13 2 2" xfId="4234" xr:uid="{00000000-0005-0000-0000-000026150000}"/>
    <cellStyle name="Total 13 2 2 10" xfId="8176" xr:uid="{00000000-0005-0000-0000-000027150000}"/>
    <cellStyle name="Total 13 2 2 11" xfId="9055" xr:uid="{00000000-0005-0000-0000-000028150000}"/>
    <cellStyle name="Total 13 2 2 12" xfId="8996" xr:uid="{00000000-0005-0000-0000-000029150000}"/>
    <cellStyle name="Total 13 2 2 13" xfId="9668" xr:uid="{00000000-0005-0000-0000-00002A150000}"/>
    <cellStyle name="Total 13 2 2 14" xfId="10140" xr:uid="{00000000-0005-0000-0000-00002B150000}"/>
    <cellStyle name="Total 13 2 2 15" xfId="10761" xr:uid="{00000000-0005-0000-0000-00002C150000}"/>
    <cellStyle name="Total 13 2 2 16" xfId="11027" xr:uid="{00000000-0005-0000-0000-00002D150000}"/>
    <cellStyle name="Total 13 2 2 17" xfId="11496" xr:uid="{00000000-0005-0000-0000-00002E150000}"/>
    <cellStyle name="Total 13 2 2 18" xfId="12107" xr:uid="{00000000-0005-0000-0000-00002F150000}"/>
    <cellStyle name="Total 13 2 2 19" xfId="12567" xr:uid="{00000000-0005-0000-0000-000030150000}"/>
    <cellStyle name="Total 13 2 2 2" xfId="4779" xr:uid="{00000000-0005-0000-0000-000031150000}"/>
    <cellStyle name="Total 13 2 2 3" xfId="5217" xr:uid="{00000000-0005-0000-0000-000032150000}"/>
    <cellStyle name="Total 13 2 2 4" xfId="5655" xr:uid="{00000000-0005-0000-0000-000033150000}"/>
    <cellStyle name="Total 13 2 2 5" xfId="6092" xr:uid="{00000000-0005-0000-0000-000034150000}"/>
    <cellStyle name="Total 13 2 2 6" xfId="6529" xr:uid="{00000000-0005-0000-0000-000035150000}"/>
    <cellStyle name="Total 13 2 2 7" xfId="6966" xr:uid="{00000000-0005-0000-0000-000036150000}"/>
    <cellStyle name="Total 13 2 2 8" xfId="7403" xr:uid="{00000000-0005-0000-0000-000037150000}"/>
    <cellStyle name="Total 13 2 2 9" xfId="8251" xr:uid="{00000000-0005-0000-0000-000038150000}"/>
    <cellStyle name="Total 13 2 3" xfId="4447" xr:uid="{00000000-0005-0000-0000-000039150000}"/>
    <cellStyle name="Total 13 2 3 10" xfId="7963" xr:uid="{00000000-0005-0000-0000-00003A150000}"/>
    <cellStyle name="Total 13 2 3 11" xfId="9270" xr:uid="{00000000-0005-0000-0000-00003B150000}"/>
    <cellStyle name="Total 13 2 3 12" xfId="9480" xr:uid="{00000000-0005-0000-0000-00003C150000}"/>
    <cellStyle name="Total 13 2 3 13" xfId="9883" xr:uid="{00000000-0005-0000-0000-00003D150000}"/>
    <cellStyle name="Total 13 2 3 14" xfId="10355" xr:uid="{00000000-0005-0000-0000-00003E150000}"/>
    <cellStyle name="Total 13 2 3 15" xfId="10935" xr:uid="{00000000-0005-0000-0000-00003F150000}"/>
    <cellStyle name="Total 13 2 3 16" xfId="11242" xr:uid="{00000000-0005-0000-0000-000040150000}"/>
    <cellStyle name="Total 13 2 3 17" xfId="11711" xr:uid="{00000000-0005-0000-0000-000041150000}"/>
    <cellStyle name="Total 13 2 3 18" xfId="12244" xr:uid="{00000000-0005-0000-0000-000042150000}"/>
    <cellStyle name="Total 13 2 3 19" xfId="12782" xr:uid="{00000000-0005-0000-0000-000043150000}"/>
    <cellStyle name="Total 13 2 3 2" xfId="4994" xr:uid="{00000000-0005-0000-0000-000044150000}"/>
    <cellStyle name="Total 13 2 3 3" xfId="5432" xr:uid="{00000000-0005-0000-0000-000045150000}"/>
    <cellStyle name="Total 13 2 3 4" xfId="5870" xr:uid="{00000000-0005-0000-0000-000046150000}"/>
    <cellStyle name="Total 13 2 3 5" xfId="6307" xr:uid="{00000000-0005-0000-0000-000047150000}"/>
    <cellStyle name="Total 13 2 3 6" xfId="6744" xr:uid="{00000000-0005-0000-0000-000048150000}"/>
    <cellStyle name="Total 13 2 3 7" xfId="7181" xr:uid="{00000000-0005-0000-0000-000049150000}"/>
    <cellStyle name="Total 13 2 3 8" xfId="7618" xr:uid="{00000000-0005-0000-0000-00004A150000}"/>
    <cellStyle name="Total 13 2 3 9" xfId="8466" xr:uid="{00000000-0005-0000-0000-00004B150000}"/>
    <cellStyle name="Total 13 3" xfId="4233" xr:uid="{00000000-0005-0000-0000-00004C150000}"/>
    <cellStyle name="Total 13 3 10" xfId="8177" xr:uid="{00000000-0005-0000-0000-00004D150000}"/>
    <cellStyle name="Total 13 3 11" xfId="9054" xr:uid="{00000000-0005-0000-0000-00004E150000}"/>
    <cellStyle name="Total 13 3 12" xfId="8997" xr:uid="{00000000-0005-0000-0000-00004F150000}"/>
    <cellStyle name="Total 13 3 13" xfId="9667" xr:uid="{00000000-0005-0000-0000-000050150000}"/>
    <cellStyle name="Total 13 3 14" xfId="10139" xr:uid="{00000000-0005-0000-0000-000051150000}"/>
    <cellStyle name="Total 13 3 15" xfId="10799" xr:uid="{00000000-0005-0000-0000-000052150000}"/>
    <cellStyle name="Total 13 3 16" xfId="11026" xr:uid="{00000000-0005-0000-0000-000053150000}"/>
    <cellStyle name="Total 13 3 17" xfId="11495" xr:uid="{00000000-0005-0000-0000-000054150000}"/>
    <cellStyle name="Total 13 3 18" xfId="12215" xr:uid="{00000000-0005-0000-0000-000055150000}"/>
    <cellStyle name="Total 13 3 19" xfId="12566" xr:uid="{00000000-0005-0000-0000-000056150000}"/>
    <cellStyle name="Total 13 3 2" xfId="4778" xr:uid="{00000000-0005-0000-0000-000057150000}"/>
    <cellStyle name="Total 13 3 3" xfId="5216" xr:uid="{00000000-0005-0000-0000-000058150000}"/>
    <cellStyle name="Total 13 3 4" xfId="5654" xr:uid="{00000000-0005-0000-0000-000059150000}"/>
    <cellStyle name="Total 13 3 5" xfId="6091" xr:uid="{00000000-0005-0000-0000-00005A150000}"/>
    <cellStyle name="Total 13 3 6" xfId="6528" xr:uid="{00000000-0005-0000-0000-00005B150000}"/>
    <cellStyle name="Total 13 3 7" xfId="6965" xr:uid="{00000000-0005-0000-0000-00005C150000}"/>
    <cellStyle name="Total 13 3 8" xfId="7402" xr:uid="{00000000-0005-0000-0000-00005D150000}"/>
    <cellStyle name="Total 13 3 9" xfId="8250" xr:uid="{00000000-0005-0000-0000-00005E150000}"/>
    <cellStyle name="Total 13 4" xfId="4446" xr:uid="{00000000-0005-0000-0000-00005F150000}"/>
    <cellStyle name="Total 13 4 10" xfId="7964" xr:uid="{00000000-0005-0000-0000-000060150000}"/>
    <cellStyle name="Total 13 4 11" xfId="9269" xr:uid="{00000000-0005-0000-0000-000061150000}"/>
    <cellStyle name="Total 13 4 12" xfId="8835" xr:uid="{00000000-0005-0000-0000-000062150000}"/>
    <cellStyle name="Total 13 4 13" xfId="9882" xr:uid="{00000000-0005-0000-0000-000063150000}"/>
    <cellStyle name="Total 13 4 14" xfId="10354" xr:uid="{00000000-0005-0000-0000-000064150000}"/>
    <cellStyle name="Total 13 4 15" xfId="10920" xr:uid="{00000000-0005-0000-0000-000065150000}"/>
    <cellStyle name="Total 13 4 16" xfId="11241" xr:uid="{00000000-0005-0000-0000-000066150000}"/>
    <cellStyle name="Total 13 4 17" xfId="11710" xr:uid="{00000000-0005-0000-0000-000067150000}"/>
    <cellStyle name="Total 13 4 18" xfId="12275" xr:uid="{00000000-0005-0000-0000-000068150000}"/>
    <cellStyle name="Total 13 4 19" xfId="12781" xr:uid="{00000000-0005-0000-0000-000069150000}"/>
    <cellStyle name="Total 13 4 2" xfId="4993" xr:uid="{00000000-0005-0000-0000-00006A150000}"/>
    <cellStyle name="Total 13 4 3" xfId="5431" xr:uid="{00000000-0005-0000-0000-00006B150000}"/>
    <cellStyle name="Total 13 4 4" xfId="5869" xr:uid="{00000000-0005-0000-0000-00006C150000}"/>
    <cellStyle name="Total 13 4 5" xfId="6306" xr:uid="{00000000-0005-0000-0000-00006D150000}"/>
    <cellStyle name="Total 13 4 6" xfId="6743" xr:uid="{00000000-0005-0000-0000-00006E150000}"/>
    <cellStyle name="Total 13 4 7" xfId="7180" xr:uid="{00000000-0005-0000-0000-00006F150000}"/>
    <cellStyle name="Total 13 4 8" xfId="7617" xr:uid="{00000000-0005-0000-0000-000070150000}"/>
    <cellStyle name="Total 13 4 9" xfId="8465" xr:uid="{00000000-0005-0000-0000-000071150000}"/>
    <cellStyle name="Total 13 5" xfId="12369" xr:uid="{00000000-0005-0000-0000-000072150000}"/>
    <cellStyle name="Total 13 6" xfId="12430" xr:uid="{00000000-0005-0000-0000-000073150000}"/>
    <cellStyle name="Total 13 7" xfId="12468" xr:uid="{00000000-0005-0000-0000-000074150000}"/>
    <cellStyle name="Total 14" xfId="770" xr:uid="{00000000-0005-0000-0000-000075150000}"/>
    <cellStyle name="Total 14 2" xfId="4042" xr:uid="{00000000-0005-0000-0000-000076150000}"/>
    <cellStyle name="Total 14 2 2" xfId="4236" xr:uid="{00000000-0005-0000-0000-000077150000}"/>
    <cellStyle name="Total 14 2 2 10" xfId="8174" xr:uid="{00000000-0005-0000-0000-000078150000}"/>
    <cellStyle name="Total 14 2 2 11" xfId="9057" xr:uid="{00000000-0005-0000-0000-000079150000}"/>
    <cellStyle name="Total 14 2 2 12" xfId="8994" xr:uid="{00000000-0005-0000-0000-00007A150000}"/>
    <cellStyle name="Total 14 2 2 13" xfId="9670" xr:uid="{00000000-0005-0000-0000-00007B150000}"/>
    <cellStyle name="Total 14 2 2 14" xfId="10142" xr:uid="{00000000-0005-0000-0000-00007C150000}"/>
    <cellStyle name="Total 14 2 2 15" xfId="10684" xr:uid="{00000000-0005-0000-0000-00007D150000}"/>
    <cellStyle name="Total 14 2 2 16" xfId="11029" xr:uid="{00000000-0005-0000-0000-00007E150000}"/>
    <cellStyle name="Total 14 2 2 17" xfId="11498" xr:uid="{00000000-0005-0000-0000-00007F150000}"/>
    <cellStyle name="Total 14 2 2 18" xfId="12091" xr:uid="{00000000-0005-0000-0000-000080150000}"/>
    <cellStyle name="Total 14 2 2 19" xfId="12569" xr:uid="{00000000-0005-0000-0000-000081150000}"/>
    <cellStyle name="Total 14 2 2 2" xfId="4781" xr:uid="{00000000-0005-0000-0000-000082150000}"/>
    <cellStyle name="Total 14 2 2 3" xfId="5219" xr:uid="{00000000-0005-0000-0000-000083150000}"/>
    <cellStyle name="Total 14 2 2 4" xfId="5657" xr:uid="{00000000-0005-0000-0000-000084150000}"/>
    <cellStyle name="Total 14 2 2 5" xfId="6094" xr:uid="{00000000-0005-0000-0000-000085150000}"/>
    <cellStyle name="Total 14 2 2 6" xfId="6531" xr:uid="{00000000-0005-0000-0000-000086150000}"/>
    <cellStyle name="Total 14 2 2 7" xfId="6968" xr:uid="{00000000-0005-0000-0000-000087150000}"/>
    <cellStyle name="Total 14 2 2 8" xfId="7405" xr:uid="{00000000-0005-0000-0000-000088150000}"/>
    <cellStyle name="Total 14 2 2 9" xfId="8253" xr:uid="{00000000-0005-0000-0000-000089150000}"/>
    <cellStyle name="Total 14 2 3" xfId="4449" xr:uid="{00000000-0005-0000-0000-00008A150000}"/>
    <cellStyle name="Total 14 2 3 10" xfId="7961" xr:uid="{00000000-0005-0000-0000-00008B150000}"/>
    <cellStyle name="Total 14 2 3 11" xfId="9272" xr:uid="{00000000-0005-0000-0000-00008C150000}"/>
    <cellStyle name="Total 14 2 3 12" xfId="9471" xr:uid="{00000000-0005-0000-0000-00008D150000}"/>
    <cellStyle name="Total 14 2 3 13" xfId="9885" xr:uid="{00000000-0005-0000-0000-00008E150000}"/>
    <cellStyle name="Total 14 2 3 14" xfId="10357" xr:uid="{00000000-0005-0000-0000-00008F150000}"/>
    <cellStyle name="Total 14 2 3 15" xfId="10891" xr:uid="{00000000-0005-0000-0000-000090150000}"/>
    <cellStyle name="Total 14 2 3 16" xfId="11244" xr:uid="{00000000-0005-0000-0000-000091150000}"/>
    <cellStyle name="Total 14 2 3 17" xfId="11713" xr:uid="{00000000-0005-0000-0000-000092150000}"/>
    <cellStyle name="Total 14 2 3 18" xfId="12207" xr:uid="{00000000-0005-0000-0000-000093150000}"/>
    <cellStyle name="Total 14 2 3 19" xfId="12784" xr:uid="{00000000-0005-0000-0000-000094150000}"/>
    <cellStyle name="Total 14 2 3 2" xfId="4996" xr:uid="{00000000-0005-0000-0000-000095150000}"/>
    <cellStyle name="Total 14 2 3 3" xfId="5434" xr:uid="{00000000-0005-0000-0000-000096150000}"/>
    <cellStyle name="Total 14 2 3 4" xfId="5872" xr:uid="{00000000-0005-0000-0000-000097150000}"/>
    <cellStyle name="Total 14 2 3 5" xfId="6309" xr:uid="{00000000-0005-0000-0000-000098150000}"/>
    <cellStyle name="Total 14 2 3 6" xfId="6746" xr:uid="{00000000-0005-0000-0000-000099150000}"/>
    <cellStyle name="Total 14 2 3 7" xfId="7183" xr:uid="{00000000-0005-0000-0000-00009A150000}"/>
    <cellStyle name="Total 14 2 3 8" xfId="7620" xr:uid="{00000000-0005-0000-0000-00009B150000}"/>
    <cellStyle name="Total 14 2 3 9" xfId="8468" xr:uid="{00000000-0005-0000-0000-00009C150000}"/>
    <cellStyle name="Total 14 3" xfId="4235" xr:uid="{00000000-0005-0000-0000-00009D150000}"/>
    <cellStyle name="Total 14 3 10" xfId="8175" xr:uid="{00000000-0005-0000-0000-00009E150000}"/>
    <cellStyle name="Total 14 3 11" xfId="9056" xr:uid="{00000000-0005-0000-0000-00009F150000}"/>
    <cellStyle name="Total 14 3 12" xfId="8995" xr:uid="{00000000-0005-0000-0000-0000A0150000}"/>
    <cellStyle name="Total 14 3 13" xfId="9669" xr:uid="{00000000-0005-0000-0000-0000A1150000}"/>
    <cellStyle name="Total 14 3 14" xfId="10141" xr:uid="{00000000-0005-0000-0000-0000A2150000}"/>
    <cellStyle name="Total 14 3 15" xfId="10723" xr:uid="{00000000-0005-0000-0000-0000A3150000}"/>
    <cellStyle name="Total 14 3 16" xfId="11028" xr:uid="{00000000-0005-0000-0000-0000A4150000}"/>
    <cellStyle name="Total 14 3 17" xfId="11497" xr:uid="{00000000-0005-0000-0000-0000A5150000}"/>
    <cellStyle name="Total 14 3 18" xfId="12150" xr:uid="{00000000-0005-0000-0000-0000A6150000}"/>
    <cellStyle name="Total 14 3 19" xfId="12568" xr:uid="{00000000-0005-0000-0000-0000A7150000}"/>
    <cellStyle name="Total 14 3 2" xfId="4780" xr:uid="{00000000-0005-0000-0000-0000A8150000}"/>
    <cellStyle name="Total 14 3 3" xfId="5218" xr:uid="{00000000-0005-0000-0000-0000A9150000}"/>
    <cellStyle name="Total 14 3 4" xfId="5656" xr:uid="{00000000-0005-0000-0000-0000AA150000}"/>
    <cellStyle name="Total 14 3 5" xfId="6093" xr:uid="{00000000-0005-0000-0000-0000AB150000}"/>
    <cellStyle name="Total 14 3 6" xfId="6530" xr:uid="{00000000-0005-0000-0000-0000AC150000}"/>
    <cellStyle name="Total 14 3 7" xfId="6967" xr:uid="{00000000-0005-0000-0000-0000AD150000}"/>
    <cellStyle name="Total 14 3 8" xfId="7404" xr:uid="{00000000-0005-0000-0000-0000AE150000}"/>
    <cellStyle name="Total 14 3 9" xfId="8252" xr:uid="{00000000-0005-0000-0000-0000AF150000}"/>
    <cellStyle name="Total 14 4" xfId="4448" xr:uid="{00000000-0005-0000-0000-0000B0150000}"/>
    <cellStyle name="Total 14 4 10" xfId="7962" xr:uid="{00000000-0005-0000-0000-0000B1150000}"/>
    <cellStyle name="Total 14 4 11" xfId="9271" xr:uid="{00000000-0005-0000-0000-0000B2150000}"/>
    <cellStyle name="Total 14 4 12" xfId="9512" xr:uid="{00000000-0005-0000-0000-0000B3150000}"/>
    <cellStyle name="Total 14 4 13" xfId="9884" xr:uid="{00000000-0005-0000-0000-0000B4150000}"/>
    <cellStyle name="Total 14 4 14" xfId="10356" xr:uid="{00000000-0005-0000-0000-0000B5150000}"/>
    <cellStyle name="Total 14 4 15" xfId="10854" xr:uid="{00000000-0005-0000-0000-0000B6150000}"/>
    <cellStyle name="Total 14 4 16" xfId="11243" xr:uid="{00000000-0005-0000-0000-0000B7150000}"/>
    <cellStyle name="Total 14 4 17" xfId="11712" xr:uid="{00000000-0005-0000-0000-0000B8150000}"/>
    <cellStyle name="Total 14 4 18" xfId="12219" xr:uid="{00000000-0005-0000-0000-0000B9150000}"/>
    <cellStyle name="Total 14 4 19" xfId="12783" xr:uid="{00000000-0005-0000-0000-0000BA150000}"/>
    <cellStyle name="Total 14 4 2" xfId="4995" xr:uid="{00000000-0005-0000-0000-0000BB150000}"/>
    <cellStyle name="Total 14 4 3" xfId="5433" xr:uid="{00000000-0005-0000-0000-0000BC150000}"/>
    <cellStyle name="Total 14 4 4" xfId="5871" xr:uid="{00000000-0005-0000-0000-0000BD150000}"/>
    <cellStyle name="Total 14 4 5" xfId="6308" xr:uid="{00000000-0005-0000-0000-0000BE150000}"/>
    <cellStyle name="Total 14 4 6" xfId="6745" xr:uid="{00000000-0005-0000-0000-0000BF150000}"/>
    <cellStyle name="Total 14 4 7" xfId="7182" xr:uid="{00000000-0005-0000-0000-0000C0150000}"/>
    <cellStyle name="Total 14 4 8" xfId="7619" xr:uid="{00000000-0005-0000-0000-0000C1150000}"/>
    <cellStyle name="Total 14 4 9" xfId="8467" xr:uid="{00000000-0005-0000-0000-0000C2150000}"/>
    <cellStyle name="Total 14 5" xfId="12370" xr:uid="{00000000-0005-0000-0000-0000C3150000}"/>
    <cellStyle name="Total 14 6" xfId="12431" xr:uid="{00000000-0005-0000-0000-0000C4150000}"/>
    <cellStyle name="Total 14 7" xfId="12518" xr:uid="{00000000-0005-0000-0000-0000C5150000}"/>
    <cellStyle name="Total 15" xfId="771" xr:uid="{00000000-0005-0000-0000-0000C6150000}"/>
    <cellStyle name="Total 15 2" xfId="4043" xr:uid="{00000000-0005-0000-0000-0000C7150000}"/>
    <cellStyle name="Total 15 2 2" xfId="4238" xr:uid="{00000000-0005-0000-0000-0000C8150000}"/>
    <cellStyle name="Total 15 2 2 10" xfId="8172" xr:uid="{00000000-0005-0000-0000-0000C9150000}"/>
    <cellStyle name="Total 15 2 2 11" xfId="9059" xr:uid="{00000000-0005-0000-0000-0000CA150000}"/>
    <cellStyle name="Total 15 2 2 12" xfId="8992" xr:uid="{00000000-0005-0000-0000-0000CB150000}"/>
    <cellStyle name="Total 15 2 2 13" xfId="9672" xr:uid="{00000000-0005-0000-0000-0000CC150000}"/>
    <cellStyle name="Total 15 2 2 14" xfId="10144" xr:uid="{00000000-0005-0000-0000-0000CD150000}"/>
    <cellStyle name="Total 15 2 2 15" xfId="10606" xr:uid="{00000000-0005-0000-0000-0000CE150000}"/>
    <cellStyle name="Total 15 2 2 16" xfId="11031" xr:uid="{00000000-0005-0000-0000-0000CF150000}"/>
    <cellStyle name="Total 15 2 2 17" xfId="11500" xr:uid="{00000000-0005-0000-0000-0000D0150000}"/>
    <cellStyle name="Total 15 2 2 18" xfId="12032" xr:uid="{00000000-0005-0000-0000-0000D1150000}"/>
    <cellStyle name="Total 15 2 2 19" xfId="12571" xr:uid="{00000000-0005-0000-0000-0000D2150000}"/>
    <cellStyle name="Total 15 2 2 2" xfId="4783" xr:uid="{00000000-0005-0000-0000-0000D3150000}"/>
    <cellStyle name="Total 15 2 2 3" xfId="5221" xr:uid="{00000000-0005-0000-0000-0000D4150000}"/>
    <cellStyle name="Total 15 2 2 4" xfId="5659" xr:uid="{00000000-0005-0000-0000-0000D5150000}"/>
    <cellStyle name="Total 15 2 2 5" xfId="6096" xr:uid="{00000000-0005-0000-0000-0000D6150000}"/>
    <cellStyle name="Total 15 2 2 6" xfId="6533" xr:uid="{00000000-0005-0000-0000-0000D7150000}"/>
    <cellStyle name="Total 15 2 2 7" xfId="6970" xr:uid="{00000000-0005-0000-0000-0000D8150000}"/>
    <cellStyle name="Total 15 2 2 8" xfId="7407" xr:uid="{00000000-0005-0000-0000-0000D9150000}"/>
    <cellStyle name="Total 15 2 2 9" xfId="8255" xr:uid="{00000000-0005-0000-0000-0000DA150000}"/>
    <cellStyle name="Total 15 2 3" xfId="4451" xr:uid="{00000000-0005-0000-0000-0000DB150000}"/>
    <cellStyle name="Total 15 2 3 10" xfId="7959" xr:uid="{00000000-0005-0000-0000-0000DC150000}"/>
    <cellStyle name="Total 15 2 3 11" xfId="9274" xr:uid="{00000000-0005-0000-0000-0000DD150000}"/>
    <cellStyle name="Total 15 2 3 12" xfId="9479" xr:uid="{00000000-0005-0000-0000-0000DE150000}"/>
    <cellStyle name="Total 15 2 3 13" xfId="9887" xr:uid="{00000000-0005-0000-0000-0000DF150000}"/>
    <cellStyle name="Total 15 2 3 14" xfId="10359" xr:uid="{00000000-0005-0000-0000-0000E0150000}"/>
    <cellStyle name="Total 15 2 3 15" xfId="10771" xr:uid="{00000000-0005-0000-0000-0000E1150000}"/>
    <cellStyle name="Total 15 2 3 16" xfId="11246" xr:uid="{00000000-0005-0000-0000-0000E2150000}"/>
    <cellStyle name="Total 15 2 3 17" xfId="11715" xr:uid="{00000000-0005-0000-0000-0000E3150000}"/>
    <cellStyle name="Total 15 2 3 18" xfId="12141" xr:uid="{00000000-0005-0000-0000-0000E4150000}"/>
    <cellStyle name="Total 15 2 3 19" xfId="12786" xr:uid="{00000000-0005-0000-0000-0000E5150000}"/>
    <cellStyle name="Total 15 2 3 2" xfId="4998" xr:uid="{00000000-0005-0000-0000-0000E6150000}"/>
    <cellStyle name="Total 15 2 3 3" xfId="5436" xr:uid="{00000000-0005-0000-0000-0000E7150000}"/>
    <cellStyle name="Total 15 2 3 4" xfId="5874" xr:uid="{00000000-0005-0000-0000-0000E8150000}"/>
    <cellStyle name="Total 15 2 3 5" xfId="6311" xr:uid="{00000000-0005-0000-0000-0000E9150000}"/>
    <cellStyle name="Total 15 2 3 6" xfId="6748" xr:uid="{00000000-0005-0000-0000-0000EA150000}"/>
    <cellStyle name="Total 15 2 3 7" xfId="7185" xr:uid="{00000000-0005-0000-0000-0000EB150000}"/>
    <cellStyle name="Total 15 2 3 8" xfId="7622" xr:uid="{00000000-0005-0000-0000-0000EC150000}"/>
    <cellStyle name="Total 15 2 3 9" xfId="8470" xr:uid="{00000000-0005-0000-0000-0000ED150000}"/>
    <cellStyle name="Total 15 3" xfId="4237" xr:uid="{00000000-0005-0000-0000-0000EE150000}"/>
    <cellStyle name="Total 15 3 10" xfId="8173" xr:uid="{00000000-0005-0000-0000-0000EF150000}"/>
    <cellStyle name="Total 15 3 11" xfId="9058" xr:uid="{00000000-0005-0000-0000-0000F0150000}"/>
    <cellStyle name="Total 15 3 12" xfId="8993" xr:uid="{00000000-0005-0000-0000-0000F1150000}"/>
    <cellStyle name="Total 15 3 13" xfId="9671" xr:uid="{00000000-0005-0000-0000-0000F2150000}"/>
    <cellStyle name="Total 15 3 14" xfId="10143" xr:uid="{00000000-0005-0000-0000-0000F3150000}"/>
    <cellStyle name="Total 15 3 15" xfId="10645" xr:uid="{00000000-0005-0000-0000-0000F4150000}"/>
    <cellStyle name="Total 15 3 16" xfId="11030" xr:uid="{00000000-0005-0000-0000-0000F5150000}"/>
    <cellStyle name="Total 15 3 17" xfId="11499" xr:uid="{00000000-0005-0000-0000-0000F6150000}"/>
    <cellStyle name="Total 15 3 18" xfId="12061" xr:uid="{00000000-0005-0000-0000-0000F7150000}"/>
    <cellStyle name="Total 15 3 19" xfId="12570" xr:uid="{00000000-0005-0000-0000-0000F8150000}"/>
    <cellStyle name="Total 15 3 2" xfId="4782" xr:uid="{00000000-0005-0000-0000-0000F9150000}"/>
    <cellStyle name="Total 15 3 3" xfId="5220" xr:uid="{00000000-0005-0000-0000-0000FA150000}"/>
    <cellStyle name="Total 15 3 4" xfId="5658" xr:uid="{00000000-0005-0000-0000-0000FB150000}"/>
    <cellStyle name="Total 15 3 5" xfId="6095" xr:uid="{00000000-0005-0000-0000-0000FC150000}"/>
    <cellStyle name="Total 15 3 6" xfId="6532" xr:uid="{00000000-0005-0000-0000-0000FD150000}"/>
    <cellStyle name="Total 15 3 7" xfId="6969" xr:uid="{00000000-0005-0000-0000-0000FE150000}"/>
    <cellStyle name="Total 15 3 8" xfId="7406" xr:uid="{00000000-0005-0000-0000-0000FF150000}"/>
    <cellStyle name="Total 15 3 9" xfId="8254" xr:uid="{00000000-0005-0000-0000-000000160000}"/>
    <cellStyle name="Total 15 4" xfId="4450" xr:uid="{00000000-0005-0000-0000-000001160000}"/>
    <cellStyle name="Total 15 4 10" xfId="7960" xr:uid="{00000000-0005-0000-0000-000002160000}"/>
    <cellStyle name="Total 15 4 11" xfId="9273" xr:uid="{00000000-0005-0000-0000-000003160000}"/>
    <cellStyle name="Total 15 4 12" xfId="9502" xr:uid="{00000000-0005-0000-0000-000004160000}"/>
    <cellStyle name="Total 15 4 13" xfId="9886" xr:uid="{00000000-0005-0000-0000-000005160000}"/>
    <cellStyle name="Total 15 4 14" xfId="10358" xr:uid="{00000000-0005-0000-0000-000006160000}"/>
    <cellStyle name="Total 15 4 15" xfId="10810" xr:uid="{00000000-0005-0000-0000-000007160000}"/>
    <cellStyle name="Total 15 4 16" xfId="11245" xr:uid="{00000000-0005-0000-0000-000008160000}"/>
    <cellStyle name="Total 15 4 17" xfId="11714" xr:uid="{00000000-0005-0000-0000-000009160000}"/>
    <cellStyle name="Total 15 4 18" xfId="12115" xr:uid="{00000000-0005-0000-0000-00000A160000}"/>
    <cellStyle name="Total 15 4 19" xfId="12785" xr:uid="{00000000-0005-0000-0000-00000B160000}"/>
    <cellStyle name="Total 15 4 2" xfId="4997" xr:uid="{00000000-0005-0000-0000-00000C160000}"/>
    <cellStyle name="Total 15 4 3" xfId="5435" xr:uid="{00000000-0005-0000-0000-00000D160000}"/>
    <cellStyle name="Total 15 4 4" xfId="5873" xr:uid="{00000000-0005-0000-0000-00000E160000}"/>
    <cellStyle name="Total 15 4 5" xfId="6310" xr:uid="{00000000-0005-0000-0000-00000F160000}"/>
    <cellStyle name="Total 15 4 6" xfId="6747" xr:uid="{00000000-0005-0000-0000-000010160000}"/>
    <cellStyle name="Total 15 4 7" xfId="7184" xr:uid="{00000000-0005-0000-0000-000011160000}"/>
    <cellStyle name="Total 15 4 8" xfId="7621" xr:uid="{00000000-0005-0000-0000-000012160000}"/>
    <cellStyle name="Total 15 4 9" xfId="8469" xr:uid="{00000000-0005-0000-0000-000013160000}"/>
    <cellStyle name="Total 15 5" xfId="12371" xr:uid="{00000000-0005-0000-0000-000014160000}"/>
    <cellStyle name="Total 15 6" xfId="12432" xr:uid="{00000000-0005-0000-0000-000015160000}"/>
    <cellStyle name="Total 15 7" xfId="12510" xr:uid="{00000000-0005-0000-0000-000016160000}"/>
    <cellStyle name="Total 16" xfId="772" xr:uid="{00000000-0005-0000-0000-000017160000}"/>
    <cellStyle name="Total 16 2" xfId="4044" xr:uid="{00000000-0005-0000-0000-000018160000}"/>
    <cellStyle name="Total 16 2 2" xfId="4240" xr:uid="{00000000-0005-0000-0000-000019160000}"/>
    <cellStyle name="Total 16 2 2 10" xfId="8170" xr:uid="{00000000-0005-0000-0000-00001A160000}"/>
    <cellStyle name="Total 16 2 2 11" xfId="9061" xr:uid="{00000000-0005-0000-0000-00001B160000}"/>
    <cellStyle name="Total 16 2 2 12" xfId="8990" xr:uid="{00000000-0005-0000-0000-00001C160000}"/>
    <cellStyle name="Total 16 2 2 13" xfId="9674" xr:uid="{00000000-0005-0000-0000-00001D160000}"/>
    <cellStyle name="Total 16 2 2 14" xfId="10146" xr:uid="{00000000-0005-0000-0000-00001E160000}"/>
    <cellStyle name="Total 16 2 2 15" xfId="10909" xr:uid="{00000000-0005-0000-0000-00001F160000}"/>
    <cellStyle name="Total 16 2 2 16" xfId="11033" xr:uid="{00000000-0005-0000-0000-000020160000}"/>
    <cellStyle name="Total 16 2 2 17" xfId="11502" xr:uid="{00000000-0005-0000-0000-000021160000}"/>
    <cellStyle name="Total 16 2 2 18" xfId="11975" xr:uid="{00000000-0005-0000-0000-000022160000}"/>
    <cellStyle name="Total 16 2 2 19" xfId="12573" xr:uid="{00000000-0005-0000-0000-000023160000}"/>
    <cellStyle name="Total 16 2 2 2" xfId="4785" xr:uid="{00000000-0005-0000-0000-000024160000}"/>
    <cellStyle name="Total 16 2 2 3" xfId="5223" xr:uid="{00000000-0005-0000-0000-000025160000}"/>
    <cellStyle name="Total 16 2 2 4" xfId="5661" xr:uid="{00000000-0005-0000-0000-000026160000}"/>
    <cellStyle name="Total 16 2 2 5" xfId="6098" xr:uid="{00000000-0005-0000-0000-000027160000}"/>
    <cellStyle name="Total 16 2 2 6" xfId="6535" xr:uid="{00000000-0005-0000-0000-000028160000}"/>
    <cellStyle name="Total 16 2 2 7" xfId="6972" xr:uid="{00000000-0005-0000-0000-000029160000}"/>
    <cellStyle name="Total 16 2 2 8" xfId="7409" xr:uid="{00000000-0005-0000-0000-00002A160000}"/>
    <cellStyle name="Total 16 2 2 9" xfId="8257" xr:uid="{00000000-0005-0000-0000-00002B160000}"/>
    <cellStyle name="Total 16 2 3" xfId="4453" xr:uid="{00000000-0005-0000-0000-00002C160000}"/>
    <cellStyle name="Total 16 2 3 10" xfId="7957" xr:uid="{00000000-0005-0000-0000-00002D160000}"/>
    <cellStyle name="Total 16 2 3 11" xfId="9276" xr:uid="{00000000-0005-0000-0000-00002E160000}"/>
    <cellStyle name="Total 16 2 3 12" xfId="9609" xr:uid="{00000000-0005-0000-0000-00002F160000}"/>
    <cellStyle name="Total 16 2 3 13" xfId="9889" xr:uid="{00000000-0005-0000-0000-000030160000}"/>
    <cellStyle name="Total 16 2 3 14" xfId="10361" xr:uid="{00000000-0005-0000-0000-000031160000}"/>
    <cellStyle name="Total 16 2 3 15" xfId="10694" xr:uid="{00000000-0005-0000-0000-000032160000}"/>
    <cellStyle name="Total 16 2 3 16" xfId="11248" xr:uid="{00000000-0005-0000-0000-000033160000}"/>
    <cellStyle name="Total 16 2 3 17" xfId="11717" xr:uid="{00000000-0005-0000-0000-000034160000}"/>
    <cellStyle name="Total 16 2 3 18" xfId="12052" xr:uid="{00000000-0005-0000-0000-000035160000}"/>
    <cellStyle name="Total 16 2 3 19" xfId="12788" xr:uid="{00000000-0005-0000-0000-000036160000}"/>
    <cellStyle name="Total 16 2 3 2" xfId="5000" xr:uid="{00000000-0005-0000-0000-000037160000}"/>
    <cellStyle name="Total 16 2 3 3" xfId="5438" xr:uid="{00000000-0005-0000-0000-000038160000}"/>
    <cellStyle name="Total 16 2 3 4" xfId="5876" xr:uid="{00000000-0005-0000-0000-000039160000}"/>
    <cellStyle name="Total 16 2 3 5" xfId="6313" xr:uid="{00000000-0005-0000-0000-00003A160000}"/>
    <cellStyle name="Total 16 2 3 6" xfId="6750" xr:uid="{00000000-0005-0000-0000-00003B160000}"/>
    <cellStyle name="Total 16 2 3 7" xfId="7187" xr:uid="{00000000-0005-0000-0000-00003C160000}"/>
    <cellStyle name="Total 16 2 3 8" xfId="7624" xr:uid="{00000000-0005-0000-0000-00003D160000}"/>
    <cellStyle name="Total 16 2 3 9" xfId="8472" xr:uid="{00000000-0005-0000-0000-00003E160000}"/>
    <cellStyle name="Total 16 3" xfId="4239" xr:uid="{00000000-0005-0000-0000-00003F160000}"/>
    <cellStyle name="Total 16 3 10" xfId="8171" xr:uid="{00000000-0005-0000-0000-000040160000}"/>
    <cellStyle name="Total 16 3 11" xfId="9060" xr:uid="{00000000-0005-0000-0000-000041160000}"/>
    <cellStyle name="Total 16 3 12" xfId="8991" xr:uid="{00000000-0005-0000-0000-000042160000}"/>
    <cellStyle name="Total 16 3 13" xfId="9673" xr:uid="{00000000-0005-0000-0000-000043160000}"/>
    <cellStyle name="Total 16 3 14" xfId="10145" xr:uid="{00000000-0005-0000-0000-000044160000}"/>
    <cellStyle name="Total 16 3 15" xfId="10566" xr:uid="{00000000-0005-0000-0000-000045160000}"/>
    <cellStyle name="Total 16 3 16" xfId="11032" xr:uid="{00000000-0005-0000-0000-000046160000}"/>
    <cellStyle name="Total 16 3 17" xfId="11501" xr:uid="{00000000-0005-0000-0000-000047160000}"/>
    <cellStyle name="Total 16 3 18" xfId="12003" xr:uid="{00000000-0005-0000-0000-000048160000}"/>
    <cellStyle name="Total 16 3 19" xfId="12572" xr:uid="{00000000-0005-0000-0000-000049160000}"/>
    <cellStyle name="Total 16 3 2" xfId="4784" xr:uid="{00000000-0005-0000-0000-00004A160000}"/>
    <cellStyle name="Total 16 3 3" xfId="5222" xr:uid="{00000000-0005-0000-0000-00004B160000}"/>
    <cellStyle name="Total 16 3 4" xfId="5660" xr:uid="{00000000-0005-0000-0000-00004C160000}"/>
    <cellStyle name="Total 16 3 5" xfId="6097" xr:uid="{00000000-0005-0000-0000-00004D160000}"/>
    <cellStyle name="Total 16 3 6" xfId="6534" xr:uid="{00000000-0005-0000-0000-00004E160000}"/>
    <cellStyle name="Total 16 3 7" xfId="6971" xr:uid="{00000000-0005-0000-0000-00004F160000}"/>
    <cellStyle name="Total 16 3 8" xfId="7408" xr:uid="{00000000-0005-0000-0000-000050160000}"/>
    <cellStyle name="Total 16 3 9" xfId="8256" xr:uid="{00000000-0005-0000-0000-000051160000}"/>
    <cellStyle name="Total 16 4" xfId="4452" xr:uid="{00000000-0005-0000-0000-000052160000}"/>
    <cellStyle name="Total 16 4 10" xfId="7958" xr:uid="{00000000-0005-0000-0000-000053160000}"/>
    <cellStyle name="Total 16 4 11" xfId="9275" xr:uid="{00000000-0005-0000-0000-000054160000}"/>
    <cellStyle name="Total 16 4 12" xfId="9494" xr:uid="{00000000-0005-0000-0000-000055160000}"/>
    <cellStyle name="Total 16 4 13" xfId="9888" xr:uid="{00000000-0005-0000-0000-000056160000}"/>
    <cellStyle name="Total 16 4 14" xfId="10360" xr:uid="{00000000-0005-0000-0000-000057160000}"/>
    <cellStyle name="Total 16 4 15" xfId="10733" xr:uid="{00000000-0005-0000-0000-000058160000}"/>
    <cellStyle name="Total 16 4 16" xfId="11247" xr:uid="{00000000-0005-0000-0000-000059160000}"/>
    <cellStyle name="Total 16 4 17" xfId="11716" xr:uid="{00000000-0005-0000-0000-00005A160000}"/>
    <cellStyle name="Total 16 4 18" xfId="12082" xr:uid="{00000000-0005-0000-0000-00005B160000}"/>
    <cellStyle name="Total 16 4 19" xfId="12787" xr:uid="{00000000-0005-0000-0000-00005C160000}"/>
    <cellStyle name="Total 16 4 2" xfId="4999" xr:uid="{00000000-0005-0000-0000-00005D160000}"/>
    <cellStyle name="Total 16 4 3" xfId="5437" xr:uid="{00000000-0005-0000-0000-00005E160000}"/>
    <cellStyle name="Total 16 4 4" xfId="5875" xr:uid="{00000000-0005-0000-0000-00005F160000}"/>
    <cellStyle name="Total 16 4 5" xfId="6312" xr:uid="{00000000-0005-0000-0000-000060160000}"/>
    <cellStyle name="Total 16 4 6" xfId="6749" xr:uid="{00000000-0005-0000-0000-000061160000}"/>
    <cellStyle name="Total 16 4 7" xfId="7186" xr:uid="{00000000-0005-0000-0000-000062160000}"/>
    <cellStyle name="Total 16 4 8" xfId="7623" xr:uid="{00000000-0005-0000-0000-000063160000}"/>
    <cellStyle name="Total 16 4 9" xfId="8471" xr:uid="{00000000-0005-0000-0000-000064160000}"/>
    <cellStyle name="Total 16 5" xfId="12372" xr:uid="{00000000-0005-0000-0000-000065160000}"/>
    <cellStyle name="Total 16 6" xfId="12433" xr:uid="{00000000-0005-0000-0000-000066160000}"/>
    <cellStyle name="Total 16 7" xfId="12502" xr:uid="{00000000-0005-0000-0000-000067160000}"/>
    <cellStyle name="Total 17" xfId="773" xr:uid="{00000000-0005-0000-0000-000068160000}"/>
    <cellStyle name="Total 17 2" xfId="4045" xr:uid="{00000000-0005-0000-0000-000069160000}"/>
    <cellStyle name="Total 17 2 2" xfId="4242" xr:uid="{00000000-0005-0000-0000-00006A160000}"/>
    <cellStyle name="Total 17 2 2 10" xfId="8168" xr:uid="{00000000-0005-0000-0000-00006B160000}"/>
    <cellStyle name="Total 17 2 2 11" xfId="9063" xr:uid="{00000000-0005-0000-0000-00006C160000}"/>
    <cellStyle name="Total 17 2 2 12" xfId="8988" xr:uid="{00000000-0005-0000-0000-00006D160000}"/>
    <cellStyle name="Total 17 2 2 13" xfId="9676" xr:uid="{00000000-0005-0000-0000-00006E160000}"/>
    <cellStyle name="Total 17 2 2 14" xfId="10148" xr:uid="{00000000-0005-0000-0000-00006F160000}"/>
    <cellStyle name="Total 17 2 2 15" xfId="10843" xr:uid="{00000000-0005-0000-0000-000070160000}"/>
    <cellStyle name="Total 17 2 2 16" xfId="11035" xr:uid="{00000000-0005-0000-0000-000071160000}"/>
    <cellStyle name="Total 17 2 2 17" xfId="11504" xr:uid="{00000000-0005-0000-0000-000072160000}"/>
    <cellStyle name="Total 17 2 2 18" xfId="11917" xr:uid="{00000000-0005-0000-0000-000073160000}"/>
    <cellStyle name="Total 17 2 2 19" xfId="12575" xr:uid="{00000000-0005-0000-0000-000074160000}"/>
    <cellStyle name="Total 17 2 2 2" xfId="4787" xr:uid="{00000000-0005-0000-0000-000075160000}"/>
    <cellStyle name="Total 17 2 2 3" xfId="5225" xr:uid="{00000000-0005-0000-0000-000076160000}"/>
    <cellStyle name="Total 17 2 2 4" xfId="5663" xr:uid="{00000000-0005-0000-0000-000077160000}"/>
    <cellStyle name="Total 17 2 2 5" xfId="6100" xr:uid="{00000000-0005-0000-0000-000078160000}"/>
    <cellStyle name="Total 17 2 2 6" xfId="6537" xr:uid="{00000000-0005-0000-0000-000079160000}"/>
    <cellStyle name="Total 17 2 2 7" xfId="6974" xr:uid="{00000000-0005-0000-0000-00007A160000}"/>
    <cellStyle name="Total 17 2 2 8" xfId="7411" xr:uid="{00000000-0005-0000-0000-00007B160000}"/>
    <cellStyle name="Total 17 2 2 9" xfId="8259" xr:uid="{00000000-0005-0000-0000-00007C160000}"/>
    <cellStyle name="Total 17 2 3" xfId="4455" xr:uid="{00000000-0005-0000-0000-00007D160000}"/>
    <cellStyle name="Total 17 2 3 10" xfId="7955" xr:uid="{00000000-0005-0000-0000-00007E160000}"/>
    <cellStyle name="Total 17 2 3 11" xfId="9278" xr:uid="{00000000-0005-0000-0000-00007F160000}"/>
    <cellStyle name="Total 17 2 3 12" xfId="9475" xr:uid="{00000000-0005-0000-0000-000080160000}"/>
    <cellStyle name="Total 17 2 3 13" xfId="9891" xr:uid="{00000000-0005-0000-0000-000081160000}"/>
    <cellStyle name="Total 17 2 3 14" xfId="10363" xr:uid="{00000000-0005-0000-0000-000082160000}"/>
    <cellStyle name="Total 17 2 3 15" xfId="10615" xr:uid="{00000000-0005-0000-0000-000083160000}"/>
    <cellStyle name="Total 17 2 3 16" xfId="11250" xr:uid="{00000000-0005-0000-0000-000084160000}"/>
    <cellStyle name="Total 17 2 3 17" xfId="11719" xr:uid="{00000000-0005-0000-0000-000085160000}"/>
    <cellStyle name="Total 17 2 3 18" xfId="11994" xr:uid="{00000000-0005-0000-0000-000086160000}"/>
    <cellStyle name="Total 17 2 3 19" xfId="12790" xr:uid="{00000000-0005-0000-0000-000087160000}"/>
    <cellStyle name="Total 17 2 3 2" xfId="5002" xr:uid="{00000000-0005-0000-0000-000088160000}"/>
    <cellStyle name="Total 17 2 3 3" xfId="5440" xr:uid="{00000000-0005-0000-0000-000089160000}"/>
    <cellStyle name="Total 17 2 3 4" xfId="5878" xr:uid="{00000000-0005-0000-0000-00008A160000}"/>
    <cellStyle name="Total 17 2 3 5" xfId="6315" xr:uid="{00000000-0005-0000-0000-00008B160000}"/>
    <cellStyle name="Total 17 2 3 6" xfId="6752" xr:uid="{00000000-0005-0000-0000-00008C160000}"/>
    <cellStyle name="Total 17 2 3 7" xfId="7189" xr:uid="{00000000-0005-0000-0000-00008D160000}"/>
    <cellStyle name="Total 17 2 3 8" xfId="7626" xr:uid="{00000000-0005-0000-0000-00008E160000}"/>
    <cellStyle name="Total 17 2 3 9" xfId="8474" xr:uid="{00000000-0005-0000-0000-00008F160000}"/>
    <cellStyle name="Total 17 3" xfId="4241" xr:uid="{00000000-0005-0000-0000-000090160000}"/>
    <cellStyle name="Total 17 3 10" xfId="8169" xr:uid="{00000000-0005-0000-0000-000091160000}"/>
    <cellStyle name="Total 17 3 11" xfId="9062" xr:uid="{00000000-0005-0000-0000-000092160000}"/>
    <cellStyle name="Total 17 3 12" xfId="8989" xr:uid="{00000000-0005-0000-0000-000093160000}"/>
    <cellStyle name="Total 17 3 13" xfId="9675" xr:uid="{00000000-0005-0000-0000-000094160000}"/>
    <cellStyle name="Total 17 3 14" xfId="10147" xr:uid="{00000000-0005-0000-0000-000095160000}"/>
    <cellStyle name="Total 17 3 15" xfId="10946" xr:uid="{00000000-0005-0000-0000-000096160000}"/>
    <cellStyle name="Total 17 3 16" xfId="11034" xr:uid="{00000000-0005-0000-0000-000097160000}"/>
    <cellStyle name="Total 17 3 17" xfId="11503" xr:uid="{00000000-0005-0000-0000-000098160000}"/>
    <cellStyle name="Total 17 3 18" xfId="11946" xr:uid="{00000000-0005-0000-0000-000099160000}"/>
    <cellStyle name="Total 17 3 19" xfId="12574" xr:uid="{00000000-0005-0000-0000-00009A160000}"/>
    <cellStyle name="Total 17 3 2" xfId="4786" xr:uid="{00000000-0005-0000-0000-00009B160000}"/>
    <cellStyle name="Total 17 3 3" xfId="5224" xr:uid="{00000000-0005-0000-0000-00009C160000}"/>
    <cellStyle name="Total 17 3 4" xfId="5662" xr:uid="{00000000-0005-0000-0000-00009D160000}"/>
    <cellStyle name="Total 17 3 5" xfId="6099" xr:uid="{00000000-0005-0000-0000-00009E160000}"/>
    <cellStyle name="Total 17 3 6" xfId="6536" xr:uid="{00000000-0005-0000-0000-00009F160000}"/>
    <cellStyle name="Total 17 3 7" xfId="6973" xr:uid="{00000000-0005-0000-0000-0000A0160000}"/>
    <cellStyle name="Total 17 3 8" xfId="7410" xr:uid="{00000000-0005-0000-0000-0000A1160000}"/>
    <cellStyle name="Total 17 3 9" xfId="8258" xr:uid="{00000000-0005-0000-0000-0000A2160000}"/>
    <cellStyle name="Total 17 4" xfId="4454" xr:uid="{00000000-0005-0000-0000-0000A3160000}"/>
    <cellStyle name="Total 17 4 10" xfId="7956" xr:uid="{00000000-0005-0000-0000-0000A4160000}"/>
    <cellStyle name="Total 17 4 11" xfId="9277" xr:uid="{00000000-0005-0000-0000-0000A5160000}"/>
    <cellStyle name="Total 17 4 12" xfId="9520" xr:uid="{00000000-0005-0000-0000-0000A6160000}"/>
    <cellStyle name="Total 17 4 13" xfId="9890" xr:uid="{00000000-0005-0000-0000-0000A7160000}"/>
    <cellStyle name="Total 17 4 14" xfId="10362" xr:uid="{00000000-0005-0000-0000-0000A8160000}"/>
    <cellStyle name="Total 17 4 15" xfId="10655" xr:uid="{00000000-0005-0000-0000-0000A9160000}"/>
    <cellStyle name="Total 17 4 16" xfId="11249" xr:uid="{00000000-0005-0000-0000-0000AA160000}"/>
    <cellStyle name="Total 17 4 17" xfId="11718" xr:uid="{00000000-0005-0000-0000-0000AB160000}"/>
    <cellStyle name="Total 17 4 18" xfId="12023" xr:uid="{00000000-0005-0000-0000-0000AC160000}"/>
    <cellStyle name="Total 17 4 19" xfId="12789" xr:uid="{00000000-0005-0000-0000-0000AD160000}"/>
    <cellStyle name="Total 17 4 2" xfId="5001" xr:uid="{00000000-0005-0000-0000-0000AE160000}"/>
    <cellStyle name="Total 17 4 3" xfId="5439" xr:uid="{00000000-0005-0000-0000-0000AF160000}"/>
    <cellStyle name="Total 17 4 4" xfId="5877" xr:uid="{00000000-0005-0000-0000-0000B0160000}"/>
    <cellStyle name="Total 17 4 5" xfId="6314" xr:uid="{00000000-0005-0000-0000-0000B1160000}"/>
    <cellStyle name="Total 17 4 6" xfId="6751" xr:uid="{00000000-0005-0000-0000-0000B2160000}"/>
    <cellStyle name="Total 17 4 7" xfId="7188" xr:uid="{00000000-0005-0000-0000-0000B3160000}"/>
    <cellStyle name="Total 17 4 8" xfId="7625" xr:uid="{00000000-0005-0000-0000-0000B4160000}"/>
    <cellStyle name="Total 17 4 9" xfId="8473" xr:uid="{00000000-0005-0000-0000-0000B5160000}"/>
    <cellStyle name="Total 17 5" xfId="12373" xr:uid="{00000000-0005-0000-0000-0000B6160000}"/>
    <cellStyle name="Total 17 6" xfId="12434" xr:uid="{00000000-0005-0000-0000-0000B7160000}"/>
    <cellStyle name="Total 17 7" xfId="12497" xr:uid="{00000000-0005-0000-0000-0000B8160000}"/>
    <cellStyle name="Total 18" xfId="774" xr:uid="{00000000-0005-0000-0000-0000B9160000}"/>
    <cellStyle name="Total 18 2" xfId="4046" xr:uid="{00000000-0005-0000-0000-0000BA160000}"/>
    <cellStyle name="Total 18 2 2" xfId="4244" xr:uid="{00000000-0005-0000-0000-0000BB160000}"/>
    <cellStyle name="Total 18 2 2 10" xfId="8166" xr:uid="{00000000-0005-0000-0000-0000BC160000}"/>
    <cellStyle name="Total 18 2 2 11" xfId="9065" xr:uid="{00000000-0005-0000-0000-0000BD160000}"/>
    <cellStyle name="Total 18 2 2 12" xfId="8986" xr:uid="{00000000-0005-0000-0000-0000BE160000}"/>
    <cellStyle name="Total 18 2 2 13" xfId="9678" xr:uid="{00000000-0005-0000-0000-0000BF160000}"/>
    <cellStyle name="Total 18 2 2 14" xfId="10150" xr:uid="{00000000-0005-0000-0000-0000C0160000}"/>
    <cellStyle name="Total 18 2 2 15" xfId="10109" xr:uid="{00000000-0005-0000-0000-0000C1160000}"/>
    <cellStyle name="Total 18 2 2 16" xfId="11037" xr:uid="{00000000-0005-0000-0000-0000C2160000}"/>
    <cellStyle name="Total 18 2 2 17" xfId="11506" xr:uid="{00000000-0005-0000-0000-0000C3160000}"/>
    <cellStyle name="Total 18 2 2 18" xfId="12305" xr:uid="{00000000-0005-0000-0000-0000C4160000}"/>
    <cellStyle name="Total 18 2 2 19" xfId="12577" xr:uid="{00000000-0005-0000-0000-0000C5160000}"/>
    <cellStyle name="Total 18 2 2 2" xfId="4789" xr:uid="{00000000-0005-0000-0000-0000C6160000}"/>
    <cellStyle name="Total 18 2 2 3" xfId="5227" xr:uid="{00000000-0005-0000-0000-0000C7160000}"/>
    <cellStyle name="Total 18 2 2 4" xfId="5665" xr:uid="{00000000-0005-0000-0000-0000C8160000}"/>
    <cellStyle name="Total 18 2 2 5" xfId="6102" xr:uid="{00000000-0005-0000-0000-0000C9160000}"/>
    <cellStyle name="Total 18 2 2 6" xfId="6539" xr:uid="{00000000-0005-0000-0000-0000CA160000}"/>
    <cellStyle name="Total 18 2 2 7" xfId="6976" xr:uid="{00000000-0005-0000-0000-0000CB160000}"/>
    <cellStyle name="Total 18 2 2 8" xfId="7413" xr:uid="{00000000-0005-0000-0000-0000CC160000}"/>
    <cellStyle name="Total 18 2 2 9" xfId="8261" xr:uid="{00000000-0005-0000-0000-0000CD160000}"/>
    <cellStyle name="Total 18 2 3" xfId="4457" xr:uid="{00000000-0005-0000-0000-0000CE160000}"/>
    <cellStyle name="Total 18 2 3 10" xfId="7953" xr:uid="{00000000-0005-0000-0000-0000CF160000}"/>
    <cellStyle name="Total 18 2 3 11" xfId="9280" xr:uid="{00000000-0005-0000-0000-0000D0160000}"/>
    <cellStyle name="Total 18 2 3 12" xfId="9469" xr:uid="{00000000-0005-0000-0000-0000D1160000}"/>
    <cellStyle name="Total 18 2 3 13" xfId="9893" xr:uid="{00000000-0005-0000-0000-0000D2160000}"/>
    <cellStyle name="Total 18 2 3 14" xfId="10365" xr:uid="{00000000-0005-0000-0000-0000D3160000}"/>
    <cellStyle name="Total 18 2 3 15" xfId="10973" xr:uid="{00000000-0005-0000-0000-0000D4160000}"/>
    <cellStyle name="Total 18 2 3 16" xfId="11252" xr:uid="{00000000-0005-0000-0000-0000D5160000}"/>
    <cellStyle name="Total 18 2 3 17" xfId="11721" xr:uid="{00000000-0005-0000-0000-0000D6160000}"/>
    <cellStyle name="Total 18 2 3 18" xfId="11937" xr:uid="{00000000-0005-0000-0000-0000D7160000}"/>
    <cellStyle name="Total 18 2 3 19" xfId="12792" xr:uid="{00000000-0005-0000-0000-0000D8160000}"/>
    <cellStyle name="Total 18 2 3 2" xfId="5004" xr:uid="{00000000-0005-0000-0000-0000D9160000}"/>
    <cellStyle name="Total 18 2 3 3" xfId="5442" xr:uid="{00000000-0005-0000-0000-0000DA160000}"/>
    <cellStyle name="Total 18 2 3 4" xfId="5880" xr:uid="{00000000-0005-0000-0000-0000DB160000}"/>
    <cellStyle name="Total 18 2 3 5" xfId="6317" xr:uid="{00000000-0005-0000-0000-0000DC160000}"/>
    <cellStyle name="Total 18 2 3 6" xfId="6754" xr:uid="{00000000-0005-0000-0000-0000DD160000}"/>
    <cellStyle name="Total 18 2 3 7" xfId="7191" xr:uid="{00000000-0005-0000-0000-0000DE160000}"/>
    <cellStyle name="Total 18 2 3 8" xfId="7628" xr:uid="{00000000-0005-0000-0000-0000DF160000}"/>
    <cellStyle name="Total 18 2 3 9" xfId="8476" xr:uid="{00000000-0005-0000-0000-0000E0160000}"/>
    <cellStyle name="Total 18 3" xfId="4243" xr:uid="{00000000-0005-0000-0000-0000E1160000}"/>
    <cellStyle name="Total 18 3 10" xfId="8167" xr:uid="{00000000-0005-0000-0000-0000E2160000}"/>
    <cellStyle name="Total 18 3 11" xfId="9064" xr:uid="{00000000-0005-0000-0000-0000E3160000}"/>
    <cellStyle name="Total 18 3 12" xfId="8987" xr:uid="{00000000-0005-0000-0000-0000E4160000}"/>
    <cellStyle name="Total 18 3 13" xfId="9677" xr:uid="{00000000-0005-0000-0000-0000E5160000}"/>
    <cellStyle name="Total 18 3 14" xfId="10149" xr:uid="{00000000-0005-0000-0000-0000E6160000}"/>
    <cellStyle name="Total 18 3 15" xfId="10110" xr:uid="{00000000-0005-0000-0000-0000E7160000}"/>
    <cellStyle name="Total 18 3 16" xfId="11036" xr:uid="{00000000-0005-0000-0000-0000E8160000}"/>
    <cellStyle name="Total 18 3 17" xfId="11505" xr:uid="{00000000-0005-0000-0000-0000E9160000}"/>
    <cellStyle name="Total 18 3 18" xfId="12324" xr:uid="{00000000-0005-0000-0000-0000EA160000}"/>
    <cellStyle name="Total 18 3 19" xfId="12576" xr:uid="{00000000-0005-0000-0000-0000EB160000}"/>
    <cellStyle name="Total 18 3 2" xfId="4788" xr:uid="{00000000-0005-0000-0000-0000EC160000}"/>
    <cellStyle name="Total 18 3 3" xfId="5226" xr:uid="{00000000-0005-0000-0000-0000ED160000}"/>
    <cellStyle name="Total 18 3 4" xfId="5664" xr:uid="{00000000-0005-0000-0000-0000EE160000}"/>
    <cellStyle name="Total 18 3 5" xfId="6101" xr:uid="{00000000-0005-0000-0000-0000EF160000}"/>
    <cellStyle name="Total 18 3 6" xfId="6538" xr:uid="{00000000-0005-0000-0000-0000F0160000}"/>
    <cellStyle name="Total 18 3 7" xfId="6975" xr:uid="{00000000-0005-0000-0000-0000F1160000}"/>
    <cellStyle name="Total 18 3 8" xfId="7412" xr:uid="{00000000-0005-0000-0000-0000F2160000}"/>
    <cellStyle name="Total 18 3 9" xfId="8260" xr:uid="{00000000-0005-0000-0000-0000F3160000}"/>
    <cellStyle name="Total 18 4" xfId="4456" xr:uid="{00000000-0005-0000-0000-0000F4160000}"/>
    <cellStyle name="Total 18 4 10" xfId="7954" xr:uid="{00000000-0005-0000-0000-0000F5160000}"/>
    <cellStyle name="Total 18 4 11" xfId="9279" xr:uid="{00000000-0005-0000-0000-0000F6160000}"/>
    <cellStyle name="Total 18 4 12" xfId="9514" xr:uid="{00000000-0005-0000-0000-0000F7160000}"/>
    <cellStyle name="Total 18 4 13" xfId="9892" xr:uid="{00000000-0005-0000-0000-0000F8160000}"/>
    <cellStyle name="Total 18 4 14" xfId="10364" xr:uid="{00000000-0005-0000-0000-0000F9160000}"/>
    <cellStyle name="Total 18 4 15" xfId="10576" xr:uid="{00000000-0005-0000-0000-0000FA160000}"/>
    <cellStyle name="Total 18 4 16" xfId="11251" xr:uid="{00000000-0005-0000-0000-0000FB160000}"/>
    <cellStyle name="Total 18 4 17" xfId="11720" xr:uid="{00000000-0005-0000-0000-0000FC160000}"/>
    <cellStyle name="Total 18 4 18" xfId="11966" xr:uid="{00000000-0005-0000-0000-0000FD160000}"/>
    <cellStyle name="Total 18 4 19" xfId="12791" xr:uid="{00000000-0005-0000-0000-0000FE160000}"/>
    <cellStyle name="Total 18 4 2" xfId="5003" xr:uid="{00000000-0005-0000-0000-0000FF160000}"/>
    <cellStyle name="Total 18 4 3" xfId="5441" xr:uid="{00000000-0005-0000-0000-000000170000}"/>
    <cellStyle name="Total 18 4 4" xfId="5879" xr:uid="{00000000-0005-0000-0000-000001170000}"/>
    <cellStyle name="Total 18 4 5" xfId="6316" xr:uid="{00000000-0005-0000-0000-000002170000}"/>
    <cellStyle name="Total 18 4 6" xfId="6753" xr:uid="{00000000-0005-0000-0000-000003170000}"/>
    <cellStyle name="Total 18 4 7" xfId="7190" xr:uid="{00000000-0005-0000-0000-000004170000}"/>
    <cellStyle name="Total 18 4 8" xfId="7627" xr:uid="{00000000-0005-0000-0000-000005170000}"/>
    <cellStyle name="Total 18 4 9" xfId="8475" xr:uid="{00000000-0005-0000-0000-000006170000}"/>
    <cellStyle name="Total 18 5" xfId="12374" xr:uid="{00000000-0005-0000-0000-000007170000}"/>
    <cellStyle name="Total 18 6" xfId="12435" xr:uid="{00000000-0005-0000-0000-000008170000}"/>
    <cellStyle name="Total 18 7" xfId="12464" xr:uid="{00000000-0005-0000-0000-000009170000}"/>
    <cellStyle name="Total 19" xfId="775" xr:uid="{00000000-0005-0000-0000-00000A170000}"/>
    <cellStyle name="Total 19 2" xfId="4047" xr:uid="{00000000-0005-0000-0000-00000B170000}"/>
    <cellStyle name="Total 19 2 2" xfId="4246" xr:uid="{00000000-0005-0000-0000-00000C170000}"/>
    <cellStyle name="Total 19 2 2 10" xfId="8164" xr:uid="{00000000-0005-0000-0000-00000D170000}"/>
    <cellStyle name="Total 19 2 2 11" xfId="9067" xr:uid="{00000000-0005-0000-0000-00000E170000}"/>
    <cellStyle name="Total 19 2 2 12" xfId="8984" xr:uid="{00000000-0005-0000-0000-00000F170000}"/>
    <cellStyle name="Total 19 2 2 13" xfId="9680" xr:uid="{00000000-0005-0000-0000-000010170000}"/>
    <cellStyle name="Total 19 2 2 14" xfId="10152" xr:uid="{00000000-0005-0000-0000-000011170000}"/>
    <cellStyle name="Total 19 2 2 15" xfId="10817" xr:uid="{00000000-0005-0000-0000-000012170000}"/>
    <cellStyle name="Total 19 2 2 16" xfId="11039" xr:uid="{00000000-0005-0000-0000-000013170000}"/>
    <cellStyle name="Total 19 2 2 17" xfId="11508" xr:uid="{00000000-0005-0000-0000-000014170000}"/>
    <cellStyle name="Total 19 2 2 18" xfId="12238" xr:uid="{00000000-0005-0000-0000-000015170000}"/>
    <cellStyle name="Total 19 2 2 19" xfId="12579" xr:uid="{00000000-0005-0000-0000-000016170000}"/>
    <cellStyle name="Total 19 2 2 2" xfId="4791" xr:uid="{00000000-0005-0000-0000-000017170000}"/>
    <cellStyle name="Total 19 2 2 3" xfId="5229" xr:uid="{00000000-0005-0000-0000-000018170000}"/>
    <cellStyle name="Total 19 2 2 4" xfId="5667" xr:uid="{00000000-0005-0000-0000-000019170000}"/>
    <cellStyle name="Total 19 2 2 5" xfId="6104" xr:uid="{00000000-0005-0000-0000-00001A170000}"/>
    <cellStyle name="Total 19 2 2 6" xfId="6541" xr:uid="{00000000-0005-0000-0000-00001B170000}"/>
    <cellStyle name="Total 19 2 2 7" xfId="6978" xr:uid="{00000000-0005-0000-0000-00001C170000}"/>
    <cellStyle name="Total 19 2 2 8" xfId="7415" xr:uid="{00000000-0005-0000-0000-00001D170000}"/>
    <cellStyle name="Total 19 2 2 9" xfId="8263" xr:uid="{00000000-0005-0000-0000-00001E170000}"/>
    <cellStyle name="Total 19 2 3" xfId="4459" xr:uid="{00000000-0005-0000-0000-00001F170000}"/>
    <cellStyle name="Total 19 2 3 10" xfId="7951" xr:uid="{00000000-0005-0000-0000-000020170000}"/>
    <cellStyle name="Total 19 2 3 11" xfId="9282" xr:uid="{00000000-0005-0000-0000-000021170000}"/>
    <cellStyle name="Total 19 2 3 12" xfId="9477" xr:uid="{00000000-0005-0000-0000-000022170000}"/>
    <cellStyle name="Total 19 2 3 13" xfId="9895" xr:uid="{00000000-0005-0000-0000-000023170000}"/>
    <cellStyle name="Total 19 2 3 14" xfId="10367" xr:uid="{00000000-0005-0000-0000-000024170000}"/>
    <cellStyle name="Total 19 2 3 15" xfId="10833" xr:uid="{00000000-0005-0000-0000-000025170000}"/>
    <cellStyle name="Total 19 2 3 16" xfId="11254" xr:uid="{00000000-0005-0000-0000-000026170000}"/>
    <cellStyle name="Total 19 2 3 17" xfId="11723" xr:uid="{00000000-0005-0000-0000-000027170000}"/>
    <cellStyle name="Total 19 2 3 18" xfId="12315" xr:uid="{00000000-0005-0000-0000-000028170000}"/>
    <cellStyle name="Total 19 2 3 19" xfId="12794" xr:uid="{00000000-0005-0000-0000-000029170000}"/>
    <cellStyle name="Total 19 2 3 2" xfId="5006" xr:uid="{00000000-0005-0000-0000-00002A170000}"/>
    <cellStyle name="Total 19 2 3 3" xfId="5444" xr:uid="{00000000-0005-0000-0000-00002B170000}"/>
    <cellStyle name="Total 19 2 3 4" xfId="5882" xr:uid="{00000000-0005-0000-0000-00002C170000}"/>
    <cellStyle name="Total 19 2 3 5" xfId="6319" xr:uid="{00000000-0005-0000-0000-00002D170000}"/>
    <cellStyle name="Total 19 2 3 6" xfId="6756" xr:uid="{00000000-0005-0000-0000-00002E170000}"/>
    <cellStyle name="Total 19 2 3 7" xfId="7193" xr:uid="{00000000-0005-0000-0000-00002F170000}"/>
    <cellStyle name="Total 19 2 3 8" xfId="7630" xr:uid="{00000000-0005-0000-0000-000030170000}"/>
    <cellStyle name="Total 19 2 3 9" xfId="8478" xr:uid="{00000000-0005-0000-0000-000031170000}"/>
    <cellStyle name="Total 19 3" xfId="4245" xr:uid="{00000000-0005-0000-0000-000032170000}"/>
    <cellStyle name="Total 19 3 10" xfId="8165" xr:uid="{00000000-0005-0000-0000-000033170000}"/>
    <cellStyle name="Total 19 3 11" xfId="9066" xr:uid="{00000000-0005-0000-0000-000034170000}"/>
    <cellStyle name="Total 19 3 12" xfId="8985" xr:uid="{00000000-0005-0000-0000-000035170000}"/>
    <cellStyle name="Total 19 3 13" xfId="9679" xr:uid="{00000000-0005-0000-0000-000036170000}"/>
    <cellStyle name="Total 19 3 14" xfId="10151" xr:uid="{00000000-0005-0000-0000-000037170000}"/>
    <cellStyle name="Total 19 3 15" xfId="10898" xr:uid="{00000000-0005-0000-0000-000038170000}"/>
    <cellStyle name="Total 19 3 16" xfId="11038" xr:uid="{00000000-0005-0000-0000-000039170000}"/>
    <cellStyle name="Total 19 3 17" xfId="11507" xr:uid="{00000000-0005-0000-0000-00003A170000}"/>
    <cellStyle name="Total 19 3 18" xfId="12268" xr:uid="{00000000-0005-0000-0000-00003B170000}"/>
    <cellStyle name="Total 19 3 19" xfId="12578" xr:uid="{00000000-0005-0000-0000-00003C170000}"/>
    <cellStyle name="Total 19 3 2" xfId="4790" xr:uid="{00000000-0005-0000-0000-00003D170000}"/>
    <cellStyle name="Total 19 3 3" xfId="5228" xr:uid="{00000000-0005-0000-0000-00003E170000}"/>
    <cellStyle name="Total 19 3 4" xfId="5666" xr:uid="{00000000-0005-0000-0000-00003F170000}"/>
    <cellStyle name="Total 19 3 5" xfId="6103" xr:uid="{00000000-0005-0000-0000-000040170000}"/>
    <cellStyle name="Total 19 3 6" xfId="6540" xr:uid="{00000000-0005-0000-0000-000041170000}"/>
    <cellStyle name="Total 19 3 7" xfId="6977" xr:uid="{00000000-0005-0000-0000-000042170000}"/>
    <cellStyle name="Total 19 3 8" xfId="7414" xr:uid="{00000000-0005-0000-0000-000043170000}"/>
    <cellStyle name="Total 19 3 9" xfId="8262" xr:uid="{00000000-0005-0000-0000-000044170000}"/>
    <cellStyle name="Total 19 4" xfId="4458" xr:uid="{00000000-0005-0000-0000-000045170000}"/>
    <cellStyle name="Total 19 4 10" xfId="7952" xr:uid="{00000000-0005-0000-0000-000046170000}"/>
    <cellStyle name="Total 19 4 11" xfId="9281" xr:uid="{00000000-0005-0000-0000-000047170000}"/>
    <cellStyle name="Total 19 4 12" xfId="9504" xr:uid="{00000000-0005-0000-0000-000048170000}"/>
    <cellStyle name="Total 19 4 13" xfId="9894" xr:uid="{00000000-0005-0000-0000-000049170000}"/>
    <cellStyle name="Total 19 4 14" xfId="10366" xr:uid="{00000000-0005-0000-0000-00004A170000}"/>
    <cellStyle name="Total 19 4 15" xfId="10956" xr:uid="{00000000-0005-0000-0000-00004B170000}"/>
    <cellStyle name="Total 19 4 16" xfId="11253" xr:uid="{00000000-0005-0000-0000-00004C170000}"/>
    <cellStyle name="Total 19 4 17" xfId="11722" xr:uid="{00000000-0005-0000-0000-00004D170000}"/>
    <cellStyle name="Total 19 4 18" xfId="11908" xr:uid="{00000000-0005-0000-0000-00004E170000}"/>
    <cellStyle name="Total 19 4 19" xfId="12793" xr:uid="{00000000-0005-0000-0000-00004F170000}"/>
    <cellStyle name="Total 19 4 2" xfId="5005" xr:uid="{00000000-0005-0000-0000-000050170000}"/>
    <cellStyle name="Total 19 4 3" xfId="5443" xr:uid="{00000000-0005-0000-0000-000051170000}"/>
    <cellStyle name="Total 19 4 4" xfId="5881" xr:uid="{00000000-0005-0000-0000-000052170000}"/>
    <cellStyle name="Total 19 4 5" xfId="6318" xr:uid="{00000000-0005-0000-0000-000053170000}"/>
    <cellStyle name="Total 19 4 6" xfId="6755" xr:uid="{00000000-0005-0000-0000-000054170000}"/>
    <cellStyle name="Total 19 4 7" xfId="7192" xr:uid="{00000000-0005-0000-0000-000055170000}"/>
    <cellStyle name="Total 19 4 8" xfId="7629" xr:uid="{00000000-0005-0000-0000-000056170000}"/>
    <cellStyle name="Total 19 4 9" xfId="8477" xr:uid="{00000000-0005-0000-0000-000057170000}"/>
    <cellStyle name="Total 19 5" xfId="12375" xr:uid="{00000000-0005-0000-0000-000058170000}"/>
    <cellStyle name="Total 19 6" xfId="12436" xr:uid="{00000000-0005-0000-0000-000059170000}"/>
    <cellStyle name="Total 19 7" xfId="12493" xr:uid="{00000000-0005-0000-0000-00005A170000}"/>
    <cellStyle name="Total 2" xfId="776" xr:uid="{00000000-0005-0000-0000-00005B170000}"/>
    <cellStyle name="Total 2 2" xfId="4048" xr:uid="{00000000-0005-0000-0000-00005C170000}"/>
    <cellStyle name="Total 2 2 10" xfId="8163" xr:uid="{00000000-0005-0000-0000-00005D170000}"/>
    <cellStyle name="Total 2 2 11" xfId="9068" xr:uid="{00000000-0005-0000-0000-00005E170000}"/>
    <cellStyle name="Total 2 2 12" xfId="8983" xr:uid="{00000000-0005-0000-0000-00005F170000}"/>
    <cellStyle name="Total 2 2 13" xfId="9681" xr:uid="{00000000-0005-0000-0000-000060170000}"/>
    <cellStyle name="Total 2 2 14" xfId="10153" xr:uid="{00000000-0005-0000-0000-000061170000}"/>
    <cellStyle name="Total 2 2 15" xfId="10778" xr:uid="{00000000-0005-0000-0000-000062170000}"/>
    <cellStyle name="Total 2 2 16" xfId="11040" xr:uid="{00000000-0005-0000-0000-000063170000}"/>
    <cellStyle name="Total 2 2 17" xfId="11509" xr:uid="{00000000-0005-0000-0000-000064170000}"/>
    <cellStyle name="Total 2 2 18" xfId="12174" xr:uid="{00000000-0005-0000-0000-000065170000}"/>
    <cellStyle name="Total 2 2 19" xfId="12580" xr:uid="{00000000-0005-0000-0000-000066170000}"/>
    <cellStyle name="Total 2 2 2" xfId="4792" xr:uid="{00000000-0005-0000-0000-000067170000}"/>
    <cellStyle name="Total 2 2 3" xfId="5230" xr:uid="{00000000-0005-0000-0000-000068170000}"/>
    <cellStyle name="Total 2 2 4" xfId="5668" xr:uid="{00000000-0005-0000-0000-000069170000}"/>
    <cellStyle name="Total 2 2 5" xfId="6105" xr:uid="{00000000-0005-0000-0000-00006A170000}"/>
    <cellStyle name="Total 2 2 6" xfId="6542" xr:uid="{00000000-0005-0000-0000-00006B170000}"/>
    <cellStyle name="Total 2 2 7" xfId="6979" xr:uid="{00000000-0005-0000-0000-00006C170000}"/>
    <cellStyle name="Total 2 2 8" xfId="7416" xr:uid="{00000000-0005-0000-0000-00006D170000}"/>
    <cellStyle name="Total 2 2 9" xfId="8264" xr:uid="{00000000-0005-0000-0000-00006E170000}"/>
    <cellStyle name="Total 2 3" xfId="4460" xr:uid="{00000000-0005-0000-0000-00006F170000}"/>
    <cellStyle name="Total 2 3 10" xfId="7950" xr:uid="{00000000-0005-0000-0000-000070170000}"/>
    <cellStyle name="Total 2 3 11" xfId="9283" xr:uid="{00000000-0005-0000-0000-000071170000}"/>
    <cellStyle name="Total 2 3 12" xfId="9496" xr:uid="{00000000-0005-0000-0000-000072170000}"/>
    <cellStyle name="Total 2 3 13" xfId="9896" xr:uid="{00000000-0005-0000-0000-000073170000}"/>
    <cellStyle name="Total 2 3 14" xfId="10368" xr:uid="{00000000-0005-0000-0000-000074170000}"/>
    <cellStyle name="Total 2 3 15" xfId="10870" xr:uid="{00000000-0005-0000-0000-000075170000}"/>
    <cellStyle name="Total 2 3 16" xfId="11255" xr:uid="{00000000-0005-0000-0000-000076170000}"/>
    <cellStyle name="Total 2 3 17" xfId="11724" xr:uid="{00000000-0005-0000-0000-000077170000}"/>
    <cellStyle name="Total 2 3 18" xfId="12292" xr:uid="{00000000-0005-0000-0000-000078170000}"/>
    <cellStyle name="Total 2 3 19" xfId="12795" xr:uid="{00000000-0005-0000-0000-000079170000}"/>
    <cellStyle name="Total 2 3 2" xfId="5007" xr:uid="{00000000-0005-0000-0000-00007A170000}"/>
    <cellStyle name="Total 2 3 3" xfId="5445" xr:uid="{00000000-0005-0000-0000-00007B170000}"/>
    <cellStyle name="Total 2 3 4" xfId="5883" xr:uid="{00000000-0005-0000-0000-00007C170000}"/>
    <cellStyle name="Total 2 3 5" xfId="6320" xr:uid="{00000000-0005-0000-0000-00007D170000}"/>
    <cellStyle name="Total 2 3 6" xfId="6757" xr:uid="{00000000-0005-0000-0000-00007E170000}"/>
    <cellStyle name="Total 2 3 7" xfId="7194" xr:uid="{00000000-0005-0000-0000-00007F170000}"/>
    <cellStyle name="Total 2 3 8" xfId="7631" xr:uid="{00000000-0005-0000-0000-000080170000}"/>
    <cellStyle name="Total 2 3 9" xfId="8479" xr:uid="{00000000-0005-0000-0000-000081170000}"/>
    <cellStyle name="Total 2 4" xfId="12376" xr:uid="{00000000-0005-0000-0000-000082170000}"/>
    <cellStyle name="Total 2 5" xfId="12437" xr:uid="{00000000-0005-0000-0000-000083170000}"/>
    <cellStyle name="Total 2 6" xfId="12483" xr:uid="{00000000-0005-0000-0000-000084170000}"/>
    <cellStyle name="Total 20" xfId="4049" xr:uid="{00000000-0005-0000-0000-000085170000}"/>
    <cellStyle name="Total 20 2" xfId="4050" xr:uid="{00000000-0005-0000-0000-000086170000}"/>
    <cellStyle name="Total 20 2 2" xfId="4248" xr:uid="{00000000-0005-0000-0000-000087170000}"/>
    <cellStyle name="Total 20 2 2 10" xfId="8161" xr:uid="{00000000-0005-0000-0000-000088170000}"/>
    <cellStyle name="Total 20 2 2 11" xfId="9070" xr:uid="{00000000-0005-0000-0000-000089170000}"/>
    <cellStyle name="Total 20 2 2 12" xfId="8981" xr:uid="{00000000-0005-0000-0000-00008A170000}"/>
    <cellStyle name="Total 20 2 2 13" xfId="9683" xr:uid="{00000000-0005-0000-0000-00008B170000}"/>
    <cellStyle name="Total 20 2 2 14" xfId="10155" xr:uid="{00000000-0005-0000-0000-00008C170000}"/>
    <cellStyle name="Total 20 2 2 15" xfId="10701" xr:uid="{00000000-0005-0000-0000-00008D170000}"/>
    <cellStyle name="Total 20 2 2 16" xfId="11042" xr:uid="{00000000-0005-0000-0000-00008E170000}"/>
    <cellStyle name="Total 20 2 2 17" xfId="11511" xr:uid="{00000000-0005-0000-0000-00008F170000}"/>
    <cellStyle name="Total 20 2 2 18" xfId="12123" xr:uid="{00000000-0005-0000-0000-000090170000}"/>
    <cellStyle name="Total 20 2 2 19" xfId="12582" xr:uid="{00000000-0005-0000-0000-000091170000}"/>
    <cellStyle name="Total 20 2 2 2" xfId="4794" xr:uid="{00000000-0005-0000-0000-000092170000}"/>
    <cellStyle name="Total 20 2 2 3" xfId="5232" xr:uid="{00000000-0005-0000-0000-000093170000}"/>
    <cellStyle name="Total 20 2 2 4" xfId="5670" xr:uid="{00000000-0005-0000-0000-000094170000}"/>
    <cellStyle name="Total 20 2 2 5" xfId="6107" xr:uid="{00000000-0005-0000-0000-000095170000}"/>
    <cellStyle name="Total 20 2 2 6" xfId="6544" xr:uid="{00000000-0005-0000-0000-000096170000}"/>
    <cellStyle name="Total 20 2 2 7" xfId="6981" xr:uid="{00000000-0005-0000-0000-000097170000}"/>
    <cellStyle name="Total 20 2 2 8" xfId="7418" xr:uid="{00000000-0005-0000-0000-000098170000}"/>
    <cellStyle name="Total 20 2 2 9" xfId="8266" xr:uid="{00000000-0005-0000-0000-000099170000}"/>
    <cellStyle name="Total 20 2 3" xfId="4462" xr:uid="{00000000-0005-0000-0000-00009A170000}"/>
    <cellStyle name="Total 20 2 3 10" xfId="7948" xr:uid="{00000000-0005-0000-0000-00009B170000}"/>
    <cellStyle name="Total 20 2 3 11" xfId="9285" xr:uid="{00000000-0005-0000-0000-00009C170000}"/>
    <cellStyle name="Total 20 2 3 12" xfId="9608" xr:uid="{00000000-0005-0000-0000-00009D170000}"/>
    <cellStyle name="Total 20 2 3 13" xfId="9898" xr:uid="{00000000-0005-0000-0000-00009E170000}"/>
    <cellStyle name="Total 20 2 3 14" xfId="10370" xr:uid="{00000000-0005-0000-0000-00009F170000}"/>
    <cellStyle name="Total 20 2 3 15" xfId="10751" xr:uid="{00000000-0005-0000-0000-0000A0170000}"/>
    <cellStyle name="Total 20 2 3 16" xfId="11257" xr:uid="{00000000-0005-0000-0000-0000A1170000}"/>
    <cellStyle name="Total 20 2 3 17" xfId="11726" xr:uid="{00000000-0005-0000-0000-0000A2170000}"/>
    <cellStyle name="Total 20 2 3 18" xfId="12229" xr:uid="{00000000-0005-0000-0000-0000A3170000}"/>
    <cellStyle name="Total 20 2 3 19" xfId="12797" xr:uid="{00000000-0005-0000-0000-0000A4170000}"/>
    <cellStyle name="Total 20 2 3 2" xfId="5009" xr:uid="{00000000-0005-0000-0000-0000A5170000}"/>
    <cellStyle name="Total 20 2 3 3" xfId="5447" xr:uid="{00000000-0005-0000-0000-0000A6170000}"/>
    <cellStyle name="Total 20 2 3 4" xfId="5885" xr:uid="{00000000-0005-0000-0000-0000A7170000}"/>
    <cellStyle name="Total 20 2 3 5" xfId="6322" xr:uid="{00000000-0005-0000-0000-0000A8170000}"/>
    <cellStyle name="Total 20 2 3 6" xfId="6759" xr:uid="{00000000-0005-0000-0000-0000A9170000}"/>
    <cellStyle name="Total 20 2 3 7" xfId="7196" xr:uid="{00000000-0005-0000-0000-0000AA170000}"/>
    <cellStyle name="Total 20 2 3 8" xfId="7633" xr:uid="{00000000-0005-0000-0000-0000AB170000}"/>
    <cellStyle name="Total 20 2 3 9" xfId="8481" xr:uid="{00000000-0005-0000-0000-0000AC170000}"/>
    <cellStyle name="Total 20 3" xfId="4247" xr:uid="{00000000-0005-0000-0000-0000AD170000}"/>
    <cellStyle name="Total 20 3 10" xfId="8162" xr:uid="{00000000-0005-0000-0000-0000AE170000}"/>
    <cellStyle name="Total 20 3 11" xfId="9069" xr:uid="{00000000-0005-0000-0000-0000AF170000}"/>
    <cellStyle name="Total 20 3 12" xfId="8982" xr:uid="{00000000-0005-0000-0000-0000B0170000}"/>
    <cellStyle name="Total 20 3 13" xfId="9682" xr:uid="{00000000-0005-0000-0000-0000B1170000}"/>
    <cellStyle name="Total 20 3 14" xfId="10154" xr:uid="{00000000-0005-0000-0000-0000B2170000}"/>
    <cellStyle name="Total 20 3 15" xfId="10740" xr:uid="{00000000-0005-0000-0000-0000B3170000}"/>
    <cellStyle name="Total 20 3 16" xfId="11041" xr:uid="{00000000-0005-0000-0000-0000B4170000}"/>
    <cellStyle name="Total 20 3 17" xfId="11510" xr:uid="{00000000-0005-0000-0000-0000B5170000}"/>
    <cellStyle name="Total 20 3 18" xfId="12200" xr:uid="{00000000-0005-0000-0000-0000B6170000}"/>
    <cellStyle name="Total 20 3 19" xfId="12581" xr:uid="{00000000-0005-0000-0000-0000B7170000}"/>
    <cellStyle name="Total 20 3 2" xfId="4793" xr:uid="{00000000-0005-0000-0000-0000B8170000}"/>
    <cellStyle name="Total 20 3 3" xfId="5231" xr:uid="{00000000-0005-0000-0000-0000B9170000}"/>
    <cellStyle name="Total 20 3 4" xfId="5669" xr:uid="{00000000-0005-0000-0000-0000BA170000}"/>
    <cellStyle name="Total 20 3 5" xfId="6106" xr:uid="{00000000-0005-0000-0000-0000BB170000}"/>
    <cellStyle name="Total 20 3 6" xfId="6543" xr:uid="{00000000-0005-0000-0000-0000BC170000}"/>
    <cellStyle name="Total 20 3 7" xfId="6980" xr:uid="{00000000-0005-0000-0000-0000BD170000}"/>
    <cellStyle name="Total 20 3 8" xfId="7417" xr:uid="{00000000-0005-0000-0000-0000BE170000}"/>
    <cellStyle name="Total 20 3 9" xfId="8265" xr:uid="{00000000-0005-0000-0000-0000BF170000}"/>
    <cellStyle name="Total 20 4" xfId="4461" xr:uid="{00000000-0005-0000-0000-0000C0170000}"/>
    <cellStyle name="Total 20 4 10" xfId="7949" xr:uid="{00000000-0005-0000-0000-0000C1170000}"/>
    <cellStyle name="Total 20 4 11" xfId="9284" xr:uid="{00000000-0005-0000-0000-0000C2170000}"/>
    <cellStyle name="Total 20 4 12" xfId="9600" xr:uid="{00000000-0005-0000-0000-0000C3170000}"/>
    <cellStyle name="Total 20 4 13" xfId="9897" xr:uid="{00000000-0005-0000-0000-0000C4170000}"/>
    <cellStyle name="Total 20 4 14" xfId="10369" xr:uid="{00000000-0005-0000-0000-0000C5170000}"/>
    <cellStyle name="Total 20 4 15" xfId="10789" xr:uid="{00000000-0005-0000-0000-0000C6170000}"/>
    <cellStyle name="Total 20 4 16" xfId="11256" xr:uid="{00000000-0005-0000-0000-0000C7170000}"/>
    <cellStyle name="Total 20 4 17" xfId="11725" xr:uid="{00000000-0005-0000-0000-0000C8170000}"/>
    <cellStyle name="Total 20 4 18" xfId="12259" xr:uid="{00000000-0005-0000-0000-0000C9170000}"/>
    <cellStyle name="Total 20 4 19" xfId="12796" xr:uid="{00000000-0005-0000-0000-0000CA170000}"/>
    <cellStyle name="Total 20 4 2" xfId="5008" xr:uid="{00000000-0005-0000-0000-0000CB170000}"/>
    <cellStyle name="Total 20 4 3" xfId="5446" xr:uid="{00000000-0005-0000-0000-0000CC170000}"/>
    <cellStyle name="Total 20 4 4" xfId="5884" xr:uid="{00000000-0005-0000-0000-0000CD170000}"/>
    <cellStyle name="Total 20 4 5" xfId="6321" xr:uid="{00000000-0005-0000-0000-0000CE170000}"/>
    <cellStyle name="Total 20 4 6" xfId="6758" xr:uid="{00000000-0005-0000-0000-0000CF170000}"/>
    <cellStyle name="Total 20 4 7" xfId="7195" xr:uid="{00000000-0005-0000-0000-0000D0170000}"/>
    <cellStyle name="Total 20 4 8" xfId="7632" xr:uid="{00000000-0005-0000-0000-0000D1170000}"/>
    <cellStyle name="Total 20 4 9" xfId="8480" xr:uid="{00000000-0005-0000-0000-0000D2170000}"/>
    <cellStyle name="Total 21" xfId="4051" xr:uid="{00000000-0005-0000-0000-0000D3170000}"/>
    <cellStyle name="Total 21 2" xfId="4052" xr:uid="{00000000-0005-0000-0000-0000D4170000}"/>
    <cellStyle name="Total 21 2 2" xfId="4250" xr:uid="{00000000-0005-0000-0000-0000D5170000}"/>
    <cellStyle name="Total 21 2 2 10" xfId="8159" xr:uid="{00000000-0005-0000-0000-0000D6170000}"/>
    <cellStyle name="Total 21 2 2 11" xfId="9072" xr:uid="{00000000-0005-0000-0000-0000D7170000}"/>
    <cellStyle name="Total 21 2 2 12" xfId="8979" xr:uid="{00000000-0005-0000-0000-0000D8170000}"/>
    <cellStyle name="Total 21 2 2 13" xfId="9685" xr:uid="{00000000-0005-0000-0000-0000D9170000}"/>
    <cellStyle name="Total 21 2 2 14" xfId="10157" xr:uid="{00000000-0005-0000-0000-0000DA170000}"/>
    <cellStyle name="Total 21 2 2 15" xfId="10622" xr:uid="{00000000-0005-0000-0000-0000DB170000}"/>
    <cellStyle name="Total 21 2 2 16" xfId="11044" xr:uid="{00000000-0005-0000-0000-0000DC170000}"/>
    <cellStyle name="Total 21 2 2 17" xfId="11513" xr:uid="{00000000-0005-0000-0000-0000DD170000}"/>
    <cellStyle name="Total 21 2 2 18" xfId="11463" xr:uid="{00000000-0005-0000-0000-0000DE170000}"/>
    <cellStyle name="Total 21 2 2 19" xfId="12584" xr:uid="{00000000-0005-0000-0000-0000DF170000}"/>
    <cellStyle name="Total 21 2 2 2" xfId="4796" xr:uid="{00000000-0005-0000-0000-0000E0170000}"/>
    <cellStyle name="Total 21 2 2 3" xfId="5234" xr:uid="{00000000-0005-0000-0000-0000E1170000}"/>
    <cellStyle name="Total 21 2 2 4" xfId="5672" xr:uid="{00000000-0005-0000-0000-0000E2170000}"/>
    <cellStyle name="Total 21 2 2 5" xfId="6109" xr:uid="{00000000-0005-0000-0000-0000E3170000}"/>
    <cellStyle name="Total 21 2 2 6" xfId="6546" xr:uid="{00000000-0005-0000-0000-0000E4170000}"/>
    <cellStyle name="Total 21 2 2 7" xfId="6983" xr:uid="{00000000-0005-0000-0000-0000E5170000}"/>
    <cellStyle name="Total 21 2 2 8" xfId="7420" xr:uid="{00000000-0005-0000-0000-0000E6170000}"/>
    <cellStyle name="Total 21 2 2 9" xfId="8268" xr:uid="{00000000-0005-0000-0000-0000E7170000}"/>
    <cellStyle name="Total 21 2 3" xfId="4464" xr:uid="{00000000-0005-0000-0000-0000E8170000}"/>
    <cellStyle name="Total 21 2 3 10" xfId="7946" xr:uid="{00000000-0005-0000-0000-0000E9170000}"/>
    <cellStyle name="Total 21 2 3 11" xfId="9287" xr:uid="{00000000-0005-0000-0000-0000EA170000}"/>
    <cellStyle name="Total 21 2 3 12" xfId="9476" xr:uid="{00000000-0005-0000-0000-0000EB170000}"/>
    <cellStyle name="Total 21 2 3 13" xfId="9900" xr:uid="{00000000-0005-0000-0000-0000EC170000}"/>
    <cellStyle name="Total 21 2 3 14" xfId="10372" xr:uid="{00000000-0005-0000-0000-0000ED170000}"/>
    <cellStyle name="Total 21 2 3 15" xfId="10674" xr:uid="{00000000-0005-0000-0000-0000EE170000}"/>
    <cellStyle name="Total 21 2 3 16" xfId="11259" xr:uid="{00000000-0005-0000-0000-0000EF170000}"/>
    <cellStyle name="Total 21 2 3 17" xfId="11728" xr:uid="{00000000-0005-0000-0000-0000F0170000}"/>
    <cellStyle name="Total 21 2 3 18" xfId="12191" xr:uid="{00000000-0005-0000-0000-0000F1170000}"/>
    <cellStyle name="Total 21 2 3 19" xfId="12799" xr:uid="{00000000-0005-0000-0000-0000F2170000}"/>
    <cellStyle name="Total 21 2 3 2" xfId="5011" xr:uid="{00000000-0005-0000-0000-0000F3170000}"/>
    <cellStyle name="Total 21 2 3 3" xfId="5449" xr:uid="{00000000-0005-0000-0000-0000F4170000}"/>
    <cellStyle name="Total 21 2 3 4" xfId="5887" xr:uid="{00000000-0005-0000-0000-0000F5170000}"/>
    <cellStyle name="Total 21 2 3 5" xfId="6324" xr:uid="{00000000-0005-0000-0000-0000F6170000}"/>
    <cellStyle name="Total 21 2 3 6" xfId="6761" xr:uid="{00000000-0005-0000-0000-0000F7170000}"/>
    <cellStyle name="Total 21 2 3 7" xfId="7198" xr:uid="{00000000-0005-0000-0000-0000F8170000}"/>
    <cellStyle name="Total 21 2 3 8" xfId="7635" xr:uid="{00000000-0005-0000-0000-0000F9170000}"/>
    <cellStyle name="Total 21 2 3 9" xfId="8483" xr:uid="{00000000-0005-0000-0000-0000FA170000}"/>
    <cellStyle name="Total 21 3" xfId="4249" xr:uid="{00000000-0005-0000-0000-0000FB170000}"/>
    <cellStyle name="Total 21 3 10" xfId="8160" xr:uid="{00000000-0005-0000-0000-0000FC170000}"/>
    <cellStyle name="Total 21 3 11" xfId="9071" xr:uid="{00000000-0005-0000-0000-0000FD170000}"/>
    <cellStyle name="Total 21 3 12" xfId="8980" xr:uid="{00000000-0005-0000-0000-0000FE170000}"/>
    <cellStyle name="Total 21 3 13" xfId="9684" xr:uid="{00000000-0005-0000-0000-0000FF170000}"/>
    <cellStyle name="Total 21 3 14" xfId="10156" xr:uid="{00000000-0005-0000-0000-000000180000}"/>
    <cellStyle name="Total 21 3 15" xfId="10662" xr:uid="{00000000-0005-0000-0000-000001180000}"/>
    <cellStyle name="Total 21 3 16" xfId="11043" xr:uid="{00000000-0005-0000-0000-000002180000}"/>
    <cellStyle name="Total 21 3 17" xfId="11512" xr:uid="{00000000-0005-0000-0000-000003180000}"/>
    <cellStyle name="Total 21 3 18" xfId="11464" xr:uid="{00000000-0005-0000-0000-000004180000}"/>
    <cellStyle name="Total 21 3 19" xfId="12583" xr:uid="{00000000-0005-0000-0000-000005180000}"/>
    <cellStyle name="Total 21 3 2" xfId="4795" xr:uid="{00000000-0005-0000-0000-000006180000}"/>
    <cellStyle name="Total 21 3 3" xfId="5233" xr:uid="{00000000-0005-0000-0000-000007180000}"/>
    <cellStyle name="Total 21 3 4" xfId="5671" xr:uid="{00000000-0005-0000-0000-000008180000}"/>
    <cellStyle name="Total 21 3 5" xfId="6108" xr:uid="{00000000-0005-0000-0000-000009180000}"/>
    <cellStyle name="Total 21 3 6" xfId="6545" xr:uid="{00000000-0005-0000-0000-00000A180000}"/>
    <cellStyle name="Total 21 3 7" xfId="6982" xr:uid="{00000000-0005-0000-0000-00000B180000}"/>
    <cellStyle name="Total 21 3 8" xfId="7419" xr:uid="{00000000-0005-0000-0000-00000C180000}"/>
    <cellStyle name="Total 21 3 9" xfId="8267" xr:uid="{00000000-0005-0000-0000-00000D180000}"/>
    <cellStyle name="Total 21 4" xfId="4463" xr:uid="{00000000-0005-0000-0000-00000E180000}"/>
    <cellStyle name="Total 21 4 10" xfId="7947" xr:uid="{00000000-0005-0000-0000-00000F180000}"/>
    <cellStyle name="Total 21 4 11" xfId="9286" xr:uid="{00000000-0005-0000-0000-000010180000}"/>
    <cellStyle name="Total 21 4 12" xfId="9519" xr:uid="{00000000-0005-0000-0000-000011180000}"/>
    <cellStyle name="Total 21 4 13" xfId="9899" xr:uid="{00000000-0005-0000-0000-000012180000}"/>
    <cellStyle name="Total 21 4 14" xfId="10371" xr:uid="{00000000-0005-0000-0000-000013180000}"/>
    <cellStyle name="Total 21 4 15" xfId="10713" xr:uid="{00000000-0005-0000-0000-000014180000}"/>
    <cellStyle name="Total 21 4 16" xfId="11258" xr:uid="{00000000-0005-0000-0000-000015180000}"/>
    <cellStyle name="Total 21 4 17" xfId="11727" xr:uid="{00000000-0005-0000-0000-000016180000}"/>
    <cellStyle name="Total 21 4 18" xfId="12182" xr:uid="{00000000-0005-0000-0000-000017180000}"/>
    <cellStyle name="Total 21 4 19" xfId="12798" xr:uid="{00000000-0005-0000-0000-000018180000}"/>
    <cellStyle name="Total 21 4 2" xfId="5010" xr:uid="{00000000-0005-0000-0000-000019180000}"/>
    <cellStyle name="Total 21 4 3" xfId="5448" xr:uid="{00000000-0005-0000-0000-00001A180000}"/>
    <cellStyle name="Total 21 4 4" xfId="5886" xr:uid="{00000000-0005-0000-0000-00001B180000}"/>
    <cellStyle name="Total 21 4 5" xfId="6323" xr:uid="{00000000-0005-0000-0000-00001C180000}"/>
    <cellStyle name="Total 21 4 6" xfId="6760" xr:uid="{00000000-0005-0000-0000-00001D180000}"/>
    <cellStyle name="Total 21 4 7" xfId="7197" xr:uid="{00000000-0005-0000-0000-00001E180000}"/>
    <cellStyle name="Total 21 4 8" xfId="7634" xr:uid="{00000000-0005-0000-0000-00001F180000}"/>
    <cellStyle name="Total 21 4 9" xfId="8482" xr:uid="{00000000-0005-0000-0000-000020180000}"/>
    <cellStyle name="Total 22" xfId="4053" xr:uid="{00000000-0005-0000-0000-000021180000}"/>
    <cellStyle name="Total 22 2" xfId="4054" xr:uid="{00000000-0005-0000-0000-000022180000}"/>
    <cellStyle name="Total 22 2 2" xfId="4252" xr:uid="{00000000-0005-0000-0000-000023180000}"/>
    <cellStyle name="Total 22 2 2 10" xfId="8157" xr:uid="{00000000-0005-0000-0000-000024180000}"/>
    <cellStyle name="Total 22 2 2 11" xfId="9074" xr:uid="{00000000-0005-0000-0000-000025180000}"/>
    <cellStyle name="Total 22 2 2 12" xfId="8977" xr:uid="{00000000-0005-0000-0000-000026180000}"/>
    <cellStyle name="Total 22 2 2 13" xfId="9687" xr:uid="{00000000-0005-0000-0000-000027180000}"/>
    <cellStyle name="Total 22 2 2 14" xfId="10159" xr:uid="{00000000-0005-0000-0000-000028180000}"/>
    <cellStyle name="Total 22 2 2 15" xfId="10978" xr:uid="{00000000-0005-0000-0000-000029180000}"/>
    <cellStyle name="Total 22 2 2 16" xfId="11046" xr:uid="{00000000-0005-0000-0000-00002A180000}"/>
    <cellStyle name="Total 22 2 2 17" xfId="11515" xr:uid="{00000000-0005-0000-0000-00002B180000}"/>
    <cellStyle name="Total 22 2 2 18" xfId="12103" xr:uid="{00000000-0005-0000-0000-00002C180000}"/>
    <cellStyle name="Total 22 2 2 19" xfId="12586" xr:uid="{00000000-0005-0000-0000-00002D180000}"/>
    <cellStyle name="Total 22 2 2 2" xfId="4798" xr:uid="{00000000-0005-0000-0000-00002E180000}"/>
    <cellStyle name="Total 22 2 2 3" xfId="5236" xr:uid="{00000000-0005-0000-0000-00002F180000}"/>
    <cellStyle name="Total 22 2 2 4" xfId="5674" xr:uid="{00000000-0005-0000-0000-000030180000}"/>
    <cellStyle name="Total 22 2 2 5" xfId="6111" xr:uid="{00000000-0005-0000-0000-000031180000}"/>
    <cellStyle name="Total 22 2 2 6" xfId="6548" xr:uid="{00000000-0005-0000-0000-000032180000}"/>
    <cellStyle name="Total 22 2 2 7" xfId="6985" xr:uid="{00000000-0005-0000-0000-000033180000}"/>
    <cellStyle name="Total 22 2 2 8" xfId="7422" xr:uid="{00000000-0005-0000-0000-000034180000}"/>
    <cellStyle name="Total 22 2 2 9" xfId="8270" xr:uid="{00000000-0005-0000-0000-000035180000}"/>
    <cellStyle name="Total 22 2 3" xfId="4466" xr:uid="{00000000-0005-0000-0000-000036180000}"/>
    <cellStyle name="Total 22 2 3 10" xfId="7944" xr:uid="{00000000-0005-0000-0000-000037180000}"/>
    <cellStyle name="Total 22 2 3 11" xfId="9289" xr:uid="{00000000-0005-0000-0000-000038180000}"/>
    <cellStyle name="Total 22 2 3 12" xfId="9470" xr:uid="{00000000-0005-0000-0000-000039180000}"/>
    <cellStyle name="Total 22 2 3 13" xfId="9902" xr:uid="{00000000-0005-0000-0000-00003A180000}"/>
    <cellStyle name="Total 22 2 3 14" xfId="10374" xr:uid="{00000000-0005-0000-0000-00003B180000}"/>
    <cellStyle name="Total 22 2 3 15" xfId="10596" xr:uid="{00000000-0005-0000-0000-00003C180000}"/>
    <cellStyle name="Total 22 2 3 16" xfId="11261" xr:uid="{00000000-0005-0000-0000-00003D180000}"/>
    <cellStyle name="Total 22 2 3 17" xfId="11730" xr:uid="{00000000-0005-0000-0000-00003E180000}"/>
    <cellStyle name="Total 22 2 3 18" xfId="12157" xr:uid="{00000000-0005-0000-0000-00003F180000}"/>
    <cellStyle name="Total 22 2 3 19" xfId="12801" xr:uid="{00000000-0005-0000-0000-000040180000}"/>
    <cellStyle name="Total 22 2 3 2" xfId="5013" xr:uid="{00000000-0005-0000-0000-000041180000}"/>
    <cellStyle name="Total 22 2 3 3" xfId="5451" xr:uid="{00000000-0005-0000-0000-000042180000}"/>
    <cellStyle name="Total 22 2 3 4" xfId="5889" xr:uid="{00000000-0005-0000-0000-000043180000}"/>
    <cellStyle name="Total 22 2 3 5" xfId="6326" xr:uid="{00000000-0005-0000-0000-000044180000}"/>
    <cellStyle name="Total 22 2 3 6" xfId="6763" xr:uid="{00000000-0005-0000-0000-000045180000}"/>
    <cellStyle name="Total 22 2 3 7" xfId="7200" xr:uid="{00000000-0005-0000-0000-000046180000}"/>
    <cellStyle name="Total 22 2 3 8" xfId="7637" xr:uid="{00000000-0005-0000-0000-000047180000}"/>
    <cellStyle name="Total 22 2 3 9" xfId="8485" xr:uid="{00000000-0005-0000-0000-000048180000}"/>
    <cellStyle name="Total 22 3" xfId="4251" xr:uid="{00000000-0005-0000-0000-000049180000}"/>
    <cellStyle name="Total 22 3 10" xfId="8158" xr:uid="{00000000-0005-0000-0000-00004A180000}"/>
    <cellStyle name="Total 22 3 11" xfId="9073" xr:uid="{00000000-0005-0000-0000-00004B180000}"/>
    <cellStyle name="Total 22 3 12" xfId="8978" xr:uid="{00000000-0005-0000-0000-00004C180000}"/>
    <cellStyle name="Total 22 3 13" xfId="9686" xr:uid="{00000000-0005-0000-0000-00004D180000}"/>
    <cellStyle name="Total 22 3 14" xfId="10158" xr:uid="{00000000-0005-0000-0000-00004E180000}"/>
    <cellStyle name="Total 22 3 15" xfId="10583" xr:uid="{00000000-0005-0000-0000-00004F180000}"/>
    <cellStyle name="Total 22 3 16" xfId="11045" xr:uid="{00000000-0005-0000-0000-000050180000}"/>
    <cellStyle name="Total 22 3 17" xfId="11514" xr:uid="{00000000-0005-0000-0000-000051180000}"/>
    <cellStyle name="Total 22 3 18" xfId="12162" xr:uid="{00000000-0005-0000-0000-000052180000}"/>
    <cellStyle name="Total 22 3 19" xfId="12585" xr:uid="{00000000-0005-0000-0000-000053180000}"/>
    <cellStyle name="Total 22 3 2" xfId="4797" xr:uid="{00000000-0005-0000-0000-000054180000}"/>
    <cellStyle name="Total 22 3 3" xfId="5235" xr:uid="{00000000-0005-0000-0000-000055180000}"/>
    <cellStyle name="Total 22 3 4" xfId="5673" xr:uid="{00000000-0005-0000-0000-000056180000}"/>
    <cellStyle name="Total 22 3 5" xfId="6110" xr:uid="{00000000-0005-0000-0000-000057180000}"/>
    <cellStyle name="Total 22 3 6" xfId="6547" xr:uid="{00000000-0005-0000-0000-000058180000}"/>
    <cellStyle name="Total 22 3 7" xfId="6984" xr:uid="{00000000-0005-0000-0000-000059180000}"/>
    <cellStyle name="Total 22 3 8" xfId="7421" xr:uid="{00000000-0005-0000-0000-00005A180000}"/>
    <cellStyle name="Total 22 3 9" xfId="8269" xr:uid="{00000000-0005-0000-0000-00005B180000}"/>
    <cellStyle name="Total 22 4" xfId="4465" xr:uid="{00000000-0005-0000-0000-00005C180000}"/>
    <cellStyle name="Total 22 4 10" xfId="7945" xr:uid="{00000000-0005-0000-0000-00005D180000}"/>
    <cellStyle name="Total 22 4 11" xfId="9288" xr:uid="{00000000-0005-0000-0000-00005E180000}"/>
    <cellStyle name="Total 22 4 12" xfId="9513" xr:uid="{00000000-0005-0000-0000-00005F180000}"/>
    <cellStyle name="Total 22 4 13" xfId="9901" xr:uid="{00000000-0005-0000-0000-000060180000}"/>
    <cellStyle name="Total 22 4 14" xfId="10373" xr:uid="{00000000-0005-0000-0000-000061180000}"/>
    <cellStyle name="Total 22 4 15" xfId="10635" xr:uid="{00000000-0005-0000-0000-000062180000}"/>
    <cellStyle name="Total 22 4 16" xfId="11260" xr:uid="{00000000-0005-0000-0000-000063180000}"/>
    <cellStyle name="Total 22 4 17" xfId="11729" xr:uid="{00000000-0005-0000-0000-000064180000}"/>
    <cellStyle name="Total 22 4 18" xfId="12132" xr:uid="{00000000-0005-0000-0000-000065180000}"/>
    <cellStyle name="Total 22 4 19" xfId="12800" xr:uid="{00000000-0005-0000-0000-000066180000}"/>
    <cellStyle name="Total 22 4 2" xfId="5012" xr:uid="{00000000-0005-0000-0000-000067180000}"/>
    <cellStyle name="Total 22 4 3" xfId="5450" xr:uid="{00000000-0005-0000-0000-000068180000}"/>
    <cellStyle name="Total 22 4 4" xfId="5888" xr:uid="{00000000-0005-0000-0000-000069180000}"/>
    <cellStyle name="Total 22 4 5" xfId="6325" xr:uid="{00000000-0005-0000-0000-00006A180000}"/>
    <cellStyle name="Total 22 4 6" xfId="6762" xr:uid="{00000000-0005-0000-0000-00006B180000}"/>
    <cellStyle name="Total 22 4 7" xfId="7199" xr:uid="{00000000-0005-0000-0000-00006C180000}"/>
    <cellStyle name="Total 22 4 8" xfId="7636" xr:uid="{00000000-0005-0000-0000-00006D180000}"/>
    <cellStyle name="Total 22 4 9" xfId="8484" xr:uid="{00000000-0005-0000-0000-00006E180000}"/>
    <cellStyle name="Total 23" xfId="4055" xr:uid="{00000000-0005-0000-0000-00006F180000}"/>
    <cellStyle name="Total 23 2" xfId="4056" xr:uid="{00000000-0005-0000-0000-000070180000}"/>
    <cellStyle name="Total 23 2 2" xfId="4254" xr:uid="{00000000-0005-0000-0000-000071180000}"/>
    <cellStyle name="Total 23 2 2 10" xfId="8155" xr:uid="{00000000-0005-0000-0000-000072180000}"/>
    <cellStyle name="Total 23 2 2 11" xfId="9076" xr:uid="{00000000-0005-0000-0000-000073180000}"/>
    <cellStyle name="Total 23 2 2 12" xfId="8975" xr:uid="{00000000-0005-0000-0000-000074180000}"/>
    <cellStyle name="Total 23 2 2 13" xfId="9689" xr:uid="{00000000-0005-0000-0000-000075180000}"/>
    <cellStyle name="Total 23 2 2 14" xfId="10161" xr:uid="{00000000-0005-0000-0000-000076180000}"/>
    <cellStyle name="Total 23 2 2 15" xfId="10826" xr:uid="{00000000-0005-0000-0000-000077180000}"/>
    <cellStyle name="Total 23 2 2 16" xfId="11048" xr:uid="{00000000-0005-0000-0000-000078180000}"/>
    <cellStyle name="Total 23 2 2 17" xfId="11517" xr:uid="{00000000-0005-0000-0000-000079180000}"/>
    <cellStyle name="Total 23 2 2 18" xfId="12044" xr:uid="{00000000-0005-0000-0000-00007A180000}"/>
    <cellStyle name="Total 23 2 2 19" xfId="12588" xr:uid="{00000000-0005-0000-0000-00007B180000}"/>
    <cellStyle name="Total 23 2 2 2" xfId="4800" xr:uid="{00000000-0005-0000-0000-00007C180000}"/>
    <cellStyle name="Total 23 2 2 3" xfId="5238" xr:uid="{00000000-0005-0000-0000-00007D180000}"/>
    <cellStyle name="Total 23 2 2 4" xfId="5676" xr:uid="{00000000-0005-0000-0000-00007E180000}"/>
    <cellStyle name="Total 23 2 2 5" xfId="6113" xr:uid="{00000000-0005-0000-0000-00007F180000}"/>
    <cellStyle name="Total 23 2 2 6" xfId="6550" xr:uid="{00000000-0005-0000-0000-000080180000}"/>
    <cellStyle name="Total 23 2 2 7" xfId="6987" xr:uid="{00000000-0005-0000-0000-000081180000}"/>
    <cellStyle name="Total 23 2 2 8" xfId="7424" xr:uid="{00000000-0005-0000-0000-000082180000}"/>
    <cellStyle name="Total 23 2 2 9" xfId="8272" xr:uid="{00000000-0005-0000-0000-000083180000}"/>
    <cellStyle name="Total 23 2 3" xfId="4468" xr:uid="{00000000-0005-0000-0000-000084180000}"/>
    <cellStyle name="Total 23 2 3 10" xfId="7942" xr:uid="{00000000-0005-0000-0000-000085180000}"/>
    <cellStyle name="Total 23 2 3 11" xfId="9291" xr:uid="{00000000-0005-0000-0000-000086180000}"/>
    <cellStyle name="Total 23 2 3 12" xfId="9478" xr:uid="{00000000-0005-0000-0000-000087180000}"/>
    <cellStyle name="Total 23 2 3 13" xfId="9904" xr:uid="{00000000-0005-0000-0000-000088180000}"/>
    <cellStyle name="Total 23 2 3 14" xfId="10376" xr:uid="{00000000-0005-0000-0000-000089180000}"/>
    <cellStyle name="Total 23 2 3 15" xfId="10919" xr:uid="{00000000-0005-0000-0000-00008A180000}"/>
    <cellStyle name="Total 23 2 3 16" xfId="11263" xr:uid="{00000000-0005-0000-0000-00008B180000}"/>
    <cellStyle name="Total 23 2 3 17" xfId="11732" xr:uid="{00000000-0005-0000-0000-00008C180000}"/>
    <cellStyle name="Total 23 2 3 18" xfId="12068" xr:uid="{00000000-0005-0000-0000-00008D180000}"/>
    <cellStyle name="Total 23 2 3 19" xfId="12803" xr:uid="{00000000-0005-0000-0000-00008E180000}"/>
    <cellStyle name="Total 23 2 3 2" xfId="5015" xr:uid="{00000000-0005-0000-0000-00008F180000}"/>
    <cellStyle name="Total 23 2 3 3" xfId="5453" xr:uid="{00000000-0005-0000-0000-000090180000}"/>
    <cellStyle name="Total 23 2 3 4" xfId="5891" xr:uid="{00000000-0005-0000-0000-000091180000}"/>
    <cellStyle name="Total 23 2 3 5" xfId="6328" xr:uid="{00000000-0005-0000-0000-000092180000}"/>
    <cellStyle name="Total 23 2 3 6" xfId="6765" xr:uid="{00000000-0005-0000-0000-000093180000}"/>
    <cellStyle name="Total 23 2 3 7" xfId="7202" xr:uid="{00000000-0005-0000-0000-000094180000}"/>
    <cellStyle name="Total 23 2 3 8" xfId="7639" xr:uid="{00000000-0005-0000-0000-000095180000}"/>
    <cellStyle name="Total 23 2 3 9" xfId="8487" xr:uid="{00000000-0005-0000-0000-000096180000}"/>
    <cellStyle name="Total 23 3" xfId="4253" xr:uid="{00000000-0005-0000-0000-000097180000}"/>
    <cellStyle name="Total 23 3 10" xfId="8156" xr:uid="{00000000-0005-0000-0000-000098180000}"/>
    <cellStyle name="Total 23 3 11" xfId="9075" xr:uid="{00000000-0005-0000-0000-000099180000}"/>
    <cellStyle name="Total 23 3 12" xfId="8976" xr:uid="{00000000-0005-0000-0000-00009A180000}"/>
    <cellStyle name="Total 23 3 13" xfId="9688" xr:uid="{00000000-0005-0000-0000-00009B180000}"/>
    <cellStyle name="Total 23 3 14" xfId="10160" xr:uid="{00000000-0005-0000-0000-00009C180000}"/>
    <cellStyle name="Total 23 3 15" xfId="10963" xr:uid="{00000000-0005-0000-0000-00009D180000}"/>
    <cellStyle name="Total 23 3 16" xfId="11047" xr:uid="{00000000-0005-0000-0000-00009E180000}"/>
    <cellStyle name="Total 23 3 17" xfId="11516" xr:uid="{00000000-0005-0000-0000-00009F180000}"/>
    <cellStyle name="Total 23 3 18" xfId="12073" xr:uid="{00000000-0005-0000-0000-0000A0180000}"/>
    <cellStyle name="Total 23 3 19" xfId="12587" xr:uid="{00000000-0005-0000-0000-0000A1180000}"/>
    <cellStyle name="Total 23 3 2" xfId="4799" xr:uid="{00000000-0005-0000-0000-0000A2180000}"/>
    <cellStyle name="Total 23 3 3" xfId="5237" xr:uid="{00000000-0005-0000-0000-0000A3180000}"/>
    <cellStyle name="Total 23 3 4" xfId="5675" xr:uid="{00000000-0005-0000-0000-0000A4180000}"/>
    <cellStyle name="Total 23 3 5" xfId="6112" xr:uid="{00000000-0005-0000-0000-0000A5180000}"/>
    <cellStyle name="Total 23 3 6" xfId="6549" xr:uid="{00000000-0005-0000-0000-0000A6180000}"/>
    <cellStyle name="Total 23 3 7" xfId="6986" xr:uid="{00000000-0005-0000-0000-0000A7180000}"/>
    <cellStyle name="Total 23 3 8" xfId="7423" xr:uid="{00000000-0005-0000-0000-0000A8180000}"/>
    <cellStyle name="Total 23 3 9" xfId="8271" xr:uid="{00000000-0005-0000-0000-0000A9180000}"/>
    <cellStyle name="Total 23 4" xfId="4467" xr:uid="{00000000-0005-0000-0000-0000AA180000}"/>
    <cellStyle name="Total 23 4 10" xfId="7943" xr:uid="{00000000-0005-0000-0000-0000AB180000}"/>
    <cellStyle name="Total 23 4 11" xfId="9290" xr:uid="{00000000-0005-0000-0000-0000AC180000}"/>
    <cellStyle name="Total 23 4 12" xfId="9503" xr:uid="{00000000-0005-0000-0000-0000AD180000}"/>
    <cellStyle name="Total 23 4 13" xfId="9903" xr:uid="{00000000-0005-0000-0000-0000AE180000}"/>
    <cellStyle name="Total 23 4 14" xfId="10375" xr:uid="{00000000-0005-0000-0000-0000AF180000}"/>
    <cellStyle name="Total 23 4 15" xfId="10556" xr:uid="{00000000-0005-0000-0000-0000B0180000}"/>
    <cellStyle name="Total 23 4 16" xfId="11262" xr:uid="{00000000-0005-0000-0000-0000B1180000}"/>
    <cellStyle name="Total 23 4 17" xfId="11731" xr:uid="{00000000-0005-0000-0000-0000B2180000}"/>
    <cellStyle name="Total 23 4 18" xfId="12098" xr:uid="{00000000-0005-0000-0000-0000B3180000}"/>
    <cellStyle name="Total 23 4 19" xfId="12802" xr:uid="{00000000-0005-0000-0000-0000B4180000}"/>
    <cellStyle name="Total 23 4 2" xfId="5014" xr:uid="{00000000-0005-0000-0000-0000B5180000}"/>
    <cellStyle name="Total 23 4 3" xfId="5452" xr:uid="{00000000-0005-0000-0000-0000B6180000}"/>
    <cellStyle name="Total 23 4 4" xfId="5890" xr:uid="{00000000-0005-0000-0000-0000B7180000}"/>
    <cellStyle name="Total 23 4 5" xfId="6327" xr:uid="{00000000-0005-0000-0000-0000B8180000}"/>
    <cellStyle name="Total 23 4 6" xfId="6764" xr:uid="{00000000-0005-0000-0000-0000B9180000}"/>
    <cellStyle name="Total 23 4 7" xfId="7201" xr:uid="{00000000-0005-0000-0000-0000BA180000}"/>
    <cellStyle name="Total 23 4 8" xfId="7638" xr:uid="{00000000-0005-0000-0000-0000BB180000}"/>
    <cellStyle name="Total 23 4 9" xfId="8486" xr:uid="{00000000-0005-0000-0000-0000BC180000}"/>
    <cellStyle name="Total 24" xfId="4057" xr:uid="{00000000-0005-0000-0000-0000BD180000}"/>
    <cellStyle name="Total 24 2" xfId="4058" xr:uid="{00000000-0005-0000-0000-0000BE180000}"/>
    <cellStyle name="Total 24 2 2" xfId="4256" xr:uid="{00000000-0005-0000-0000-0000BF180000}"/>
    <cellStyle name="Total 24 2 2 10" xfId="8153" xr:uid="{00000000-0005-0000-0000-0000C0180000}"/>
    <cellStyle name="Total 24 2 2 11" xfId="9078" xr:uid="{00000000-0005-0000-0000-0000C1180000}"/>
    <cellStyle name="Total 24 2 2 12" xfId="8973" xr:uid="{00000000-0005-0000-0000-0000C2180000}"/>
    <cellStyle name="Total 24 2 2 13" xfId="9691" xr:uid="{00000000-0005-0000-0000-0000C3180000}"/>
    <cellStyle name="Total 24 2 2 14" xfId="10163" xr:uid="{00000000-0005-0000-0000-0000C4180000}"/>
    <cellStyle name="Total 24 2 2 15" xfId="10796" xr:uid="{00000000-0005-0000-0000-0000C5180000}"/>
    <cellStyle name="Total 24 2 2 16" xfId="11050" xr:uid="{00000000-0005-0000-0000-0000C6180000}"/>
    <cellStyle name="Total 24 2 2 17" xfId="11519" xr:uid="{00000000-0005-0000-0000-0000C7180000}"/>
    <cellStyle name="Total 24 2 2 18" xfId="11987" xr:uid="{00000000-0005-0000-0000-0000C8180000}"/>
    <cellStyle name="Total 24 2 2 19" xfId="12590" xr:uid="{00000000-0005-0000-0000-0000C9180000}"/>
    <cellStyle name="Total 24 2 2 2" xfId="4802" xr:uid="{00000000-0005-0000-0000-0000CA180000}"/>
    <cellStyle name="Total 24 2 2 3" xfId="5240" xr:uid="{00000000-0005-0000-0000-0000CB180000}"/>
    <cellStyle name="Total 24 2 2 4" xfId="5678" xr:uid="{00000000-0005-0000-0000-0000CC180000}"/>
    <cellStyle name="Total 24 2 2 5" xfId="6115" xr:uid="{00000000-0005-0000-0000-0000CD180000}"/>
    <cellStyle name="Total 24 2 2 6" xfId="6552" xr:uid="{00000000-0005-0000-0000-0000CE180000}"/>
    <cellStyle name="Total 24 2 2 7" xfId="6989" xr:uid="{00000000-0005-0000-0000-0000CF180000}"/>
    <cellStyle name="Total 24 2 2 8" xfId="7426" xr:uid="{00000000-0005-0000-0000-0000D0180000}"/>
    <cellStyle name="Total 24 2 2 9" xfId="8274" xr:uid="{00000000-0005-0000-0000-0000D1180000}"/>
    <cellStyle name="Total 24 2 3" xfId="4470" xr:uid="{00000000-0005-0000-0000-0000D2180000}"/>
    <cellStyle name="Total 24 2 3 10" xfId="7940" xr:uid="{00000000-0005-0000-0000-0000D3180000}"/>
    <cellStyle name="Total 24 2 3 11" xfId="9293" xr:uid="{00000000-0005-0000-0000-0000D4180000}"/>
    <cellStyle name="Total 24 2 3 12" xfId="9601" xr:uid="{00000000-0005-0000-0000-0000D5180000}"/>
    <cellStyle name="Total 24 2 3 13" xfId="9906" xr:uid="{00000000-0005-0000-0000-0000D6180000}"/>
    <cellStyle name="Total 24 2 3 14" xfId="10378" xr:uid="{00000000-0005-0000-0000-0000D7180000}"/>
    <cellStyle name="Total 24 2 3 15" xfId="10853" xr:uid="{00000000-0005-0000-0000-0000D8180000}"/>
    <cellStyle name="Total 24 2 3 16" xfId="11265" xr:uid="{00000000-0005-0000-0000-0000D9180000}"/>
    <cellStyle name="Total 24 2 3 17" xfId="11734" xr:uid="{00000000-0005-0000-0000-0000DA180000}"/>
    <cellStyle name="Total 24 2 3 18" xfId="12010" xr:uid="{00000000-0005-0000-0000-0000DB180000}"/>
    <cellStyle name="Total 24 2 3 19" xfId="12805" xr:uid="{00000000-0005-0000-0000-0000DC180000}"/>
    <cellStyle name="Total 24 2 3 2" xfId="5017" xr:uid="{00000000-0005-0000-0000-0000DD180000}"/>
    <cellStyle name="Total 24 2 3 3" xfId="5455" xr:uid="{00000000-0005-0000-0000-0000DE180000}"/>
    <cellStyle name="Total 24 2 3 4" xfId="5893" xr:uid="{00000000-0005-0000-0000-0000DF180000}"/>
    <cellStyle name="Total 24 2 3 5" xfId="6330" xr:uid="{00000000-0005-0000-0000-0000E0180000}"/>
    <cellStyle name="Total 24 2 3 6" xfId="6767" xr:uid="{00000000-0005-0000-0000-0000E1180000}"/>
    <cellStyle name="Total 24 2 3 7" xfId="7204" xr:uid="{00000000-0005-0000-0000-0000E2180000}"/>
    <cellStyle name="Total 24 2 3 8" xfId="7641" xr:uid="{00000000-0005-0000-0000-0000E3180000}"/>
    <cellStyle name="Total 24 2 3 9" xfId="8489" xr:uid="{00000000-0005-0000-0000-0000E4180000}"/>
    <cellStyle name="Total 24 3" xfId="4255" xr:uid="{00000000-0005-0000-0000-0000E5180000}"/>
    <cellStyle name="Total 24 3 10" xfId="8154" xr:uid="{00000000-0005-0000-0000-0000E6180000}"/>
    <cellStyle name="Total 24 3 11" xfId="9077" xr:uid="{00000000-0005-0000-0000-0000E7180000}"/>
    <cellStyle name="Total 24 3 12" xfId="8974" xr:uid="{00000000-0005-0000-0000-0000E8180000}"/>
    <cellStyle name="Total 24 3 13" xfId="9690" xr:uid="{00000000-0005-0000-0000-0000E9180000}"/>
    <cellStyle name="Total 24 3 14" xfId="10162" xr:uid="{00000000-0005-0000-0000-0000EA180000}"/>
    <cellStyle name="Total 24 3 15" xfId="10877" xr:uid="{00000000-0005-0000-0000-0000EB180000}"/>
    <cellStyle name="Total 24 3 16" xfId="11049" xr:uid="{00000000-0005-0000-0000-0000EC180000}"/>
    <cellStyle name="Total 24 3 17" xfId="11518" xr:uid="{00000000-0005-0000-0000-0000ED180000}"/>
    <cellStyle name="Total 24 3 18" xfId="12015" xr:uid="{00000000-0005-0000-0000-0000EE180000}"/>
    <cellStyle name="Total 24 3 19" xfId="12589" xr:uid="{00000000-0005-0000-0000-0000EF180000}"/>
    <cellStyle name="Total 24 3 2" xfId="4801" xr:uid="{00000000-0005-0000-0000-0000F0180000}"/>
    <cellStyle name="Total 24 3 3" xfId="5239" xr:uid="{00000000-0005-0000-0000-0000F1180000}"/>
    <cellStyle name="Total 24 3 4" xfId="5677" xr:uid="{00000000-0005-0000-0000-0000F2180000}"/>
    <cellStyle name="Total 24 3 5" xfId="6114" xr:uid="{00000000-0005-0000-0000-0000F3180000}"/>
    <cellStyle name="Total 24 3 6" xfId="6551" xr:uid="{00000000-0005-0000-0000-0000F4180000}"/>
    <cellStyle name="Total 24 3 7" xfId="6988" xr:uid="{00000000-0005-0000-0000-0000F5180000}"/>
    <cellStyle name="Total 24 3 8" xfId="7425" xr:uid="{00000000-0005-0000-0000-0000F6180000}"/>
    <cellStyle name="Total 24 3 9" xfId="8273" xr:uid="{00000000-0005-0000-0000-0000F7180000}"/>
    <cellStyle name="Total 24 4" xfId="4469" xr:uid="{00000000-0005-0000-0000-0000F8180000}"/>
    <cellStyle name="Total 24 4 10" xfId="7941" xr:uid="{00000000-0005-0000-0000-0000F9180000}"/>
    <cellStyle name="Total 24 4 11" xfId="9292" xr:uid="{00000000-0005-0000-0000-0000FA180000}"/>
    <cellStyle name="Total 24 4 12" xfId="9495" xr:uid="{00000000-0005-0000-0000-0000FB180000}"/>
    <cellStyle name="Total 24 4 13" xfId="9905" xr:uid="{00000000-0005-0000-0000-0000FC180000}"/>
    <cellStyle name="Total 24 4 14" xfId="10377" xr:uid="{00000000-0005-0000-0000-0000FD180000}"/>
    <cellStyle name="Total 24 4 15" xfId="10936" xr:uid="{00000000-0005-0000-0000-0000FE180000}"/>
    <cellStyle name="Total 24 4 16" xfId="11264" xr:uid="{00000000-0005-0000-0000-0000FF180000}"/>
    <cellStyle name="Total 24 4 17" xfId="11733" xr:uid="{00000000-0005-0000-0000-000000190000}"/>
    <cellStyle name="Total 24 4 18" xfId="12039" xr:uid="{00000000-0005-0000-0000-000001190000}"/>
    <cellStyle name="Total 24 4 19" xfId="12804" xr:uid="{00000000-0005-0000-0000-000002190000}"/>
    <cellStyle name="Total 24 4 2" xfId="5016" xr:uid="{00000000-0005-0000-0000-000003190000}"/>
    <cellStyle name="Total 24 4 3" xfId="5454" xr:uid="{00000000-0005-0000-0000-000004190000}"/>
    <cellStyle name="Total 24 4 4" xfId="5892" xr:uid="{00000000-0005-0000-0000-000005190000}"/>
    <cellStyle name="Total 24 4 5" xfId="6329" xr:uid="{00000000-0005-0000-0000-000006190000}"/>
    <cellStyle name="Total 24 4 6" xfId="6766" xr:uid="{00000000-0005-0000-0000-000007190000}"/>
    <cellStyle name="Total 24 4 7" xfId="7203" xr:uid="{00000000-0005-0000-0000-000008190000}"/>
    <cellStyle name="Total 24 4 8" xfId="7640" xr:uid="{00000000-0005-0000-0000-000009190000}"/>
    <cellStyle name="Total 24 4 9" xfId="8488" xr:uid="{00000000-0005-0000-0000-00000A190000}"/>
    <cellStyle name="Total 25" xfId="4059" xr:uid="{00000000-0005-0000-0000-00000B190000}"/>
    <cellStyle name="Total 25 2" xfId="4060" xr:uid="{00000000-0005-0000-0000-00000C190000}"/>
    <cellStyle name="Total 25 2 2" xfId="4258" xr:uid="{00000000-0005-0000-0000-00000D190000}"/>
    <cellStyle name="Total 25 2 2 10" xfId="8151" xr:uid="{00000000-0005-0000-0000-00000E190000}"/>
    <cellStyle name="Total 25 2 2 11" xfId="9080" xr:uid="{00000000-0005-0000-0000-00000F190000}"/>
    <cellStyle name="Total 25 2 2 12" xfId="8971" xr:uid="{00000000-0005-0000-0000-000010190000}"/>
    <cellStyle name="Total 25 2 2 13" xfId="9693" xr:uid="{00000000-0005-0000-0000-000011190000}"/>
    <cellStyle name="Total 25 2 2 14" xfId="10165" xr:uid="{00000000-0005-0000-0000-000012190000}"/>
    <cellStyle name="Total 25 2 2 15" xfId="10720" xr:uid="{00000000-0005-0000-0000-000013190000}"/>
    <cellStyle name="Total 25 2 2 16" xfId="11052" xr:uid="{00000000-0005-0000-0000-000014190000}"/>
    <cellStyle name="Total 25 2 2 17" xfId="11521" xr:uid="{00000000-0005-0000-0000-000015190000}"/>
    <cellStyle name="Total 25 2 2 18" xfId="11929" xr:uid="{00000000-0005-0000-0000-000016190000}"/>
    <cellStyle name="Total 25 2 2 19" xfId="12592" xr:uid="{00000000-0005-0000-0000-000017190000}"/>
    <cellStyle name="Total 25 2 2 2" xfId="4804" xr:uid="{00000000-0005-0000-0000-000018190000}"/>
    <cellStyle name="Total 25 2 2 3" xfId="5242" xr:uid="{00000000-0005-0000-0000-000019190000}"/>
    <cellStyle name="Total 25 2 2 4" xfId="5680" xr:uid="{00000000-0005-0000-0000-00001A190000}"/>
    <cellStyle name="Total 25 2 2 5" xfId="6117" xr:uid="{00000000-0005-0000-0000-00001B190000}"/>
    <cellStyle name="Total 25 2 2 6" xfId="6554" xr:uid="{00000000-0005-0000-0000-00001C190000}"/>
    <cellStyle name="Total 25 2 2 7" xfId="6991" xr:uid="{00000000-0005-0000-0000-00001D190000}"/>
    <cellStyle name="Total 25 2 2 8" xfId="7428" xr:uid="{00000000-0005-0000-0000-00001E190000}"/>
    <cellStyle name="Total 25 2 2 9" xfId="8276" xr:uid="{00000000-0005-0000-0000-00001F190000}"/>
    <cellStyle name="Total 25 2 3" xfId="4472" xr:uid="{00000000-0005-0000-0000-000020190000}"/>
    <cellStyle name="Total 25 2 3 10" xfId="7938" xr:uid="{00000000-0005-0000-0000-000021190000}"/>
    <cellStyle name="Total 25 2 3 11" xfId="9295" xr:uid="{00000000-0005-0000-0000-000022190000}"/>
    <cellStyle name="Total 25 2 3 12" xfId="9607" xr:uid="{00000000-0005-0000-0000-000023190000}"/>
    <cellStyle name="Total 25 2 3 13" xfId="9908" xr:uid="{00000000-0005-0000-0000-000024190000}"/>
    <cellStyle name="Total 25 2 3 14" xfId="10380" xr:uid="{00000000-0005-0000-0000-000025190000}"/>
    <cellStyle name="Total 25 2 3 15" xfId="10099" xr:uid="{00000000-0005-0000-0000-000026190000}"/>
    <cellStyle name="Total 25 2 3 16" xfId="11267" xr:uid="{00000000-0005-0000-0000-000027190000}"/>
    <cellStyle name="Total 25 2 3 17" xfId="11736" xr:uid="{00000000-0005-0000-0000-000028190000}"/>
    <cellStyle name="Total 25 2 3 18" xfId="11953" xr:uid="{00000000-0005-0000-0000-000029190000}"/>
    <cellStyle name="Total 25 2 3 19" xfId="12807" xr:uid="{00000000-0005-0000-0000-00002A190000}"/>
    <cellStyle name="Total 25 2 3 2" xfId="5019" xr:uid="{00000000-0005-0000-0000-00002B190000}"/>
    <cellStyle name="Total 25 2 3 3" xfId="5457" xr:uid="{00000000-0005-0000-0000-00002C190000}"/>
    <cellStyle name="Total 25 2 3 4" xfId="5895" xr:uid="{00000000-0005-0000-0000-00002D190000}"/>
    <cellStyle name="Total 25 2 3 5" xfId="6332" xr:uid="{00000000-0005-0000-0000-00002E190000}"/>
    <cellStyle name="Total 25 2 3 6" xfId="6769" xr:uid="{00000000-0005-0000-0000-00002F190000}"/>
    <cellStyle name="Total 25 2 3 7" xfId="7206" xr:uid="{00000000-0005-0000-0000-000030190000}"/>
    <cellStyle name="Total 25 2 3 8" xfId="7643" xr:uid="{00000000-0005-0000-0000-000031190000}"/>
    <cellStyle name="Total 25 2 3 9" xfId="8491" xr:uid="{00000000-0005-0000-0000-000032190000}"/>
    <cellStyle name="Total 25 3" xfId="4257" xr:uid="{00000000-0005-0000-0000-000033190000}"/>
    <cellStyle name="Total 25 3 10" xfId="8152" xr:uid="{00000000-0005-0000-0000-000034190000}"/>
    <cellStyle name="Total 25 3 11" xfId="9079" xr:uid="{00000000-0005-0000-0000-000035190000}"/>
    <cellStyle name="Total 25 3 12" xfId="8972" xr:uid="{00000000-0005-0000-0000-000036190000}"/>
    <cellStyle name="Total 25 3 13" xfId="9692" xr:uid="{00000000-0005-0000-0000-000037190000}"/>
    <cellStyle name="Total 25 3 14" xfId="10164" xr:uid="{00000000-0005-0000-0000-000038190000}"/>
    <cellStyle name="Total 25 3 15" xfId="10758" xr:uid="{00000000-0005-0000-0000-000039190000}"/>
    <cellStyle name="Total 25 3 16" xfId="11051" xr:uid="{00000000-0005-0000-0000-00003A190000}"/>
    <cellStyle name="Total 25 3 17" xfId="11520" xr:uid="{00000000-0005-0000-0000-00003B190000}"/>
    <cellStyle name="Total 25 3 18" xfId="11958" xr:uid="{00000000-0005-0000-0000-00003C190000}"/>
    <cellStyle name="Total 25 3 19" xfId="12591" xr:uid="{00000000-0005-0000-0000-00003D190000}"/>
    <cellStyle name="Total 25 3 2" xfId="4803" xr:uid="{00000000-0005-0000-0000-00003E190000}"/>
    <cellStyle name="Total 25 3 3" xfId="5241" xr:uid="{00000000-0005-0000-0000-00003F190000}"/>
    <cellStyle name="Total 25 3 4" xfId="5679" xr:uid="{00000000-0005-0000-0000-000040190000}"/>
    <cellStyle name="Total 25 3 5" xfId="6116" xr:uid="{00000000-0005-0000-0000-000041190000}"/>
    <cellStyle name="Total 25 3 6" xfId="6553" xr:uid="{00000000-0005-0000-0000-000042190000}"/>
    <cellStyle name="Total 25 3 7" xfId="6990" xr:uid="{00000000-0005-0000-0000-000043190000}"/>
    <cellStyle name="Total 25 3 8" xfId="7427" xr:uid="{00000000-0005-0000-0000-000044190000}"/>
    <cellStyle name="Total 25 3 9" xfId="8275" xr:uid="{00000000-0005-0000-0000-000045190000}"/>
    <cellStyle name="Total 25 4" xfId="4471" xr:uid="{00000000-0005-0000-0000-000046190000}"/>
    <cellStyle name="Total 25 4 10" xfId="7939" xr:uid="{00000000-0005-0000-0000-000047190000}"/>
    <cellStyle name="Total 25 4 11" xfId="9294" xr:uid="{00000000-0005-0000-0000-000048190000}"/>
    <cellStyle name="Total 25 4 12" xfId="9602" xr:uid="{00000000-0005-0000-0000-000049190000}"/>
    <cellStyle name="Total 25 4 13" xfId="9907" xr:uid="{00000000-0005-0000-0000-00004A190000}"/>
    <cellStyle name="Total 25 4 14" xfId="10379" xr:uid="{00000000-0005-0000-0000-00004B190000}"/>
    <cellStyle name="Total 25 4 15" xfId="10100" xr:uid="{00000000-0005-0000-0000-00004C190000}"/>
    <cellStyle name="Total 25 4 16" xfId="11266" xr:uid="{00000000-0005-0000-0000-00004D190000}"/>
    <cellStyle name="Total 25 4 17" xfId="11735" xr:uid="{00000000-0005-0000-0000-00004E190000}"/>
    <cellStyle name="Total 25 4 18" xfId="11982" xr:uid="{00000000-0005-0000-0000-00004F190000}"/>
    <cellStyle name="Total 25 4 19" xfId="12806" xr:uid="{00000000-0005-0000-0000-000050190000}"/>
    <cellStyle name="Total 25 4 2" xfId="5018" xr:uid="{00000000-0005-0000-0000-000051190000}"/>
    <cellStyle name="Total 25 4 3" xfId="5456" xr:uid="{00000000-0005-0000-0000-000052190000}"/>
    <cellStyle name="Total 25 4 4" xfId="5894" xr:uid="{00000000-0005-0000-0000-000053190000}"/>
    <cellStyle name="Total 25 4 5" xfId="6331" xr:uid="{00000000-0005-0000-0000-000054190000}"/>
    <cellStyle name="Total 25 4 6" xfId="6768" xr:uid="{00000000-0005-0000-0000-000055190000}"/>
    <cellStyle name="Total 25 4 7" xfId="7205" xr:uid="{00000000-0005-0000-0000-000056190000}"/>
    <cellStyle name="Total 25 4 8" xfId="7642" xr:uid="{00000000-0005-0000-0000-000057190000}"/>
    <cellStyle name="Total 25 4 9" xfId="8490" xr:uid="{00000000-0005-0000-0000-000058190000}"/>
    <cellStyle name="Total 26" xfId="4061" xr:uid="{00000000-0005-0000-0000-000059190000}"/>
    <cellStyle name="Total 26 2" xfId="4062" xr:uid="{00000000-0005-0000-0000-00005A190000}"/>
    <cellStyle name="Total 26 2 2" xfId="4260" xr:uid="{00000000-0005-0000-0000-00005B190000}"/>
    <cellStyle name="Total 26 2 2 10" xfId="8149" xr:uid="{00000000-0005-0000-0000-00005C190000}"/>
    <cellStyle name="Total 26 2 2 11" xfId="9082" xr:uid="{00000000-0005-0000-0000-00005D190000}"/>
    <cellStyle name="Total 26 2 2 12" xfId="8969" xr:uid="{00000000-0005-0000-0000-00005E190000}"/>
    <cellStyle name="Total 26 2 2 13" xfId="9695" xr:uid="{00000000-0005-0000-0000-00005F190000}"/>
    <cellStyle name="Total 26 2 2 14" xfId="10167" xr:uid="{00000000-0005-0000-0000-000060190000}"/>
    <cellStyle name="Total 26 2 2 15" xfId="10642" xr:uid="{00000000-0005-0000-0000-000061190000}"/>
    <cellStyle name="Total 26 2 2 16" xfId="11054" xr:uid="{00000000-0005-0000-0000-000062190000}"/>
    <cellStyle name="Total 26 2 2 17" xfId="11523" xr:uid="{00000000-0005-0000-0000-000063190000}"/>
    <cellStyle name="Total 26 2 2 18" xfId="12288" xr:uid="{00000000-0005-0000-0000-000064190000}"/>
    <cellStyle name="Total 26 2 2 19" xfId="12594" xr:uid="{00000000-0005-0000-0000-000065190000}"/>
    <cellStyle name="Total 26 2 2 2" xfId="4806" xr:uid="{00000000-0005-0000-0000-000066190000}"/>
    <cellStyle name="Total 26 2 2 3" xfId="5244" xr:uid="{00000000-0005-0000-0000-000067190000}"/>
    <cellStyle name="Total 26 2 2 4" xfId="5682" xr:uid="{00000000-0005-0000-0000-000068190000}"/>
    <cellStyle name="Total 26 2 2 5" xfId="6119" xr:uid="{00000000-0005-0000-0000-000069190000}"/>
    <cellStyle name="Total 26 2 2 6" xfId="6556" xr:uid="{00000000-0005-0000-0000-00006A190000}"/>
    <cellStyle name="Total 26 2 2 7" xfId="6993" xr:uid="{00000000-0005-0000-0000-00006B190000}"/>
    <cellStyle name="Total 26 2 2 8" xfId="7430" xr:uid="{00000000-0005-0000-0000-00006C190000}"/>
    <cellStyle name="Total 26 2 2 9" xfId="8278" xr:uid="{00000000-0005-0000-0000-00006D190000}"/>
    <cellStyle name="Total 26 2 3" xfId="4474" xr:uid="{00000000-0005-0000-0000-00006E190000}"/>
    <cellStyle name="Total 26 2 3 10" xfId="7936" xr:uid="{00000000-0005-0000-0000-00006F190000}"/>
    <cellStyle name="Total 26 2 3 11" xfId="9297" xr:uid="{00000000-0005-0000-0000-000070190000}"/>
    <cellStyle name="Total 26 2 3 12" xfId="8831" xr:uid="{00000000-0005-0000-0000-000071190000}"/>
    <cellStyle name="Total 26 2 3 13" xfId="9910" xr:uid="{00000000-0005-0000-0000-000072190000}"/>
    <cellStyle name="Total 26 2 3 14" xfId="10382" xr:uid="{00000000-0005-0000-0000-000073190000}"/>
    <cellStyle name="Total 26 2 3 15" xfId="10807" xr:uid="{00000000-0005-0000-0000-000074190000}"/>
    <cellStyle name="Total 26 2 3 16" xfId="11269" xr:uid="{00000000-0005-0000-0000-000075190000}"/>
    <cellStyle name="Total 26 2 3 17" xfId="11738" xr:uid="{00000000-0005-0000-0000-000076190000}"/>
    <cellStyle name="Total 26 2 3 18" xfId="12332" xr:uid="{00000000-0005-0000-0000-000077190000}"/>
    <cellStyle name="Total 26 2 3 19" xfId="12809" xr:uid="{00000000-0005-0000-0000-000078190000}"/>
    <cellStyle name="Total 26 2 3 2" xfId="5021" xr:uid="{00000000-0005-0000-0000-000079190000}"/>
    <cellStyle name="Total 26 2 3 3" xfId="5459" xr:uid="{00000000-0005-0000-0000-00007A190000}"/>
    <cellStyle name="Total 26 2 3 4" xfId="5897" xr:uid="{00000000-0005-0000-0000-00007B190000}"/>
    <cellStyle name="Total 26 2 3 5" xfId="6334" xr:uid="{00000000-0005-0000-0000-00007C190000}"/>
    <cellStyle name="Total 26 2 3 6" xfId="6771" xr:uid="{00000000-0005-0000-0000-00007D190000}"/>
    <cellStyle name="Total 26 2 3 7" xfId="7208" xr:uid="{00000000-0005-0000-0000-00007E190000}"/>
    <cellStyle name="Total 26 2 3 8" xfId="7645" xr:uid="{00000000-0005-0000-0000-00007F190000}"/>
    <cellStyle name="Total 26 2 3 9" xfId="8493" xr:uid="{00000000-0005-0000-0000-000080190000}"/>
    <cellStyle name="Total 26 3" xfId="4259" xr:uid="{00000000-0005-0000-0000-000081190000}"/>
    <cellStyle name="Total 26 3 10" xfId="8150" xr:uid="{00000000-0005-0000-0000-000082190000}"/>
    <cellStyle name="Total 26 3 11" xfId="9081" xr:uid="{00000000-0005-0000-0000-000083190000}"/>
    <cellStyle name="Total 26 3 12" xfId="8970" xr:uid="{00000000-0005-0000-0000-000084190000}"/>
    <cellStyle name="Total 26 3 13" xfId="9694" xr:uid="{00000000-0005-0000-0000-000085190000}"/>
    <cellStyle name="Total 26 3 14" xfId="10166" xr:uid="{00000000-0005-0000-0000-000086190000}"/>
    <cellStyle name="Total 26 3 15" xfId="10681" xr:uid="{00000000-0005-0000-0000-000087190000}"/>
    <cellStyle name="Total 26 3 16" xfId="11053" xr:uid="{00000000-0005-0000-0000-000088190000}"/>
    <cellStyle name="Total 26 3 17" xfId="11522" xr:uid="{00000000-0005-0000-0000-000089190000}"/>
    <cellStyle name="Total 26 3 18" xfId="12337" xr:uid="{00000000-0005-0000-0000-00008A190000}"/>
    <cellStyle name="Total 26 3 19" xfId="12593" xr:uid="{00000000-0005-0000-0000-00008B190000}"/>
    <cellStyle name="Total 26 3 2" xfId="4805" xr:uid="{00000000-0005-0000-0000-00008C190000}"/>
    <cellStyle name="Total 26 3 3" xfId="5243" xr:uid="{00000000-0005-0000-0000-00008D190000}"/>
    <cellStyle name="Total 26 3 4" xfId="5681" xr:uid="{00000000-0005-0000-0000-00008E190000}"/>
    <cellStyle name="Total 26 3 5" xfId="6118" xr:uid="{00000000-0005-0000-0000-00008F190000}"/>
    <cellStyle name="Total 26 3 6" xfId="6555" xr:uid="{00000000-0005-0000-0000-000090190000}"/>
    <cellStyle name="Total 26 3 7" xfId="6992" xr:uid="{00000000-0005-0000-0000-000091190000}"/>
    <cellStyle name="Total 26 3 8" xfId="7429" xr:uid="{00000000-0005-0000-0000-000092190000}"/>
    <cellStyle name="Total 26 3 9" xfId="8277" xr:uid="{00000000-0005-0000-0000-000093190000}"/>
    <cellStyle name="Total 26 4" xfId="4473" xr:uid="{00000000-0005-0000-0000-000094190000}"/>
    <cellStyle name="Total 26 4 10" xfId="7937" xr:uid="{00000000-0005-0000-0000-000095190000}"/>
    <cellStyle name="Total 26 4 11" xfId="9296" xr:uid="{00000000-0005-0000-0000-000096190000}"/>
    <cellStyle name="Total 26 4 12" xfId="9518" xr:uid="{00000000-0005-0000-0000-000097190000}"/>
    <cellStyle name="Total 26 4 13" xfId="9909" xr:uid="{00000000-0005-0000-0000-000098190000}"/>
    <cellStyle name="Total 26 4 14" xfId="10381" xr:uid="{00000000-0005-0000-0000-000099190000}"/>
    <cellStyle name="Total 26 4 15" xfId="10888" xr:uid="{00000000-0005-0000-0000-00009A190000}"/>
    <cellStyle name="Total 26 4 16" xfId="11268" xr:uid="{00000000-0005-0000-0000-00009B190000}"/>
    <cellStyle name="Total 26 4 17" xfId="11737" xr:uid="{00000000-0005-0000-0000-00009C190000}"/>
    <cellStyle name="Total 26 4 18" xfId="11924" xr:uid="{00000000-0005-0000-0000-00009D190000}"/>
    <cellStyle name="Total 26 4 19" xfId="12808" xr:uid="{00000000-0005-0000-0000-00009E190000}"/>
    <cellStyle name="Total 26 4 2" xfId="5020" xr:uid="{00000000-0005-0000-0000-00009F190000}"/>
    <cellStyle name="Total 26 4 3" xfId="5458" xr:uid="{00000000-0005-0000-0000-0000A0190000}"/>
    <cellStyle name="Total 26 4 4" xfId="5896" xr:uid="{00000000-0005-0000-0000-0000A1190000}"/>
    <cellStyle name="Total 26 4 5" xfId="6333" xr:uid="{00000000-0005-0000-0000-0000A2190000}"/>
    <cellStyle name="Total 26 4 6" xfId="6770" xr:uid="{00000000-0005-0000-0000-0000A3190000}"/>
    <cellStyle name="Total 26 4 7" xfId="7207" xr:uid="{00000000-0005-0000-0000-0000A4190000}"/>
    <cellStyle name="Total 26 4 8" xfId="7644" xr:uid="{00000000-0005-0000-0000-0000A5190000}"/>
    <cellStyle name="Total 26 4 9" xfId="8492" xr:uid="{00000000-0005-0000-0000-0000A6190000}"/>
    <cellStyle name="Total 27" xfId="4063" xr:uid="{00000000-0005-0000-0000-0000A7190000}"/>
    <cellStyle name="Total 27 2" xfId="4064" xr:uid="{00000000-0005-0000-0000-0000A8190000}"/>
    <cellStyle name="Total 27 2 2" xfId="4262" xr:uid="{00000000-0005-0000-0000-0000A9190000}"/>
    <cellStyle name="Total 27 2 2 10" xfId="8147" xr:uid="{00000000-0005-0000-0000-0000AA190000}"/>
    <cellStyle name="Total 27 2 2 11" xfId="9084" xr:uid="{00000000-0005-0000-0000-0000AB190000}"/>
    <cellStyle name="Total 27 2 2 12" xfId="8967" xr:uid="{00000000-0005-0000-0000-0000AC190000}"/>
    <cellStyle name="Total 27 2 2 13" xfId="9697" xr:uid="{00000000-0005-0000-0000-0000AD190000}"/>
    <cellStyle name="Total 27 2 2 14" xfId="10169" xr:uid="{00000000-0005-0000-0000-0000AE190000}"/>
    <cellStyle name="Total 27 2 2 15" xfId="10563" xr:uid="{00000000-0005-0000-0000-0000AF190000}"/>
    <cellStyle name="Total 27 2 2 16" xfId="11056" xr:uid="{00000000-0005-0000-0000-0000B0190000}"/>
    <cellStyle name="Total 27 2 2 17" xfId="11525" xr:uid="{00000000-0005-0000-0000-0000B1190000}"/>
    <cellStyle name="Total 27 2 2 18" xfId="12250" xr:uid="{00000000-0005-0000-0000-0000B2190000}"/>
    <cellStyle name="Total 27 2 2 19" xfId="12596" xr:uid="{00000000-0005-0000-0000-0000B3190000}"/>
    <cellStyle name="Total 27 2 2 2" xfId="4808" xr:uid="{00000000-0005-0000-0000-0000B4190000}"/>
    <cellStyle name="Total 27 2 2 3" xfId="5246" xr:uid="{00000000-0005-0000-0000-0000B5190000}"/>
    <cellStyle name="Total 27 2 2 4" xfId="5684" xr:uid="{00000000-0005-0000-0000-0000B6190000}"/>
    <cellStyle name="Total 27 2 2 5" xfId="6121" xr:uid="{00000000-0005-0000-0000-0000B7190000}"/>
    <cellStyle name="Total 27 2 2 6" xfId="6558" xr:uid="{00000000-0005-0000-0000-0000B8190000}"/>
    <cellStyle name="Total 27 2 2 7" xfId="6995" xr:uid="{00000000-0005-0000-0000-0000B9190000}"/>
    <cellStyle name="Total 27 2 2 8" xfId="7432" xr:uid="{00000000-0005-0000-0000-0000BA190000}"/>
    <cellStyle name="Total 27 2 2 9" xfId="8280" xr:uid="{00000000-0005-0000-0000-0000BB190000}"/>
    <cellStyle name="Total 27 2 3" xfId="4476" xr:uid="{00000000-0005-0000-0000-0000BC190000}"/>
    <cellStyle name="Total 27 2 3 10" xfId="7934" xr:uid="{00000000-0005-0000-0000-0000BD190000}"/>
    <cellStyle name="Total 27 2 3 11" xfId="9299" xr:uid="{00000000-0005-0000-0000-0000BE190000}"/>
    <cellStyle name="Total 27 2 3 12" xfId="8829" xr:uid="{00000000-0005-0000-0000-0000BF190000}"/>
    <cellStyle name="Total 27 2 3 13" xfId="9912" xr:uid="{00000000-0005-0000-0000-0000C0190000}"/>
    <cellStyle name="Total 27 2 3 14" xfId="10384" xr:uid="{00000000-0005-0000-0000-0000C1190000}"/>
    <cellStyle name="Total 27 2 3 15" xfId="10730" xr:uid="{00000000-0005-0000-0000-0000C2190000}"/>
    <cellStyle name="Total 27 2 3 16" xfId="11271" xr:uid="{00000000-0005-0000-0000-0000C3190000}"/>
    <cellStyle name="Total 27 2 3 17" xfId="11740" xr:uid="{00000000-0005-0000-0000-0000C4190000}"/>
    <cellStyle name="Total 27 2 3 18" xfId="12276" xr:uid="{00000000-0005-0000-0000-0000C5190000}"/>
    <cellStyle name="Total 27 2 3 19" xfId="12811" xr:uid="{00000000-0005-0000-0000-0000C6190000}"/>
    <cellStyle name="Total 27 2 3 2" xfId="5023" xr:uid="{00000000-0005-0000-0000-0000C7190000}"/>
    <cellStyle name="Total 27 2 3 3" xfId="5461" xr:uid="{00000000-0005-0000-0000-0000C8190000}"/>
    <cellStyle name="Total 27 2 3 4" xfId="5899" xr:uid="{00000000-0005-0000-0000-0000C9190000}"/>
    <cellStyle name="Total 27 2 3 5" xfId="6336" xr:uid="{00000000-0005-0000-0000-0000CA190000}"/>
    <cellStyle name="Total 27 2 3 6" xfId="6773" xr:uid="{00000000-0005-0000-0000-0000CB190000}"/>
    <cellStyle name="Total 27 2 3 7" xfId="7210" xr:uid="{00000000-0005-0000-0000-0000CC190000}"/>
    <cellStyle name="Total 27 2 3 8" xfId="7647" xr:uid="{00000000-0005-0000-0000-0000CD190000}"/>
    <cellStyle name="Total 27 2 3 9" xfId="8495" xr:uid="{00000000-0005-0000-0000-0000CE190000}"/>
    <cellStyle name="Total 27 3" xfId="4261" xr:uid="{00000000-0005-0000-0000-0000CF190000}"/>
    <cellStyle name="Total 27 3 10" xfId="8148" xr:uid="{00000000-0005-0000-0000-0000D0190000}"/>
    <cellStyle name="Total 27 3 11" xfId="9083" xr:uid="{00000000-0005-0000-0000-0000D1190000}"/>
    <cellStyle name="Total 27 3 12" xfId="8968" xr:uid="{00000000-0005-0000-0000-0000D2190000}"/>
    <cellStyle name="Total 27 3 13" xfId="9696" xr:uid="{00000000-0005-0000-0000-0000D3190000}"/>
    <cellStyle name="Total 27 3 14" xfId="10168" xr:uid="{00000000-0005-0000-0000-0000D4190000}"/>
    <cellStyle name="Total 27 3 15" xfId="10603" xr:uid="{00000000-0005-0000-0000-0000D5190000}"/>
    <cellStyle name="Total 27 3 16" xfId="11055" xr:uid="{00000000-0005-0000-0000-0000D6190000}"/>
    <cellStyle name="Total 27 3 17" xfId="11524" xr:uid="{00000000-0005-0000-0000-0000D7190000}"/>
    <cellStyle name="Total 27 3 18" xfId="12281" xr:uid="{00000000-0005-0000-0000-0000D8190000}"/>
    <cellStyle name="Total 27 3 19" xfId="12595" xr:uid="{00000000-0005-0000-0000-0000D9190000}"/>
    <cellStyle name="Total 27 3 2" xfId="4807" xr:uid="{00000000-0005-0000-0000-0000DA190000}"/>
    <cellStyle name="Total 27 3 3" xfId="5245" xr:uid="{00000000-0005-0000-0000-0000DB190000}"/>
    <cellStyle name="Total 27 3 4" xfId="5683" xr:uid="{00000000-0005-0000-0000-0000DC190000}"/>
    <cellStyle name="Total 27 3 5" xfId="6120" xr:uid="{00000000-0005-0000-0000-0000DD190000}"/>
    <cellStyle name="Total 27 3 6" xfId="6557" xr:uid="{00000000-0005-0000-0000-0000DE190000}"/>
    <cellStyle name="Total 27 3 7" xfId="6994" xr:uid="{00000000-0005-0000-0000-0000DF190000}"/>
    <cellStyle name="Total 27 3 8" xfId="7431" xr:uid="{00000000-0005-0000-0000-0000E0190000}"/>
    <cellStyle name="Total 27 3 9" xfId="8279" xr:uid="{00000000-0005-0000-0000-0000E1190000}"/>
    <cellStyle name="Total 27 4" xfId="4475" xr:uid="{00000000-0005-0000-0000-0000E2190000}"/>
    <cellStyle name="Total 27 4 10" xfId="7935" xr:uid="{00000000-0005-0000-0000-0000E3190000}"/>
    <cellStyle name="Total 27 4 11" xfId="9298" xr:uid="{00000000-0005-0000-0000-0000E4190000}"/>
    <cellStyle name="Total 27 4 12" xfId="8830" xr:uid="{00000000-0005-0000-0000-0000E5190000}"/>
    <cellStyle name="Total 27 4 13" xfId="9911" xr:uid="{00000000-0005-0000-0000-0000E6190000}"/>
    <cellStyle name="Total 27 4 14" xfId="10383" xr:uid="{00000000-0005-0000-0000-0000E7190000}"/>
    <cellStyle name="Total 27 4 15" xfId="10768" xr:uid="{00000000-0005-0000-0000-0000E8190000}"/>
    <cellStyle name="Total 27 4 16" xfId="11270" xr:uid="{00000000-0005-0000-0000-0000E9190000}"/>
    <cellStyle name="Total 27 4 17" xfId="11739" xr:uid="{00000000-0005-0000-0000-0000EA190000}"/>
    <cellStyle name="Total 27 4 18" xfId="12299" xr:uid="{00000000-0005-0000-0000-0000EB190000}"/>
    <cellStyle name="Total 27 4 19" xfId="12810" xr:uid="{00000000-0005-0000-0000-0000EC190000}"/>
    <cellStyle name="Total 27 4 2" xfId="5022" xr:uid="{00000000-0005-0000-0000-0000ED190000}"/>
    <cellStyle name="Total 27 4 3" xfId="5460" xr:uid="{00000000-0005-0000-0000-0000EE190000}"/>
    <cellStyle name="Total 27 4 4" xfId="5898" xr:uid="{00000000-0005-0000-0000-0000EF190000}"/>
    <cellStyle name="Total 27 4 5" xfId="6335" xr:uid="{00000000-0005-0000-0000-0000F0190000}"/>
    <cellStyle name="Total 27 4 6" xfId="6772" xr:uid="{00000000-0005-0000-0000-0000F1190000}"/>
    <cellStyle name="Total 27 4 7" xfId="7209" xr:uid="{00000000-0005-0000-0000-0000F2190000}"/>
    <cellStyle name="Total 27 4 8" xfId="7646" xr:uid="{00000000-0005-0000-0000-0000F3190000}"/>
    <cellStyle name="Total 27 4 9" xfId="8494" xr:uid="{00000000-0005-0000-0000-0000F4190000}"/>
    <cellStyle name="Total 28" xfId="4065" xr:uid="{00000000-0005-0000-0000-0000F5190000}"/>
    <cellStyle name="Total 28 2" xfId="4066" xr:uid="{00000000-0005-0000-0000-0000F6190000}"/>
    <cellStyle name="Total 28 2 2" xfId="4264" xr:uid="{00000000-0005-0000-0000-0000F7190000}"/>
    <cellStyle name="Total 28 2 2 10" xfId="8145" xr:uid="{00000000-0005-0000-0000-0000F8190000}"/>
    <cellStyle name="Total 28 2 2 11" xfId="9086" xr:uid="{00000000-0005-0000-0000-0000F9190000}"/>
    <cellStyle name="Total 28 2 2 12" xfId="8965" xr:uid="{00000000-0005-0000-0000-0000FA190000}"/>
    <cellStyle name="Total 28 2 2 13" xfId="9699" xr:uid="{00000000-0005-0000-0000-0000FB190000}"/>
    <cellStyle name="Total 28 2 2 14" xfId="10171" xr:uid="{00000000-0005-0000-0000-0000FC190000}"/>
    <cellStyle name="Total 28 2 2 15" xfId="10943" xr:uid="{00000000-0005-0000-0000-0000FD190000}"/>
    <cellStyle name="Total 28 2 2 16" xfId="11058" xr:uid="{00000000-0005-0000-0000-0000FE190000}"/>
    <cellStyle name="Total 28 2 2 17" xfId="11527" xr:uid="{00000000-0005-0000-0000-0000FF190000}"/>
    <cellStyle name="Total 28 2 2 18" xfId="12213" xr:uid="{00000000-0005-0000-0000-0000001A0000}"/>
    <cellStyle name="Total 28 2 2 19" xfId="12598" xr:uid="{00000000-0005-0000-0000-0000011A0000}"/>
    <cellStyle name="Total 28 2 2 2" xfId="4810" xr:uid="{00000000-0005-0000-0000-0000021A0000}"/>
    <cellStyle name="Total 28 2 2 3" xfId="5248" xr:uid="{00000000-0005-0000-0000-0000031A0000}"/>
    <cellStyle name="Total 28 2 2 4" xfId="5686" xr:uid="{00000000-0005-0000-0000-0000041A0000}"/>
    <cellStyle name="Total 28 2 2 5" xfId="6123" xr:uid="{00000000-0005-0000-0000-0000051A0000}"/>
    <cellStyle name="Total 28 2 2 6" xfId="6560" xr:uid="{00000000-0005-0000-0000-0000061A0000}"/>
    <cellStyle name="Total 28 2 2 7" xfId="6997" xr:uid="{00000000-0005-0000-0000-0000071A0000}"/>
    <cellStyle name="Total 28 2 2 8" xfId="7434" xr:uid="{00000000-0005-0000-0000-0000081A0000}"/>
    <cellStyle name="Total 28 2 2 9" xfId="8282" xr:uid="{00000000-0005-0000-0000-0000091A0000}"/>
    <cellStyle name="Total 28 2 3" xfId="4478" xr:uid="{00000000-0005-0000-0000-00000A1A0000}"/>
    <cellStyle name="Total 28 2 3 10" xfId="7932" xr:uid="{00000000-0005-0000-0000-00000B1A0000}"/>
    <cellStyle name="Total 28 2 3 11" xfId="9301" xr:uid="{00000000-0005-0000-0000-00000C1A0000}"/>
    <cellStyle name="Total 28 2 3 12" xfId="8827" xr:uid="{00000000-0005-0000-0000-00000D1A0000}"/>
    <cellStyle name="Total 28 2 3 13" xfId="9914" xr:uid="{00000000-0005-0000-0000-00000E1A0000}"/>
    <cellStyle name="Total 28 2 3 14" xfId="10386" xr:uid="{00000000-0005-0000-0000-00000F1A0000}"/>
    <cellStyle name="Total 28 2 3 15" xfId="10652" xr:uid="{00000000-0005-0000-0000-0000101A0000}"/>
    <cellStyle name="Total 28 2 3 16" xfId="11273" xr:uid="{00000000-0005-0000-0000-0000111A0000}"/>
    <cellStyle name="Total 28 2 3 17" xfId="11742" xr:uid="{00000000-0005-0000-0000-0000121A0000}"/>
    <cellStyle name="Total 28 2 3 18" xfId="12217" xr:uid="{00000000-0005-0000-0000-0000131A0000}"/>
    <cellStyle name="Total 28 2 3 19" xfId="12813" xr:uid="{00000000-0005-0000-0000-0000141A0000}"/>
    <cellStyle name="Total 28 2 3 2" xfId="5025" xr:uid="{00000000-0005-0000-0000-0000151A0000}"/>
    <cellStyle name="Total 28 2 3 3" xfId="5463" xr:uid="{00000000-0005-0000-0000-0000161A0000}"/>
    <cellStyle name="Total 28 2 3 4" xfId="5901" xr:uid="{00000000-0005-0000-0000-0000171A0000}"/>
    <cellStyle name="Total 28 2 3 5" xfId="6338" xr:uid="{00000000-0005-0000-0000-0000181A0000}"/>
    <cellStyle name="Total 28 2 3 6" xfId="6775" xr:uid="{00000000-0005-0000-0000-0000191A0000}"/>
    <cellStyle name="Total 28 2 3 7" xfId="7212" xr:uid="{00000000-0005-0000-0000-00001A1A0000}"/>
    <cellStyle name="Total 28 2 3 8" xfId="7649" xr:uid="{00000000-0005-0000-0000-00001B1A0000}"/>
    <cellStyle name="Total 28 2 3 9" xfId="8497" xr:uid="{00000000-0005-0000-0000-00001C1A0000}"/>
    <cellStyle name="Total 28 3" xfId="4263" xr:uid="{00000000-0005-0000-0000-00001D1A0000}"/>
    <cellStyle name="Total 28 3 10" xfId="8146" xr:uid="{00000000-0005-0000-0000-00001E1A0000}"/>
    <cellStyle name="Total 28 3 11" xfId="9085" xr:uid="{00000000-0005-0000-0000-00001F1A0000}"/>
    <cellStyle name="Total 28 3 12" xfId="8966" xr:uid="{00000000-0005-0000-0000-0000201A0000}"/>
    <cellStyle name="Total 28 3 13" xfId="9698" xr:uid="{00000000-0005-0000-0000-0000211A0000}"/>
    <cellStyle name="Total 28 3 14" xfId="10170" xr:uid="{00000000-0005-0000-0000-0000221A0000}"/>
    <cellStyle name="Total 28 3 15" xfId="10912" xr:uid="{00000000-0005-0000-0000-0000231A0000}"/>
    <cellStyle name="Total 28 3 16" xfId="11057" xr:uid="{00000000-0005-0000-0000-0000241A0000}"/>
    <cellStyle name="Total 28 3 17" xfId="11526" xr:uid="{00000000-0005-0000-0000-0000251A0000}"/>
    <cellStyle name="Total 28 3 18" xfId="12169" xr:uid="{00000000-0005-0000-0000-0000261A0000}"/>
    <cellStyle name="Total 28 3 19" xfId="12597" xr:uid="{00000000-0005-0000-0000-0000271A0000}"/>
    <cellStyle name="Total 28 3 2" xfId="4809" xr:uid="{00000000-0005-0000-0000-0000281A0000}"/>
    <cellStyle name="Total 28 3 3" xfId="5247" xr:uid="{00000000-0005-0000-0000-0000291A0000}"/>
    <cellStyle name="Total 28 3 4" xfId="5685" xr:uid="{00000000-0005-0000-0000-00002A1A0000}"/>
    <cellStyle name="Total 28 3 5" xfId="6122" xr:uid="{00000000-0005-0000-0000-00002B1A0000}"/>
    <cellStyle name="Total 28 3 6" xfId="6559" xr:uid="{00000000-0005-0000-0000-00002C1A0000}"/>
    <cellStyle name="Total 28 3 7" xfId="6996" xr:uid="{00000000-0005-0000-0000-00002D1A0000}"/>
    <cellStyle name="Total 28 3 8" xfId="7433" xr:uid="{00000000-0005-0000-0000-00002E1A0000}"/>
    <cellStyle name="Total 28 3 9" xfId="8281" xr:uid="{00000000-0005-0000-0000-00002F1A0000}"/>
    <cellStyle name="Total 28 4" xfId="4477" xr:uid="{00000000-0005-0000-0000-0000301A0000}"/>
    <cellStyle name="Total 28 4 10" xfId="7933" xr:uid="{00000000-0005-0000-0000-0000311A0000}"/>
    <cellStyle name="Total 28 4 11" xfId="9300" xr:uid="{00000000-0005-0000-0000-0000321A0000}"/>
    <cellStyle name="Total 28 4 12" xfId="8828" xr:uid="{00000000-0005-0000-0000-0000331A0000}"/>
    <cellStyle name="Total 28 4 13" xfId="9913" xr:uid="{00000000-0005-0000-0000-0000341A0000}"/>
    <cellStyle name="Total 28 4 14" xfId="10385" xr:uid="{00000000-0005-0000-0000-0000351A0000}"/>
    <cellStyle name="Total 28 4 15" xfId="10691" xr:uid="{00000000-0005-0000-0000-0000361A0000}"/>
    <cellStyle name="Total 28 4 16" xfId="11272" xr:uid="{00000000-0005-0000-0000-0000371A0000}"/>
    <cellStyle name="Total 28 4 17" xfId="11741" xr:uid="{00000000-0005-0000-0000-0000381A0000}"/>
    <cellStyle name="Total 28 4 18" xfId="12245" xr:uid="{00000000-0005-0000-0000-0000391A0000}"/>
    <cellStyle name="Total 28 4 19" xfId="12812" xr:uid="{00000000-0005-0000-0000-00003A1A0000}"/>
    <cellStyle name="Total 28 4 2" xfId="5024" xr:uid="{00000000-0005-0000-0000-00003B1A0000}"/>
    <cellStyle name="Total 28 4 3" xfId="5462" xr:uid="{00000000-0005-0000-0000-00003C1A0000}"/>
    <cellStyle name="Total 28 4 4" xfId="5900" xr:uid="{00000000-0005-0000-0000-00003D1A0000}"/>
    <cellStyle name="Total 28 4 5" xfId="6337" xr:uid="{00000000-0005-0000-0000-00003E1A0000}"/>
    <cellStyle name="Total 28 4 6" xfId="6774" xr:uid="{00000000-0005-0000-0000-00003F1A0000}"/>
    <cellStyle name="Total 28 4 7" xfId="7211" xr:uid="{00000000-0005-0000-0000-0000401A0000}"/>
    <cellStyle name="Total 28 4 8" xfId="7648" xr:uid="{00000000-0005-0000-0000-0000411A0000}"/>
    <cellStyle name="Total 28 4 9" xfId="8496" xr:uid="{00000000-0005-0000-0000-0000421A0000}"/>
    <cellStyle name="Total 29" xfId="4067" xr:uid="{00000000-0005-0000-0000-0000431A0000}"/>
    <cellStyle name="Total 29 2" xfId="4068" xr:uid="{00000000-0005-0000-0000-0000441A0000}"/>
    <cellStyle name="Total 29 2 2" xfId="4266" xr:uid="{00000000-0005-0000-0000-0000451A0000}"/>
    <cellStyle name="Total 29 2 2 10" xfId="8143" xr:uid="{00000000-0005-0000-0000-0000461A0000}"/>
    <cellStyle name="Total 29 2 2 11" xfId="9088" xr:uid="{00000000-0005-0000-0000-0000471A0000}"/>
    <cellStyle name="Total 29 2 2 12" xfId="8963" xr:uid="{00000000-0005-0000-0000-0000481A0000}"/>
    <cellStyle name="Total 29 2 2 13" xfId="9701" xr:uid="{00000000-0005-0000-0000-0000491A0000}"/>
    <cellStyle name="Total 29 2 2 14" xfId="10173" xr:uid="{00000000-0005-0000-0000-00004A1A0000}"/>
    <cellStyle name="Total 29 2 2 15" xfId="10899" xr:uid="{00000000-0005-0000-0000-00004B1A0000}"/>
    <cellStyle name="Total 29 2 2 16" xfId="11060" xr:uid="{00000000-0005-0000-0000-00004C1A0000}"/>
    <cellStyle name="Total 29 2 2 17" xfId="11529" xr:uid="{00000000-0005-0000-0000-00004D1A0000}"/>
    <cellStyle name="Total 29 2 2 18" xfId="12147" xr:uid="{00000000-0005-0000-0000-00004E1A0000}"/>
    <cellStyle name="Total 29 2 2 19" xfId="12600" xr:uid="{00000000-0005-0000-0000-00004F1A0000}"/>
    <cellStyle name="Total 29 2 2 2" xfId="4812" xr:uid="{00000000-0005-0000-0000-0000501A0000}"/>
    <cellStyle name="Total 29 2 2 3" xfId="5250" xr:uid="{00000000-0005-0000-0000-0000511A0000}"/>
    <cellStyle name="Total 29 2 2 4" xfId="5688" xr:uid="{00000000-0005-0000-0000-0000521A0000}"/>
    <cellStyle name="Total 29 2 2 5" xfId="6125" xr:uid="{00000000-0005-0000-0000-0000531A0000}"/>
    <cellStyle name="Total 29 2 2 6" xfId="6562" xr:uid="{00000000-0005-0000-0000-0000541A0000}"/>
    <cellStyle name="Total 29 2 2 7" xfId="6999" xr:uid="{00000000-0005-0000-0000-0000551A0000}"/>
    <cellStyle name="Total 29 2 2 8" xfId="7436" xr:uid="{00000000-0005-0000-0000-0000561A0000}"/>
    <cellStyle name="Total 29 2 2 9" xfId="8284" xr:uid="{00000000-0005-0000-0000-0000571A0000}"/>
    <cellStyle name="Total 29 2 3" xfId="4480" xr:uid="{00000000-0005-0000-0000-0000581A0000}"/>
    <cellStyle name="Total 29 2 3 10" xfId="7931" xr:uid="{00000000-0005-0000-0000-0000591A0000}"/>
    <cellStyle name="Total 29 2 3 11" xfId="9303" xr:uid="{00000000-0005-0000-0000-00005A1A0000}"/>
    <cellStyle name="Total 29 2 3 12" xfId="8825" xr:uid="{00000000-0005-0000-0000-00005B1A0000}"/>
    <cellStyle name="Total 29 2 3 13" xfId="9916" xr:uid="{00000000-0005-0000-0000-00005C1A0000}"/>
    <cellStyle name="Total 29 2 3 14" xfId="10388" xr:uid="{00000000-0005-0000-0000-00005D1A0000}"/>
    <cellStyle name="Total 29 2 3 15" xfId="10573" xr:uid="{00000000-0005-0000-0000-00005E1A0000}"/>
    <cellStyle name="Total 29 2 3 16" xfId="11275" xr:uid="{00000000-0005-0000-0000-00005F1A0000}"/>
    <cellStyle name="Total 29 2 3 17" xfId="11744" xr:uid="{00000000-0005-0000-0000-0000601A0000}"/>
    <cellStyle name="Total 29 2 3 18" xfId="12114" xr:uid="{00000000-0005-0000-0000-0000611A0000}"/>
    <cellStyle name="Total 29 2 3 19" xfId="12815" xr:uid="{00000000-0005-0000-0000-0000621A0000}"/>
    <cellStyle name="Total 29 2 3 2" xfId="5027" xr:uid="{00000000-0005-0000-0000-0000631A0000}"/>
    <cellStyle name="Total 29 2 3 3" xfId="5465" xr:uid="{00000000-0005-0000-0000-0000641A0000}"/>
    <cellStyle name="Total 29 2 3 4" xfId="5903" xr:uid="{00000000-0005-0000-0000-0000651A0000}"/>
    <cellStyle name="Total 29 2 3 5" xfId="6340" xr:uid="{00000000-0005-0000-0000-0000661A0000}"/>
    <cellStyle name="Total 29 2 3 6" xfId="6777" xr:uid="{00000000-0005-0000-0000-0000671A0000}"/>
    <cellStyle name="Total 29 2 3 7" xfId="7214" xr:uid="{00000000-0005-0000-0000-0000681A0000}"/>
    <cellStyle name="Total 29 2 3 8" xfId="7651" xr:uid="{00000000-0005-0000-0000-0000691A0000}"/>
    <cellStyle name="Total 29 2 3 9" xfId="8499" xr:uid="{00000000-0005-0000-0000-00006A1A0000}"/>
    <cellStyle name="Total 29 3" xfId="4265" xr:uid="{00000000-0005-0000-0000-00006B1A0000}"/>
    <cellStyle name="Total 29 3 10" xfId="8144" xr:uid="{00000000-0005-0000-0000-00006C1A0000}"/>
    <cellStyle name="Total 29 3 11" xfId="9087" xr:uid="{00000000-0005-0000-0000-00006D1A0000}"/>
    <cellStyle name="Total 29 3 12" xfId="8964" xr:uid="{00000000-0005-0000-0000-00006E1A0000}"/>
    <cellStyle name="Total 29 3 13" xfId="9700" xr:uid="{00000000-0005-0000-0000-00006F1A0000}"/>
    <cellStyle name="Total 29 3 14" xfId="10172" xr:uid="{00000000-0005-0000-0000-0000701A0000}"/>
    <cellStyle name="Total 29 3 15" xfId="10846" xr:uid="{00000000-0005-0000-0000-0000711A0000}"/>
    <cellStyle name="Total 29 3 16" xfId="11059" xr:uid="{00000000-0005-0000-0000-0000721A0000}"/>
    <cellStyle name="Total 29 3 17" xfId="11528" xr:uid="{00000000-0005-0000-0000-0000731A0000}"/>
    <cellStyle name="Total 29 3 18" xfId="12109" xr:uid="{00000000-0005-0000-0000-0000741A0000}"/>
    <cellStyle name="Total 29 3 19" xfId="12599" xr:uid="{00000000-0005-0000-0000-0000751A0000}"/>
    <cellStyle name="Total 29 3 2" xfId="4811" xr:uid="{00000000-0005-0000-0000-0000761A0000}"/>
    <cellStyle name="Total 29 3 3" xfId="5249" xr:uid="{00000000-0005-0000-0000-0000771A0000}"/>
    <cellStyle name="Total 29 3 4" xfId="5687" xr:uid="{00000000-0005-0000-0000-0000781A0000}"/>
    <cellStyle name="Total 29 3 5" xfId="6124" xr:uid="{00000000-0005-0000-0000-0000791A0000}"/>
    <cellStyle name="Total 29 3 6" xfId="6561" xr:uid="{00000000-0005-0000-0000-00007A1A0000}"/>
    <cellStyle name="Total 29 3 7" xfId="6998" xr:uid="{00000000-0005-0000-0000-00007B1A0000}"/>
    <cellStyle name="Total 29 3 8" xfId="7435" xr:uid="{00000000-0005-0000-0000-00007C1A0000}"/>
    <cellStyle name="Total 29 3 9" xfId="8283" xr:uid="{00000000-0005-0000-0000-00007D1A0000}"/>
    <cellStyle name="Total 29 4" xfId="4479" xr:uid="{00000000-0005-0000-0000-00007E1A0000}"/>
    <cellStyle name="Total 29 4 10" xfId="7811" xr:uid="{00000000-0005-0000-0000-00007F1A0000}"/>
    <cellStyle name="Total 29 4 11" xfId="9302" xr:uid="{00000000-0005-0000-0000-0000801A0000}"/>
    <cellStyle name="Total 29 4 12" xfId="8826" xr:uid="{00000000-0005-0000-0000-0000811A0000}"/>
    <cellStyle name="Total 29 4 13" xfId="9915" xr:uid="{00000000-0005-0000-0000-0000821A0000}"/>
    <cellStyle name="Total 29 4 14" xfId="10387" xr:uid="{00000000-0005-0000-0000-0000831A0000}"/>
    <cellStyle name="Total 29 4 15" xfId="10612" xr:uid="{00000000-0005-0000-0000-0000841A0000}"/>
    <cellStyle name="Total 29 4 16" xfId="11274" xr:uid="{00000000-0005-0000-0000-0000851A0000}"/>
    <cellStyle name="Total 29 4 17" xfId="11743" xr:uid="{00000000-0005-0000-0000-0000861A0000}"/>
    <cellStyle name="Total 29 4 18" xfId="12208" xr:uid="{00000000-0005-0000-0000-0000871A0000}"/>
    <cellStyle name="Total 29 4 19" xfId="12814" xr:uid="{00000000-0005-0000-0000-0000881A0000}"/>
    <cellStyle name="Total 29 4 2" xfId="5026" xr:uid="{00000000-0005-0000-0000-0000891A0000}"/>
    <cellStyle name="Total 29 4 3" xfId="5464" xr:uid="{00000000-0005-0000-0000-00008A1A0000}"/>
    <cellStyle name="Total 29 4 4" xfId="5902" xr:uid="{00000000-0005-0000-0000-00008B1A0000}"/>
    <cellStyle name="Total 29 4 5" xfId="6339" xr:uid="{00000000-0005-0000-0000-00008C1A0000}"/>
    <cellStyle name="Total 29 4 6" xfId="6776" xr:uid="{00000000-0005-0000-0000-00008D1A0000}"/>
    <cellStyle name="Total 29 4 7" xfId="7213" xr:uid="{00000000-0005-0000-0000-00008E1A0000}"/>
    <cellStyle name="Total 29 4 8" xfId="7650" xr:uid="{00000000-0005-0000-0000-00008F1A0000}"/>
    <cellStyle name="Total 29 4 9" xfId="8498" xr:uid="{00000000-0005-0000-0000-0000901A0000}"/>
    <cellStyle name="Total 3" xfId="777" xr:uid="{00000000-0005-0000-0000-0000911A0000}"/>
    <cellStyle name="Total 3 2" xfId="4069" xr:uid="{00000000-0005-0000-0000-0000921A0000}"/>
    <cellStyle name="Total 3 2 2" xfId="4268" xr:uid="{00000000-0005-0000-0000-0000931A0000}"/>
    <cellStyle name="Total 3 2 2 10" xfId="8141" xr:uid="{00000000-0005-0000-0000-0000941A0000}"/>
    <cellStyle name="Total 3 2 2 11" xfId="9090" xr:uid="{00000000-0005-0000-0000-0000951A0000}"/>
    <cellStyle name="Total 3 2 2 12" xfId="8961" xr:uid="{00000000-0005-0000-0000-0000961A0000}"/>
    <cellStyle name="Total 3 2 2 13" xfId="9703" xr:uid="{00000000-0005-0000-0000-0000971A0000}"/>
    <cellStyle name="Total 3 2 2 14" xfId="10175" xr:uid="{00000000-0005-0000-0000-0000981A0000}"/>
    <cellStyle name="Total 3 2 2 15" xfId="10779" xr:uid="{00000000-0005-0000-0000-0000991A0000}"/>
    <cellStyle name="Total 3 2 2 16" xfId="11062" xr:uid="{00000000-0005-0000-0000-00009A1A0000}"/>
    <cellStyle name="Total 3 2 2 17" xfId="11531" xr:uid="{00000000-0005-0000-0000-00009B1A0000}"/>
    <cellStyle name="Total 3 2 2 18" xfId="12058" xr:uid="{00000000-0005-0000-0000-00009C1A0000}"/>
    <cellStyle name="Total 3 2 2 19" xfId="12602" xr:uid="{00000000-0005-0000-0000-00009D1A0000}"/>
    <cellStyle name="Total 3 2 2 2" xfId="4814" xr:uid="{00000000-0005-0000-0000-00009E1A0000}"/>
    <cellStyle name="Total 3 2 2 3" xfId="5252" xr:uid="{00000000-0005-0000-0000-00009F1A0000}"/>
    <cellStyle name="Total 3 2 2 4" xfId="5690" xr:uid="{00000000-0005-0000-0000-0000A01A0000}"/>
    <cellStyle name="Total 3 2 2 5" xfId="6127" xr:uid="{00000000-0005-0000-0000-0000A11A0000}"/>
    <cellStyle name="Total 3 2 2 6" xfId="6564" xr:uid="{00000000-0005-0000-0000-0000A21A0000}"/>
    <cellStyle name="Total 3 2 2 7" xfId="7001" xr:uid="{00000000-0005-0000-0000-0000A31A0000}"/>
    <cellStyle name="Total 3 2 2 8" xfId="7438" xr:uid="{00000000-0005-0000-0000-0000A41A0000}"/>
    <cellStyle name="Total 3 2 2 9" xfId="8286" xr:uid="{00000000-0005-0000-0000-0000A51A0000}"/>
    <cellStyle name="Total 3 2 3" xfId="4482" xr:uid="{00000000-0005-0000-0000-0000A61A0000}"/>
    <cellStyle name="Total 3 2 3 10" xfId="7929" xr:uid="{00000000-0005-0000-0000-0000A71A0000}"/>
    <cellStyle name="Total 3 2 3 11" xfId="9305" xr:uid="{00000000-0005-0000-0000-0000A81A0000}"/>
    <cellStyle name="Total 3 2 3 12" xfId="8823" xr:uid="{00000000-0005-0000-0000-0000A91A0000}"/>
    <cellStyle name="Total 3 2 3 13" xfId="9918" xr:uid="{00000000-0005-0000-0000-0000AA1A0000}"/>
    <cellStyle name="Total 3 2 3 14" xfId="10390" xr:uid="{00000000-0005-0000-0000-0000AB1A0000}"/>
    <cellStyle name="Total 3 2 3 15" xfId="10953" xr:uid="{00000000-0005-0000-0000-0000AC1A0000}"/>
    <cellStyle name="Total 3 2 3 16" xfId="11277" xr:uid="{00000000-0005-0000-0000-0000AD1A0000}"/>
    <cellStyle name="Total 3 2 3 17" xfId="11746" xr:uid="{00000000-0005-0000-0000-0000AE1A0000}"/>
    <cellStyle name="Total 3 2 3 18" xfId="12083" xr:uid="{00000000-0005-0000-0000-0000AF1A0000}"/>
    <cellStyle name="Total 3 2 3 19" xfId="12817" xr:uid="{00000000-0005-0000-0000-0000B01A0000}"/>
    <cellStyle name="Total 3 2 3 2" xfId="5029" xr:uid="{00000000-0005-0000-0000-0000B11A0000}"/>
    <cellStyle name="Total 3 2 3 3" xfId="5467" xr:uid="{00000000-0005-0000-0000-0000B21A0000}"/>
    <cellStyle name="Total 3 2 3 4" xfId="5905" xr:uid="{00000000-0005-0000-0000-0000B31A0000}"/>
    <cellStyle name="Total 3 2 3 5" xfId="6342" xr:uid="{00000000-0005-0000-0000-0000B41A0000}"/>
    <cellStyle name="Total 3 2 3 6" xfId="6779" xr:uid="{00000000-0005-0000-0000-0000B51A0000}"/>
    <cellStyle name="Total 3 2 3 7" xfId="7216" xr:uid="{00000000-0005-0000-0000-0000B61A0000}"/>
    <cellStyle name="Total 3 2 3 8" xfId="7653" xr:uid="{00000000-0005-0000-0000-0000B71A0000}"/>
    <cellStyle name="Total 3 2 3 9" xfId="8501" xr:uid="{00000000-0005-0000-0000-0000B81A0000}"/>
    <cellStyle name="Total 3 3" xfId="4267" xr:uid="{00000000-0005-0000-0000-0000B91A0000}"/>
    <cellStyle name="Total 3 3 10" xfId="8142" xr:uid="{00000000-0005-0000-0000-0000BA1A0000}"/>
    <cellStyle name="Total 3 3 11" xfId="9089" xr:uid="{00000000-0005-0000-0000-0000BB1A0000}"/>
    <cellStyle name="Total 3 3 12" xfId="8962" xr:uid="{00000000-0005-0000-0000-0000BC1A0000}"/>
    <cellStyle name="Total 3 3 13" xfId="9702" xr:uid="{00000000-0005-0000-0000-0000BD1A0000}"/>
    <cellStyle name="Total 3 3 14" xfId="10174" xr:uid="{00000000-0005-0000-0000-0000BE1A0000}"/>
    <cellStyle name="Total 3 3 15" xfId="10818" xr:uid="{00000000-0005-0000-0000-0000BF1A0000}"/>
    <cellStyle name="Total 3 3 16" xfId="11061" xr:uid="{00000000-0005-0000-0000-0000C01A0000}"/>
    <cellStyle name="Total 3 3 17" xfId="11530" xr:uid="{00000000-0005-0000-0000-0000C11A0000}"/>
    <cellStyle name="Total 3 3 18" xfId="12088" xr:uid="{00000000-0005-0000-0000-0000C21A0000}"/>
    <cellStyle name="Total 3 3 19" xfId="12601" xr:uid="{00000000-0005-0000-0000-0000C31A0000}"/>
    <cellStyle name="Total 3 3 2" xfId="4813" xr:uid="{00000000-0005-0000-0000-0000C41A0000}"/>
    <cellStyle name="Total 3 3 3" xfId="5251" xr:uid="{00000000-0005-0000-0000-0000C51A0000}"/>
    <cellStyle name="Total 3 3 4" xfId="5689" xr:uid="{00000000-0005-0000-0000-0000C61A0000}"/>
    <cellStyle name="Total 3 3 5" xfId="6126" xr:uid="{00000000-0005-0000-0000-0000C71A0000}"/>
    <cellStyle name="Total 3 3 6" xfId="6563" xr:uid="{00000000-0005-0000-0000-0000C81A0000}"/>
    <cellStyle name="Total 3 3 7" xfId="7000" xr:uid="{00000000-0005-0000-0000-0000C91A0000}"/>
    <cellStyle name="Total 3 3 8" xfId="7437" xr:uid="{00000000-0005-0000-0000-0000CA1A0000}"/>
    <cellStyle name="Total 3 3 9" xfId="8285" xr:uid="{00000000-0005-0000-0000-0000CB1A0000}"/>
    <cellStyle name="Total 3 4" xfId="4481" xr:uid="{00000000-0005-0000-0000-0000CC1A0000}"/>
    <cellStyle name="Total 3 4 10" xfId="7930" xr:uid="{00000000-0005-0000-0000-0000CD1A0000}"/>
    <cellStyle name="Total 3 4 11" xfId="9304" xr:uid="{00000000-0005-0000-0000-0000CE1A0000}"/>
    <cellStyle name="Total 3 4 12" xfId="8824" xr:uid="{00000000-0005-0000-0000-0000CF1A0000}"/>
    <cellStyle name="Total 3 4 13" xfId="9917" xr:uid="{00000000-0005-0000-0000-0000D01A0000}"/>
    <cellStyle name="Total 3 4 14" xfId="10389" xr:uid="{00000000-0005-0000-0000-0000D11A0000}"/>
    <cellStyle name="Total 3 4 15" xfId="10905" xr:uid="{00000000-0005-0000-0000-0000D21A0000}"/>
    <cellStyle name="Total 3 4 16" xfId="11276" xr:uid="{00000000-0005-0000-0000-0000D31A0000}"/>
    <cellStyle name="Total 3 4 17" xfId="11745" xr:uid="{00000000-0005-0000-0000-0000D41A0000}"/>
    <cellStyle name="Total 3 4 18" xfId="12142" xr:uid="{00000000-0005-0000-0000-0000D51A0000}"/>
    <cellStyle name="Total 3 4 19" xfId="12816" xr:uid="{00000000-0005-0000-0000-0000D61A0000}"/>
    <cellStyle name="Total 3 4 2" xfId="5028" xr:uid="{00000000-0005-0000-0000-0000D71A0000}"/>
    <cellStyle name="Total 3 4 3" xfId="5466" xr:uid="{00000000-0005-0000-0000-0000D81A0000}"/>
    <cellStyle name="Total 3 4 4" xfId="5904" xr:uid="{00000000-0005-0000-0000-0000D91A0000}"/>
    <cellStyle name="Total 3 4 5" xfId="6341" xr:uid="{00000000-0005-0000-0000-0000DA1A0000}"/>
    <cellStyle name="Total 3 4 6" xfId="6778" xr:uid="{00000000-0005-0000-0000-0000DB1A0000}"/>
    <cellStyle name="Total 3 4 7" xfId="7215" xr:uid="{00000000-0005-0000-0000-0000DC1A0000}"/>
    <cellStyle name="Total 3 4 8" xfId="7652" xr:uid="{00000000-0005-0000-0000-0000DD1A0000}"/>
    <cellStyle name="Total 3 4 9" xfId="8500" xr:uid="{00000000-0005-0000-0000-0000DE1A0000}"/>
    <cellStyle name="Total 3 5" xfId="12377" xr:uid="{00000000-0005-0000-0000-0000DF1A0000}"/>
    <cellStyle name="Total 3 6" xfId="12438" xr:uid="{00000000-0005-0000-0000-0000E01A0000}"/>
    <cellStyle name="Total 3 7" xfId="12472" xr:uid="{00000000-0005-0000-0000-0000E11A0000}"/>
    <cellStyle name="Total 30" xfId="4070" xr:uid="{00000000-0005-0000-0000-0000E21A0000}"/>
    <cellStyle name="Total 30 2" xfId="4071" xr:uid="{00000000-0005-0000-0000-0000E31A0000}"/>
    <cellStyle name="Total 30 2 2" xfId="4270" xr:uid="{00000000-0005-0000-0000-0000E41A0000}"/>
    <cellStyle name="Total 30 2 2 10" xfId="8139" xr:uid="{00000000-0005-0000-0000-0000E51A0000}"/>
    <cellStyle name="Total 30 2 2 11" xfId="9092" xr:uid="{00000000-0005-0000-0000-0000E61A0000}"/>
    <cellStyle name="Total 30 2 2 12" xfId="8959" xr:uid="{00000000-0005-0000-0000-0000E71A0000}"/>
    <cellStyle name="Total 30 2 2 13" xfId="9705" xr:uid="{00000000-0005-0000-0000-0000E81A0000}"/>
    <cellStyle name="Total 30 2 2 14" xfId="10177" xr:uid="{00000000-0005-0000-0000-0000E91A0000}"/>
    <cellStyle name="Total 30 2 2 15" xfId="10702" xr:uid="{00000000-0005-0000-0000-0000EA1A0000}"/>
    <cellStyle name="Total 30 2 2 16" xfId="11064" xr:uid="{00000000-0005-0000-0000-0000EB1A0000}"/>
    <cellStyle name="Total 30 2 2 17" xfId="11533" xr:uid="{00000000-0005-0000-0000-0000EC1A0000}"/>
    <cellStyle name="Total 30 2 2 18" xfId="12000" xr:uid="{00000000-0005-0000-0000-0000ED1A0000}"/>
    <cellStyle name="Total 30 2 2 19" xfId="12604" xr:uid="{00000000-0005-0000-0000-0000EE1A0000}"/>
    <cellStyle name="Total 30 2 2 2" xfId="4816" xr:uid="{00000000-0005-0000-0000-0000EF1A0000}"/>
    <cellStyle name="Total 30 2 2 3" xfId="5254" xr:uid="{00000000-0005-0000-0000-0000F01A0000}"/>
    <cellStyle name="Total 30 2 2 4" xfId="5692" xr:uid="{00000000-0005-0000-0000-0000F11A0000}"/>
    <cellStyle name="Total 30 2 2 5" xfId="6129" xr:uid="{00000000-0005-0000-0000-0000F21A0000}"/>
    <cellStyle name="Total 30 2 2 6" xfId="6566" xr:uid="{00000000-0005-0000-0000-0000F31A0000}"/>
    <cellStyle name="Total 30 2 2 7" xfId="7003" xr:uid="{00000000-0005-0000-0000-0000F41A0000}"/>
    <cellStyle name="Total 30 2 2 8" xfId="7440" xr:uid="{00000000-0005-0000-0000-0000F51A0000}"/>
    <cellStyle name="Total 30 2 2 9" xfId="8288" xr:uid="{00000000-0005-0000-0000-0000F61A0000}"/>
    <cellStyle name="Total 30 2 3" xfId="4484" xr:uid="{00000000-0005-0000-0000-0000F71A0000}"/>
    <cellStyle name="Total 30 2 3 10" xfId="7927" xr:uid="{00000000-0005-0000-0000-0000F81A0000}"/>
    <cellStyle name="Total 30 2 3 11" xfId="9307" xr:uid="{00000000-0005-0000-0000-0000F91A0000}"/>
    <cellStyle name="Total 30 2 3 12" xfId="8821" xr:uid="{00000000-0005-0000-0000-0000FA1A0000}"/>
    <cellStyle name="Total 30 2 3 13" xfId="9920" xr:uid="{00000000-0005-0000-0000-0000FB1A0000}"/>
    <cellStyle name="Total 30 2 3 14" xfId="10392" xr:uid="{00000000-0005-0000-0000-0000FC1A0000}"/>
    <cellStyle name="Total 30 2 3 15" xfId="10867" xr:uid="{00000000-0005-0000-0000-0000FD1A0000}"/>
    <cellStyle name="Total 30 2 3 16" xfId="11279" xr:uid="{00000000-0005-0000-0000-0000FE1A0000}"/>
    <cellStyle name="Total 30 2 3 17" xfId="11748" xr:uid="{00000000-0005-0000-0000-0000FF1A0000}"/>
    <cellStyle name="Total 30 2 3 18" xfId="12024" xr:uid="{00000000-0005-0000-0000-0000001B0000}"/>
    <cellStyle name="Total 30 2 3 19" xfId="12819" xr:uid="{00000000-0005-0000-0000-0000011B0000}"/>
    <cellStyle name="Total 30 2 3 2" xfId="5031" xr:uid="{00000000-0005-0000-0000-0000021B0000}"/>
    <cellStyle name="Total 30 2 3 3" xfId="5469" xr:uid="{00000000-0005-0000-0000-0000031B0000}"/>
    <cellStyle name="Total 30 2 3 4" xfId="5907" xr:uid="{00000000-0005-0000-0000-0000041B0000}"/>
    <cellStyle name="Total 30 2 3 5" xfId="6344" xr:uid="{00000000-0005-0000-0000-0000051B0000}"/>
    <cellStyle name="Total 30 2 3 6" xfId="6781" xr:uid="{00000000-0005-0000-0000-0000061B0000}"/>
    <cellStyle name="Total 30 2 3 7" xfId="7218" xr:uid="{00000000-0005-0000-0000-0000071B0000}"/>
    <cellStyle name="Total 30 2 3 8" xfId="7655" xr:uid="{00000000-0005-0000-0000-0000081B0000}"/>
    <cellStyle name="Total 30 2 3 9" xfId="8503" xr:uid="{00000000-0005-0000-0000-0000091B0000}"/>
    <cellStyle name="Total 30 3" xfId="4269" xr:uid="{00000000-0005-0000-0000-00000A1B0000}"/>
    <cellStyle name="Total 30 3 10" xfId="8140" xr:uid="{00000000-0005-0000-0000-00000B1B0000}"/>
    <cellStyle name="Total 30 3 11" xfId="9091" xr:uid="{00000000-0005-0000-0000-00000C1B0000}"/>
    <cellStyle name="Total 30 3 12" xfId="8960" xr:uid="{00000000-0005-0000-0000-00000D1B0000}"/>
    <cellStyle name="Total 30 3 13" xfId="9704" xr:uid="{00000000-0005-0000-0000-00000E1B0000}"/>
    <cellStyle name="Total 30 3 14" xfId="10176" xr:uid="{00000000-0005-0000-0000-00000F1B0000}"/>
    <cellStyle name="Total 30 3 15" xfId="10741" xr:uid="{00000000-0005-0000-0000-0000101B0000}"/>
    <cellStyle name="Total 30 3 16" xfId="11063" xr:uid="{00000000-0005-0000-0000-0000111B0000}"/>
    <cellStyle name="Total 30 3 17" xfId="11532" xr:uid="{00000000-0005-0000-0000-0000121B0000}"/>
    <cellStyle name="Total 30 3 18" xfId="12029" xr:uid="{00000000-0005-0000-0000-0000131B0000}"/>
    <cellStyle name="Total 30 3 19" xfId="12603" xr:uid="{00000000-0005-0000-0000-0000141B0000}"/>
    <cellStyle name="Total 30 3 2" xfId="4815" xr:uid="{00000000-0005-0000-0000-0000151B0000}"/>
    <cellStyle name="Total 30 3 3" xfId="5253" xr:uid="{00000000-0005-0000-0000-0000161B0000}"/>
    <cellStyle name="Total 30 3 4" xfId="5691" xr:uid="{00000000-0005-0000-0000-0000171B0000}"/>
    <cellStyle name="Total 30 3 5" xfId="6128" xr:uid="{00000000-0005-0000-0000-0000181B0000}"/>
    <cellStyle name="Total 30 3 6" xfId="6565" xr:uid="{00000000-0005-0000-0000-0000191B0000}"/>
    <cellStyle name="Total 30 3 7" xfId="7002" xr:uid="{00000000-0005-0000-0000-00001A1B0000}"/>
    <cellStyle name="Total 30 3 8" xfId="7439" xr:uid="{00000000-0005-0000-0000-00001B1B0000}"/>
    <cellStyle name="Total 30 3 9" xfId="8287" xr:uid="{00000000-0005-0000-0000-00001C1B0000}"/>
    <cellStyle name="Total 30 4" xfId="4483" xr:uid="{00000000-0005-0000-0000-00001D1B0000}"/>
    <cellStyle name="Total 30 4 10" xfId="7928" xr:uid="{00000000-0005-0000-0000-00001E1B0000}"/>
    <cellStyle name="Total 30 4 11" xfId="9306" xr:uid="{00000000-0005-0000-0000-00001F1B0000}"/>
    <cellStyle name="Total 30 4 12" xfId="8822" xr:uid="{00000000-0005-0000-0000-0000201B0000}"/>
    <cellStyle name="Total 30 4 13" xfId="9919" xr:uid="{00000000-0005-0000-0000-0000211B0000}"/>
    <cellStyle name="Total 30 4 14" xfId="10391" xr:uid="{00000000-0005-0000-0000-0000221B0000}"/>
    <cellStyle name="Total 30 4 15" xfId="10836" xr:uid="{00000000-0005-0000-0000-0000231B0000}"/>
    <cellStyle name="Total 30 4 16" xfId="11278" xr:uid="{00000000-0005-0000-0000-0000241B0000}"/>
    <cellStyle name="Total 30 4 17" xfId="11747" xr:uid="{00000000-0005-0000-0000-0000251B0000}"/>
    <cellStyle name="Total 30 4 18" xfId="12053" xr:uid="{00000000-0005-0000-0000-0000261B0000}"/>
    <cellStyle name="Total 30 4 19" xfId="12818" xr:uid="{00000000-0005-0000-0000-0000271B0000}"/>
    <cellStyle name="Total 30 4 2" xfId="5030" xr:uid="{00000000-0005-0000-0000-0000281B0000}"/>
    <cellStyle name="Total 30 4 3" xfId="5468" xr:uid="{00000000-0005-0000-0000-0000291B0000}"/>
    <cellStyle name="Total 30 4 4" xfId="5906" xr:uid="{00000000-0005-0000-0000-00002A1B0000}"/>
    <cellStyle name="Total 30 4 5" xfId="6343" xr:uid="{00000000-0005-0000-0000-00002B1B0000}"/>
    <cellStyle name="Total 30 4 6" xfId="6780" xr:uid="{00000000-0005-0000-0000-00002C1B0000}"/>
    <cellStyle name="Total 30 4 7" xfId="7217" xr:uid="{00000000-0005-0000-0000-00002D1B0000}"/>
    <cellStyle name="Total 30 4 8" xfId="7654" xr:uid="{00000000-0005-0000-0000-00002E1B0000}"/>
    <cellStyle name="Total 30 4 9" xfId="8502" xr:uid="{00000000-0005-0000-0000-00002F1B0000}"/>
    <cellStyle name="Total 31" xfId="4072" xr:uid="{00000000-0005-0000-0000-0000301B0000}"/>
    <cellStyle name="Total 31 2" xfId="4073" xr:uid="{00000000-0005-0000-0000-0000311B0000}"/>
    <cellStyle name="Total 31 2 2" xfId="4272" xr:uid="{00000000-0005-0000-0000-0000321B0000}"/>
    <cellStyle name="Total 31 2 2 10" xfId="8137" xr:uid="{00000000-0005-0000-0000-0000331B0000}"/>
    <cellStyle name="Total 31 2 2 11" xfId="9094" xr:uid="{00000000-0005-0000-0000-0000341B0000}"/>
    <cellStyle name="Total 31 2 2 12" xfId="8957" xr:uid="{00000000-0005-0000-0000-0000351B0000}"/>
    <cellStyle name="Total 31 2 2 13" xfId="9707" xr:uid="{00000000-0005-0000-0000-0000361B0000}"/>
    <cellStyle name="Total 31 2 2 14" xfId="10179" xr:uid="{00000000-0005-0000-0000-0000371B0000}"/>
    <cellStyle name="Total 31 2 2 15" xfId="10623" xr:uid="{00000000-0005-0000-0000-0000381B0000}"/>
    <cellStyle name="Total 31 2 2 16" xfId="11066" xr:uid="{00000000-0005-0000-0000-0000391B0000}"/>
    <cellStyle name="Total 31 2 2 17" xfId="11535" xr:uid="{00000000-0005-0000-0000-00003A1B0000}"/>
    <cellStyle name="Total 31 2 2 18" xfId="11943" xr:uid="{00000000-0005-0000-0000-00003B1B0000}"/>
    <cellStyle name="Total 31 2 2 19" xfId="12606" xr:uid="{00000000-0005-0000-0000-00003C1B0000}"/>
    <cellStyle name="Total 31 2 2 2" xfId="4818" xr:uid="{00000000-0005-0000-0000-00003D1B0000}"/>
    <cellStyle name="Total 31 2 2 3" xfId="5256" xr:uid="{00000000-0005-0000-0000-00003E1B0000}"/>
    <cellStyle name="Total 31 2 2 4" xfId="5694" xr:uid="{00000000-0005-0000-0000-00003F1B0000}"/>
    <cellStyle name="Total 31 2 2 5" xfId="6131" xr:uid="{00000000-0005-0000-0000-0000401B0000}"/>
    <cellStyle name="Total 31 2 2 6" xfId="6568" xr:uid="{00000000-0005-0000-0000-0000411B0000}"/>
    <cellStyle name="Total 31 2 2 7" xfId="7005" xr:uid="{00000000-0005-0000-0000-0000421B0000}"/>
    <cellStyle name="Total 31 2 2 8" xfId="7442" xr:uid="{00000000-0005-0000-0000-0000431B0000}"/>
    <cellStyle name="Total 31 2 2 9" xfId="8290" xr:uid="{00000000-0005-0000-0000-0000441B0000}"/>
    <cellStyle name="Total 31 2 3" xfId="4486" xr:uid="{00000000-0005-0000-0000-0000451B0000}"/>
    <cellStyle name="Total 31 2 3 10" xfId="7925" xr:uid="{00000000-0005-0000-0000-0000461B0000}"/>
    <cellStyle name="Total 31 2 3 11" xfId="9309" xr:uid="{00000000-0005-0000-0000-0000471B0000}"/>
    <cellStyle name="Total 31 2 3 12" xfId="8819" xr:uid="{00000000-0005-0000-0000-0000481B0000}"/>
    <cellStyle name="Total 31 2 3 13" xfId="9922" xr:uid="{00000000-0005-0000-0000-0000491B0000}"/>
    <cellStyle name="Total 31 2 3 14" xfId="10394" xr:uid="{00000000-0005-0000-0000-00004A1B0000}"/>
    <cellStyle name="Total 31 2 3 15" xfId="10748" xr:uid="{00000000-0005-0000-0000-00004B1B0000}"/>
    <cellStyle name="Total 31 2 3 16" xfId="11281" xr:uid="{00000000-0005-0000-0000-00004C1B0000}"/>
    <cellStyle name="Total 31 2 3 17" xfId="11750" xr:uid="{00000000-0005-0000-0000-00004D1B0000}"/>
    <cellStyle name="Total 31 2 3 18" xfId="11967" xr:uid="{00000000-0005-0000-0000-00004E1B0000}"/>
    <cellStyle name="Total 31 2 3 19" xfId="12821" xr:uid="{00000000-0005-0000-0000-00004F1B0000}"/>
    <cellStyle name="Total 31 2 3 2" xfId="5033" xr:uid="{00000000-0005-0000-0000-0000501B0000}"/>
    <cellStyle name="Total 31 2 3 3" xfId="5471" xr:uid="{00000000-0005-0000-0000-0000511B0000}"/>
    <cellStyle name="Total 31 2 3 4" xfId="5909" xr:uid="{00000000-0005-0000-0000-0000521B0000}"/>
    <cellStyle name="Total 31 2 3 5" xfId="6346" xr:uid="{00000000-0005-0000-0000-0000531B0000}"/>
    <cellStyle name="Total 31 2 3 6" xfId="6783" xr:uid="{00000000-0005-0000-0000-0000541B0000}"/>
    <cellStyle name="Total 31 2 3 7" xfId="7220" xr:uid="{00000000-0005-0000-0000-0000551B0000}"/>
    <cellStyle name="Total 31 2 3 8" xfId="7657" xr:uid="{00000000-0005-0000-0000-0000561B0000}"/>
    <cellStyle name="Total 31 2 3 9" xfId="8505" xr:uid="{00000000-0005-0000-0000-0000571B0000}"/>
    <cellStyle name="Total 31 3" xfId="4271" xr:uid="{00000000-0005-0000-0000-0000581B0000}"/>
    <cellStyle name="Total 31 3 10" xfId="8138" xr:uid="{00000000-0005-0000-0000-0000591B0000}"/>
    <cellStyle name="Total 31 3 11" xfId="9093" xr:uid="{00000000-0005-0000-0000-00005A1B0000}"/>
    <cellStyle name="Total 31 3 12" xfId="8958" xr:uid="{00000000-0005-0000-0000-00005B1B0000}"/>
    <cellStyle name="Total 31 3 13" xfId="9706" xr:uid="{00000000-0005-0000-0000-00005C1B0000}"/>
    <cellStyle name="Total 31 3 14" xfId="10178" xr:uid="{00000000-0005-0000-0000-00005D1B0000}"/>
    <cellStyle name="Total 31 3 15" xfId="10663" xr:uid="{00000000-0005-0000-0000-00005E1B0000}"/>
    <cellStyle name="Total 31 3 16" xfId="11065" xr:uid="{00000000-0005-0000-0000-00005F1B0000}"/>
    <cellStyle name="Total 31 3 17" xfId="11534" xr:uid="{00000000-0005-0000-0000-0000601B0000}"/>
    <cellStyle name="Total 31 3 18" xfId="11972" xr:uid="{00000000-0005-0000-0000-0000611B0000}"/>
    <cellStyle name="Total 31 3 19" xfId="12605" xr:uid="{00000000-0005-0000-0000-0000621B0000}"/>
    <cellStyle name="Total 31 3 2" xfId="4817" xr:uid="{00000000-0005-0000-0000-0000631B0000}"/>
    <cellStyle name="Total 31 3 3" xfId="5255" xr:uid="{00000000-0005-0000-0000-0000641B0000}"/>
    <cellStyle name="Total 31 3 4" xfId="5693" xr:uid="{00000000-0005-0000-0000-0000651B0000}"/>
    <cellStyle name="Total 31 3 5" xfId="6130" xr:uid="{00000000-0005-0000-0000-0000661B0000}"/>
    <cellStyle name="Total 31 3 6" xfId="6567" xr:uid="{00000000-0005-0000-0000-0000671B0000}"/>
    <cellStyle name="Total 31 3 7" xfId="7004" xr:uid="{00000000-0005-0000-0000-0000681B0000}"/>
    <cellStyle name="Total 31 3 8" xfId="7441" xr:uid="{00000000-0005-0000-0000-0000691B0000}"/>
    <cellStyle name="Total 31 3 9" xfId="8289" xr:uid="{00000000-0005-0000-0000-00006A1B0000}"/>
    <cellStyle name="Total 31 4" xfId="4485" xr:uid="{00000000-0005-0000-0000-00006B1B0000}"/>
    <cellStyle name="Total 31 4 10" xfId="7926" xr:uid="{00000000-0005-0000-0000-00006C1B0000}"/>
    <cellStyle name="Total 31 4 11" xfId="9308" xr:uid="{00000000-0005-0000-0000-00006D1B0000}"/>
    <cellStyle name="Total 31 4 12" xfId="8820" xr:uid="{00000000-0005-0000-0000-00006E1B0000}"/>
    <cellStyle name="Total 31 4 13" xfId="9921" xr:uid="{00000000-0005-0000-0000-00006F1B0000}"/>
    <cellStyle name="Total 31 4 14" xfId="10393" xr:uid="{00000000-0005-0000-0000-0000701B0000}"/>
    <cellStyle name="Total 31 4 15" xfId="10786" xr:uid="{00000000-0005-0000-0000-0000711B0000}"/>
    <cellStyle name="Total 31 4 16" xfId="11280" xr:uid="{00000000-0005-0000-0000-0000721B0000}"/>
    <cellStyle name="Total 31 4 17" xfId="11749" xr:uid="{00000000-0005-0000-0000-0000731B0000}"/>
    <cellStyle name="Total 31 4 18" xfId="11995" xr:uid="{00000000-0005-0000-0000-0000741B0000}"/>
    <cellStyle name="Total 31 4 19" xfId="12820" xr:uid="{00000000-0005-0000-0000-0000751B0000}"/>
    <cellStyle name="Total 31 4 2" xfId="5032" xr:uid="{00000000-0005-0000-0000-0000761B0000}"/>
    <cellStyle name="Total 31 4 3" xfId="5470" xr:uid="{00000000-0005-0000-0000-0000771B0000}"/>
    <cellStyle name="Total 31 4 4" xfId="5908" xr:uid="{00000000-0005-0000-0000-0000781B0000}"/>
    <cellStyle name="Total 31 4 5" xfId="6345" xr:uid="{00000000-0005-0000-0000-0000791B0000}"/>
    <cellStyle name="Total 31 4 6" xfId="6782" xr:uid="{00000000-0005-0000-0000-00007A1B0000}"/>
    <cellStyle name="Total 31 4 7" xfId="7219" xr:uid="{00000000-0005-0000-0000-00007B1B0000}"/>
    <cellStyle name="Total 31 4 8" xfId="7656" xr:uid="{00000000-0005-0000-0000-00007C1B0000}"/>
    <cellStyle name="Total 31 4 9" xfId="8504" xr:uid="{00000000-0005-0000-0000-00007D1B0000}"/>
    <cellStyle name="Total 32" xfId="4074" xr:uid="{00000000-0005-0000-0000-00007E1B0000}"/>
    <cellStyle name="Total 32 2" xfId="4075" xr:uid="{00000000-0005-0000-0000-00007F1B0000}"/>
    <cellStyle name="Total 32 2 2" xfId="4274" xr:uid="{00000000-0005-0000-0000-0000801B0000}"/>
    <cellStyle name="Total 32 2 2 10" xfId="8135" xr:uid="{00000000-0005-0000-0000-0000811B0000}"/>
    <cellStyle name="Total 32 2 2 11" xfId="9096" xr:uid="{00000000-0005-0000-0000-0000821B0000}"/>
    <cellStyle name="Total 32 2 2 12" xfId="8955" xr:uid="{00000000-0005-0000-0000-0000831B0000}"/>
    <cellStyle name="Total 32 2 2 13" xfId="9709" xr:uid="{00000000-0005-0000-0000-0000841B0000}"/>
    <cellStyle name="Total 32 2 2 14" xfId="10181" xr:uid="{00000000-0005-0000-0000-0000851B0000}"/>
    <cellStyle name="Total 32 2 2 15" xfId="10971" xr:uid="{00000000-0005-0000-0000-0000861B0000}"/>
    <cellStyle name="Total 32 2 2 16" xfId="11068" xr:uid="{00000000-0005-0000-0000-0000871B0000}"/>
    <cellStyle name="Total 32 2 2 17" xfId="11537" xr:uid="{00000000-0005-0000-0000-0000881B0000}"/>
    <cellStyle name="Total 32 2 2 18" xfId="12321" xr:uid="{00000000-0005-0000-0000-0000891B0000}"/>
    <cellStyle name="Total 32 2 2 19" xfId="12608" xr:uid="{00000000-0005-0000-0000-00008A1B0000}"/>
    <cellStyle name="Total 32 2 2 2" xfId="4820" xr:uid="{00000000-0005-0000-0000-00008B1B0000}"/>
    <cellStyle name="Total 32 2 2 3" xfId="5258" xr:uid="{00000000-0005-0000-0000-00008C1B0000}"/>
    <cellStyle name="Total 32 2 2 4" xfId="5696" xr:uid="{00000000-0005-0000-0000-00008D1B0000}"/>
    <cellStyle name="Total 32 2 2 5" xfId="6133" xr:uid="{00000000-0005-0000-0000-00008E1B0000}"/>
    <cellStyle name="Total 32 2 2 6" xfId="6570" xr:uid="{00000000-0005-0000-0000-00008F1B0000}"/>
    <cellStyle name="Total 32 2 2 7" xfId="7007" xr:uid="{00000000-0005-0000-0000-0000901B0000}"/>
    <cellStyle name="Total 32 2 2 8" xfId="7444" xr:uid="{00000000-0005-0000-0000-0000911B0000}"/>
    <cellStyle name="Total 32 2 2 9" xfId="8292" xr:uid="{00000000-0005-0000-0000-0000921B0000}"/>
    <cellStyle name="Total 32 2 3" xfId="4488" xr:uid="{00000000-0005-0000-0000-0000931B0000}"/>
    <cellStyle name="Total 32 2 3 10" xfId="7923" xr:uid="{00000000-0005-0000-0000-0000941B0000}"/>
    <cellStyle name="Total 32 2 3 11" xfId="9311" xr:uid="{00000000-0005-0000-0000-0000951B0000}"/>
    <cellStyle name="Total 32 2 3 12" xfId="8817" xr:uid="{00000000-0005-0000-0000-0000961B0000}"/>
    <cellStyle name="Total 32 2 3 13" xfId="9924" xr:uid="{00000000-0005-0000-0000-0000971B0000}"/>
    <cellStyle name="Total 32 2 3 14" xfId="10396" xr:uid="{00000000-0005-0000-0000-0000981B0000}"/>
    <cellStyle name="Total 32 2 3 15" xfId="10671" xr:uid="{00000000-0005-0000-0000-0000991B0000}"/>
    <cellStyle name="Total 32 2 3 16" xfId="11283" xr:uid="{00000000-0005-0000-0000-00009A1B0000}"/>
    <cellStyle name="Total 32 2 3 17" xfId="11752" xr:uid="{00000000-0005-0000-0000-00009B1B0000}"/>
    <cellStyle name="Total 32 2 3 18" xfId="11909" xr:uid="{00000000-0005-0000-0000-00009C1B0000}"/>
    <cellStyle name="Total 32 2 3 19" xfId="12823" xr:uid="{00000000-0005-0000-0000-00009D1B0000}"/>
    <cellStyle name="Total 32 2 3 2" xfId="5035" xr:uid="{00000000-0005-0000-0000-00009E1B0000}"/>
    <cellStyle name="Total 32 2 3 3" xfId="5473" xr:uid="{00000000-0005-0000-0000-00009F1B0000}"/>
    <cellStyle name="Total 32 2 3 4" xfId="5911" xr:uid="{00000000-0005-0000-0000-0000A01B0000}"/>
    <cellStyle name="Total 32 2 3 5" xfId="6348" xr:uid="{00000000-0005-0000-0000-0000A11B0000}"/>
    <cellStyle name="Total 32 2 3 6" xfId="6785" xr:uid="{00000000-0005-0000-0000-0000A21B0000}"/>
    <cellStyle name="Total 32 2 3 7" xfId="7222" xr:uid="{00000000-0005-0000-0000-0000A31B0000}"/>
    <cellStyle name="Total 32 2 3 8" xfId="7659" xr:uid="{00000000-0005-0000-0000-0000A41B0000}"/>
    <cellStyle name="Total 32 2 3 9" xfId="8507" xr:uid="{00000000-0005-0000-0000-0000A51B0000}"/>
    <cellStyle name="Total 32 3" xfId="4273" xr:uid="{00000000-0005-0000-0000-0000A61B0000}"/>
    <cellStyle name="Total 32 3 10" xfId="8136" xr:uid="{00000000-0005-0000-0000-0000A71B0000}"/>
    <cellStyle name="Total 32 3 11" xfId="9095" xr:uid="{00000000-0005-0000-0000-0000A81B0000}"/>
    <cellStyle name="Total 32 3 12" xfId="8956" xr:uid="{00000000-0005-0000-0000-0000A91B0000}"/>
    <cellStyle name="Total 32 3 13" xfId="9708" xr:uid="{00000000-0005-0000-0000-0000AA1B0000}"/>
    <cellStyle name="Total 32 3 14" xfId="10180" xr:uid="{00000000-0005-0000-0000-0000AB1B0000}"/>
    <cellStyle name="Total 32 3 15" xfId="10584" xr:uid="{00000000-0005-0000-0000-0000AC1B0000}"/>
    <cellStyle name="Total 32 3 16" xfId="11067" xr:uid="{00000000-0005-0000-0000-0000AD1B0000}"/>
    <cellStyle name="Total 32 3 17" xfId="11536" xr:uid="{00000000-0005-0000-0000-0000AE1B0000}"/>
    <cellStyle name="Total 32 3 18" xfId="11914" xr:uid="{00000000-0005-0000-0000-0000AF1B0000}"/>
    <cellStyle name="Total 32 3 19" xfId="12607" xr:uid="{00000000-0005-0000-0000-0000B01B0000}"/>
    <cellStyle name="Total 32 3 2" xfId="4819" xr:uid="{00000000-0005-0000-0000-0000B11B0000}"/>
    <cellStyle name="Total 32 3 3" xfId="5257" xr:uid="{00000000-0005-0000-0000-0000B21B0000}"/>
    <cellStyle name="Total 32 3 4" xfId="5695" xr:uid="{00000000-0005-0000-0000-0000B31B0000}"/>
    <cellStyle name="Total 32 3 5" xfId="6132" xr:uid="{00000000-0005-0000-0000-0000B41B0000}"/>
    <cellStyle name="Total 32 3 6" xfId="6569" xr:uid="{00000000-0005-0000-0000-0000B51B0000}"/>
    <cellStyle name="Total 32 3 7" xfId="7006" xr:uid="{00000000-0005-0000-0000-0000B61B0000}"/>
    <cellStyle name="Total 32 3 8" xfId="7443" xr:uid="{00000000-0005-0000-0000-0000B71B0000}"/>
    <cellStyle name="Total 32 3 9" xfId="8291" xr:uid="{00000000-0005-0000-0000-0000B81B0000}"/>
    <cellStyle name="Total 32 4" xfId="4487" xr:uid="{00000000-0005-0000-0000-0000B91B0000}"/>
    <cellStyle name="Total 32 4 10" xfId="7924" xr:uid="{00000000-0005-0000-0000-0000BA1B0000}"/>
    <cellStyle name="Total 32 4 11" xfId="9310" xr:uid="{00000000-0005-0000-0000-0000BB1B0000}"/>
    <cellStyle name="Total 32 4 12" xfId="8818" xr:uid="{00000000-0005-0000-0000-0000BC1B0000}"/>
    <cellStyle name="Total 32 4 13" xfId="9923" xr:uid="{00000000-0005-0000-0000-0000BD1B0000}"/>
    <cellStyle name="Total 32 4 14" xfId="10395" xr:uid="{00000000-0005-0000-0000-0000BE1B0000}"/>
    <cellStyle name="Total 32 4 15" xfId="10710" xr:uid="{00000000-0005-0000-0000-0000BF1B0000}"/>
    <cellStyle name="Total 32 4 16" xfId="11282" xr:uid="{00000000-0005-0000-0000-0000C01B0000}"/>
    <cellStyle name="Total 32 4 17" xfId="11751" xr:uid="{00000000-0005-0000-0000-0000C11B0000}"/>
    <cellStyle name="Total 32 4 18" xfId="11938" xr:uid="{00000000-0005-0000-0000-0000C21B0000}"/>
    <cellStyle name="Total 32 4 19" xfId="12822" xr:uid="{00000000-0005-0000-0000-0000C31B0000}"/>
    <cellStyle name="Total 32 4 2" xfId="5034" xr:uid="{00000000-0005-0000-0000-0000C41B0000}"/>
    <cellStyle name="Total 32 4 3" xfId="5472" xr:uid="{00000000-0005-0000-0000-0000C51B0000}"/>
    <cellStyle name="Total 32 4 4" xfId="5910" xr:uid="{00000000-0005-0000-0000-0000C61B0000}"/>
    <cellStyle name="Total 32 4 5" xfId="6347" xr:uid="{00000000-0005-0000-0000-0000C71B0000}"/>
    <cellStyle name="Total 32 4 6" xfId="6784" xr:uid="{00000000-0005-0000-0000-0000C81B0000}"/>
    <cellStyle name="Total 32 4 7" xfId="7221" xr:uid="{00000000-0005-0000-0000-0000C91B0000}"/>
    <cellStyle name="Total 32 4 8" xfId="7658" xr:uid="{00000000-0005-0000-0000-0000CA1B0000}"/>
    <cellStyle name="Total 32 4 9" xfId="8506" xr:uid="{00000000-0005-0000-0000-0000CB1B0000}"/>
    <cellStyle name="Total 33" xfId="4076" xr:uid="{00000000-0005-0000-0000-0000CC1B0000}"/>
    <cellStyle name="Total 33 2" xfId="4077" xr:uid="{00000000-0005-0000-0000-0000CD1B0000}"/>
    <cellStyle name="Total 33 2 2" xfId="4276" xr:uid="{00000000-0005-0000-0000-0000CE1B0000}"/>
    <cellStyle name="Total 33 2 2 10" xfId="8133" xr:uid="{00000000-0005-0000-0000-0000CF1B0000}"/>
    <cellStyle name="Total 33 2 2 11" xfId="9098" xr:uid="{00000000-0005-0000-0000-0000D01B0000}"/>
    <cellStyle name="Total 33 2 2 12" xfId="8953" xr:uid="{00000000-0005-0000-0000-0000D11B0000}"/>
    <cellStyle name="Total 33 2 2 13" xfId="9711" xr:uid="{00000000-0005-0000-0000-0000D21B0000}"/>
    <cellStyle name="Total 33 2 2 14" xfId="10183" xr:uid="{00000000-0005-0000-0000-0000D31B0000}"/>
    <cellStyle name="Total 33 2 2 15" xfId="10825" xr:uid="{00000000-0005-0000-0000-0000D41B0000}"/>
    <cellStyle name="Total 33 2 2 16" xfId="11070" xr:uid="{00000000-0005-0000-0000-0000D51B0000}"/>
    <cellStyle name="Total 33 2 2 17" xfId="11539" xr:uid="{00000000-0005-0000-0000-0000D61B0000}"/>
    <cellStyle name="Total 33 2 2 18" xfId="12265" xr:uid="{00000000-0005-0000-0000-0000D71B0000}"/>
    <cellStyle name="Total 33 2 2 19" xfId="12610" xr:uid="{00000000-0005-0000-0000-0000D81B0000}"/>
    <cellStyle name="Total 33 2 2 2" xfId="4822" xr:uid="{00000000-0005-0000-0000-0000D91B0000}"/>
    <cellStyle name="Total 33 2 2 3" xfId="5260" xr:uid="{00000000-0005-0000-0000-0000DA1B0000}"/>
    <cellStyle name="Total 33 2 2 4" xfId="5698" xr:uid="{00000000-0005-0000-0000-0000DB1B0000}"/>
    <cellStyle name="Total 33 2 2 5" xfId="6135" xr:uid="{00000000-0005-0000-0000-0000DC1B0000}"/>
    <cellStyle name="Total 33 2 2 6" xfId="6572" xr:uid="{00000000-0005-0000-0000-0000DD1B0000}"/>
    <cellStyle name="Total 33 2 2 7" xfId="7009" xr:uid="{00000000-0005-0000-0000-0000DE1B0000}"/>
    <cellStyle name="Total 33 2 2 8" xfId="7446" xr:uid="{00000000-0005-0000-0000-0000DF1B0000}"/>
    <cellStyle name="Total 33 2 2 9" xfId="8294" xr:uid="{00000000-0005-0000-0000-0000E01B0000}"/>
    <cellStyle name="Total 33 2 3" xfId="4490" xr:uid="{00000000-0005-0000-0000-0000E11B0000}"/>
    <cellStyle name="Total 33 2 3 10" xfId="7921" xr:uid="{00000000-0005-0000-0000-0000E21B0000}"/>
    <cellStyle name="Total 33 2 3 11" xfId="9313" xr:uid="{00000000-0005-0000-0000-0000E31B0000}"/>
    <cellStyle name="Total 33 2 3 12" xfId="9606" xr:uid="{00000000-0005-0000-0000-0000E41B0000}"/>
    <cellStyle name="Total 33 2 3 13" xfId="9926" xr:uid="{00000000-0005-0000-0000-0000E51B0000}"/>
    <cellStyle name="Total 33 2 3 14" xfId="10398" xr:uid="{00000000-0005-0000-0000-0000E61B0000}"/>
    <cellStyle name="Total 33 2 3 15" xfId="10593" xr:uid="{00000000-0005-0000-0000-0000E71B0000}"/>
    <cellStyle name="Total 33 2 3 16" xfId="11285" xr:uid="{00000000-0005-0000-0000-0000E81B0000}"/>
    <cellStyle name="Total 33 2 3 17" xfId="11754" xr:uid="{00000000-0005-0000-0000-0000E91B0000}"/>
    <cellStyle name="Total 33 2 3 18" xfId="12290" xr:uid="{00000000-0005-0000-0000-0000EA1B0000}"/>
    <cellStyle name="Total 33 2 3 19" xfId="12825" xr:uid="{00000000-0005-0000-0000-0000EB1B0000}"/>
    <cellStyle name="Total 33 2 3 2" xfId="5037" xr:uid="{00000000-0005-0000-0000-0000EC1B0000}"/>
    <cellStyle name="Total 33 2 3 3" xfId="5475" xr:uid="{00000000-0005-0000-0000-0000ED1B0000}"/>
    <cellStyle name="Total 33 2 3 4" xfId="5913" xr:uid="{00000000-0005-0000-0000-0000EE1B0000}"/>
    <cellStyle name="Total 33 2 3 5" xfId="6350" xr:uid="{00000000-0005-0000-0000-0000EF1B0000}"/>
    <cellStyle name="Total 33 2 3 6" xfId="6787" xr:uid="{00000000-0005-0000-0000-0000F01B0000}"/>
    <cellStyle name="Total 33 2 3 7" xfId="7224" xr:uid="{00000000-0005-0000-0000-0000F11B0000}"/>
    <cellStyle name="Total 33 2 3 8" xfId="7661" xr:uid="{00000000-0005-0000-0000-0000F21B0000}"/>
    <cellStyle name="Total 33 2 3 9" xfId="8509" xr:uid="{00000000-0005-0000-0000-0000F31B0000}"/>
    <cellStyle name="Total 33 3" xfId="4275" xr:uid="{00000000-0005-0000-0000-0000F41B0000}"/>
    <cellStyle name="Total 33 3 10" xfId="8134" xr:uid="{00000000-0005-0000-0000-0000F51B0000}"/>
    <cellStyle name="Total 33 3 11" xfId="9097" xr:uid="{00000000-0005-0000-0000-0000F61B0000}"/>
    <cellStyle name="Total 33 3 12" xfId="8954" xr:uid="{00000000-0005-0000-0000-0000F71B0000}"/>
    <cellStyle name="Total 33 3 13" xfId="9710" xr:uid="{00000000-0005-0000-0000-0000F81B0000}"/>
    <cellStyle name="Total 33 3 14" xfId="10182" xr:uid="{00000000-0005-0000-0000-0000F91B0000}"/>
    <cellStyle name="Total 33 3 15" xfId="10964" xr:uid="{00000000-0005-0000-0000-0000FA1B0000}"/>
    <cellStyle name="Total 33 3 16" xfId="11069" xr:uid="{00000000-0005-0000-0000-0000FB1B0000}"/>
    <cellStyle name="Total 33 3 17" xfId="11538" xr:uid="{00000000-0005-0000-0000-0000FC1B0000}"/>
    <cellStyle name="Total 33 3 18" xfId="12300" xr:uid="{00000000-0005-0000-0000-0000FD1B0000}"/>
    <cellStyle name="Total 33 3 19" xfId="12609" xr:uid="{00000000-0005-0000-0000-0000FE1B0000}"/>
    <cellStyle name="Total 33 3 2" xfId="4821" xr:uid="{00000000-0005-0000-0000-0000FF1B0000}"/>
    <cellStyle name="Total 33 3 3" xfId="5259" xr:uid="{00000000-0005-0000-0000-0000001C0000}"/>
    <cellStyle name="Total 33 3 4" xfId="5697" xr:uid="{00000000-0005-0000-0000-0000011C0000}"/>
    <cellStyle name="Total 33 3 5" xfId="6134" xr:uid="{00000000-0005-0000-0000-0000021C0000}"/>
    <cellStyle name="Total 33 3 6" xfId="6571" xr:uid="{00000000-0005-0000-0000-0000031C0000}"/>
    <cellStyle name="Total 33 3 7" xfId="7008" xr:uid="{00000000-0005-0000-0000-0000041C0000}"/>
    <cellStyle name="Total 33 3 8" xfId="7445" xr:uid="{00000000-0005-0000-0000-0000051C0000}"/>
    <cellStyle name="Total 33 3 9" xfId="8293" xr:uid="{00000000-0005-0000-0000-0000061C0000}"/>
    <cellStyle name="Total 33 4" xfId="4489" xr:uid="{00000000-0005-0000-0000-0000071C0000}"/>
    <cellStyle name="Total 33 4 10" xfId="7922" xr:uid="{00000000-0005-0000-0000-0000081C0000}"/>
    <cellStyle name="Total 33 4 11" xfId="9312" xr:uid="{00000000-0005-0000-0000-0000091C0000}"/>
    <cellStyle name="Total 33 4 12" xfId="8816" xr:uid="{00000000-0005-0000-0000-00000A1C0000}"/>
    <cellStyle name="Total 33 4 13" xfId="9925" xr:uid="{00000000-0005-0000-0000-00000B1C0000}"/>
    <cellStyle name="Total 33 4 14" xfId="10397" xr:uid="{00000000-0005-0000-0000-00000C1C0000}"/>
    <cellStyle name="Total 33 4 15" xfId="10632" xr:uid="{00000000-0005-0000-0000-00000D1C0000}"/>
    <cellStyle name="Total 33 4 16" xfId="11284" xr:uid="{00000000-0005-0000-0000-00000E1C0000}"/>
    <cellStyle name="Total 33 4 17" xfId="11753" xr:uid="{00000000-0005-0000-0000-00000F1C0000}"/>
    <cellStyle name="Total 33 4 18" xfId="12316" xr:uid="{00000000-0005-0000-0000-0000101C0000}"/>
    <cellStyle name="Total 33 4 19" xfId="12824" xr:uid="{00000000-0005-0000-0000-0000111C0000}"/>
    <cellStyle name="Total 33 4 2" xfId="5036" xr:uid="{00000000-0005-0000-0000-0000121C0000}"/>
    <cellStyle name="Total 33 4 3" xfId="5474" xr:uid="{00000000-0005-0000-0000-0000131C0000}"/>
    <cellStyle name="Total 33 4 4" xfId="5912" xr:uid="{00000000-0005-0000-0000-0000141C0000}"/>
    <cellStyle name="Total 33 4 5" xfId="6349" xr:uid="{00000000-0005-0000-0000-0000151C0000}"/>
    <cellStyle name="Total 33 4 6" xfId="6786" xr:uid="{00000000-0005-0000-0000-0000161C0000}"/>
    <cellStyle name="Total 33 4 7" xfId="7223" xr:uid="{00000000-0005-0000-0000-0000171C0000}"/>
    <cellStyle name="Total 33 4 8" xfId="7660" xr:uid="{00000000-0005-0000-0000-0000181C0000}"/>
    <cellStyle name="Total 33 4 9" xfId="8508" xr:uid="{00000000-0005-0000-0000-0000191C0000}"/>
    <cellStyle name="Total 34" xfId="4078" xr:uid="{00000000-0005-0000-0000-00001A1C0000}"/>
    <cellStyle name="Total 34 2" xfId="4079" xr:uid="{00000000-0005-0000-0000-00001B1C0000}"/>
    <cellStyle name="Total 34 2 2" xfId="4278" xr:uid="{00000000-0005-0000-0000-00001C1C0000}"/>
    <cellStyle name="Total 34 2 2 10" xfId="7814" xr:uid="{00000000-0005-0000-0000-00001D1C0000}"/>
    <cellStyle name="Total 34 2 2 11" xfId="9100" xr:uid="{00000000-0005-0000-0000-00001E1C0000}"/>
    <cellStyle name="Total 34 2 2 12" xfId="8951" xr:uid="{00000000-0005-0000-0000-00001F1C0000}"/>
    <cellStyle name="Total 34 2 2 13" xfId="9713" xr:uid="{00000000-0005-0000-0000-0000201C0000}"/>
    <cellStyle name="Total 34 2 2 14" xfId="10185" xr:uid="{00000000-0005-0000-0000-0000211C0000}"/>
    <cellStyle name="Total 34 2 2 15" xfId="10797" xr:uid="{00000000-0005-0000-0000-0000221C0000}"/>
    <cellStyle name="Total 34 2 2 16" xfId="11072" xr:uid="{00000000-0005-0000-0000-0000231C0000}"/>
    <cellStyle name="Total 34 2 2 17" xfId="11541" xr:uid="{00000000-0005-0000-0000-0000241C0000}"/>
    <cellStyle name="Total 34 2 2 18" xfId="12177" xr:uid="{00000000-0005-0000-0000-0000251C0000}"/>
    <cellStyle name="Total 34 2 2 19" xfId="12612" xr:uid="{00000000-0005-0000-0000-0000261C0000}"/>
    <cellStyle name="Total 34 2 2 2" xfId="4824" xr:uid="{00000000-0005-0000-0000-0000271C0000}"/>
    <cellStyle name="Total 34 2 2 3" xfId="5262" xr:uid="{00000000-0005-0000-0000-0000281C0000}"/>
    <cellStyle name="Total 34 2 2 4" xfId="5700" xr:uid="{00000000-0005-0000-0000-0000291C0000}"/>
    <cellStyle name="Total 34 2 2 5" xfId="6137" xr:uid="{00000000-0005-0000-0000-00002A1C0000}"/>
    <cellStyle name="Total 34 2 2 6" xfId="6574" xr:uid="{00000000-0005-0000-0000-00002B1C0000}"/>
    <cellStyle name="Total 34 2 2 7" xfId="7011" xr:uid="{00000000-0005-0000-0000-00002C1C0000}"/>
    <cellStyle name="Total 34 2 2 8" xfId="7448" xr:uid="{00000000-0005-0000-0000-00002D1C0000}"/>
    <cellStyle name="Total 34 2 2 9" xfId="8296" xr:uid="{00000000-0005-0000-0000-00002E1C0000}"/>
    <cellStyle name="Total 34 2 3" xfId="4492" xr:uid="{00000000-0005-0000-0000-00002F1C0000}"/>
    <cellStyle name="Total 34 2 3 10" xfId="7919" xr:uid="{00000000-0005-0000-0000-0000301C0000}"/>
    <cellStyle name="Total 34 2 3 11" xfId="9315" xr:uid="{00000000-0005-0000-0000-0000311C0000}"/>
    <cellStyle name="Total 34 2 3 12" xfId="9540" xr:uid="{00000000-0005-0000-0000-0000321C0000}"/>
    <cellStyle name="Total 34 2 3 13" xfId="9928" xr:uid="{00000000-0005-0000-0000-0000331C0000}"/>
    <cellStyle name="Total 34 2 3 14" xfId="10400" xr:uid="{00000000-0005-0000-0000-0000341C0000}"/>
    <cellStyle name="Total 34 2 3 15" xfId="10922" xr:uid="{00000000-0005-0000-0000-0000351C0000}"/>
    <cellStyle name="Total 34 2 3 16" xfId="11287" xr:uid="{00000000-0005-0000-0000-0000361C0000}"/>
    <cellStyle name="Total 34 2 3 17" xfId="11756" xr:uid="{00000000-0005-0000-0000-0000371C0000}"/>
    <cellStyle name="Total 34 2 3 18" xfId="12230" xr:uid="{00000000-0005-0000-0000-0000381C0000}"/>
    <cellStyle name="Total 34 2 3 19" xfId="12827" xr:uid="{00000000-0005-0000-0000-0000391C0000}"/>
    <cellStyle name="Total 34 2 3 2" xfId="5039" xr:uid="{00000000-0005-0000-0000-00003A1C0000}"/>
    <cellStyle name="Total 34 2 3 3" xfId="5477" xr:uid="{00000000-0005-0000-0000-00003B1C0000}"/>
    <cellStyle name="Total 34 2 3 4" xfId="5915" xr:uid="{00000000-0005-0000-0000-00003C1C0000}"/>
    <cellStyle name="Total 34 2 3 5" xfId="6352" xr:uid="{00000000-0005-0000-0000-00003D1C0000}"/>
    <cellStyle name="Total 34 2 3 6" xfId="6789" xr:uid="{00000000-0005-0000-0000-00003E1C0000}"/>
    <cellStyle name="Total 34 2 3 7" xfId="7226" xr:uid="{00000000-0005-0000-0000-00003F1C0000}"/>
    <cellStyle name="Total 34 2 3 8" xfId="7663" xr:uid="{00000000-0005-0000-0000-0000401C0000}"/>
    <cellStyle name="Total 34 2 3 9" xfId="8511" xr:uid="{00000000-0005-0000-0000-0000411C0000}"/>
    <cellStyle name="Total 34 3" xfId="4277" xr:uid="{00000000-0005-0000-0000-0000421C0000}"/>
    <cellStyle name="Total 34 3 10" xfId="8132" xr:uid="{00000000-0005-0000-0000-0000431C0000}"/>
    <cellStyle name="Total 34 3 11" xfId="9099" xr:uid="{00000000-0005-0000-0000-0000441C0000}"/>
    <cellStyle name="Total 34 3 12" xfId="8952" xr:uid="{00000000-0005-0000-0000-0000451C0000}"/>
    <cellStyle name="Total 34 3 13" xfId="9712" xr:uid="{00000000-0005-0000-0000-0000461C0000}"/>
    <cellStyle name="Total 34 3 14" xfId="10184" xr:uid="{00000000-0005-0000-0000-0000471C0000}"/>
    <cellStyle name="Total 34 3 15" xfId="10878" xr:uid="{00000000-0005-0000-0000-0000481C0000}"/>
    <cellStyle name="Total 34 3 16" xfId="11071" xr:uid="{00000000-0005-0000-0000-0000491C0000}"/>
    <cellStyle name="Total 34 3 17" xfId="11540" xr:uid="{00000000-0005-0000-0000-00004A1C0000}"/>
    <cellStyle name="Total 34 3 18" xfId="12235" xr:uid="{00000000-0005-0000-0000-00004B1C0000}"/>
    <cellStyle name="Total 34 3 19" xfId="12611" xr:uid="{00000000-0005-0000-0000-00004C1C0000}"/>
    <cellStyle name="Total 34 3 2" xfId="4823" xr:uid="{00000000-0005-0000-0000-00004D1C0000}"/>
    <cellStyle name="Total 34 3 3" xfId="5261" xr:uid="{00000000-0005-0000-0000-00004E1C0000}"/>
    <cellStyle name="Total 34 3 4" xfId="5699" xr:uid="{00000000-0005-0000-0000-00004F1C0000}"/>
    <cellStyle name="Total 34 3 5" xfId="6136" xr:uid="{00000000-0005-0000-0000-0000501C0000}"/>
    <cellStyle name="Total 34 3 6" xfId="6573" xr:uid="{00000000-0005-0000-0000-0000511C0000}"/>
    <cellStyle name="Total 34 3 7" xfId="7010" xr:uid="{00000000-0005-0000-0000-0000521C0000}"/>
    <cellStyle name="Total 34 3 8" xfId="7447" xr:uid="{00000000-0005-0000-0000-0000531C0000}"/>
    <cellStyle name="Total 34 3 9" xfId="8295" xr:uid="{00000000-0005-0000-0000-0000541C0000}"/>
    <cellStyle name="Total 34 4" xfId="4491" xr:uid="{00000000-0005-0000-0000-0000551C0000}"/>
    <cellStyle name="Total 34 4 10" xfId="7920" xr:uid="{00000000-0005-0000-0000-0000561C0000}"/>
    <cellStyle name="Total 34 4 11" xfId="9314" xr:uid="{00000000-0005-0000-0000-0000571C0000}"/>
    <cellStyle name="Total 34 4 12" xfId="9511" xr:uid="{00000000-0005-0000-0000-0000581C0000}"/>
    <cellStyle name="Total 34 4 13" xfId="9927" xr:uid="{00000000-0005-0000-0000-0000591C0000}"/>
    <cellStyle name="Total 34 4 14" xfId="10399" xr:uid="{00000000-0005-0000-0000-00005A1C0000}"/>
    <cellStyle name="Total 34 4 15" xfId="10553" xr:uid="{00000000-0005-0000-0000-00005B1C0000}"/>
    <cellStyle name="Total 34 4 16" xfId="11286" xr:uid="{00000000-0005-0000-0000-00005C1C0000}"/>
    <cellStyle name="Total 34 4 17" xfId="11755" xr:uid="{00000000-0005-0000-0000-00005D1C0000}"/>
    <cellStyle name="Total 34 4 18" xfId="12260" xr:uid="{00000000-0005-0000-0000-00005E1C0000}"/>
    <cellStyle name="Total 34 4 19" xfId="12826" xr:uid="{00000000-0005-0000-0000-00005F1C0000}"/>
    <cellStyle name="Total 34 4 2" xfId="5038" xr:uid="{00000000-0005-0000-0000-0000601C0000}"/>
    <cellStyle name="Total 34 4 3" xfId="5476" xr:uid="{00000000-0005-0000-0000-0000611C0000}"/>
    <cellStyle name="Total 34 4 4" xfId="5914" xr:uid="{00000000-0005-0000-0000-0000621C0000}"/>
    <cellStyle name="Total 34 4 5" xfId="6351" xr:uid="{00000000-0005-0000-0000-0000631C0000}"/>
    <cellStyle name="Total 34 4 6" xfId="6788" xr:uid="{00000000-0005-0000-0000-0000641C0000}"/>
    <cellStyle name="Total 34 4 7" xfId="7225" xr:uid="{00000000-0005-0000-0000-0000651C0000}"/>
    <cellStyle name="Total 34 4 8" xfId="7662" xr:uid="{00000000-0005-0000-0000-0000661C0000}"/>
    <cellStyle name="Total 34 4 9" xfId="8510" xr:uid="{00000000-0005-0000-0000-0000671C0000}"/>
    <cellStyle name="Total 35" xfId="4080" xr:uid="{00000000-0005-0000-0000-0000681C0000}"/>
    <cellStyle name="Total 35 2" xfId="4081" xr:uid="{00000000-0005-0000-0000-0000691C0000}"/>
    <cellStyle name="Total 35 2 2" xfId="4280" xr:uid="{00000000-0005-0000-0000-00006A1C0000}"/>
    <cellStyle name="Total 35 2 2 10" xfId="8130" xr:uid="{00000000-0005-0000-0000-00006B1C0000}"/>
    <cellStyle name="Total 35 2 2 11" xfId="9102" xr:uid="{00000000-0005-0000-0000-00006C1C0000}"/>
    <cellStyle name="Total 35 2 2 12" xfId="8949" xr:uid="{00000000-0005-0000-0000-00006D1C0000}"/>
    <cellStyle name="Total 35 2 2 13" xfId="9715" xr:uid="{00000000-0005-0000-0000-00006E1C0000}"/>
    <cellStyle name="Total 35 2 2 14" xfId="10187" xr:uid="{00000000-0005-0000-0000-00006F1C0000}"/>
    <cellStyle name="Total 35 2 2 15" xfId="10721" xr:uid="{00000000-0005-0000-0000-0000701C0000}"/>
    <cellStyle name="Total 35 2 2 16" xfId="11074" xr:uid="{00000000-0005-0000-0000-0000711C0000}"/>
    <cellStyle name="Total 35 2 2 17" xfId="11543" xr:uid="{00000000-0005-0000-0000-0000721C0000}"/>
    <cellStyle name="Total 35 2 2 18" xfId="12126" xr:uid="{00000000-0005-0000-0000-0000731C0000}"/>
    <cellStyle name="Total 35 2 2 19" xfId="12614" xr:uid="{00000000-0005-0000-0000-0000741C0000}"/>
    <cellStyle name="Total 35 2 2 2" xfId="4826" xr:uid="{00000000-0005-0000-0000-0000751C0000}"/>
    <cellStyle name="Total 35 2 2 3" xfId="5264" xr:uid="{00000000-0005-0000-0000-0000761C0000}"/>
    <cellStyle name="Total 35 2 2 4" xfId="5702" xr:uid="{00000000-0005-0000-0000-0000771C0000}"/>
    <cellStyle name="Total 35 2 2 5" xfId="6139" xr:uid="{00000000-0005-0000-0000-0000781C0000}"/>
    <cellStyle name="Total 35 2 2 6" xfId="6576" xr:uid="{00000000-0005-0000-0000-0000791C0000}"/>
    <cellStyle name="Total 35 2 2 7" xfId="7013" xr:uid="{00000000-0005-0000-0000-00007A1C0000}"/>
    <cellStyle name="Total 35 2 2 8" xfId="7450" xr:uid="{00000000-0005-0000-0000-00007B1C0000}"/>
    <cellStyle name="Total 35 2 2 9" xfId="8298" xr:uid="{00000000-0005-0000-0000-00007C1C0000}"/>
    <cellStyle name="Total 35 2 3" xfId="4494" xr:uid="{00000000-0005-0000-0000-00007D1C0000}"/>
    <cellStyle name="Total 35 2 3 10" xfId="7917" xr:uid="{00000000-0005-0000-0000-00007E1C0000}"/>
    <cellStyle name="Total 35 2 3 11" xfId="9317" xr:uid="{00000000-0005-0000-0000-00007F1C0000}"/>
    <cellStyle name="Total 35 2 3 12" xfId="9481" xr:uid="{00000000-0005-0000-0000-0000801C0000}"/>
    <cellStyle name="Total 35 2 3 13" xfId="9930" xr:uid="{00000000-0005-0000-0000-0000811C0000}"/>
    <cellStyle name="Total 35 2 3 14" xfId="10402" xr:uid="{00000000-0005-0000-0000-0000821C0000}"/>
    <cellStyle name="Total 35 2 3 15" xfId="10856" xr:uid="{00000000-0005-0000-0000-0000831C0000}"/>
    <cellStyle name="Total 35 2 3 16" xfId="11289" xr:uid="{00000000-0005-0000-0000-0000841C0000}"/>
    <cellStyle name="Total 35 2 3 17" xfId="11758" xr:uid="{00000000-0005-0000-0000-0000851C0000}"/>
    <cellStyle name="Total 35 2 3 18" xfId="12192" xr:uid="{00000000-0005-0000-0000-0000861C0000}"/>
    <cellStyle name="Total 35 2 3 19" xfId="12829" xr:uid="{00000000-0005-0000-0000-0000871C0000}"/>
    <cellStyle name="Total 35 2 3 2" xfId="5041" xr:uid="{00000000-0005-0000-0000-0000881C0000}"/>
    <cellStyle name="Total 35 2 3 3" xfId="5479" xr:uid="{00000000-0005-0000-0000-0000891C0000}"/>
    <cellStyle name="Total 35 2 3 4" xfId="5917" xr:uid="{00000000-0005-0000-0000-00008A1C0000}"/>
    <cellStyle name="Total 35 2 3 5" xfId="6354" xr:uid="{00000000-0005-0000-0000-00008B1C0000}"/>
    <cellStyle name="Total 35 2 3 6" xfId="6791" xr:uid="{00000000-0005-0000-0000-00008C1C0000}"/>
    <cellStyle name="Total 35 2 3 7" xfId="7228" xr:uid="{00000000-0005-0000-0000-00008D1C0000}"/>
    <cellStyle name="Total 35 2 3 8" xfId="7665" xr:uid="{00000000-0005-0000-0000-00008E1C0000}"/>
    <cellStyle name="Total 35 2 3 9" xfId="8513" xr:uid="{00000000-0005-0000-0000-00008F1C0000}"/>
    <cellStyle name="Total 35 3" xfId="4279" xr:uid="{00000000-0005-0000-0000-0000901C0000}"/>
    <cellStyle name="Total 35 3 10" xfId="8131" xr:uid="{00000000-0005-0000-0000-0000911C0000}"/>
    <cellStyle name="Total 35 3 11" xfId="9101" xr:uid="{00000000-0005-0000-0000-0000921C0000}"/>
    <cellStyle name="Total 35 3 12" xfId="8950" xr:uid="{00000000-0005-0000-0000-0000931C0000}"/>
    <cellStyle name="Total 35 3 13" xfId="9714" xr:uid="{00000000-0005-0000-0000-0000941C0000}"/>
    <cellStyle name="Total 35 3 14" xfId="10186" xr:uid="{00000000-0005-0000-0000-0000951C0000}"/>
    <cellStyle name="Total 35 3 15" xfId="10759" xr:uid="{00000000-0005-0000-0000-0000961C0000}"/>
    <cellStyle name="Total 35 3 16" xfId="11073" xr:uid="{00000000-0005-0000-0000-0000971C0000}"/>
    <cellStyle name="Total 35 3 17" xfId="11542" xr:uid="{00000000-0005-0000-0000-0000981C0000}"/>
    <cellStyle name="Total 35 3 18" xfId="12197" xr:uid="{00000000-0005-0000-0000-0000991C0000}"/>
    <cellStyle name="Total 35 3 19" xfId="12613" xr:uid="{00000000-0005-0000-0000-00009A1C0000}"/>
    <cellStyle name="Total 35 3 2" xfId="4825" xr:uid="{00000000-0005-0000-0000-00009B1C0000}"/>
    <cellStyle name="Total 35 3 3" xfId="5263" xr:uid="{00000000-0005-0000-0000-00009C1C0000}"/>
    <cellStyle name="Total 35 3 4" xfId="5701" xr:uid="{00000000-0005-0000-0000-00009D1C0000}"/>
    <cellStyle name="Total 35 3 5" xfId="6138" xr:uid="{00000000-0005-0000-0000-00009E1C0000}"/>
    <cellStyle name="Total 35 3 6" xfId="6575" xr:uid="{00000000-0005-0000-0000-00009F1C0000}"/>
    <cellStyle name="Total 35 3 7" xfId="7012" xr:uid="{00000000-0005-0000-0000-0000A01C0000}"/>
    <cellStyle name="Total 35 3 8" xfId="7449" xr:uid="{00000000-0005-0000-0000-0000A11C0000}"/>
    <cellStyle name="Total 35 3 9" xfId="8297" xr:uid="{00000000-0005-0000-0000-0000A21C0000}"/>
    <cellStyle name="Total 35 4" xfId="4493" xr:uid="{00000000-0005-0000-0000-0000A31C0000}"/>
    <cellStyle name="Total 35 4 10" xfId="7918" xr:uid="{00000000-0005-0000-0000-0000A41C0000}"/>
    <cellStyle name="Total 35 4 11" xfId="9316" xr:uid="{00000000-0005-0000-0000-0000A51C0000}"/>
    <cellStyle name="Total 35 4 12" xfId="9507" xr:uid="{00000000-0005-0000-0000-0000A61C0000}"/>
    <cellStyle name="Total 35 4 13" xfId="9929" xr:uid="{00000000-0005-0000-0000-0000A71C0000}"/>
    <cellStyle name="Total 35 4 14" xfId="10401" xr:uid="{00000000-0005-0000-0000-0000A81C0000}"/>
    <cellStyle name="Total 35 4 15" xfId="10933" xr:uid="{00000000-0005-0000-0000-0000A91C0000}"/>
    <cellStyle name="Total 35 4 16" xfId="11288" xr:uid="{00000000-0005-0000-0000-0000AA1C0000}"/>
    <cellStyle name="Total 35 4 17" xfId="11757" xr:uid="{00000000-0005-0000-0000-0000AB1C0000}"/>
    <cellStyle name="Total 35 4 18" xfId="12181" xr:uid="{00000000-0005-0000-0000-0000AC1C0000}"/>
    <cellStyle name="Total 35 4 19" xfId="12828" xr:uid="{00000000-0005-0000-0000-0000AD1C0000}"/>
    <cellStyle name="Total 35 4 2" xfId="5040" xr:uid="{00000000-0005-0000-0000-0000AE1C0000}"/>
    <cellStyle name="Total 35 4 3" xfId="5478" xr:uid="{00000000-0005-0000-0000-0000AF1C0000}"/>
    <cellStyle name="Total 35 4 4" xfId="5916" xr:uid="{00000000-0005-0000-0000-0000B01C0000}"/>
    <cellStyle name="Total 35 4 5" xfId="6353" xr:uid="{00000000-0005-0000-0000-0000B11C0000}"/>
    <cellStyle name="Total 35 4 6" xfId="6790" xr:uid="{00000000-0005-0000-0000-0000B21C0000}"/>
    <cellStyle name="Total 35 4 7" xfId="7227" xr:uid="{00000000-0005-0000-0000-0000B31C0000}"/>
    <cellStyle name="Total 35 4 8" xfId="7664" xr:uid="{00000000-0005-0000-0000-0000B41C0000}"/>
    <cellStyle name="Total 35 4 9" xfId="8512" xr:uid="{00000000-0005-0000-0000-0000B51C0000}"/>
    <cellStyle name="Total 36" xfId="4082" xr:uid="{00000000-0005-0000-0000-0000B61C0000}"/>
    <cellStyle name="Total 36 2" xfId="4083" xr:uid="{00000000-0005-0000-0000-0000B71C0000}"/>
    <cellStyle name="Total 36 2 2" xfId="4282" xr:uid="{00000000-0005-0000-0000-0000B81C0000}"/>
    <cellStyle name="Total 36 2 2 10" xfId="8128" xr:uid="{00000000-0005-0000-0000-0000B91C0000}"/>
    <cellStyle name="Total 36 2 2 11" xfId="9104" xr:uid="{00000000-0005-0000-0000-0000BA1C0000}"/>
    <cellStyle name="Total 36 2 2 12" xfId="8947" xr:uid="{00000000-0005-0000-0000-0000BB1C0000}"/>
    <cellStyle name="Total 36 2 2 13" xfId="9717" xr:uid="{00000000-0005-0000-0000-0000BC1C0000}"/>
    <cellStyle name="Total 36 2 2 14" xfId="10189" xr:uid="{00000000-0005-0000-0000-0000BD1C0000}"/>
    <cellStyle name="Total 36 2 2 15" xfId="10643" xr:uid="{00000000-0005-0000-0000-0000BE1C0000}"/>
    <cellStyle name="Total 36 2 2 16" xfId="11076" xr:uid="{00000000-0005-0000-0000-0000BF1C0000}"/>
    <cellStyle name="Total 36 2 2 17" xfId="11545" xr:uid="{00000000-0005-0000-0000-0000C01C0000}"/>
    <cellStyle name="Total 36 2 2 18" xfId="12104" xr:uid="{00000000-0005-0000-0000-0000C11C0000}"/>
    <cellStyle name="Total 36 2 2 19" xfId="12616" xr:uid="{00000000-0005-0000-0000-0000C21C0000}"/>
    <cellStyle name="Total 36 2 2 2" xfId="4828" xr:uid="{00000000-0005-0000-0000-0000C31C0000}"/>
    <cellStyle name="Total 36 2 2 3" xfId="5266" xr:uid="{00000000-0005-0000-0000-0000C41C0000}"/>
    <cellStyle name="Total 36 2 2 4" xfId="5704" xr:uid="{00000000-0005-0000-0000-0000C51C0000}"/>
    <cellStyle name="Total 36 2 2 5" xfId="6141" xr:uid="{00000000-0005-0000-0000-0000C61C0000}"/>
    <cellStyle name="Total 36 2 2 6" xfId="6578" xr:uid="{00000000-0005-0000-0000-0000C71C0000}"/>
    <cellStyle name="Total 36 2 2 7" xfId="7015" xr:uid="{00000000-0005-0000-0000-0000C81C0000}"/>
    <cellStyle name="Total 36 2 2 8" xfId="7452" xr:uid="{00000000-0005-0000-0000-0000C91C0000}"/>
    <cellStyle name="Total 36 2 2 9" xfId="8300" xr:uid="{00000000-0005-0000-0000-0000CA1C0000}"/>
    <cellStyle name="Total 36 2 3" xfId="4496" xr:uid="{00000000-0005-0000-0000-0000CB1C0000}"/>
    <cellStyle name="Total 36 2 3 10" xfId="7915" xr:uid="{00000000-0005-0000-0000-0000CC1C0000}"/>
    <cellStyle name="Total 36 2 3 11" xfId="9319" xr:uid="{00000000-0005-0000-0000-0000CD1C0000}"/>
    <cellStyle name="Total 36 2 3 12" xfId="9482" xr:uid="{00000000-0005-0000-0000-0000CE1C0000}"/>
    <cellStyle name="Total 36 2 3 13" xfId="9932" xr:uid="{00000000-0005-0000-0000-0000CF1C0000}"/>
    <cellStyle name="Total 36 2 3 14" xfId="10404" xr:uid="{00000000-0005-0000-0000-0000D01C0000}"/>
    <cellStyle name="Total 36 2 3 15" xfId="10808" xr:uid="{00000000-0005-0000-0000-0000D11C0000}"/>
    <cellStyle name="Total 36 2 3 16" xfId="11291" xr:uid="{00000000-0005-0000-0000-0000D21C0000}"/>
    <cellStyle name="Total 36 2 3 17" xfId="11760" xr:uid="{00000000-0005-0000-0000-0000D31C0000}"/>
    <cellStyle name="Total 36 2 3 18" xfId="11456" xr:uid="{00000000-0005-0000-0000-0000D41C0000}"/>
    <cellStyle name="Total 36 2 3 19" xfId="12831" xr:uid="{00000000-0005-0000-0000-0000D51C0000}"/>
    <cellStyle name="Total 36 2 3 2" xfId="5043" xr:uid="{00000000-0005-0000-0000-0000D61C0000}"/>
    <cellStyle name="Total 36 2 3 3" xfId="5481" xr:uid="{00000000-0005-0000-0000-0000D71C0000}"/>
    <cellStyle name="Total 36 2 3 4" xfId="5919" xr:uid="{00000000-0005-0000-0000-0000D81C0000}"/>
    <cellStyle name="Total 36 2 3 5" xfId="6356" xr:uid="{00000000-0005-0000-0000-0000D91C0000}"/>
    <cellStyle name="Total 36 2 3 6" xfId="6793" xr:uid="{00000000-0005-0000-0000-0000DA1C0000}"/>
    <cellStyle name="Total 36 2 3 7" xfId="7230" xr:uid="{00000000-0005-0000-0000-0000DB1C0000}"/>
    <cellStyle name="Total 36 2 3 8" xfId="7667" xr:uid="{00000000-0005-0000-0000-0000DC1C0000}"/>
    <cellStyle name="Total 36 2 3 9" xfId="8515" xr:uid="{00000000-0005-0000-0000-0000DD1C0000}"/>
    <cellStyle name="Total 36 3" xfId="4281" xr:uid="{00000000-0005-0000-0000-0000DE1C0000}"/>
    <cellStyle name="Total 36 3 10" xfId="8129" xr:uid="{00000000-0005-0000-0000-0000DF1C0000}"/>
    <cellStyle name="Total 36 3 11" xfId="9103" xr:uid="{00000000-0005-0000-0000-0000E01C0000}"/>
    <cellStyle name="Total 36 3 12" xfId="8948" xr:uid="{00000000-0005-0000-0000-0000E11C0000}"/>
    <cellStyle name="Total 36 3 13" xfId="9716" xr:uid="{00000000-0005-0000-0000-0000E21C0000}"/>
    <cellStyle name="Total 36 3 14" xfId="10188" xr:uid="{00000000-0005-0000-0000-0000E31C0000}"/>
    <cellStyle name="Total 36 3 15" xfId="10682" xr:uid="{00000000-0005-0000-0000-0000E41C0000}"/>
    <cellStyle name="Total 36 3 16" xfId="11075" xr:uid="{00000000-0005-0000-0000-0000E51C0000}"/>
    <cellStyle name="Total 36 3 17" xfId="11544" xr:uid="{00000000-0005-0000-0000-0000E61C0000}"/>
    <cellStyle name="Total 36 3 18" xfId="12163" xr:uid="{00000000-0005-0000-0000-0000E71C0000}"/>
    <cellStyle name="Total 36 3 19" xfId="12615" xr:uid="{00000000-0005-0000-0000-0000E81C0000}"/>
    <cellStyle name="Total 36 3 2" xfId="4827" xr:uid="{00000000-0005-0000-0000-0000E91C0000}"/>
    <cellStyle name="Total 36 3 3" xfId="5265" xr:uid="{00000000-0005-0000-0000-0000EA1C0000}"/>
    <cellStyle name="Total 36 3 4" xfId="5703" xr:uid="{00000000-0005-0000-0000-0000EB1C0000}"/>
    <cellStyle name="Total 36 3 5" xfId="6140" xr:uid="{00000000-0005-0000-0000-0000EC1C0000}"/>
    <cellStyle name="Total 36 3 6" xfId="6577" xr:uid="{00000000-0005-0000-0000-0000ED1C0000}"/>
    <cellStyle name="Total 36 3 7" xfId="7014" xr:uid="{00000000-0005-0000-0000-0000EE1C0000}"/>
    <cellStyle name="Total 36 3 8" xfId="7451" xr:uid="{00000000-0005-0000-0000-0000EF1C0000}"/>
    <cellStyle name="Total 36 3 9" xfId="8299" xr:uid="{00000000-0005-0000-0000-0000F01C0000}"/>
    <cellStyle name="Total 36 4" xfId="4495" xr:uid="{00000000-0005-0000-0000-0000F11C0000}"/>
    <cellStyle name="Total 36 4 10" xfId="7916" xr:uid="{00000000-0005-0000-0000-0000F21C0000}"/>
    <cellStyle name="Total 36 4 11" xfId="9318" xr:uid="{00000000-0005-0000-0000-0000F31C0000}"/>
    <cellStyle name="Total 36 4 12" xfId="9493" xr:uid="{00000000-0005-0000-0000-0000F41C0000}"/>
    <cellStyle name="Total 36 4 13" xfId="9931" xr:uid="{00000000-0005-0000-0000-0000F51C0000}"/>
    <cellStyle name="Total 36 4 14" xfId="10403" xr:uid="{00000000-0005-0000-0000-0000F61C0000}"/>
    <cellStyle name="Total 36 4 15" xfId="10889" xr:uid="{00000000-0005-0000-0000-0000F71C0000}"/>
    <cellStyle name="Total 36 4 16" xfId="11290" xr:uid="{00000000-0005-0000-0000-0000F81C0000}"/>
    <cellStyle name="Total 36 4 17" xfId="11759" xr:uid="{00000000-0005-0000-0000-0000F91C0000}"/>
    <cellStyle name="Total 36 4 18" xfId="12131" xr:uid="{00000000-0005-0000-0000-0000FA1C0000}"/>
    <cellStyle name="Total 36 4 19" xfId="12830" xr:uid="{00000000-0005-0000-0000-0000FB1C0000}"/>
    <cellStyle name="Total 36 4 2" xfId="5042" xr:uid="{00000000-0005-0000-0000-0000FC1C0000}"/>
    <cellStyle name="Total 36 4 3" xfId="5480" xr:uid="{00000000-0005-0000-0000-0000FD1C0000}"/>
    <cellStyle name="Total 36 4 4" xfId="5918" xr:uid="{00000000-0005-0000-0000-0000FE1C0000}"/>
    <cellStyle name="Total 36 4 5" xfId="6355" xr:uid="{00000000-0005-0000-0000-0000FF1C0000}"/>
    <cellStyle name="Total 36 4 6" xfId="6792" xr:uid="{00000000-0005-0000-0000-0000001D0000}"/>
    <cellStyle name="Total 36 4 7" xfId="7229" xr:uid="{00000000-0005-0000-0000-0000011D0000}"/>
    <cellStyle name="Total 36 4 8" xfId="7666" xr:uid="{00000000-0005-0000-0000-0000021D0000}"/>
    <cellStyle name="Total 36 4 9" xfId="8514" xr:uid="{00000000-0005-0000-0000-0000031D0000}"/>
    <cellStyle name="Total 37" xfId="4084" xr:uid="{00000000-0005-0000-0000-0000041D0000}"/>
    <cellStyle name="Total 37 2" xfId="4085" xr:uid="{00000000-0005-0000-0000-0000051D0000}"/>
    <cellStyle name="Total 37 2 2" xfId="4284" xr:uid="{00000000-0005-0000-0000-0000061D0000}"/>
    <cellStyle name="Total 37 2 2 10" xfId="8126" xr:uid="{00000000-0005-0000-0000-0000071D0000}"/>
    <cellStyle name="Total 37 2 2 11" xfId="9106" xr:uid="{00000000-0005-0000-0000-0000081D0000}"/>
    <cellStyle name="Total 37 2 2 12" xfId="8718" xr:uid="{00000000-0005-0000-0000-0000091D0000}"/>
    <cellStyle name="Total 37 2 2 13" xfId="9719" xr:uid="{00000000-0005-0000-0000-00000A1D0000}"/>
    <cellStyle name="Total 37 2 2 14" xfId="10191" xr:uid="{00000000-0005-0000-0000-00000B1D0000}"/>
    <cellStyle name="Total 37 2 2 15" xfId="10564" xr:uid="{00000000-0005-0000-0000-00000C1D0000}"/>
    <cellStyle name="Total 37 2 2 16" xfId="11078" xr:uid="{00000000-0005-0000-0000-00000D1D0000}"/>
    <cellStyle name="Total 37 2 2 17" xfId="11547" xr:uid="{00000000-0005-0000-0000-00000E1D0000}"/>
    <cellStyle name="Total 37 2 2 18" xfId="12045" xr:uid="{00000000-0005-0000-0000-00000F1D0000}"/>
    <cellStyle name="Total 37 2 2 19" xfId="12618" xr:uid="{00000000-0005-0000-0000-0000101D0000}"/>
    <cellStyle name="Total 37 2 2 2" xfId="4830" xr:uid="{00000000-0005-0000-0000-0000111D0000}"/>
    <cellStyle name="Total 37 2 2 3" xfId="5268" xr:uid="{00000000-0005-0000-0000-0000121D0000}"/>
    <cellStyle name="Total 37 2 2 4" xfId="5706" xr:uid="{00000000-0005-0000-0000-0000131D0000}"/>
    <cellStyle name="Total 37 2 2 5" xfId="6143" xr:uid="{00000000-0005-0000-0000-0000141D0000}"/>
    <cellStyle name="Total 37 2 2 6" xfId="6580" xr:uid="{00000000-0005-0000-0000-0000151D0000}"/>
    <cellStyle name="Total 37 2 2 7" xfId="7017" xr:uid="{00000000-0005-0000-0000-0000161D0000}"/>
    <cellStyle name="Total 37 2 2 8" xfId="7454" xr:uid="{00000000-0005-0000-0000-0000171D0000}"/>
    <cellStyle name="Total 37 2 2 9" xfId="8302" xr:uid="{00000000-0005-0000-0000-0000181D0000}"/>
    <cellStyle name="Total 37 2 3" xfId="4498" xr:uid="{00000000-0005-0000-0000-0000191D0000}"/>
    <cellStyle name="Total 37 2 3 10" xfId="7913" xr:uid="{00000000-0005-0000-0000-00001A1D0000}"/>
    <cellStyle name="Total 37 2 3 11" xfId="9321" xr:uid="{00000000-0005-0000-0000-00001B1D0000}"/>
    <cellStyle name="Total 37 2 3 12" xfId="9603" xr:uid="{00000000-0005-0000-0000-00001C1D0000}"/>
    <cellStyle name="Total 37 2 3 13" xfId="9934" xr:uid="{00000000-0005-0000-0000-00001D1D0000}"/>
    <cellStyle name="Total 37 2 3 14" xfId="10406" xr:uid="{00000000-0005-0000-0000-00001E1D0000}"/>
    <cellStyle name="Total 37 2 3 15" xfId="10731" xr:uid="{00000000-0005-0000-0000-00001F1D0000}"/>
    <cellStyle name="Total 37 2 3 16" xfId="11293" xr:uid="{00000000-0005-0000-0000-0000201D0000}"/>
    <cellStyle name="Total 37 2 3 17" xfId="11762" xr:uid="{00000000-0005-0000-0000-0000211D0000}"/>
    <cellStyle name="Total 37 2 3 18" xfId="12154" xr:uid="{00000000-0005-0000-0000-0000221D0000}"/>
    <cellStyle name="Total 37 2 3 19" xfId="12833" xr:uid="{00000000-0005-0000-0000-0000231D0000}"/>
    <cellStyle name="Total 37 2 3 2" xfId="5045" xr:uid="{00000000-0005-0000-0000-0000241D0000}"/>
    <cellStyle name="Total 37 2 3 3" xfId="5483" xr:uid="{00000000-0005-0000-0000-0000251D0000}"/>
    <cellStyle name="Total 37 2 3 4" xfId="5921" xr:uid="{00000000-0005-0000-0000-0000261D0000}"/>
    <cellStyle name="Total 37 2 3 5" xfId="6358" xr:uid="{00000000-0005-0000-0000-0000271D0000}"/>
    <cellStyle name="Total 37 2 3 6" xfId="6795" xr:uid="{00000000-0005-0000-0000-0000281D0000}"/>
    <cellStyle name="Total 37 2 3 7" xfId="7232" xr:uid="{00000000-0005-0000-0000-0000291D0000}"/>
    <cellStyle name="Total 37 2 3 8" xfId="7669" xr:uid="{00000000-0005-0000-0000-00002A1D0000}"/>
    <cellStyle name="Total 37 2 3 9" xfId="8517" xr:uid="{00000000-0005-0000-0000-00002B1D0000}"/>
    <cellStyle name="Total 37 3" xfId="4283" xr:uid="{00000000-0005-0000-0000-00002C1D0000}"/>
    <cellStyle name="Total 37 3 10" xfId="8127" xr:uid="{00000000-0005-0000-0000-00002D1D0000}"/>
    <cellStyle name="Total 37 3 11" xfId="9105" xr:uid="{00000000-0005-0000-0000-00002E1D0000}"/>
    <cellStyle name="Total 37 3 12" xfId="8946" xr:uid="{00000000-0005-0000-0000-00002F1D0000}"/>
    <cellStyle name="Total 37 3 13" xfId="9718" xr:uid="{00000000-0005-0000-0000-0000301D0000}"/>
    <cellStyle name="Total 37 3 14" xfId="10190" xr:uid="{00000000-0005-0000-0000-0000311D0000}"/>
    <cellStyle name="Total 37 3 15" xfId="10604" xr:uid="{00000000-0005-0000-0000-0000321D0000}"/>
    <cellStyle name="Total 37 3 16" xfId="11077" xr:uid="{00000000-0005-0000-0000-0000331D0000}"/>
    <cellStyle name="Total 37 3 17" xfId="11546" xr:uid="{00000000-0005-0000-0000-0000341D0000}"/>
    <cellStyle name="Total 37 3 18" xfId="12074" xr:uid="{00000000-0005-0000-0000-0000351D0000}"/>
    <cellStyle name="Total 37 3 19" xfId="12617" xr:uid="{00000000-0005-0000-0000-0000361D0000}"/>
    <cellStyle name="Total 37 3 2" xfId="4829" xr:uid="{00000000-0005-0000-0000-0000371D0000}"/>
    <cellStyle name="Total 37 3 3" xfId="5267" xr:uid="{00000000-0005-0000-0000-0000381D0000}"/>
    <cellStyle name="Total 37 3 4" xfId="5705" xr:uid="{00000000-0005-0000-0000-0000391D0000}"/>
    <cellStyle name="Total 37 3 5" xfId="6142" xr:uid="{00000000-0005-0000-0000-00003A1D0000}"/>
    <cellStyle name="Total 37 3 6" xfId="6579" xr:uid="{00000000-0005-0000-0000-00003B1D0000}"/>
    <cellStyle name="Total 37 3 7" xfId="7016" xr:uid="{00000000-0005-0000-0000-00003C1D0000}"/>
    <cellStyle name="Total 37 3 8" xfId="7453" xr:uid="{00000000-0005-0000-0000-00003D1D0000}"/>
    <cellStyle name="Total 37 3 9" xfId="8301" xr:uid="{00000000-0005-0000-0000-00003E1D0000}"/>
    <cellStyle name="Total 37 4" xfId="4497" xr:uid="{00000000-0005-0000-0000-00003F1D0000}"/>
    <cellStyle name="Total 37 4 10" xfId="7914" xr:uid="{00000000-0005-0000-0000-0000401D0000}"/>
    <cellStyle name="Total 37 4 11" xfId="9320" xr:uid="{00000000-0005-0000-0000-0000411D0000}"/>
    <cellStyle name="Total 37 4 12" xfId="9492" xr:uid="{00000000-0005-0000-0000-0000421D0000}"/>
    <cellStyle name="Total 37 4 13" xfId="9933" xr:uid="{00000000-0005-0000-0000-0000431D0000}"/>
    <cellStyle name="Total 37 4 14" xfId="10405" xr:uid="{00000000-0005-0000-0000-0000441D0000}"/>
    <cellStyle name="Total 37 4 15" xfId="10769" xr:uid="{00000000-0005-0000-0000-0000451D0000}"/>
    <cellStyle name="Total 37 4 16" xfId="11292" xr:uid="{00000000-0005-0000-0000-0000461D0000}"/>
    <cellStyle name="Total 37 4 17" xfId="11761" xr:uid="{00000000-0005-0000-0000-0000471D0000}"/>
    <cellStyle name="Total 37 4 18" xfId="11455" xr:uid="{00000000-0005-0000-0000-0000481D0000}"/>
    <cellStyle name="Total 37 4 19" xfId="12832" xr:uid="{00000000-0005-0000-0000-0000491D0000}"/>
    <cellStyle name="Total 37 4 2" xfId="5044" xr:uid="{00000000-0005-0000-0000-00004A1D0000}"/>
    <cellStyle name="Total 37 4 3" xfId="5482" xr:uid="{00000000-0005-0000-0000-00004B1D0000}"/>
    <cellStyle name="Total 37 4 4" xfId="5920" xr:uid="{00000000-0005-0000-0000-00004C1D0000}"/>
    <cellStyle name="Total 37 4 5" xfId="6357" xr:uid="{00000000-0005-0000-0000-00004D1D0000}"/>
    <cellStyle name="Total 37 4 6" xfId="6794" xr:uid="{00000000-0005-0000-0000-00004E1D0000}"/>
    <cellStyle name="Total 37 4 7" xfId="7231" xr:uid="{00000000-0005-0000-0000-00004F1D0000}"/>
    <cellStyle name="Total 37 4 8" xfId="7668" xr:uid="{00000000-0005-0000-0000-0000501D0000}"/>
    <cellStyle name="Total 37 4 9" xfId="8516" xr:uid="{00000000-0005-0000-0000-0000511D0000}"/>
    <cellStyle name="Total 38" xfId="4086" xr:uid="{00000000-0005-0000-0000-0000521D0000}"/>
    <cellStyle name="Total 38 2" xfId="4087" xr:uid="{00000000-0005-0000-0000-0000531D0000}"/>
    <cellStyle name="Total 38 2 2" xfId="4286" xr:uid="{00000000-0005-0000-0000-0000541D0000}"/>
    <cellStyle name="Total 38 2 2 10" xfId="8124" xr:uid="{00000000-0005-0000-0000-0000551D0000}"/>
    <cellStyle name="Total 38 2 2 11" xfId="9108" xr:uid="{00000000-0005-0000-0000-0000561D0000}"/>
    <cellStyle name="Total 38 2 2 12" xfId="8944" xr:uid="{00000000-0005-0000-0000-0000571D0000}"/>
    <cellStyle name="Total 38 2 2 13" xfId="9721" xr:uid="{00000000-0005-0000-0000-0000581D0000}"/>
    <cellStyle name="Total 38 2 2 14" xfId="10193" xr:uid="{00000000-0005-0000-0000-0000591D0000}"/>
    <cellStyle name="Total 38 2 2 15" xfId="10944" xr:uid="{00000000-0005-0000-0000-00005A1D0000}"/>
    <cellStyle name="Total 38 2 2 16" xfId="11080" xr:uid="{00000000-0005-0000-0000-00005B1D0000}"/>
    <cellStyle name="Total 38 2 2 17" xfId="11549" xr:uid="{00000000-0005-0000-0000-00005C1D0000}"/>
    <cellStyle name="Total 38 2 2 18" xfId="11988" xr:uid="{00000000-0005-0000-0000-00005D1D0000}"/>
    <cellStyle name="Total 38 2 2 19" xfId="12620" xr:uid="{00000000-0005-0000-0000-00005E1D0000}"/>
    <cellStyle name="Total 38 2 2 2" xfId="4832" xr:uid="{00000000-0005-0000-0000-00005F1D0000}"/>
    <cellStyle name="Total 38 2 2 3" xfId="5270" xr:uid="{00000000-0005-0000-0000-0000601D0000}"/>
    <cellStyle name="Total 38 2 2 4" xfId="5708" xr:uid="{00000000-0005-0000-0000-0000611D0000}"/>
    <cellStyle name="Total 38 2 2 5" xfId="6145" xr:uid="{00000000-0005-0000-0000-0000621D0000}"/>
    <cellStyle name="Total 38 2 2 6" xfId="6582" xr:uid="{00000000-0005-0000-0000-0000631D0000}"/>
    <cellStyle name="Total 38 2 2 7" xfId="7019" xr:uid="{00000000-0005-0000-0000-0000641D0000}"/>
    <cellStyle name="Total 38 2 2 8" xfId="7456" xr:uid="{00000000-0005-0000-0000-0000651D0000}"/>
    <cellStyle name="Total 38 2 2 9" xfId="8304" xr:uid="{00000000-0005-0000-0000-0000661D0000}"/>
    <cellStyle name="Total 38 2 3" xfId="4500" xr:uid="{00000000-0005-0000-0000-0000671D0000}"/>
    <cellStyle name="Total 38 2 3 10" xfId="7911" xr:uid="{00000000-0005-0000-0000-0000681D0000}"/>
    <cellStyle name="Total 38 2 3 11" xfId="9323" xr:uid="{00000000-0005-0000-0000-0000691D0000}"/>
    <cellStyle name="Total 38 2 3 12" xfId="8813" xr:uid="{00000000-0005-0000-0000-00006A1D0000}"/>
    <cellStyle name="Total 38 2 3 13" xfId="9936" xr:uid="{00000000-0005-0000-0000-00006B1D0000}"/>
    <cellStyle name="Total 38 2 3 14" xfId="10408" xr:uid="{00000000-0005-0000-0000-00006C1D0000}"/>
    <cellStyle name="Total 38 2 3 15" xfId="10653" xr:uid="{00000000-0005-0000-0000-00006D1D0000}"/>
    <cellStyle name="Total 38 2 3 16" xfId="11295" xr:uid="{00000000-0005-0000-0000-00006E1D0000}"/>
    <cellStyle name="Total 38 2 3 17" xfId="11764" xr:uid="{00000000-0005-0000-0000-00006F1D0000}"/>
    <cellStyle name="Total 38 2 3 18" xfId="12065" xr:uid="{00000000-0005-0000-0000-0000701D0000}"/>
    <cellStyle name="Total 38 2 3 19" xfId="12835" xr:uid="{00000000-0005-0000-0000-0000711D0000}"/>
    <cellStyle name="Total 38 2 3 2" xfId="5047" xr:uid="{00000000-0005-0000-0000-0000721D0000}"/>
    <cellStyle name="Total 38 2 3 3" xfId="5485" xr:uid="{00000000-0005-0000-0000-0000731D0000}"/>
    <cellStyle name="Total 38 2 3 4" xfId="5923" xr:uid="{00000000-0005-0000-0000-0000741D0000}"/>
    <cellStyle name="Total 38 2 3 5" xfId="6360" xr:uid="{00000000-0005-0000-0000-0000751D0000}"/>
    <cellStyle name="Total 38 2 3 6" xfId="6797" xr:uid="{00000000-0005-0000-0000-0000761D0000}"/>
    <cellStyle name="Total 38 2 3 7" xfId="7234" xr:uid="{00000000-0005-0000-0000-0000771D0000}"/>
    <cellStyle name="Total 38 2 3 8" xfId="7671" xr:uid="{00000000-0005-0000-0000-0000781D0000}"/>
    <cellStyle name="Total 38 2 3 9" xfId="8519" xr:uid="{00000000-0005-0000-0000-0000791D0000}"/>
    <cellStyle name="Total 38 3" xfId="4285" xr:uid="{00000000-0005-0000-0000-00007A1D0000}"/>
    <cellStyle name="Total 38 3 10" xfId="8125" xr:uid="{00000000-0005-0000-0000-00007B1D0000}"/>
    <cellStyle name="Total 38 3 11" xfId="9107" xr:uid="{00000000-0005-0000-0000-00007C1D0000}"/>
    <cellStyle name="Total 38 3 12" xfId="8945" xr:uid="{00000000-0005-0000-0000-00007D1D0000}"/>
    <cellStyle name="Total 38 3 13" xfId="9720" xr:uid="{00000000-0005-0000-0000-00007E1D0000}"/>
    <cellStyle name="Total 38 3 14" xfId="10192" xr:uid="{00000000-0005-0000-0000-00007F1D0000}"/>
    <cellStyle name="Total 38 3 15" xfId="10911" xr:uid="{00000000-0005-0000-0000-0000801D0000}"/>
    <cellStyle name="Total 38 3 16" xfId="11079" xr:uid="{00000000-0005-0000-0000-0000811D0000}"/>
    <cellStyle name="Total 38 3 17" xfId="11548" xr:uid="{00000000-0005-0000-0000-0000821D0000}"/>
    <cellStyle name="Total 38 3 18" xfId="12016" xr:uid="{00000000-0005-0000-0000-0000831D0000}"/>
    <cellStyle name="Total 38 3 19" xfId="12619" xr:uid="{00000000-0005-0000-0000-0000841D0000}"/>
    <cellStyle name="Total 38 3 2" xfId="4831" xr:uid="{00000000-0005-0000-0000-0000851D0000}"/>
    <cellStyle name="Total 38 3 3" xfId="5269" xr:uid="{00000000-0005-0000-0000-0000861D0000}"/>
    <cellStyle name="Total 38 3 4" xfId="5707" xr:uid="{00000000-0005-0000-0000-0000871D0000}"/>
    <cellStyle name="Total 38 3 5" xfId="6144" xr:uid="{00000000-0005-0000-0000-0000881D0000}"/>
    <cellStyle name="Total 38 3 6" xfId="6581" xr:uid="{00000000-0005-0000-0000-0000891D0000}"/>
    <cellStyle name="Total 38 3 7" xfId="7018" xr:uid="{00000000-0005-0000-0000-00008A1D0000}"/>
    <cellStyle name="Total 38 3 8" xfId="7455" xr:uid="{00000000-0005-0000-0000-00008B1D0000}"/>
    <cellStyle name="Total 38 3 9" xfId="8303" xr:uid="{00000000-0005-0000-0000-00008C1D0000}"/>
    <cellStyle name="Total 38 4" xfId="4499" xr:uid="{00000000-0005-0000-0000-00008D1D0000}"/>
    <cellStyle name="Total 38 4 10" xfId="7912" xr:uid="{00000000-0005-0000-0000-00008E1D0000}"/>
    <cellStyle name="Total 38 4 11" xfId="9322" xr:uid="{00000000-0005-0000-0000-00008F1D0000}"/>
    <cellStyle name="Total 38 4 12" xfId="8814" xr:uid="{00000000-0005-0000-0000-0000901D0000}"/>
    <cellStyle name="Total 38 4 13" xfId="9935" xr:uid="{00000000-0005-0000-0000-0000911D0000}"/>
    <cellStyle name="Total 38 4 14" xfId="10407" xr:uid="{00000000-0005-0000-0000-0000921D0000}"/>
    <cellStyle name="Total 38 4 15" xfId="10692" xr:uid="{00000000-0005-0000-0000-0000931D0000}"/>
    <cellStyle name="Total 38 4 16" xfId="11294" xr:uid="{00000000-0005-0000-0000-0000941D0000}"/>
    <cellStyle name="Total 38 4 17" xfId="11763" xr:uid="{00000000-0005-0000-0000-0000951D0000}"/>
    <cellStyle name="Total 38 4 18" xfId="12095" xr:uid="{00000000-0005-0000-0000-0000961D0000}"/>
    <cellStyle name="Total 38 4 19" xfId="12834" xr:uid="{00000000-0005-0000-0000-0000971D0000}"/>
    <cellStyle name="Total 38 4 2" xfId="5046" xr:uid="{00000000-0005-0000-0000-0000981D0000}"/>
    <cellStyle name="Total 38 4 3" xfId="5484" xr:uid="{00000000-0005-0000-0000-0000991D0000}"/>
    <cellStyle name="Total 38 4 4" xfId="5922" xr:uid="{00000000-0005-0000-0000-00009A1D0000}"/>
    <cellStyle name="Total 38 4 5" xfId="6359" xr:uid="{00000000-0005-0000-0000-00009B1D0000}"/>
    <cellStyle name="Total 38 4 6" xfId="6796" xr:uid="{00000000-0005-0000-0000-00009C1D0000}"/>
    <cellStyle name="Total 38 4 7" xfId="7233" xr:uid="{00000000-0005-0000-0000-00009D1D0000}"/>
    <cellStyle name="Total 38 4 8" xfId="7670" xr:uid="{00000000-0005-0000-0000-00009E1D0000}"/>
    <cellStyle name="Total 38 4 9" xfId="8518" xr:uid="{00000000-0005-0000-0000-00009F1D0000}"/>
    <cellStyle name="Total 39" xfId="4088" xr:uid="{00000000-0005-0000-0000-0000A01D0000}"/>
    <cellStyle name="Total 39 2" xfId="4089" xr:uid="{00000000-0005-0000-0000-0000A11D0000}"/>
    <cellStyle name="Total 39 2 2" xfId="4288" xr:uid="{00000000-0005-0000-0000-0000A21D0000}"/>
    <cellStyle name="Total 39 2 2 10" xfId="8122" xr:uid="{00000000-0005-0000-0000-0000A31D0000}"/>
    <cellStyle name="Total 39 2 2 11" xfId="9110" xr:uid="{00000000-0005-0000-0000-0000A41D0000}"/>
    <cellStyle name="Total 39 2 2 12" xfId="8942" xr:uid="{00000000-0005-0000-0000-0000A51D0000}"/>
    <cellStyle name="Total 39 2 2 13" xfId="9723" xr:uid="{00000000-0005-0000-0000-0000A61D0000}"/>
    <cellStyle name="Total 39 2 2 14" xfId="10195" xr:uid="{00000000-0005-0000-0000-0000A71D0000}"/>
    <cellStyle name="Total 39 2 2 15" xfId="10108" xr:uid="{00000000-0005-0000-0000-0000A81D0000}"/>
    <cellStyle name="Total 39 2 2 16" xfId="11082" xr:uid="{00000000-0005-0000-0000-0000A91D0000}"/>
    <cellStyle name="Total 39 2 2 17" xfId="11551" xr:uid="{00000000-0005-0000-0000-0000AA1D0000}"/>
    <cellStyle name="Total 39 2 2 18" xfId="11930" xr:uid="{00000000-0005-0000-0000-0000AB1D0000}"/>
    <cellStyle name="Total 39 2 2 19" xfId="12622" xr:uid="{00000000-0005-0000-0000-0000AC1D0000}"/>
    <cellStyle name="Total 39 2 2 2" xfId="4834" xr:uid="{00000000-0005-0000-0000-0000AD1D0000}"/>
    <cellStyle name="Total 39 2 2 3" xfId="5272" xr:uid="{00000000-0005-0000-0000-0000AE1D0000}"/>
    <cellStyle name="Total 39 2 2 4" xfId="5710" xr:uid="{00000000-0005-0000-0000-0000AF1D0000}"/>
    <cellStyle name="Total 39 2 2 5" xfId="6147" xr:uid="{00000000-0005-0000-0000-0000B01D0000}"/>
    <cellStyle name="Total 39 2 2 6" xfId="6584" xr:uid="{00000000-0005-0000-0000-0000B11D0000}"/>
    <cellStyle name="Total 39 2 2 7" xfId="7021" xr:uid="{00000000-0005-0000-0000-0000B21D0000}"/>
    <cellStyle name="Total 39 2 2 8" xfId="7458" xr:uid="{00000000-0005-0000-0000-0000B31D0000}"/>
    <cellStyle name="Total 39 2 2 9" xfId="8306" xr:uid="{00000000-0005-0000-0000-0000B41D0000}"/>
    <cellStyle name="Total 39 2 3" xfId="4502" xr:uid="{00000000-0005-0000-0000-0000B51D0000}"/>
    <cellStyle name="Total 39 2 3 10" xfId="7909" xr:uid="{00000000-0005-0000-0000-0000B61D0000}"/>
    <cellStyle name="Total 39 2 3 11" xfId="9325" xr:uid="{00000000-0005-0000-0000-0000B71D0000}"/>
    <cellStyle name="Total 39 2 3 12" xfId="8811" xr:uid="{00000000-0005-0000-0000-0000B81D0000}"/>
    <cellStyle name="Total 39 2 3 13" xfId="9938" xr:uid="{00000000-0005-0000-0000-0000B91D0000}"/>
    <cellStyle name="Total 39 2 3 14" xfId="10410" xr:uid="{00000000-0005-0000-0000-0000BA1D0000}"/>
    <cellStyle name="Total 39 2 3 15" xfId="10574" xr:uid="{00000000-0005-0000-0000-0000BB1D0000}"/>
    <cellStyle name="Total 39 2 3 16" xfId="11297" xr:uid="{00000000-0005-0000-0000-0000BC1D0000}"/>
    <cellStyle name="Total 39 2 3 17" xfId="11766" xr:uid="{00000000-0005-0000-0000-0000BD1D0000}"/>
    <cellStyle name="Total 39 2 3 18" xfId="12007" xr:uid="{00000000-0005-0000-0000-0000BE1D0000}"/>
    <cellStyle name="Total 39 2 3 19" xfId="12837" xr:uid="{00000000-0005-0000-0000-0000BF1D0000}"/>
    <cellStyle name="Total 39 2 3 2" xfId="5049" xr:uid="{00000000-0005-0000-0000-0000C01D0000}"/>
    <cellStyle name="Total 39 2 3 3" xfId="5487" xr:uid="{00000000-0005-0000-0000-0000C11D0000}"/>
    <cellStyle name="Total 39 2 3 4" xfId="5925" xr:uid="{00000000-0005-0000-0000-0000C21D0000}"/>
    <cellStyle name="Total 39 2 3 5" xfId="6362" xr:uid="{00000000-0005-0000-0000-0000C31D0000}"/>
    <cellStyle name="Total 39 2 3 6" xfId="6799" xr:uid="{00000000-0005-0000-0000-0000C41D0000}"/>
    <cellStyle name="Total 39 2 3 7" xfId="7236" xr:uid="{00000000-0005-0000-0000-0000C51D0000}"/>
    <cellStyle name="Total 39 2 3 8" xfId="7673" xr:uid="{00000000-0005-0000-0000-0000C61D0000}"/>
    <cellStyle name="Total 39 2 3 9" xfId="8521" xr:uid="{00000000-0005-0000-0000-0000C71D0000}"/>
    <cellStyle name="Total 39 3" xfId="4287" xr:uid="{00000000-0005-0000-0000-0000C81D0000}"/>
    <cellStyle name="Total 39 3 10" xfId="8123" xr:uid="{00000000-0005-0000-0000-0000C91D0000}"/>
    <cellStyle name="Total 39 3 11" xfId="9109" xr:uid="{00000000-0005-0000-0000-0000CA1D0000}"/>
    <cellStyle name="Total 39 3 12" xfId="8943" xr:uid="{00000000-0005-0000-0000-0000CB1D0000}"/>
    <cellStyle name="Total 39 3 13" xfId="9722" xr:uid="{00000000-0005-0000-0000-0000CC1D0000}"/>
    <cellStyle name="Total 39 3 14" xfId="10194" xr:uid="{00000000-0005-0000-0000-0000CD1D0000}"/>
    <cellStyle name="Total 39 3 15" xfId="10845" xr:uid="{00000000-0005-0000-0000-0000CE1D0000}"/>
    <cellStyle name="Total 39 3 16" xfId="11081" xr:uid="{00000000-0005-0000-0000-0000CF1D0000}"/>
    <cellStyle name="Total 39 3 17" xfId="11550" xr:uid="{00000000-0005-0000-0000-0000D01D0000}"/>
    <cellStyle name="Total 39 3 18" xfId="11959" xr:uid="{00000000-0005-0000-0000-0000D11D0000}"/>
    <cellStyle name="Total 39 3 19" xfId="12621" xr:uid="{00000000-0005-0000-0000-0000D21D0000}"/>
    <cellStyle name="Total 39 3 2" xfId="4833" xr:uid="{00000000-0005-0000-0000-0000D31D0000}"/>
    <cellStyle name="Total 39 3 3" xfId="5271" xr:uid="{00000000-0005-0000-0000-0000D41D0000}"/>
    <cellStyle name="Total 39 3 4" xfId="5709" xr:uid="{00000000-0005-0000-0000-0000D51D0000}"/>
    <cellStyle name="Total 39 3 5" xfId="6146" xr:uid="{00000000-0005-0000-0000-0000D61D0000}"/>
    <cellStyle name="Total 39 3 6" xfId="6583" xr:uid="{00000000-0005-0000-0000-0000D71D0000}"/>
    <cellStyle name="Total 39 3 7" xfId="7020" xr:uid="{00000000-0005-0000-0000-0000D81D0000}"/>
    <cellStyle name="Total 39 3 8" xfId="7457" xr:uid="{00000000-0005-0000-0000-0000D91D0000}"/>
    <cellStyle name="Total 39 3 9" xfId="8305" xr:uid="{00000000-0005-0000-0000-0000DA1D0000}"/>
    <cellStyle name="Total 39 4" xfId="4501" xr:uid="{00000000-0005-0000-0000-0000DB1D0000}"/>
    <cellStyle name="Total 39 4 10" xfId="7910" xr:uid="{00000000-0005-0000-0000-0000DC1D0000}"/>
    <cellStyle name="Total 39 4 11" xfId="9324" xr:uid="{00000000-0005-0000-0000-0000DD1D0000}"/>
    <cellStyle name="Total 39 4 12" xfId="8812" xr:uid="{00000000-0005-0000-0000-0000DE1D0000}"/>
    <cellStyle name="Total 39 4 13" xfId="9937" xr:uid="{00000000-0005-0000-0000-0000DF1D0000}"/>
    <cellStyle name="Total 39 4 14" xfId="10409" xr:uid="{00000000-0005-0000-0000-0000E01D0000}"/>
    <cellStyle name="Total 39 4 15" xfId="10613" xr:uid="{00000000-0005-0000-0000-0000E11D0000}"/>
    <cellStyle name="Total 39 4 16" xfId="11296" xr:uid="{00000000-0005-0000-0000-0000E21D0000}"/>
    <cellStyle name="Total 39 4 17" xfId="11765" xr:uid="{00000000-0005-0000-0000-0000E31D0000}"/>
    <cellStyle name="Total 39 4 18" xfId="12036" xr:uid="{00000000-0005-0000-0000-0000E41D0000}"/>
    <cellStyle name="Total 39 4 19" xfId="12836" xr:uid="{00000000-0005-0000-0000-0000E51D0000}"/>
    <cellStyle name="Total 39 4 2" xfId="5048" xr:uid="{00000000-0005-0000-0000-0000E61D0000}"/>
    <cellStyle name="Total 39 4 3" xfId="5486" xr:uid="{00000000-0005-0000-0000-0000E71D0000}"/>
    <cellStyle name="Total 39 4 4" xfId="5924" xr:uid="{00000000-0005-0000-0000-0000E81D0000}"/>
    <cellStyle name="Total 39 4 5" xfId="6361" xr:uid="{00000000-0005-0000-0000-0000E91D0000}"/>
    <cellStyle name="Total 39 4 6" xfId="6798" xr:uid="{00000000-0005-0000-0000-0000EA1D0000}"/>
    <cellStyle name="Total 39 4 7" xfId="7235" xr:uid="{00000000-0005-0000-0000-0000EB1D0000}"/>
    <cellStyle name="Total 39 4 8" xfId="7672" xr:uid="{00000000-0005-0000-0000-0000EC1D0000}"/>
    <cellStyle name="Total 39 4 9" xfId="8520" xr:uid="{00000000-0005-0000-0000-0000ED1D0000}"/>
    <cellStyle name="Total 4" xfId="778" xr:uid="{00000000-0005-0000-0000-0000EE1D0000}"/>
    <cellStyle name="Total 4 2" xfId="4090" xr:uid="{00000000-0005-0000-0000-0000EF1D0000}"/>
    <cellStyle name="Total 4 2 2" xfId="4290" xr:uid="{00000000-0005-0000-0000-0000F01D0000}"/>
    <cellStyle name="Total 4 2 2 10" xfId="8120" xr:uid="{00000000-0005-0000-0000-0000F11D0000}"/>
    <cellStyle name="Total 4 2 2 11" xfId="9112" xr:uid="{00000000-0005-0000-0000-0000F21D0000}"/>
    <cellStyle name="Total 4 2 2 12" xfId="8940" xr:uid="{00000000-0005-0000-0000-0000F31D0000}"/>
    <cellStyle name="Total 4 2 2 13" xfId="9725" xr:uid="{00000000-0005-0000-0000-0000F41D0000}"/>
    <cellStyle name="Total 4 2 2 14" xfId="10197" xr:uid="{00000000-0005-0000-0000-0000F51D0000}"/>
    <cellStyle name="Total 4 2 2 15" xfId="10896" xr:uid="{00000000-0005-0000-0000-0000F61D0000}"/>
    <cellStyle name="Total 4 2 2 16" xfId="11084" xr:uid="{00000000-0005-0000-0000-0000F71D0000}"/>
    <cellStyle name="Total 4 2 2 17" xfId="11553" xr:uid="{00000000-0005-0000-0000-0000F81D0000}"/>
    <cellStyle name="Total 4 2 2 18" xfId="12286" xr:uid="{00000000-0005-0000-0000-0000F91D0000}"/>
    <cellStyle name="Total 4 2 2 19" xfId="12624" xr:uid="{00000000-0005-0000-0000-0000FA1D0000}"/>
    <cellStyle name="Total 4 2 2 2" xfId="4836" xr:uid="{00000000-0005-0000-0000-0000FB1D0000}"/>
    <cellStyle name="Total 4 2 2 3" xfId="5274" xr:uid="{00000000-0005-0000-0000-0000FC1D0000}"/>
    <cellStyle name="Total 4 2 2 4" xfId="5712" xr:uid="{00000000-0005-0000-0000-0000FD1D0000}"/>
    <cellStyle name="Total 4 2 2 5" xfId="6149" xr:uid="{00000000-0005-0000-0000-0000FE1D0000}"/>
    <cellStyle name="Total 4 2 2 6" xfId="6586" xr:uid="{00000000-0005-0000-0000-0000FF1D0000}"/>
    <cellStyle name="Total 4 2 2 7" xfId="7023" xr:uid="{00000000-0005-0000-0000-0000001E0000}"/>
    <cellStyle name="Total 4 2 2 8" xfId="7460" xr:uid="{00000000-0005-0000-0000-0000011E0000}"/>
    <cellStyle name="Total 4 2 2 9" xfId="8308" xr:uid="{00000000-0005-0000-0000-0000021E0000}"/>
    <cellStyle name="Total 4 2 3" xfId="4504" xr:uid="{00000000-0005-0000-0000-0000031E0000}"/>
    <cellStyle name="Total 4 2 3 10" xfId="7907" xr:uid="{00000000-0005-0000-0000-0000041E0000}"/>
    <cellStyle name="Total 4 2 3 11" xfId="9327" xr:uid="{00000000-0005-0000-0000-0000051E0000}"/>
    <cellStyle name="Total 4 2 3 12" xfId="8809" xr:uid="{00000000-0005-0000-0000-0000061E0000}"/>
    <cellStyle name="Total 4 2 3 13" xfId="9940" xr:uid="{00000000-0005-0000-0000-0000071E0000}"/>
    <cellStyle name="Total 4 2 3 14" xfId="10412" xr:uid="{00000000-0005-0000-0000-0000081E0000}"/>
    <cellStyle name="Total 4 2 3 15" xfId="10954" xr:uid="{00000000-0005-0000-0000-0000091E0000}"/>
    <cellStyle name="Total 4 2 3 16" xfId="11299" xr:uid="{00000000-0005-0000-0000-00000A1E0000}"/>
    <cellStyle name="Total 4 2 3 17" xfId="11768" xr:uid="{00000000-0005-0000-0000-00000B1E0000}"/>
    <cellStyle name="Total 4 2 3 18" xfId="11950" xr:uid="{00000000-0005-0000-0000-00000C1E0000}"/>
    <cellStyle name="Total 4 2 3 19" xfId="12839" xr:uid="{00000000-0005-0000-0000-00000D1E0000}"/>
    <cellStyle name="Total 4 2 3 2" xfId="5051" xr:uid="{00000000-0005-0000-0000-00000E1E0000}"/>
    <cellStyle name="Total 4 2 3 3" xfId="5489" xr:uid="{00000000-0005-0000-0000-00000F1E0000}"/>
    <cellStyle name="Total 4 2 3 4" xfId="5927" xr:uid="{00000000-0005-0000-0000-0000101E0000}"/>
    <cellStyle name="Total 4 2 3 5" xfId="6364" xr:uid="{00000000-0005-0000-0000-0000111E0000}"/>
    <cellStyle name="Total 4 2 3 6" xfId="6801" xr:uid="{00000000-0005-0000-0000-0000121E0000}"/>
    <cellStyle name="Total 4 2 3 7" xfId="7238" xr:uid="{00000000-0005-0000-0000-0000131E0000}"/>
    <cellStyle name="Total 4 2 3 8" xfId="7675" xr:uid="{00000000-0005-0000-0000-0000141E0000}"/>
    <cellStyle name="Total 4 2 3 9" xfId="8523" xr:uid="{00000000-0005-0000-0000-0000151E0000}"/>
    <cellStyle name="Total 4 3" xfId="4289" xr:uid="{00000000-0005-0000-0000-0000161E0000}"/>
    <cellStyle name="Total 4 3 10" xfId="8121" xr:uid="{00000000-0005-0000-0000-0000171E0000}"/>
    <cellStyle name="Total 4 3 11" xfId="9111" xr:uid="{00000000-0005-0000-0000-0000181E0000}"/>
    <cellStyle name="Total 4 3 12" xfId="8941" xr:uid="{00000000-0005-0000-0000-0000191E0000}"/>
    <cellStyle name="Total 4 3 13" xfId="9724" xr:uid="{00000000-0005-0000-0000-00001A1E0000}"/>
    <cellStyle name="Total 4 3 14" xfId="10196" xr:uid="{00000000-0005-0000-0000-00001B1E0000}"/>
    <cellStyle name="Total 4 3 15" xfId="10107" xr:uid="{00000000-0005-0000-0000-00001C1E0000}"/>
    <cellStyle name="Total 4 3 16" xfId="11083" xr:uid="{00000000-0005-0000-0000-00001D1E0000}"/>
    <cellStyle name="Total 4 3 17" xfId="11552" xr:uid="{00000000-0005-0000-0000-00001E1E0000}"/>
    <cellStyle name="Total 4 3 18" xfId="12338" xr:uid="{00000000-0005-0000-0000-00001F1E0000}"/>
    <cellStyle name="Total 4 3 19" xfId="12623" xr:uid="{00000000-0005-0000-0000-0000201E0000}"/>
    <cellStyle name="Total 4 3 2" xfId="4835" xr:uid="{00000000-0005-0000-0000-0000211E0000}"/>
    <cellStyle name="Total 4 3 3" xfId="5273" xr:uid="{00000000-0005-0000-0000-0000221E0000}"/>
    <cellStyle name="Total 4 3 4" xfId="5711" xr:uid="{00000000-0005-0000-0000-0000231E0000}"/>
    <cellStyle name="Total 4 3 5" xfId="6148" xr:uid="{00000000-0005-0000-0000-0000241E0000}"/>
    <cellStyle name="Total 4 3 6" xfId="6585" xr:uid="{00000000-0005-0000-0000-0000251E0000}"/>
    <cellStyle name="Total 4 3 7" xfId="7022" xr:uid="{00000000-0005-0000-0000-0000261E0000}"/>
    <cellStyle name="Total 4 3 8" xfId="7459" xr:uid="{00000000-0005-0000-0000-0000271E0000}"/>
    <cellStyle name="Total 4 3 9" xfId="8307" xr:uid="{00000000-0005-0000-0000-0000281E0000}"/>
    <cellStyle name="Total 4 4" xfId="4503" xr:uid="{00000000-0005-0000-0000-0000291E0000}"/>
    <cellStyle name="Total 4 4 10" xfId="7908" xr:uid="{00000000-0005-0000-0000-00002A1E0000}"/>
    <cellStyle name="Total 4 4 11" xfId="9326" xr:uid="{00000000-0005-0000-0000-00002B1E0000}"/>
    <cellStyle name="Total 4 4 12" xfId="8810" xr:uid="{00000000-0005-0000-0000-00002C1E0000}"/>
    <cellStyle name="Total 4 4 13" xfId="9939" xr:uid="{00000000-0005-0000-0000-00002D1E0000}"/>
    <cellStyle name="Total 4 4 14" xfId="10411" xr:uid="{00000000-0005-0000-0000-00002E1E0000}"/>
    <cellStyle name="Total 4 4 15" xfId="10904" xr:uid="{00000000-0005-0000-0000-00002F1E0000}"/>
    <cellStyle name="Total 4 4 16" xfId="11298" xr:uid="{00000000-0005-0000-0000-0000301E0000}"/>
    <cellStyle name="Total 4 4 17" xfId="11767" xr:uid="{00000000-0005-0000-0000-0000311E0000}"/>
    <cellStyle name="Total 4 4 18" xfId="11979" xr:uid="{00000000-0005-0000-0000-0000321E0000}"/>
    <cellStyle name="Total 4 4 19" xfId="12838" xr:uid="{00000000-0005-0000-0000-0000331E0000}"/>
    <cellStyle name="Total 4 4 2" xfId="5050" xr:uid="{00000000-0005-0000-0000-0000341E0000}"/>
    <cellStyle name="Total 4 4 3" xfId="5488" xr:uid="{00000000-0005-0000-0000-0000351E0000}"/>
    <cellStyle name="Total 4 4 4" xfId="5926" xr:uid="{00000000-0005-0000-0000-0000361E0000}"/>
    <cellStyle name="Total 4 4 5" xfId="6363" xr:uid="{00000000-0005-0000-0000-0000371E0000}"/>
    <cellStyle name="Total 4 4 6" xfId="6800" xr:uid="{00000000-0005-0000-0000-0000381E0000}"/>
    <cellStyle name="Total 4 4 7" xfId="7237" xr:uid="{00000000-0005-0000-0000-0000391E0000}"/>
    <cellStyle name="Total 4 4 8" xfId="7674" xr:uid="{00000000-0005-0000-0000-00003A1E0000}"/>
    <cellStyle name="Total 4 4 9" xfId="8522" xr:uid="{00000000-0005-0000-0000-00003B1E0000}"/>
    <cellStyle name="Total 4 5" xfId="12378" xr:uid="{00000000-0005-0000-0000-00003C1E0000}"/>
    <cellStyle name="Total 4 6" xfId="12439" xr:uid="{00000000-0005-0000-0000-00003D1E0000}"/>
    <cellStyle name="Total 4 7" xfId="12520" xr:uid="{00000000-0005-0000-0000-00003E1E0000}"/>
    <cellStyle name="Total 40" xfId="4091" xr:uid="{00000000-0005-0000-0000-00003F1E0000}"/>
    <cellStyle name="Total 40 2" xfId="4092" xr:uid="{00000000-0005-0000-0000-0000401E0000}"/>
    <cellStyle name="Total 40 2 2" xfId="4292" xr:uid="{00000000-0005-0000-0000-0000411E0000}"/>
    <cellStyle name="Total 40 2 2 10" xfId="8118" xr:uid="{00000000-0005-0000-0000-0000421E0000}"/>
    <cellStyle name="Total 40 2 2 11" xfId="9114" xr:uid="{00000000-0005-0000-0000-0000431E0000}"/>
    <cellStyle name="Total 40 2 2 12" xfId="8938" xr:uid="{00000000-0005-0000-0000-0000441E0000}"/>
    <cellStyle name="Total 40 2 2 13" xfId="9727" xr:uid="{00000000-0005-0000-0000-0000451E0000}"/>
    <cellStyle name="Total 40 2 2 14" xfId="10199" xr:uid="{00000000-0005-0000-0000-0000461E0000}"/>
    <cellStyle name="Total 40 2 2 15" xfId="10776" xr:uid="{00000000-0005-0000-0000-0000471E0000}"/>
    <cellStyle name="Total 40 2 2 16" xfId="11086" xr:uid="{00000000-0005-0000-0000-0000481E0000}"/>
    <cellStyle name="Total 40 2 2 17" xfId="11555" xr:uid="{00000000-0005-0000-0000-0000491E0000}"/>
    <cellStyle name="Total 40 2 2 18" xfId="12251" xr:uid="{00000000-0005-0000-0000-00004A1E0000}"/>
    <cellStyle name="Total 40 2 2 19" xfId="12626" xr:uid="{00000000-0005-0000-0000-00004B1E0000}"/>
    <cellStyle name="Total 40 2 2 2" xfId="4838" xr:uid="{00000000-0005-0000-0000-00004C1E0000}"/>
    <cellStyle name="Total 40 2 2 3" xfId="5276" xr:uid="{00000000-0005-0000-0000-00004D1E0000}"/>
    <cellStyle name="Total 40 2 2 4" xfId="5714" xr:uid="{00000000-0005-0000-0000-00004E1E0000}"/>
    <cellStyle name="Total 40 2 2 5" xfId="6151" xr:uid="{00000000-0005-0000-0000-00004F1E0000}"/>
    <cellStyle name="Total 40 2 2 6" xfId="6588" xr:uid="{00000000-0005-0000-0000-0000501E0000}"/>
    <cellStyle name="Total 40 2 2 7" xfId="7025" xr:uid="{00000000-0005-0000-0000-0000511E0000}"/>
    <cellStyle name="Total 40 2 2 8" xfId="7462" xr:uid="{00000000-0005-0000-0000-0000521E0000}"/>
    <cellStyle name="Total 40 2 2 9" xfId="8310" xr:uid="{00000000-0005-0000-0000-0000531E0000}"/>
    <cellStyle name="Total 40 2 3" xfId="4506" xr:uid="{00000000-0005-0000-0000-0000541E0000}"/>
    <cellStyle name="Total 40 2 3 10" xfId="7905" xr:uid="{00000000-0005-0000-0000-0000551E0000}"/>
    <cellStyle name="Total 40 2 3 11" xfId="9329" xr:uid="{00000000-0005-0000-0000-0000561E0000}"/>
    <cellStyle name="Total 40 2 3 12" xfId="9615" xr:uid="{00000000-0005-0000-0000-0000571E0000}"/>
    <cellStyle name="Total 40 2 3 13" xfId="9942" xr:uid="{00000000-0005-0000-0000-0000581E0000}"/>
    <cellStyle name="Total 40 2 3 14" xfId="10414" xr:uid="{00000000-0005-0000-0000-0000591E0000}"/>
    <cellStyle name="Total 40 2 3 15" xfId="10868" xr:uid="{00000000-0005-0000-0000-00005A1E0000}"/>
    <cellStyle name="Total 40 2 3 16" xfId="11301" xr:uid="{00000000-0005-0000-0000-00005B1E0000}"/>
    <cellStyle name="Total 40 2 3 17" xfId="11770" xr:uid="{00000000-0005-0000-0000-00005C1E0000}"/>
    <cellStyle name="Total 40 2 3 18" xfId="12329" xr:uid="{00000000-0005-0000-0000-00005D1E0000}"/>
    <cellStyle name="Total 40 2 3 19" xfId="12841" xr:uid="{00000000-0005-0000-0000-00005E1E0000}"/>
    <cellStyle name="Total 40 2 3 2" xfId="5053" xr:uid="{00000000-0005-0000-0000-00005F1E0000}"/>
    <cellStyle name="Total 40 2 3 3" xfId="5491" xr:uid="{00000000-0005-0000-0000-0000601E0000}"/>
    <cellStyle name="Total 40 2 3 4" xfId="5929" xr:uid="{00000000-0005-0000-0000-0000611E0000}"/>
    <cellStyle name="Total 40 2 3 5" xfId="6366" xr:uid="{00000000-0005-0000-0000-0000621E0000}"/>
    <cellStyle name="Total 40 2 3 6" xfId="6803" xr:uid="{00000000-0005-0000-0000-0000631E0000}"/>
    <cellStyle name="Total 40 2 3 7" xfId="7240" xr:uid="{00000000-0005-0000-0000-0000641E0000}"/>
    <cellStyle name="Total 40 2 3 8" xfId="7677" xr:uid="{00000000-0005-0000-0000-0000651E0000}"/>
    <cellStyle name="Total 40 2 3 9" xfId="8525" xr:uid="{00000000-0005-0000-0000-0000661E0000}"/>
    <cellStyle name="Total 40 3" xfId="4291" xr:uid="{00000000-0005-0000-0000-0000671E0000}"/>
    <cellStyle name="Total 40 3 10" xfId="8119" xr:uid="{00000000-0005-0000-0000-0000681E0000}"/>
    <cellStyle name="Total 40 3 11" xfId="9113" xr:uid="{00000000-0005-0000-0000-0000691E0000}"/>
    <cellStyle name="Total 40 3 12" xfId="8939" xr:uid="{00000000-0005-0000-0000-00006A1E0000}"/>
    <cellStyle name="Total 40 3 13" xfId="9726" xr:uid="{00000000-0005-0000-0000-00006B1E0000}"/>
    <cellStyle name="Total 40 3 14" xfId="10198" xr:uid="{00000000-0005-0000-0000-00006C1E0000}"/>
    <cellStyle name="Total 40 3 15" xfId="10815" xr:uid="{00000000-0005-0000-0000-00006D1E0000}"/>
    <cellStyle name="Total 40 3 16" xfId="11085" xr:uid="{00000000-0005-0000-0000-00006E1E0000}"/>
    <cellStyle name="Total 40 3 17" xfId="11554" xr:uid="{00000000-0005-0000-0000-00006F1E0000}"/>
    <cellStyle name="Total 40 3 18" xfId="12282" xr:uid="{00000000-0005-0000-0000-0000701E0000}"/>
    <cellStyle name="Total 40 3 19" xfId="12625" xr:uid="{00000000-0005-0000-0000-0000711E0000}"/>
    <cellStyle name="Total 40 3 2" xfId="4837" xr:uid="{00000000-0005-0000-0000-0000721E0000}"/>
    <cellStyle name="Total 40 3 3" xfId="5275" xr:uid="{00000000-0005-0000-0000-0000731E0000}"/>
    <cellStyle name="Total 40 3 4" xfId="5713" xr:uid="{00000000-0005-0000-0000-0000741E0000}"/>
    <cellStyle name="Total 40 3 5" xfId="6150" xr:uid="{00000000-0005-0000-0000-0000751E0000}"/>
    <cellStyle name="Total 40 3 6" xfId="6587" xr:uid="{00000000-0005-0000-0000-0000761E0000}"/>
    <cellStyle name="Total 40 3 7" xfId="7024" xr:uid="{00000000-0005-0000-0000-0000771E0000}"/>
    <cellStyle name="Total 40 3 8" xfId="7461" xr:uid="{00000000-0005-0000-0000-0000781E0000}"/>
    <cellStyle name="Total 40 3 9" xfId="8309" xr:uid="{00000000-0005-0000-0000-0000791E0000}"/>
    <cellStyle name="Total 40 4" xfId="4505" xr:uid="{00000000-0005-0000-0000-00007A1E0000}"/>
    <cellStyle name="Total 40 4 10" xfId="7906" xr:uid="{00000000-0005-0000-0000-00007B1E0000}"/>
    <cellStyle name="Total 40 4 11" xfId="9328" xr:uid="{00000000-0005-0000-0000-00007C1E0000}"/>
    <cellStyle name="Total 40 4 12" xfId="8808" xr:uid="{00000000-0005-0000-0000-00007D1E0000}"/>
    <cellStyle name="Total 40 4 13" xfId="9941" xr:uid="{00000000-0005-0000-0000-00007E1E0000}"/>
    <cellStyle name="Total 40 4 14" xfId="10413" xr:uid="{00000000-0005-0000-0000-00007F1E0000}"/>
    <cellStyle name="Total 40 4 15" xfId="10835" xr:uid="{00000000-0005-0000-0000-0000801E0000}"/>
    <cellStyle name="Total 40 4 16" xfId="11300" xr:uid="{00000000-0005-0000-0000-0000811E0000}"/>
    <cellStyle name="Total 40 4 17" xfId="11769" xr:uid="{00000000-0005-0000-0000-0000821E0000}"/>
    <cellStyle name="Total 40 4 18" xfId="11921" xr:uid="{00000000-0005-0000-0000-0000831E0000}"/>
    <cellStyle name="Total 40 4 19" xfId="12840" xr:uid="{00000000-0005-0000-0000-0000841E0000}"/>
    <cellStyle name="Total 40 4 2" xfId="5052" xr:uid="{00000000-0005-0000-0000-0000851E0000}"/>
    <cellStyle name="Total 40 4 3" xfId="5490" xr:uid="{00000000-0005-0000-0000-0000861E0000}"/>
    <cellStyle name="Total 40 4 4" xfId="5928" xr:uid="{00000000-0005-0000-0000-0000871E0000}"/>
    <cellStyle name="Total 40 4 5" xfId="6365" xr:uid="{00000000-0005-0000-0000-0000881E0000}"/>
    <cellStyle name="Total 40 4 6" xfId="6802" xr:uid="{00000000-0005-0000-0000-0000891E0000}"/>
    <cellStyle name="Total 40 4 7" xfId="7239" xr:uid="{00000000-0005-0000-0000-00008A1E0000}"/>
    <cellStyle name="Total 40 4 8" xfId="7676" xr:uid="{00000000-0005-0000-0000-00008B1E0000}"/>
    <cellStyle name="Total 40 4 9" xfId="8524" xr:uid="{00000000-0005-0000-0000-00008C1E0000}"/>
    <cellStyle name="Total 41" xfId="4093" xr:uid="{00000000-0005-0000-0000-00008D1E0000}"/>
    <cellStyle name="Total 41 2" xfId="4094" xr:uid="{00000000-0005-0000-0000-00008E1E0000}"/>
    <cellStyle name="Total 41 2 2" xfId="4294" xr:uid="{00000000-0005-0000-0000-00008F1E0000}"/>
    <cellStyle name="Total 41 2 2 10" xfId="8116" xr:uid="{00000000-0005-0000-0000-0000901E0000}"/>
    <cellStyle name="Total 41 2 2 11" xfId="9116" xr:uid="{00000000-0005-0000-0000-0000911E0000}"/>
    <cellStyle name="Total 41 2 2 12" xfId="8936" xr:uid="{00000000-0005-0000-0000-0000921E0000}"/>
    <cellStyle name="Total 41 2 2 13" xfId="9729" xr:uid="{00000000-0005-0000-0000-0000931E0000}"/>
    <cellStyle name="Total 41 2 2 14" xfId="10201" xr:uid="{00000000-0005-0000-0000-0000941E0000}"/>
    <cellStyle name="Total 41 2 2 15" xfId="10699" xr:uid="{00000000-0005-0000-0000-0000951E0000}"/>
    <cellStyle name="Total 41 2 2 16" xfId="11088" xr:uid="{00000000-0005-0000-0000-0000961E0000}"/>
    <cellStyle name="Total 41 2 2 17" xfId="11557" xr:uid="{00000000-0005-0000-0000-0000971E0000}"/>
    <cellStyle name="Total 41 2 2 18" xfId="12214" xr:uid="{00000000-0005-0000-0000-0000981E0000}"/>
    <cellStyle name="Total 41 2 2 19" xfId="12628" xr:uid="{00000000-0005-0000-0000-0000991E0000}"/>
    <cellStyle name="Total 41 2 2 2" xfId="4840" xr:uid="{00000000-0005-0000-0000-00009A1E0000}"/>
    <cellStyle name="Total 41 2 2 3" xfId="5278" xr:uid="{00000000-0005-0000-0000-00009B1E0000}"/>
    <cellStyle name="Total 41 2 2 4" xfId="5716" xr:uid="{00000000-0005-0000-0000-00009C1E0000}"/>
    <cellStyle name="Total 41 2 2 5" xfId="6153" xr:uid="{00000000-0005-0000-0000-00009D1E0000}"/>
    <cellStyle name="Total 41 2 2 6" xfId="6590" xr:uid="{00000000-0005-0000-0000-00009E1E0000}"/>
    <cellStyle name="Total 41 2 2 7" xfId="7027" xr:uid="{00000000-0005-0000-0000-00009F1E0000}"/>
    <cellStyle name="Total 41 2 2 8" xfId="7464" xr:uid="{00000000-0005-0000-0000-0000A01E0000}"/>
    <cellStyle name="Total 41 2 2 9" xfId="8312" xr:uid="{00000000-0005-0000-0000-0000A11E0000}"/>
    <cellStyle name="Total 41 2 3" xfId="4508" xr:uid="{00000000-0005-0000-0000-0000A21E0000}"/>
    <cellStyle name="Total 41 2 3 10" xfId="7903" xr:uid="{00000000-0005-0000-0000-0000A31E0000}"/>
    <cellStyle name="Total 41 2 3 11" xfId="9331" xr:uid="{00000000-0005-0000-0000-0000A41E0000}"/>
    <cellStyle name="Total 41 2 3 12" xfId="9574" xr:uid="{00000000-0005-0000-0000-0000A51E0000}"/>
    <cellStyle name="Total 41 2 3 13" xfId="9944" xr:uid="{00000000-0005-0000-0000-0000A61E0000}"/>
    <cellStyle name="Total 41 2 3 14" xfId="10416" xr:uid="{00000000-0005-0000-0000-0000A71E0000}"/>
    <cellStyle name="Total 41 2 3 15" xfId="10749" xr:uid="{00000000-0005-0000-0000-0000A81E0000}"/>
    <cellStyle name="Total 41 2 3 16" xfId="11303" xr:uid="{00000000-0005-0000-0000-0000A91E0000}"/>
    <cellStyle name="Total 41 2 3 17" xfId="11772" xr:uid="{00000000-0005-0000-0000-0000AA1E0000}"/>
    <cellStyle name="Total 41 2 3 18" xfId="12273" xr:uid="{00000000-0005-0000-0000-0000AB1E0000}"/>
    <cellStyle name="Total 41 2 3 19" xfId="12843" xr:uid="{00000000-0005-0000-0000-0000AC1E0000}"/>
    <cellStyle name="Total 41 2 3 2" xfId="5055" xr:uid="{00000000-0005-0000-0000-0000AD1E0000}"/>
    <cellStyle name="Total 41 2 3 3" xfId="5493" xr:uid="{00000000-0005-0000-0000-0000AE1E0000}"/>
    <cellStyle name="Total 41 2 3 4" xfId="5931" xr:uid="{00000000-0005-0000-0000-0000AF1E0000}"/>
    <cellStyle name="Total 41 2 3 5" xfId="6368" xr:uid="{00000000-0005-0000-0000-0000B01E0000}"/>
    <cellStyle name="Total 41 2 3 6" xfId="6805" xr:uid="{00000000-0005-0000-0000-0000B11E0000}"/>
    <cellStyle name="Total 41 2 3 7" xfId="7242" xr:uid="{00000000-0005-0000-0000-0000B21E0000}"/>
    <cellStyle name="Total 41 2 3 8" xfId="7679" xr:uid="{00000000-0005-0000-0000-0000B31E0000}"/>
    <cellStyle name="Total 41 2 3 9" xfId="8527" xr:uid="{00000000-0005-0000-0000-0000B41E0000}"/>
    <cellStyle name="Total 41 3" xfId="4293" xr:uid="{00000000-0005-0000-0000-0000B51E0000}"/>
    <cellStyle name="Total 41 3 10" xfId="8117" xr:uid="{00000000-0005-0000-0000-0000B61E0000}"/>
    <cellStyle name="Total 41 3 11" xfId="9115" xr:uid="{00000000-0005-0000-0000-0000B71E0000}"/>
    <cellStyle name="Total 41 3 12" xfId="8937" xr:uid="{00000000-0005-0000-0000-0000B81E0000}"/>
    <cellStyle name="Total 41 3 13" xfId="9728" xr:uid="{00000000-0005-0000-0000-0000B91E0000}"/>
    <cellStyle name="Total 41 3 14" xfId="10200" xr:uid="{00000000-0005-0000-0000-0000BA1E0000}"/>
    <cellStyle name="Total 41 3 15" xfId="10738" xr:uid="{00000000-0005-0000-0000-0000BB1E0000}"/>
    <cellStyle name="Total 41 3 16" xfId="11087" xr:uid="{00000000-0005-0000-0000-0000BC1E0000}"/>
    <cellStyle name="Total 41 3 17" xfId="11556" xr:uid="{00000000-0005-0000-0000-0000BD1E0000}"/>
    <cellStyle name="Total 41 3 18" xfId="12168" xr:uid="{00000000-0005-0000-0000-0000BE1E0000}"/>
    <cellStyle name="Total 41 3 19" xfId="12627" xr:uid="{00000000-0005-0000-0000-0000BF1E0000}"/>
    <cellStyle name="Total 41 3 2" xfId="4839" xr:uid="{00000000-0005-0000-0000-0000C01E0000}"/>
    <cellStyle name="Total 41 3 3" xfId="5277" xr:uid="{00000000-0005-0000-0000-0000C11E0000}"/>
    <cellStyle name="Total 41 3 4" xfId="5715" xr:uid="{00000000-0005-0000-0000-0000C21E0000}"/>
    <cellStyle name="Total 41 3 5" xfId="6152" xr:uid="{00000000-0005-0000-0000-0000C31E0000}"/>
    <cellStyle name="Total 41 3 6" xfId="6589" xr:uid="{00000000-0005-0000-0000-0000C41E0000}"/>
    <cellStyle name="Total 41 3 7" xfId="7026" xr:uid="{00000000-0005-0000-0000-0000C51E0000}"/>
    <cellStyle name="Total 41 3 8" xfId="7463" xr:uid="{00000000-0005-0000-0000-0000C61E0000}"/>
    <cellStyle name="Total 41 3 9" xfId="8311" xr:uid="{00000000-0005-0000-0000-0000C71E0000}"/>
    <cellStyle name="Total 41 4" xfId="4507" xr:uid="{00000000-0005-0000-0000-0000C81E0000}"/>
    <cellStyle name="Total 41 4 10" xfId="7904" xr:uid="{00000000-0005-0000-0000-0000C91E0000}"/>
    <cellStyle name="Total 41 4 11" xfId="9330" xr:uid="{00000000-0005-0000-0000-0000CA1E0000}"/>
    <cellStyle name="Total 41 4 12" xfId="9583" xr:uid="{00000000-0005-0000-0000-0000CB1E0000}"/>
    <cellStyle name="Total 41 4 13" xfId="9943" xr:uid="{00000000-0005-0000-0000-0000CC1E0000}"/>
    <cellStyle name="Total 41 4 14" xfId="10415" xr:uid="{00000000-0005-0000-0000-0000CD1E0000}"/>
    <cellStyle name="Total 41 4 15" xfId="10787" xr:uid="{00000000-0005-0000-0000-0000CE1E0000}"/>
    <cellStyle name="Total 41 4 16" xfId="11302" xr:uid="{00000000-0005-0000-0000-0000CF1E0000}"/>
    <cellStyle name="Total 41 4 17" xfId="11771" xr:uid="{00000000-0005-0000-0000-0000D01E0000}"/>
    <cellStyle name="Total 41 4 18" xfId="12308" xr:uid="{00000000-0005-0000-0000-0000D11E0000}"/>
    <cellStyle name="Total 41 4 19" xfId="12842" xr:uid="{00000000-0005-0000-0000-0000D21E0000}"/>
    <cellStyle name="Total 41 4 2" xfId="5054" xr:uid="{00000000-0005-0000-0000-0000D31E0000}"/>
    <cellStyle name="Total 41 4 3" xfId="5492" xr:uid="{00000000-0005-0000-0000-0000D41E0000}"/>
    <cellStyle name="Total 41 4 4" xfId="5930" xr:uid="{00000000-0005-0000-0000-0000D51E0000}"/>
    <cellStyle name="Total 41 4 5" xfId="6367" xr:uid="{00000000-0005-0000-0000-0000D61E0000}"/>
    <cellStyle name="Total 41 4 6" xfId="6804" xr:uid="{00000000-0005-0000-0000-0000D71E0000}"/>
    <cellStyle name="Total 41 4 7" xfId="7241" xr:uid="{00000000-0005-0000-0000-0000D81E0000}"/>
    <cellStyle name="Total 41 4 8" xfId="7678" xr:uid="{00000000-0005-0000-0000-0000D91E0000}"/>
    <cellStyle name="Total 41 4 9" xfId="8526" xr:uid="{00000000-0005-0000-0000-0000DA1E0000}"/>
    <cellStyle name="Total 42" xfId="4095" xr:uid="{00000000-0005-0000-0000-0000DB1E0000}"/>
    <cellStyle name="Total 42 2" xfId="4096" xr:uid="{00000000-0005-0000-0000-0000DC1E0000}"/>
    <cellStyle name="Total 42 2 2" xfId="4296" xr:uid="{00000000-0005-0000-0000-0000DD1E0000}"/>
    <cellStyle name="Total 42 2 2 10" xfId="8114" xr:uid="{00000000-0005-0000-0000-0000DE1E0000}"/>
    <cellStyle name="Total 42 2 2 11" xfId="9118" xr:uid="{00000000-0005-0000-0000-0000DF1E0000}"/>
    <cellStyle name="Total 42 2 2 12" xfId="8934" xr:uid="{00000000-0005-0000-0000-0000E01E0000}"/>
    <cellStyle name="Total 42 2 2 13" xfId="9731" xr:uid="{00000000-0005-0000-0000-0000E11E0000}"/>
    <cellStyle name="Total 42 2 2 14" xfId="10203" xr:uid="{00000000-0005-0000-0000-0000E21E0000}"/>
    <cellStyle name="Total 42 2 2 15" xfId="10620" xr:uid="{00000000-0005-0000-0000-0000E31E0000}"/>
    <cellStyle name="Total 42 2 2 16" xfId="11090" xr:uid="{00000000-0005-0000-0000-0000E41E0000}"/>
    <cellStyle name="Total 42 2 2 17" xfId="11559" xr:uid="{00000000-0005-0000-0000-0000E51E0000}"/>
    <cellStyle name="Total 42 2 2 18" xfId="12148" xr:uid="{00000000-0005-0000-0000-0000E61E0000}"/>
    <cellStyle name="Total 42 2 2 19" xfId="12630" xr:uid="{00000000-0005-0000-0000-0000E71E0000}"/>
    <cellStyle name="Total 42 2 2 2" xfId="4842" xr:uid="{00000000-0005-0000-0000-0000E81E0000}"/>
    <cellStyle name="Total 42 2 2 3" xfId="5280" xr:uid="{00000000-0005-0000-0000-0000E91E0000}"/>
    <cellStyle name="Total 42 2 2 4" xfId="5718" xr:uid="{00000000-0005-0000-0000-0000EA1E0000}"/>
    <cellStyle name="Total 42 2 2 5" xfId="6155" xr:uid="{00000000-0005-0000-0000-0000EB1E0000}"/>
    <cellStyle name="Total 42 2 2 6" xfId="6592" xr:uid="{00000000-0005-0000-0000-0000EC1E0000}"/>
    <cellStyle name="Total 42 2 2 7" xfId="7029" xr:uid="{00000000-0005-0000-0000-0000ED1E0000}"/>
    <cellStyle name="Total 42 2 2 8" xfId="7466" xr:uid="{00000000-0005-0000-0000-0000EE1E0000}"/>
    <cellStyle name="Total 42 2 2 9" xfId="8314" xr:uid="{00000000-0005-0000-0000-0000EF1E0000}"/>
    <cellStyle name="Total 42 2 3" xfId="4510" xr:uid="{00000000-0005-0000-0000-0000F01E0000}"/>
    <cellStyle name="Total 42 2 3 10" xfId="7901" xr:uid="{00000000-0005-0000-0000-0000F11E0000}"/>
    <cellStyle name="Total 42 2 3 11" xfId="9333" xr:uid="{00000000-0005-0000-0000-0000F21E0000}"/>
    <cellStyle name="Total 42 2 3 12" xfId="9553" xr:uid="{00000000-0005-0000-0000-0000F31E0000}"/>
    <cellStyle name="Total 42 2 3 13" xfId="9946" xr:uid="{00000000-0005-0000-0000-0000F41E0000}"/>
    <cellStyle name="Total 42 2 3 14" xfId="10418" xr:uid="{00000000-0005-0000-0000-0000F51E0000}"/>
    <cellStyle name="Total 42 2 3 15" xfId="10672" xr:uid="{00000000-0005-0000-0000-0000F61E0000}"/>
    <cellStyle name="Total 42 2 3 16" xfId="11305" xr:uid="{00000000-0005-0000-0000-0000F71E0000}"/>
    <cellStyle name="Total 42 2 3 17" xfId="11774" xr:uid="{00000000-0005-0000-0000-0000F81E0000}"/>
    <cellStyle name="Total 42 2 3 18" xfId="12220" xr:uid="{00000000-0005-0000-0000-0000F91E0000}"/>
    <cellStyle name="Total 42 2 3 19" xfId="12845" xr:uid="{00000000-0005-0000-0000-0000FA1E0000}"/>
    <cellStyle name="Total 42 2 3 2" xfId="5057" xr:uid="{00000000-0005-0000-0000-0000FB1E0000}"/>
    <cellStyle name="Total 42 2 3 3" xfId="5495" xr:uid="{00000000-0005-0000-0000-0000FC1E0000}"/>
    <cellStyle name="Total 42 2 3 4" xfId="5933" xr:uid="{00000000-0005-0000-0000-0000FD1E0000}"/>
    <cellStyle name="Total 42 2 3 5" xfId="6370" xr:uid="{00000000-0005-0000-0000-0000FE1E0000}"/>
    <cellStyle name="Total 42 2 3 6" xfId="6807" xr:uid="{00000000-0005-0000-0000-0000FF1E0000}"/>
    <cellStyle name="Total 42 2 3 7" xfId="7244" xr:uid="{00000000-0005-0000-0000-0000001F0000}"/>
    <cellStyle name="Total 42 2 3 8" xfId="7681" xr:uid="{00000000-0005-0000-0000-0000011F0000}"/>
    <cellStyle name="Total 42 2 3 9" xfId="8529" xr:uid="{00000000-0005-0000-0000-0000021F0000}"/>
    <cellStyle name="Total 42 3" xfId="4295" xr:uid="{00000000-0005-0000-0000-0000031F0000}"/>
    <cellStyle name="Total 42 3 10" xfId="8115" xr:uid="{00000000-0005-0000-0000-0000041F0000}"/>
    <cellStyle name="Total 42 3 11" xfId="9117" xr:uid="{00000000-0005-0000-0000-0000051F0000}"/>
    <cellStyle name="Total 42 3 12" xfId="8935" xr:uid="{00000000-0005-0000-0000-0000061F0000}"/>
    <cellStyle name="Total 42 3 13" xfId="9730" xr:uid="{00000000-0005-0000-0000-0000071F0000}"/>
    <cellStyle name="Total 42 3 14" xfId="10202" xr:uid="{00000000-0005-0000-0000-0000081F0000}"/>
    <cellStyle name="Total 42 3 15" xfId="10660" xr:uid="{00000000-0005-0000-0000-0000091F0000}"/>
    <cellStyle name="Total 42 3 16" xfId="11089" xr:uid="{00000000-0005-0000-0000-00000A1F0000}"/>
    <cellStyle name="Total 42 3 17" xfId="11558" xr:uid="{00000000-0005-0000-0000-00000B1F0000}"/>
    <cellStyle name="Total 42 3 18" xfId="12108" xr:uid="{00000000-0005-0000-0000-00000C1F0000}"/>
    <cellStyle name="Total 42 3 19" xfId="12629" xr:uid="{00000000-0005-0000-0000-00000D1F0000}"/>
    <cellStyle name="Total 42 3 2" xfId="4841" xr:uid="{00000000-0005-0000-0000-00000E1F0000}"/>
    <cellStyle name="Total 42 3 3" xfId="5279" xr:uid="{00000000-0005-0000-0000-00000F1F0000}"/>
    <cellStyle name="Total 42 3 4" xfId="5717" xr:uid="{00000000-0005-0000-0000-0000101F0000}"/>
    <cellStyle name="Total 42 3 5" xfId="6154" xr:uid="{00000000-0005-0000-0000-0000111F0000}"/>
    <cellStyle name="Total 42 3 6" xfId="6591" xr:uid="{00000000-0005-0000-0000-0000121F0000}"/>
    <cellStyle name="Total 42 3 7" xfId="7028" xr:uid="{00000000-0005-0000-0000-0000131F0000}"/>
    <cellStyle name="Total 42 3 8" xfId="7465" xr:uid="{00000000-0005-0000-0000-0000141F0000}"/>
    <cellStyle name="Total 42 3 9" xfId="8313" xr:uid="{00000000-0005-0000-0000-0000151F0000}"/>
    <cellStyle name="Total 42 4" xfId="4509" xr:uid="{00000000-0005-0000-0000-0000161F0000}"/>
    <cellStyle name="Total 42 4 10" xfId="7902" xr:uid="{00000000-0005-0000-0000-0000171F0000}"/>
    <cellStyle name="Total 42 4 11" xfId="9332" xr:uid="{00000000-0005-0000-0000-0000181F0000}"/>
    <cellStyle name="Total 42 4 12" xfId="9563" xr:uid="{00000000-0005-0000-0000-0000191F0000}"/>
    <cellStyle name="Total 42 4 13" xfId="9945" xr:uid="{00000000-0005-0000-0000-00001A1F0000}"/>
    <cellStyle name="Total 42 4 14" xfId="10417" xr:uid="{00000000-0005-0000-0000-00001B1F0000}"/>
    <cellStyle name="Total 42 4 15" xfId="10711" xr:uid="{00000000-0005-0000-0000-00001C1F0000}"/>
    <cellStyle name="Total 42 4 16" xfId="11304" xr:uid="{00000000-0005-0000-0000-00001D1F0000}"/>
    <cellStyle name="Total 42 4 17" xfId="11773" xr:uid="{00000000-0005-0000-0000-00001E1F0000}"/>
    <cellStyle name="Total 42 4 18" xfId="12242" xr:uid="{00000000-0005-0000-0000-00001F1F0000}"/>
    <cellStyle name="Total 42 4 19" xfId="12844" xr:uid="{00000000-0005-0000-0000-0000201F0000}"/>
    <cellStyle name="Total 42 4 2" xfId="5056" xr:uid="{00000000-0005-0000-0000-0000211F0000}"/>
    <cellStyle name="Total 42 4 3" xfId="5494" xr:uid="{00000000-0005-0000-0000-0000221F0000}"/>
    <cellStyle name="Total 42 4 4" xfId="5932" xr:uid="{00000000-0005-0000-0000-0000231F0000}"/>
    <cellStyle name="Total 42 4 5" xfId="6369" xr:uid="{00000000-0005-0000-0000-0000241F0000}"/>
    <cellStyle name="Total 42 4 6" xfId="6806" xr:uid="{00000000-0005-0000-0000-0000251F0000}"/>
    <cellStyle name="Total 42 4 7" xfId="7243" xr:uid="{00000000-0005-0000-0000-0000261F0000}"/>
    <cellStyle name="Total 42 4 8" xfId="7680" xr:uid="{00000000-0005-0000-0000-0000271F0000}"/>
    <cellStyle name="Total 42 4 9" xfId="8528" xr:uid="{00000000-0005-0000-0000-0000281F0000}"/>
    <cellStyle name="Total 43" xfId="4097" xr:uid="{00000000-0005-0000-0000-0000291F0000}"/>
    <cellStyle name="Total 43 2" xfId="4098" xr:uid="{00000000-0005-0000-0000-00002A1F0000}"/>
    <cellStyle name="Total 43 2 2" xfId="4298" xr:uid="{00000000-0005-0000-0000-00002B1F0000}"/>
    <cellStyle name="Total 43 2 2 10" xfId="8112" xr:uid="{00000000-0005-0000-0000-00002C1F0000}"/>
    <cellStyle name="Total 43 2 2 11" xfId="9120" xr:uid="{00000000-0005-0000-0000-00002D1F0000}"/>
    <cellStyle name="Total 43 2 2 12" xfId="8932" xr:uid="{00000000-0005-0000-0000-00002E1F0000}"/>
    <cellStyle name="Total 43 2 2 13" xfId="9733" xr:uid="{00000000-0005-0000-0000-00002F1F0000}"/>
    <cellStyle name="Total 43 2 2 14" xfId="10205" xr:uid="{00000000-0005-0000-0000-0000301F0000}"/>
    <cellStyle name="Total 43 2 2 15" xfId="10974" xr:uid="{00000000-0005-0000-0000-0000311F0000}"/>
    <cellStyle name="Total 43 2 2 16" xfId="11092" xr:uid="{00000000-0005-0000-0000-0000321F0000}"/>
    <cellStyle name="Total 43 2 2 17" xfId="11561" xr:uid="{00000000-0005-0000-0000-0000331F0000}"/>
    <cellStyle name="Total 43 2 2 18" xfId="12059" xr:uid="{00000000-0005-0000-0000-0000341F0000}"/>
    <cellStyle name="Total 43 2 2 19" xfId="12632" xr:uid="{00000000-0005-0000-0000-0000351F0000}"/>
    <cellStyle name="Total 43 2 2 2" xfId="4844" xr:uid="{00000000-0005-0000-0000-0000361F0000}"/>
    <cellStyle name="Total 43 2 2 3" xfId="5282" xr:uid="{00000000-0005-0000-0000-0000371F0000}"/>
    <cellStyle name="Total 43 2 2 4" xfId="5720" xr:uid="{00000000-0005-0000-0000-0000381F0000}"/>
    <cellStyle name="Total 43 2 2 5" xfId="6157" xr:uid="{00000000-0005-0000-0000-0000391F0000}"/>
    <cellStyle name="Total 43 2 2 6" xfId="6594" xr:uid="{00000000-0005-0000-0000-00003A1F0000}"/>
    <cellStyle name="Total 43 2 2 7" xfId="7031" xr:uid="{00000000-0005-0000-0000-00003B1F0000}"/>
    <cellStyle name="Total 43 2 2 8" xfId="7468" xr:uid="{00000000-0005-0000-0000-00003C1F0000}"/>
    <cellStyle name="Total 43 2 2 9" xfId="8316" xr:uid="{00000000-0005-0000-0000-00003D1F0000}"/>
    <cellStyle name="Total 43 2 3" xfId="4512" xr:uid="{00000000-0005-0000-0000-00003E1F0000}"/>
    <cellStyle name="Total 43 2 3 10" xfId="7899" xr:uid="{00000000-0005-0000-0000-00003F1F0000}"/>
    <cellStyle name="Total 43 2 3 11" xfId="9335" xr:uid="{00000000-0005-0000-0000-0000401F0000}"/>
    <cellStyle name="Total 43 2 3 12" xfId="9535" xr:uid="{00000000-0005-0000-0000-0000411F0000}"/>
    <cellStyle name="Total 43 2 3 13" xfId="9948" xr:uid="{00000000-0005-0000-0000-0000421F0000}"/>
    <cellStyle name="Total 43 2 3 14" xfId="10420" xr:uid="{00000000-0005-0000-0000-0000431F0000}"/>
    <cellStyle name="Total 43 2 3 15" xfId="10594" xr:uid="{00000000-0005-0000-0000-0000441F0000}"/>
    <cellStyle name="Total 43 2 3 16" xfId="11307" xr:uid="{00000000-0005-0000-0000-0000451F0000}"/>
    <cellStyle name="Total 43 2 3 17" xfId="11776" xr:uid="{00000000-0005-0000-0000-0000461F0000}"/>
    <cellStyle name="Total 43 2 3 18" xfId="12117" xr:uid="{00000000-0005-0000-0000-0000471F0000}"/>
    <cellStyle name="Total 43 2 3 19" xfId="12847" xr:uid="{00000000-0005-0000-0000-0000481F0000}"/>
    <cellStyle name="Total 43 2 3 2" xfId="5059" xr:uid="{00000000-0005-0000-0000-0000491F0000}"/>
    <cellStyle name="Total 43 2 3 3" xfId="5497" xr:uid="{00000000-0005-0000-0000-00004A1F0000}"/>
    <cellStyle name="Total 43 2 3 4" xfId="5935" xr:uid="{00000000-0005-0000-0000-00004B1F0000}"/>
    <cellStyle name="Total 43 2 3 5" xfId="6372" xr:uid="{00000000-0005-0000-0000-00004C1F0000}"/>
    <cellStyle name="Total 43 2 3 6" xfId="6809" xr:uid="{00000000-0005-0000-0000-00004D1F0000}"/>
    <cellStyle name="Total 43 2 3 7" xfId="7246" xr:uid="{00000000-0005-0000-0000-00004E1F0000}"/>
    <cellStyle name="Total 43 2 3 8" xfId="7683" xr:uid="{00000000-0005-0000-0000-00004F1F0000}"/>
    <cellStyle name="Total 43 2 3 9" xfId="8531" xr:uid="{00000000-0005-0000-0000-0000501F0000}"/>
    <cellStyle name="Total 43 3" xfId="4297" xr:uid="{00000000-0005-0000-0000-0000511F0000}"/>
    <cellStyle name="Total 43 3 10" xfId="8113" xr:uid="{00000000-0005-0000-0000-0000521F0000}"/>
    <cellStyle name="Total 43 3 11" xfId="9119" xr:uid="{00000000-0005-0000-0000-0000531F0000}"/>
    <cellStyle name="Total 43 3 12" xfId="8933" xr:uid="{00000000-0005-0000-0000-0000541F0000}"/>
    <cellStyle name="Total 43 3 13" xfId="9732" xr:uid="{00000000-0005-0000-0000-0000551F0000}"/>
    <cellStyle name="Total 43 3 14" xfId="10204" xr:uid="{00000000-0005-0000-0000-0000561F0000}"/>
    <cellStyle name="Total 43 3 15" xfId="10581" xr:uid="{00000000-0005-0000-0000-0000571F0000}"/>
    <cellStyle name="Total 43 3 16" xfId="11091" xr:uid="{00000000-0005-0000-0000-0000581F0000}"/>
    <cellStyle name="Total 43 3 17" xfId="11560" xr:uid="{00000000-0005-0000-0000-0000591F0000}"/>
    <cellStyle name="Total 43 3 18" xfId="12089" xr:uid="{00000000-0005-0000-0000-00005A1F0000}"/>
    <cellStyle name="Total 43 3 19" xfId="12631" xr:uid="{00000000-0005-0000-0000-00005B1F0000}"/>
    <cellStyle name="Total 43 3 2" xfId="4843" xr:uid="{00000000-0005-0000-0000-00005C1F0000}"/>
    <cellStyle name="Total 43 3 3" xfId="5281" xr:uid="{00000000-0005-0000-0000-00005D1F0000}"/>
    <cellStyle name="Total 43 3 4" xfId="5719" xr:uid="{00000000-0005-0000-0000-00005E1F0000}"/>
    <cellStyle name="Total 43 3 5" xfId="6156" xr:uid="{00000000-0005-0000-0000-00005F1F0000}"/>
    <cellStyle name="Total 43 3 6" xfId="6593" xr:uid="{00000000-0005-0000-0000-0000601F0000}"/>
    <cellStyle name="Total 43 3 7" xfId="7030" xr:uid="{00000000-0005-0000-0000-0000611F0000}"/>
    <cellStyle name="Total 43 3 8" xfId="7467" xr:uid="{00000000-0005-0000-0000-0000621F0000}"/>
    <cellStyle name="Total 43 3 9" xfId="8315" xr:uid="{00000000-0005-0000-0000-0000631F0000}"/>
    <cellStyle name="Total 43 4" xfId="4511" xr:uid="{00000000-0005-0000-0000-0000641F0000}"/>
    <cellStyle name="Total 43 4 10" xfId="7900" xr:uid="{00000000-0005-0000-0000-0000651F0000}"/>
    <cellStyle name="Total 43 4 11" xfId="9334" xr:uid="{00000000-0005-0000-0000-0000661F0000}"/>
    <cellStyle name="Total 43 4 12" xfId="9543" xr:uid="{00000000-0005-0000-0000-0000671F0000}"/>
    <cellStyle name="Total 43 4 13" xfId="9947" xr:uid="{00000000-0005-0000-0000-0000681F0000}"/>
    <cellStyle name="Total 43 4 14" xfId="10419" xr:uid="{00000000-0005-0000-0000-0000691F0000}"/>
    <cellStyle name="Total 43 4 15" xfId="10633" xr:uid="{00000000-0005-0000-0000-00006A1F0000}"/>
    <cellStyle name="Total 43 4 16" xfId="11306" xr:uid="{00000000-0005-0000-0000-00006B1F0000}"/>
    <cellStyle name="Total 43 4 17" xfId="11775" xr:uid="{00000000-0005-0000-0000-00006C1F0000}"/>
    <cellStyle name="Total 43 4 18" xfId="12205" xr:uid="{00000000-0005-0000-0000-00006D1F0000}"/>
    <cellStyle name="Total 43 4 19" xfId="12846" xr:uid="{00000000-0005-0000-0000-00006E1F0000}"/>
    <cellStyle name="Total 43 4 2" xfId="5058" xr:uid="{00000000-0005-0000-0000-00006F1F0000}"/>
    <cellStyle name="Total 43 4 3" xfId="5496" xr:uid="{00000000-0005-0000-0000-0000701F0000}"/>
    <cellStyle name="Total 43 4 4" xfId="5934" xr:uid="{00000000-0005-0000-0000-0000711F0000}"/>
    <cellStyle name="Total 43 4 5" xfId="6371" xr:uid="{00000000-0005-0000-0000-0000721F0000}"/>
    <cellStyle name="Total 43 4 6" xfId="6808" xr:uid="{00000000-0005-0000-0000-0000731F0000}"/>
    <cellStyle name="Total 43 4 7" xfId="7245" xr:uid="{00000000-0005-0000-0000-0000741F0000}"/>
    <cellStyle name="Total 43 4 8" xfId="7682" xr:uid="{00000000-0005-0000-0000-0000751F0000}"/>
    <cellStyle name="Total 43 4 9" xfId="8530" xr:uid="{00000000-0005-0000-0000-0000761F0000}"/>
    <cellStyle name="Total 44" xfId="4099" xr:uid="{00000000-0005-0000-0000-0000771F0000}"/>
    <cellStyle name="Total 44 2" xfId="4100" xr:uid="{00000000-0005-0000-0000-0000781F0000}"/>
    <cellStyle name="Total 44 2 2" xfId="4300" xr:uid="{00000000-0005-0000-0000-0000791F0000}"/>
    <cellStyle name="Total 44 2 2 10" xfId="8110" xr:uid="{00000000-0005-0000-0000-00007A1F0000}"/>
    <cellStyle name="Total 44 2 2 11" xfId="9122" xr:uid="{00000000-0005-0000-0000-00007B1F0000}"/>
    <cellStyle name="Total 44 2 2 12" xfId="8930" xr:uid="{00000000-0005-0000-0000-00007C1F0000}"/>
    <cellStyle name="Total 44 2 2 13" xfId="9735" xr:uid="{00000000-0005-0000-0000-00007D1F0000}"/>
    <cellStyle name="Total 44 2 2 14" xfId="10207" xr:uid="{00000000-0005-0000-0000-00007E1F0000}"/>
    <cellStyle name="Total 44 2 2 15" xfId="10828" xr:uid="{00000000-0005-0000-0000-00007F1F0000}"/>
    <cellStyle name="Total 44 2 2 16" xfId="11094" xr:uid="{00000000-0005-0000-0000-0000801F0000}"/>
    <cellStyle name="Total 44 2 2 17" xfId="11563" xr:uid="{00000000-0005-0000-0000-0000811F0000}"/>
    <cellStyle name="Total 44 2 2 18" xfId="12001" xr:uid="{00000000-0005-0000-0000-0000821F0000}"/>
    <cellStyle name="Total 44 2 2 19" xfId="12634" xr:uid="{00000000-0005-0000-0000-0000831F0000}"/>
    <cellStyle name="Total 44 2 2 2" xfId="4846" xr:uid="{00000000-0005-0000-0000-0000841F0000}"/>
    <cellStyle name="Total 44 2 2 3" xfId="5284" xr:uid="{00000000-0005-0000-0000-0000851F0000}"/>
    <cellStyle name="Total 44 2 2 4" xfId="5722" xr:uid="{00000000-0005-0000-0000-0000861F0000}"/>
    <cellStyle name="Total 44 2 2 5" xfId="6159" xr:uid="{00000000-0005-0000-0000-0000871F0000}"/>
    <cellStyle name="Total 44 2 2 6" xfId="6596" xr:uid="{00000000-0005-0000-0000-0000881F0000}"/>
    <cellStyle name="Total 44 2 2 7" xfId="7033" xr:uid="{00000000-0005-0000-0000-0000891F0000}"/>
    <cellStyle name="Total 44 2 2 8" xfId="7470" xr:uid="{00000000-0005-0000-0000-00008A1F0000}"/>
    <cellStyle name="Total 44 2 2 9" xfId="8318" xr:uid="{00000000-0005-0000-0000-00008B1F0000}"/>
    <cellStyle name="Total 44 2 3" xfId="4514" xr:uid="{00000000-0005-0000-0000-00008C1F0000}"/>
    <cellStyle name="Total 44 2 3 10" xfId="7897" xr:uid="{00000000-0005-0000-0000-00008D1F0000}"/>
    <cellStyle name="Total 44 2 3 11" xfId="9337" xr:uid="{00000000-0005-0000-0000-00008E1F0000}"/>
    <cellStyle name="Total 44 2 3 12" xfId="9594" xr:uid="{00000000-0005-0000-0000-00008F1F0000}"/>
    <cellStyle name="Total 44 2 3 13" xfId="9950" xr:uid="{00000000-0005-0000-0000-0000901F0000}"/>
    <cellStyle name="Total 44 2 3 14" xfId="10422" xr:uid="{00000000-0005-0000-0000-0000911F0000}"/>
    <cellStyle name="Total 44 2 3 15" xfId="10921" xr:uid="{00000000-0005-0000-0000-0000921F0000}"/>
    <cellStyle name="Total 44 2 3 16" xfId="11309" xr:uid="{00000000-0005-0000-0000-0000931F0000}"/>
    <cellStyle name="Total 44 2 3 17" xfId="11778" xr:uid="{00000000-0005-0000-0000-0000941F0000}"/>
    <cellStyle name="Total 44 2 3 18" xfId="12080" xr:uid="{00000000-0005-0000-0000-0000951F0000}"/>
    <cellStyle name="Total 44 2 3 19" xfId="12849" xr:uid="{00000000-0005-0000-0000-0000961F0000}"/>
    <cellStyle name="Total 44 2 3 2" xfId="5061" xr:uid="{00000000-0005-0000-0000-0000971F0000}"/>
    <cellStyle name="Total 44 2 3 3" xfId="5499" xr:uid="{00000000-0005-0000-0000-0000981F0000}"/>
    <cellStyle name="Total 44 2 3 4" xfId="5937" xr:uid="{00000000-0005-0000-0000-0000991F0000}"/>
    <cellStyle name="Total 44 2 3 5" xfId="6374" xr:uid="{00000000-0005-0000-0000-00009A1F0000}"/>
    <cellStyle name="Total 44 2 3 6" xfId="6811" xr:uid="{00000000-0005-0000-0000-00009B1F0000}"/>
    <cellStyle name="Total 44 2 3 7" xfId="7248" xr:uid="{00000000-0005-0000-0000-00009C1F0000}"/>
    <cellStyle name="Total 44 2 3 8" xfId="7685" xr:uid="{00000000-0005-0000-0000-00009D1F0000}"/>
    <cellStyle name="Total 44 2 3 9" xfId="8533" xr:uid="{00000000-0005-0000-0000-00009E1F0000}"/>
    <cellStyle name="Total 44 3" xfId="4299" xr:uid="{00000000-0005-0000-0000-00009F1F0000}"/>
    <cellStyle name="Total 44 3 10" xfId="8111" xr:uid="{00000000-0005-0000-0000-0000A01F0000}"/>
    <cellStyle name="Total 44 3 11" xfId="9121" xr:uid="{00000000-0005-0000-0000-0000A11F0000}"/>
    <cellStyle name="Total 44 3 12" xfId="8931" xr:uid="{00000000-0005-0000-0000-0000A21F0000}"/>
    <cellStyle name="Total 44 3 13" xfId="9734" xr:uid="{00000000-0005-0000-0000-0000A31F0000}"/>
    <cellStyle name="Total 44 3 14" xfId="10206" xr:uid="{00000000-0005-0000-0000-0000A41F0000}"/>
    <cellStyle name="Total 44 3 15" xfId="10961" xr:uid="{00000000-0005-0000-0000-0000A51F0000}"/>
    <cellStyle name="Total 44 3 16" xfId="11093" xr:uid="{00000000-0005-0000-0000-0000A61F0000}"/>
    <cellStyle name="Total 44 3 17" xfId="11562" xr:uid="{00000000-0005-0000-0000-0000A71F0000}"/>
    <cellStyle name="Total 44 3 18" xfId="12030" xr:uid="{00000000-0005-0000-0000-0000A81F0000}"/>
    <cellStyle name="Total 44 3 19" xfId="12633" xr:uid="{00000000-0005-0000-0000-0000A91F0000}"/>
    <cellStyle name="Total 44 3 2" xfId="4845" xr:uid="{00000000-0005-0000-0000-0000AA1F0000}"/>
    <cellStyle name="Total 44 3 3" xfId="5283" xr:uid="{00000000-0005-0000-0000-0000AB1F0000}"/>
    <cellStyle name="Total 44 3 4" xfId="5721" xr:uid="{00000000-0005-0000-0000-0000AC1F0000}"/>
    <cellStyle name="Total 44 3 5" xfId="6158" xr:uid="{00000000-0005-0000-0000-0000AD1F0000}"/>
    <cellStyle name="Total 44 3 6" xfId="6595" xr:uid="{00000000-0005-0000-0000-0000AE1F0000}"/>
    <cellStyle name="Total 44 3 7" xfId="7032" xr:uid="{00000000-0005-0000-0000-0000AF1F0000}"/>
    <cellStyle name="Total 44 3 8" xfId="7469" xr:uid="{00000000-0005-0000-0000-0000B01F0000}"/>
    <cellStyle name="Total 44 3 9" xfId="8317" xr:uid="{00000000-0005-0000-0000-0000B11F0000}"/>
    <cellStyle name="Total 44 4" xfId="4513" xr:uid="{00000000-0005-0000-0000-0000B21F0000}"/>
    <cellStyle name="Total 44 4 10" xfId="7898" xr:uid="{00000000-0005-0000-0000-0000B31F0000}"/>
    <cellStyle name="Total 44 4 11" xfId="9336" xr:uid="{00000000-0005-0000-0000-0000B41F0000}"/>
    <cellStyle name="Total 44 4 12" xfId="9527" xr:uid="{00000000-0005-0000-0000-0000B51F0000}"/>
    <cellStyle name="Total 44 4 13" xfId="9949" xr:uid="{00000000-0005-0000-0000-0000B61F0000}"/>
    <cellStyle name="Total 44 4 14" xfId="10421" xr:uid="{00000000-0005-0000-0000-0000B71F0000}"/>
    <cellStyle name="Total 44 4 15" xfId="10554" xr:uid="{00000000-0005-0000-0000-0000B81F0000}"/>
    <cellStyle name="Total 44 4 16" xfId="11308" xr:uid="{00000000-0005-0000-0000-0000B91F0000}"/>
    <cellStyle name="Total 44 4 17" xfId="11777" xr:uid="{00000000-0005-0000-0000-0000BA1F0000}"/>
    <cellStyle name="Total 44 4 18" xfId="12139" xr:uid="{00000000-0005-0000-0000-0000BB1F0000}"/>
    <cellStyle name="Total 44 4 19" xfId="12848" xr:uid="{00000000-0005-0000-0000-0000BC1F0000}"/>
    <cellStyle name="Total 44 4 2" xfId="5060" xr:uid="{00000000-0005-0000-0000-0000BD1F0000}"/>
    <cellStyle name="Total 44 4 3" xfId="5498" xr:uid="{00000000-0005-0000-0000-0000BE1F0000}"/>
    <cellStyle name="Total 44 4 4" xfId="5936" xr:uid="{00000000-0005-0000-0000-0000BF1F0000}"/>
    <cellStyle name="Total 44 4 5" xfId="6373" xr:uid="{00000000-0005-0000-0000-0000C01F0000}"/>
    <cellStyle name="Total 44 4 6" xfId="6810" xr:uid="{00000000-0005-0000-0000-0000C11F0000}"/>
    <cellStyle name="Total 44 4 7" xfId="7247" xr:uid="{00000000-0005-0000-0000-0000C21F0000}"/>
    <cellStyle name="Total 44 4 8" xfId="7684" xr:uid="{00000000-0005-0000-0000-0000C31F0000}"/>
    <cellStyle name="Total 44 4 9" xfId="8532" xr:uid="{00000000-0005-0000-0000-0000C41F0000}"/>
    <cellStyle name="Total 45" xfId="4101" xr:uid="{00000000-0005-0000-0000-0000C51F0000}"/>
    <cellStyle name="Total 45 2" xfId="4102" xr:uid="{00000000-0005-0000-0000-0000C61F0000}"/>
    <cellStyle name="Total 45 2 2" xfId="4302" xr:uid="{00000000-0005-0000-0000-0000C71F0000}"/>
    <cellStyle name="Total 45 2 2 10" xfId="8108" xr:uid="{00000000-0005-0000-0000-0000C81F0000}"/>
    <cellStyle name="Total 45 2 2 11" xfId="9124" xr:uid="{00000000-0005-0000-0000-0000C91F0000}"/>
    <cellStyle name="Total 45 2 2 12" xfId="8928" xr:uid="{00000000-0005-0000-0000-0000CA1F0000}"/>
    <cellStyle name="Total 45 2 2 13" xfId="9737" xr:uid="{00000000-0005-0000-0000-0000CB1F0000}"/>
    <cellStyle name="Total 45 2 2 14" xfId="10209" xr:uid="{00000000-0005-0000-0000-0000CC1F0000}"/>
    <cellStyle name="Total 45 2 2 15" xfId="10794" xr:uid="{00000000-0005-0000-0000-0000CD1F0000}"/>
    <cellStyle name="Total 45 2 2 16" xfId="11096" xr:uid="{00000000-0005-0000-0000-0000CE1F0000}"/>
    <cellStyle name="Total 45 2 2 17" xfId="11565" xr:uid="{00000000-0005-0000-0000-0000CF1F0000}"/>
    <cellStyle name="Total 45 2 2 18" xfId="11944" xr:uid="{00000000-0005-0000-0000-0000D01F0000}"/>
    <cellStyle name="Total 45 2 2 19" xfId="12636" xr:uid="{00000000-0005-0000-0000-0000D11F0000}"/>
    <cellStyle name="Total 45 2 2 2" xfId="4848" xr:uid="{00000000-0005-0000-0000-0000D21F0000}"/>
    <cellStyle name="Total 45 2 2 3" xfId="5286" xr:uid="{00000000-0005-0000-0000-0000D31F0000}"/>
    <cellStyle name="Total 45 2 2 4" xfId="5724" xr:uid="{00000000-0005-0000-0000-0000D41F0000}"/>
    <cellStyle name="Total 45 2 2 5" xfId="6161" xr:uid="{00000000-0005-0000-0000-0000D51F0000}"/>
    <cellStyle name="Total 45 2 2 6" xfId="6598" xr:uid="{00000000-0005-0000-0000-0000D61F0000}"/>
    <cellStyle name="Total 45 2 2 7" xfId="7035" xr:uid="{00000000-0005-0000-0000-0000D71F0000}"/>
    <cellStyle name="Total 45 2 2 8" xfId="7472" xr:uid="{00000000-0005-0000-0000-0000D81F0000}"/>
    <cellStyle name="Total 45 2 2 9" xfId="8320" xr:uid="{00000000-0005-0000-0000-0000D91F0000}"/>
    <cellStyle name="Total 45 2 3" xfId="4516" xr:uid="{00000000-0005-0000-0000-0000DA1F0000}"/>
    <cellStyle name="Total 45 2 3 10" xfId="7895" xr:uid="{00000000-0005-0000-0000-0000DB1F0000}"/>
    <cellStyle name="Total 45 2 3 11" xfId="9339" xr:uid="{00000000-0005-0000-0000-0000DC1F0000}"/>
    <cellStyle name="Total 45 2 3 12" xfId="9584" xr:uid="{00000000-0005-0000-0000-0000DD1F0000}"/>
    <cellStyle name="Total 45 2 3 13" xfId="9952" xr:uid="{00000000-0005-0000-0000-0000DE1F0000}"/>
    <cellStyle name="Total 45 2 3 14" xfId="10424" xr:uid="{00000000-0005-0000-0000-0000DF1F0000}"/>
    <cellStyle name="Total 45 2 3 15" xfId="10855" xr:uid="{00000000-0005-0000-0000-0000E01F0000}"/>
    <cellStyle name="Total 45 2 3 16" xfId="11311" xr:uid="{00000000-0005-0000-0000-0000E11F0000}"/>
    <cellStyle name="Total 45 2 3 17" xfId="11780" xr:uid="{00000000-0005-0000-0000-0000E21F0000}"/>
    <cellStyle name="Total 45 2 3 18" xfId="12021" xr:uid="{00000000-0005-0000-0000-0000E31F0000}"/>
    <cellStyle name="Total 45 2 3 19" xfId="12851" xr:uid="{00000000-0005-0000-0000-0000E41F0000}"/>
    <cellStyle name="Total 45 2 3 2" xfId="5063" xr:uid="{00000000-0005-0000-0000-0000E51F0000}"/>
    <cellStyle name="Total 45 2 3 3" xfId="5501" xr:uid="{00000000-0005-0000-0000-0000E61F0000}"/>
    <cellStyle name="Total 45 2 3 4" xfId="5939" xr:uid="{00000000-0005-0000-0000-0000E71F0000}"/>
    <cellStyle name="Total 45 2 3 5" xfId="6376" xr:uid="{00000000-0005-0000-0000-0000E81F0000}"/>
    <cellStyle name="Total 45 2 3 6" xfId="6813" xr:uid="{00000000-0005-0000-0000-0000E91F0000}"/>
    <cellStyle name="Total 45 2 3 7" xfId="7250" xr:uid="{00000000-0005-0000-0000-0000EA1F0000}"/>
    <cellStyle name="Total 45 2 3 8" xfId="7687" xr:uid="{00000000-0005-0000-0000-0000EB1F0000}"/>
    <cellStyle name="Total 45 2 3 9" xfId="8535" xr:uid="{00000000-0005-0000-0000-0000EC1F0000}"/>
    <cellStyle name="Total 45 3" xfId="4301" xr:uid="{00000000-0005-0000-0000-0000ED1F0000}"/>
    <cellStyle name="Total 45 3 10" xfId="8109" xr:uid="{00000000-0005-0000-0000-0000EE1F0000}"/>
    <cellStyle name="Total 45 3 11" xfId="9123" xr:uid="{00000000-0005-0000-0000-0000EF1F0000}"/>
    <cellStyle name="Total 45 3 12" xfId="8929" xr:uid="{00000000-0005-0000-0000-0000F01F0000}"/>
    <cellStyle name="Total 45 3 13" xfId="9736" xr:uid="{00000000-0005-0000-0000-0000F11F0000}"/>
    <cellStyle name="Total 45 3 14" xfId="10208" xr:uid="{00000000-0005-0000-0000-0000F21F0000}"/>
    <cellStyle name="Total 45 3 15" xfId="10875" xr:uid="{00000000-0005-0000-0000-0000F31F0000}"/>
    <cellStyle name="Total 45 3 16" xfId="11095" xr:uid="{00000000-0005-0000-0000-0000F41F0000}"/>
    <cellStyle name="Total 45 3 17" xfId="11564" xr:uid="{00000000-0005-0000-0000-0000F51F0000}"/>
    <cellStyle name="Total 45 3 18" xfId="11973" xr:uid="{00000000-0005-0000-0000-0000F61F0000}"/>
    <cellStyle name="Total 45 3 19" xfId="12635" xr:uid="{00000000-0005-0000-0000-0000F71F0000}"/>
    <cellStyle name="Total 45 3 2" xfId="4847" xr:uid="{00000000-0005-0000-0000-0000F81F0000}"/>
    <cellStyle name="Total 45 3 3" xfId="5285" xr:uid="{00000000-0005-0000-0000-0000F91F0000}"/>
    <cellStyle name="Total 45 3 4" xfId="5723" xr:uid="{00000000-0005-0000-0000-0000FA1F0000}"/>
    <cellStyle name="Total 45 3 5" xfId="6160" xr:uid="{00000000-0005-0000-0000-0000FB1F0000}"/>
    <cellStyle name="Total 45 3 6" xfId="6597" xr:uid="{00000000-0005-0000-0000-0000FC1F0000}"/>
    <cellStyle name="Total 45 3 7" xfId="7034" xr:uid="{00000000-0005-0000-0000-0000FD1F0000}"/>
    <cellStyle name="Total 45 3 8" xfId="7471" xr:uid="{00000000-0005-0000-0000-0000FE1F0000}"/>
    <cellStyle name="Total 45 3 9" xfId="8319" xr:uid="{00000000-0005-0000-0000-0000FF1F0000}"/>
    <cellStyle name="Total 45 4" xfId="4515" xr:uid="{00000000-0005-0000-0000-000000200000}"/>
    <cellStyle name="Total 45 4 10" xfId="7896" xr:uid="{00000000-0005-0000-0000-000001200000}"/>
    <cellStyle name="Total 45 4 11" xfId="9338" xr:uid="{00000000-0005-0000-0000-000002200000}"/>
    <cellStyle name="Total 45 4 12" xfId="9616" xr:uid="{00000000-0005-0000-0000-000003200000}"/>
    <cellStyle name="Total 45 4 13" xfId="9951" xr:uid="{00000000-0005-0000-0000-000004200000}"/>
    <cellStyle name="Total 45 4 14" xfId="10423" xr:uid="{00000000-0005-0000-0000-000005200000}"/>
    <cellStyle name="Total 45 4 15" xfId="10934" xr:uid="{00000000-0005-0000-0000-000006200000}"/>
    <cellStyle name="Total 45 4 16" xfId="11310" xr:uid="{00000000-0005-0000-0000-000007200000}"/>
    <cellStyle name="Total 45 4 17" xfId="11779" xr:uid="{00000000-0005-0000-0000-000008200000}"/>
    <cellStyle name="Total 45 4 18" xfId="12050" xr:uid="{00000000-0005-0000-0000-000009200000}"/>
    <cellStyle name="Total 45 4 19" xfId="12850" xr:uid="{00000000-0005-0000-0000-00000A200000}"/>
    <cellStyle name="Total 45 4 2" xfId="5062" xr:uid="{00000000-0005-0000-0000-00000B200000}"/>
    <cellStyle name="Total 45 4 3" xfId="5500" xr:uid="{00000000-0005-0000-0000-00000C200000}"/>
    <cellStyle name="Total 45 4 4" xfId="5938" xr:uid="{00000000-0005-0000-0000-00000D200000}"/>
    <cellStyle name="Total 45 4 5" xfId="6375" xr:uid="{00000000-0005-0000-0000-00000E200000}"/>
    <cellStyle name="Total 45 4 6" xfId="6812" xr:uid="{00000000-0005-0000-0000-00000F200000}"/>
    <cellStyle name="Total 45 4 7" xfId="7249" xr:uid="{00000000-0005-0000-0000-000010200000}"/>
    <cellStyle name="Total 45 4 8" xfId="7686" xr:uid="{00000000-0005-0000-0000-000011200000}"/>
    <cellStyle name="Total 45 4 9" xfId="8534" xr:uid="{00000000-0005-0000-0000-000012200000}"/>
    <cellStyle name="Total 46" xfId="4103" xr:uid="{00000000-0005-0000-0000-000013200000}"/>
    <cellStyle name="Total 46 2" xfId="4104" xr:uid="{00000000-0005-0000-0000-000014200000}"/>
    <cellStyle name="Total 46 2 2" xfId="4304" xr:uid="{00000000-0005-0000-0000-000015200000}"/>
    <cellStyle name="Total 46 2 2 10" xfId="8106" xr:uid="{00000000-0005-0000-0000-000016200000}"/>
    <cellStyle name="Total 46 2 2 11" xfId="9126" xr:uid="{00000000-0005-0000-0000-000017200000}"/>
    <cellStyle name="Total 46 2 2 12" xfId="8926" xr:uid="{00000000-0005-0000-0000-000018200000}"/>
    <cellStyle name="Total 46 2 2 13" xfId="9739" xr:uid="{00000000-0005-0000-0000-000019200000}"/>
    <cellStyle name="Total 46 2 2 14" xfId="10211" xr:uid="{00000000-0005-0000-0000-00001A200000}"/>
    <cellStyle name="Total 46 2 2 15" xfId="10718" xr:uid="{00000000-0005-0000-0000-00001B200000}"/>
    <cellStyle name="Total 46 2 2 16" xfId="11098" xr:uid="{00000000-0005-0000-0000-00001C200000}"/>
    <cellStyle name="Total 46 2 2 17" xfId="11567" xr:uid="{00000000-0005-0000-0000-00001D200000}"/>
    <cellStyle name="Total 46 2 2 18" xfId="12322" xr:uid="{00000000-0005-0000-0000-00001E200000}"/>
    <cellStyle name="Total 46 2 2 19" xfId="12638" xr:uid="{00000000-0005-0000-0000-00001F200000}"/>
    <cellStyle name="Total 46 2 2 2" xfId="4850" xr:uid="{00000000-0005-0000-0000-000020200000}"/>
    <cellStyle name="Total 46 2 2 3" xfId="5288" xr:uid="{00000000-0005-0000-0000-000021200000}"/>
    <cellStyle name="Total 46 2 2 4" xfId="5726" xr:uid="{00000000-0005-0000-0000-000022200000}"/>
    <cellStyle name="Total 46 2 2 5" xfId="6163" xr:uid="{00000000-0005-0000-0000-000023200000}"/>
    <cellStyle name="Total 46 2 2 6" xfId="6600" xr:uid="{00000000-0005-0000-0000-000024200000}"/>
    <cellStyle name="Total 46 2 2 7" xfId="7037" xr:uid="{00000000-0005-0000-0000-000025200000}"/>
    <cellStyle name="Total 46 2 2 8" xfId="7474" xr:uid="{00000000-0005-0000-0000-000026200000}"/>
    <cellStyle name="Total 46 2 2 9" xfId="8322" xr:uid="{00000000-0005-0000-0000-000027200000}"/>
    <cellStyle name="Total 46 2 3" xfId="4518" xr:uid="{00000000-0005-0000-0000-000028200000}"/>
    <cellStyle name="Total 46 2 3 10" xfId="7893" xr:uid="{00000000-0005-0000-0000-000029200000}"/>
    <cellStyle name="Total 46 2 3 11" xfId="9341" xr:uid="{00000000-0005-0000-0000-00002A200000}"/>
    <cellStyle name="Total 46 2 3 12" xfId="9564" xr:uid="{00000000-0005-0000-0000-00002B200000}"/>
    <cellStyle name="Total 46 2 3 13" xfId="9954" xr:uid="{00000000-0005-0000-0000-00002C200000}"/>
    <cellStyle name="Total 46 2 3 14" xfId="10426" xr:uid="{00000000-0005-0000-0000-00002D200000}"/>
    <cellStyle name="Total 46 2 3 15" xfId="10097" xr:uid="{00000000-0005-0000-0000-00002E200000}"/>
    <cellStyle name="Total 46 2 3 16" xfId="11313" xr:uid="{00000000-0005-0000-0000-00002F200000}"/>
    <cellStyle name="Total 46 2 3 17" xfId="11782" xr:uid="{00000000-0005-0000-0000-000030200000}"/>
    <cellStyle name="Total 46 2 3 18" xfId="11964" xr:uid="{00000000-0005-0000-0000-000031200000}"/>
    <cellStyle name="Total 46 2 3 19" xfId="12853" xr:uid="{00000000-0005-0000-0000-000032200000}"/>
    <cellStyle name="Total 46 2 3 2" xfId="5065" xr:uid="{00000000-0005-0000-0000-000033200000}"/>
    <cellStyle name="Total 46 2 3 3" xfId="5503" xr:uid="{00000000-0005-0000-0000-000034200000}"/>
    <cellStyle name="Total 46 2 3 4" xfId="5941" xr:uid="{00000000-0005-0000-0000-000035200000}"/>
    <cellStyle name="Total 46 2 3 5" xfId="6378" xr:uid="{00000000-0005-0000-0000-000036200000}"/>
    <cellStyle name="Total 46 2 3 6" xfId="6815" xr:uid="{00000000-0005-0000-0000-000037200000}"/>
    <cellStyle name="Total 46 2 3 7" xfId="7252" xr:uid="{00000000-0005-0000-0000-000038200000}"/>
    <cellStyle name="Total 46 2 3 8" xfId="7689" xr:uid="{00000000-0005-0000-0000-000039200000}"/>
    <cellStyle name="Total 46 2 3 9" xfId="8537" xr:uid="{00000000-0005-0000-0000-00003A200000}"/>
    <cellStyle name="Total 46 3" xfId="4303" xr:uid="{00000000-0005-0000-0000-00003B200000}"/>
    <cellStyle name="Total 46 3 10" xfId="8107" xr:uid="{00000000-0005-0000-0000-00003C200000}"/>
    <cellStyle name="Total 46 3 11" xfId="9125" xr:uid="{00000000-0005-0000-0000-00003D200000}"/>
    <cellStyle name="Total 46 3 12" xfId="8927" xr:uid="{00000000-0005-0000-0000-00003E200000}"/>
    <cellStyle name="Total 46 3 13" xfId="9738" xr:uid="{00000000-0005-0000-0000-00003F200000}"/>
    <cellStyle name="Total 46 3 14" xfId="10210" xr:uid="{00000000-0005-0000-0000-000040200000}"/>
    <cellStyle name="Total 46 3 15" xfId="10756" xr:uid="{00000000-0005-0000-0000-000041200000}"/>
    <cellStyle name="Total 46 3 16" xfId="11097" xr:uid="{00000000-0005-0000-0000-000042200000}"/>
    <cellStyle name="Total 46 3 17" xfId="11566" xr:uid="{00000000-0005-0000-0000-000043200000}"/>
    <cellStyle name="Total 46 3 18" xfId="11915" xr:uid="{00000000-0005-0000-0000-000044200000}"/>
    <cellStyle name="Total 46 3 19" xfId="12637" xr:uid="{00000000-0005-0000-0000-000045200000}"/>
    <cellStyle name="Total 46 3 2" xfId="4849" xr:uid="{00000000-0005-0000-0000-000046200000}"/>
    <cellStyle name="Total 46 3 3" xfId="5287" xr:uid="{00000000-0005-0000-0000-000047200000}"/>
    <cellStyle name="Total 46 3 4" xfId="5725" xr:uid="{00000000-0005-0000-0000-000048200000}"/>
    <cellStyle name="Total 46 3 5" xfId="6162" xr:uid="{00000000-0005-0000-0000-000049200000}"/>
    <cellStyle name="Total 46 3 6" xfId="6599" xr:uid="{00000000-0005-0000-0000-00004A200000}"/>
    <cellStyle name="Total 46 3 7" xfId="7036" xr:uid="{00000000-0005-0000-0000-00004B200000}"/>
    <cellStyle name="Total 46 3 8" xfId="7473" xr:uid="{00000000-0005-0000-0000-00004C200000}"/>
    <cellStyle name="Total 46 3 9" xfId="8321" xr:uid="{00000000-0005-0000-0000-00004D200000}"/>
    <cellStyle name="Total 46 4" xfId="4517" xr:uid="{00000000-0005-0000-0000-00004E200000}"/>
    <cellStyle name="Total 46 4 10" xfId="7894" xr:uid="{00000000-0005-0000-0000-00004F200000}"/>
    <cellStyle name="Total 46 4 11" xfId="9340" xr:uid="{00000000-0005-0000-0000-000050200000}"/>
    <cellStyle name="Total 46 4 12" xfId="9575" xr:uid="{00000000-0005-0000-0000-000051200000}"/>
    <cellStyle name="Total 46 4 13" xfId="9953" xr:uid="{00000000-0005-0000-0000-000052200000}"/>
    <cellStyle name="Total 46 4 14" xfId="10425" xr:uid="{00000000-0005-0000-0000-000053200000}"/>
    <cellStyle name="Total 46 4 15" xfId="10098" xr:uid="{00000000-0005-0000-0000-000054200000}"/>
    <cellStyle name="Total 46 4 16" xfId="11312" xr:uid="{00000000-0005-0000-0000-000055200000}"/>
    <cellStyle name="Total 46 4 17" xfId="11781" xr:uid="{00000000-0005-0000-0000-000056200000}"/>
    <cellStyle name="Total 46 4 18" xfId="11992" xr:uid="{00000000-0005-0000-0000-000057200000}"/>
    <cellStyle name="Total 46 4 19" xfId="12852" xr:uid="{00000000-0005-0000-0000-000058200000}"/>
    <cellStyle name="Total 46 4 2" xfId="5064" xr:uid="{00000000-0005-0000-0000-000059200000}"/>
    <cellStyle name="Total 46 4 3" xfId="5502" xr:uid="{00000000-0005-0000-0000-00005A200000}"/>
    <cellStyle name="Total 46 4 4" xfId="5940" xr:uid="{00000000-0005-0000-0000-00005B200000}"/>
    <cellStyle name="Total 46 4 5" xfId="6377" xr:uid="{00000000-0005-0000-0000-00005C200000}"/>
    <cellStyle name="Total 46 4 6" xfId="6814" xr:uid="{00000000-0005-0000-0000-00005D200000}"/>
    <cellStyle name="Total 46 4 7" xfId="7251" xr:uid="{00000000-0005-0000-0000-00005E200000}"/>
    <cellStyle name="Total 46 4 8" xfId="7688" xr:uid="{00000000-0005-0000-0000-00005F200000}"/>
    <cellStyle name="Total 46 4 9" xfId="8536" xr:uid="{00000000-0005-0000-0000-000060200000}"/>
    <cellStyle name="Total 47" xfId="4105" xr:uid="{00000000-0005-0000-0000-000061200000}"/>
    <cellStyle name="Total 47 2" xfId="4106" xr:uid="{00000000-0005-0000-0000-000062200000}"/>
    <cellStyle name="Total 47 2 2" xfId="4306" xr:uid="{00000000-0005-0000-0000-000063200000}"/>
    <cellStyle name="Total 47 2 2 10" xfId="8104" xr:uid="{00000000-0005-0000-0000-000064200000}"/>
    <cellStyle name="Total 47 2 2 11" xfId="9128" xr:uid="{00000000-0005-0000-0000-000065200000}"/>
    <cellStyle name="Total 47 2 2 12" xfId="8924" xr:uid="{00000000-0005-0000-0000-000066200000}"/>
    <cellStyle name="Total 47 2 2 13" xfId="9741" xr:uid="{00000000-0005-0000-0000-000067200000}"/>
    <cellStyle name="Total 47 2 2 14" xfId="10213" xr:uid="{00000000-0005-0000-0000-000068200000}"/>
    <cellStyle name="Total 47 2 2 15" xfId="10640" xr:uid="{00000000-0005-0000-0000-000069200000}"/>
    <cellStyle name="Total 47 2 2 16" xfId="11100" xr:uid="{00000000-0005-0000-0000-00006A200000}"/>
    <cellStyle name="Total 47 2 2 17" xfId="11569" xr:uid="{00000000-0005-0000-0000-00006B200000}"/>
    <cellStyle name="Total 47 2 2 18" xfId="12266" xr:uid="{00000000-0005-0000-0000-00006C200000}"/>
    <cellStyle name="Total 47 2 2 19" xfId="12640" xr:uid="{00000000-0005-0000-0000-00006D200000}"/>
    <cellStyle name="Total 47 2 2 2" xfId="4852" xr:uid="{00000000-0005-0000-0000-00006E200000}"/>
    <cellStyle name="Total 47 2 2 3" xfId="5290" xr:uid="{00000000-0005-0000-0000-00006F200000}"/>
    <cellStyle name="Total 47 2 2 4" xfId="5728" xr:uid="{00000000-0005-0000-0000-000070200000}"/>
    <cellStyle name="Total 47 2 2 5" xfId="6165" xr:uid="{00000000-0005-0000-0000-000071200000}"/>
    <cellStyle name="Total 47 2 2 6" xfId="6602" xr:uid="{00000000-0005-0000-0000-000072200000}"/>
    <cellStyle name="Total 47 2 2 7" xfId="7039" xr:uid="{00000000-0005-0000-0000-000073200000}"/>
    <cellStyle name="Total 47 2 2 8" xfId="7476" xr:uid="{00000000-0005-0000-0000-000074200000}"/>
    <cellStyle name="Total 47 2 2 9" xfId="8324" xr:uid="{00000000-0005-0000-0000-000075200000}"/>
    <cellStyle name="Total 47 2 3" xfId="4520" xr:uid="{00000000-0005-0000-0000-000076200000}"/>
    <cellStyle name="Total 47 2 3 10" xfId="7891" xr:uid="{00000000-0005-0000-0000-000077200000}"/>
    <cellStyle name="Total 47 2 3 11" xfId="9343" xr:uid="{00000000-0005-0000-0000-000078200000}"/>
    <cellStyle name="Total 47 2 3 12" xfId="9544" xr:uid="{00000000-0005-0000-0000-000079200000}"/>
    <cellStyle name="Total 47 2 3 13" xfId="9956" xr:uid="{00000000-0005-0000-0000-00007A200000}"/>
    <cellStyle name="Total 47 2 3 14" xfId="10428" xr:uid="{00000000-0005-0000-0000-00007B200000}"/>
    <cellStyle name="Total 47 2 3 15" xfId="10805" xr:uid="{00000000-0005-0000-0000-00007C200000}"/>
    <cellStyle name="Total 47 2 3 16" xfId="11315" xr:uid="{00000000-0005-0000-0000-00007D200000}"/>
    <cellStyle name="Total 47 2 3 17" xfId="11784" xr:uid="{00000000-0005-0000-0000-00007E200000}"/>
    <cellStyle name="Total 47 2 3 18" xfId="11906" xr:uid="{00000000-0005-0000-0000-00007F200000}"/>
    <cellStyle name="Total 47 2 3 19" xfId="12855" xr:uid="{00000000-0005-0000-0000-000080200000}"/>
    <cellStyle name="Total 47 2 3 2" xfId="5067" xr:uid="{00000000-0005-0000-0000-000081200000}"/>
    <cellStyle name="Total 47 2 3 3" xfId="5505" xr:uid="{00000000-0005-0000-0000-000082200000}"/>
    <cellStyle name="Total 47 2 3 4" xfId="5943" xr:uid="{00000000-0005-0000-0000-000083200000}"/>
    <cellStyle name="Total 47 2 3 5" xfId="6380" xr:uid="{00000000-0005-0000-0000-000084200000}"/>
    <cellStyle name="Total 47 2 3 6" xfId="6817" xr:uid="{00000000-0005-0000-0000-000085200000}"/>
    <cellStyle name="Total 47 2 3 7" xfId="7254" xr:uid="{00000000-0005-0000-0000-000086200000}"/>
    <cellStyle name="Total 47 2 3 8" xfId="7691" xr:uid="{00000000-0005-0000-0000-000087200000}"/>
    <cellStyle name="Total 47 2 3 9" xfId="8539" xr:uid="{00000000-0005-0000-0000-000088200000}"/>
    <cellStyle name="Total 47 3" xfId="4305" xr:uid="{00000000-0005-0000-0000-000089200000}"/>
    <cellStyle name="Total 47 3 10" xfId="8105" xr:uid="{00000000-0005-0000-0000-00008A200000}"/>
    <cellStyle name="Total 47 3 11" xfId="9127" xr:uid="{00000000-0005-0000-0000-00008B200000}"/>
    <cellStyle name="Total 47 3 12" xfId="8925" xr:uid="{00000000-0005-0000-0000-00008C200000}"/>
    <cellStyle name="Total 47 3 13" xfId="9740" xr:uid="{00000000-0005-0000-0000-00008D200000}"/>
    <cellStyle name="Total 47 3 14" xfId="10212" xr:uid="{00000000-0005-0000-0000-00008E200000}"/>
    <cellStyle name="Total 47 3 15" xfId="10679" xr:uid="{00000000-0005-0000-0000-00008F200000}"/>
    <cellStyle name="Total 47 3 16" xfId="11099" xr:uid="{00000000-0005-0000-0000-000090200000}"/>
    <cellStyle name="Total 47 3 17" xfId="11568" xr:uid="{00000000-0005-0000-0000-000091200000}"/>
    <cellStyle name="Total 47 3 18" xfId="12254" xr:uid="{00000000-0005-0000-0000-000092200000}"/>
    <cellStyle name="Total 47 3 19" xfId="12639" xr:uid="{00000000-0005-0000-0000-000093200000}"/>
    <cellStyle name="Total 47 3 2" xfId="4851" xr:uid="{00000000-0005-0000-0000-000094200000}"/>
    <cellStyle name="Total 47 3 3" xfId="5289" xr:uid="{00000000-0005-0000-0000-000095200000}"/>
    <cellStyle name="Total 47 3 4" xfId="5727" xr:uid="{00000000-0005-0000-0000-000096200000}"/>
    <cellStyle name="Total 47 3 5" xfId="6164" xr:uid="{00000000-0005-0000-0000-000097200000}"/>
    <cellStyle name="Total 47 3 6" xfId="6601" xr:uid="{00000000-0005-0000-0000-000098200000}"/>
    <cellStyle name="Total 47 3 7" xfId="7038" xr:uid="{00000000-0005-0000-0000-000099200000}"/>
    <cellStyle name="Total 47 3 8" xfId="7475" xr:uid="{00000000-0005-0000-0000-00009A200000}"/>
    <cellStyle name="Total 47 3 9" xfId="8323" xr:uid="{00000000-0005-0000-0000-00009B200000}"/>
    <cellStyle name="Total 47 4" xfId="4519" xr:uid="{00000000-0005-0000-0000-00009C200000}"/>
    <cellStyle name="Total 47 4 10" xfId="7892" xr:uid="{00000000-0005-0000-0000-00009D200000}"/>
    <cellStyle name="Total 47 4 11" xfId="9342" xr:uid="{00000000-0005-0000-0000-00009E200000}"/>
    <cellStyle name="Total 47 4 12" xfId="9554" xr:uid="{00000000-0005-0000-0000-00009F200000}"/>
    <cellStyle name="Total 47 4 13" xfId="9955" xr:uid="{00000000-0005-0000-0000-0000A0200000}"/>
    <cellStyle name="Total 47 4 14" xfId="10427" xr:uid="{00000000-0005-0000-0000-0000A1200000}"/>
    <cellStyle name="Total 47 4 15" xfId="10886" xr:uid="{00000000-0005-0000-0000-0000A2200000}"/>
    <cellStyle name="Total 47 4 16" xfId="11314" xr:uid="{00000000-0005-0000-0000-0000A3200000}"/>
    <cellStyle name="Total 47 4 17" xfId="11783" xr:uid="{00000000-0005-0000-0000-0000A4200000}"/>
    <cellStyle name="Total 47 4 18" xfId="11935" xr:uid="{00000000-0005-0000-0000-0000A5200000}"/>
    <cellStyle name="Total 47 4 19" xfId="12854" xr:uid="{00000000-0005-0000-0000-0000A6200000}"/>
    <cellStyle name="Total 47 4 2" xfId="5066" xr:uid="{00000000-0005-0000-0000-0000A7200000}"/>
    <cellStyle name="Total 47 4 3" xfId="5504" xr:uid="{00000000-0005-0000-0000-0000A8200000}"/>
    <cellStyle name="Total 47 4 4" xfId="5942" xr:uid="{00000000-0005-0000-0000-0000A9200000}"/>
    <cellStyle name="Total 47 4 5" xfId="6379" xr:uid="{00000000-0005-0000-0000-0000AA200000}"/>
    <cellStyle name="Total 47 4 6" xfId="6816" xr:uid="{00000000-0005-0000-0000-0000AB200000}"/>
    <cellStyle name="Total 47 4 7" xfId="7253" xr:uid="{00000000-0005-0000-0000-0000AC200000}"/>
    <cellStyle name="Total 47 4 8" xfId="7690" xr:uid="{00000000-0005-0000-0000-0000AD200000}"/>
    <cellStyle name="Total 47 4 9" xfId="8538" xr:uid="{00000000-0005-0000-0000-0000AE200000}"/>
    <cellStyle name="Total 48" xfId="4107" xr:uid="{00000000-0005-0000-0000-0000AF200000}"/>
    <cellStyle name="Total 48 2" xfId="4108" xr:uid="{00000000-0005-0000-0000-0000B0200000}"/>
    <cellStyle name="Total 48 2 2" xfId="4308" xr:uid="{00000000-0005-0000-0000-0000B1200000}"/>
    <cellStyle name="Total 48 2 2 10" xfId="8102" xr:uid="{00000000-0005-0000-0000-0000B2200000}"/>
    <cellStyle name="Total 48 2 2 11" xfId="9130" xr:uid="{00000000-0005-0000-0000-0000B3200000}"/>
    <cellStyle name="Total 48 2 2 12" xfId="8922" xr:uid="{00000000-0005-0000-0000-0000B4200000}"/>
    <cellStyle name="Total 48 2 2 13" xfId="9743" xr:uid="{00000000-0005-0000-0000-0000B5200000}"/>
    <cellStyle name="Total 48 2 2 14" xfId="10215" xr:uid="{00000000-0005-0000-0000-0000B6200000}"/>
    <cellStyle name="Total 48 2 2 15" xfId="10561" xr:uid="{00000000-0005-0000-0000-0000B7200000}"/>
    <cellStyle name="Total 48 2 2 16" xfId="11102" xr:uid="{00000000-0005-0000-0000-0000B8200000}"/>
    <cellStyle name="Total 48 2 2 17" xfId="11571" xr:uid="{00000000-0005-0000-0000-0000B9200000}"/>
    <cellStyle name="Total 48 2 2 18" xfId="12176" xr:uid="{00000000-0005-0000-0000-0000BA200000}"/>
    <cellStyle name="Total 48 2 2 19" xfId="12642" xr:uid="{00000000-0005-0000-0000-0000BB200000}"/>
    <cellStyle name="Total 48 2 2 2" xfId="4854" xr:uid="{00000000-0005-0000-0000-0000BC200000}"/>
    <cellStyle name="Total 48 2 2 3" xfId="5292" xr:uid="{00000000-0005-0000-0000-0000BD200000}"/>
    <cellStyle name="Total 48 2 2 4" xfId="5730" xr:uid="{00000000-0005-0000-0000-0000BE200000}"/>
    <cellStyle name="Total 48 2 2 5" xfId="6167" xr:uid="{00000000-0005-0000-0000-0000BF200000}"/>
    <cellStyle name="Total 48 2 2 6" xfId="6604" xr:uid="{00000000-0005-0000-0000-0000C0200000}"/>
    <cellStyle name="Total 48 2 2 7" xfId="7041" xr:uid="{00000000-0005-0000-0000-0000C1200000}"/>
    <cellStyle name="Total 48 2 2 8" xfId="7478" xr:uid="{00000000-0005-0000-0000-0000C2200000}"/>
    <cellStyle name="Total 48 2 2 9" xfId="8326" xr:uid="{00000000-0005-0000-0000-0000C3200000}"/>
    <cellStyle name="Total 48 2 3" xfId="4522" xr:uid="{00000000-0005-0000-0000-0000C4200000}"/>
    <cellStyle name="Total 48 2 3 10" xfId="7889" xr:uid="{00000000-0005-0000-0000-0000C5200000}"/>
    <cellStyle name="Total 48 2 3 11" xfId="9345" xr:uid="{00000000-0005-0000-0000-0000C6200000}"/>
    <cellStyle name="Total 48 2 3 12" xfId="9528" xr:uid="{00000000-0005-0000-0000-0000C7200000}"/>
    <cellStyle name="Total 48 2 3 13" xfId="9958" xr:uid="{00000000-0005-0000-0000-0000C8200000}"/>
    <cellStyle name="Total 48 2 3 14" xfId="10430" xr:uid="{00000000-0005-0000-0000-0000C9200000}"/>
    <cellStyle name="Total 48 2 3 15" xfId="10728" xr:uid="{00000000-0005-0000-0000-0000CA200000}"/>
    <cellStyle name="Total 48 2 3 16" xfId="11317" xr:uid="{00000000-0005-0000-0000-0000CB200000}"/>
    <cellStyle name="Total 48 2 3 17" xfId="11786" xr:uid="{00000000-0005-0000-0000-0000CC200000}"/>
    <cellStyle name="Total 48 2 3 18" xfId="12296" xr:uid="{00000000-0005-0000-0000-0000CD200000}"/>
    <cellStyle name="Total 48 2 3 19" xfId="12857" xr:uid="{00000000-0005-0000-0000-0000CE200000}"/>
    <cellStyle name="Total 48 2 3 2" xfId="5069" xr:uid="{00000000-0005-0000-0000-0000CF200000}"/>
    <cellStyle name="Total 48 2 3 3" xfId="5507" xr:uid="{00000000-0005-0000-0000-0000D0200000}"/>
    <cellStyle name="Total 48 2 3 4" xfId="5945" xr:uid="{00000000-0005-0000-0000-0000D1200000}"/>
    <cellStyle name="Total 48 2 3 5" xfId="6382" xr:uid="{00000000-0005-0000-0000-0000D2200000}"/>
    <cellStyle name="Total 48 2 3 6" xfId="6819" xr:uid="{00000000-0005-0000-0000-0000D3200000}"/>
    <cellStyle name="Total 48 2 3 7" xfId="7256" xr:uid="{00000000-0005-0000-0000-0000D4200000}"/>
    <cellStyle name="Total 48 2 3 8" xfId="7693" xr:uid="{00000000-0005-0000-0000-0000D5200000}"/>
    <cellStyle name="Total 48 2 3 9" xfId="8541" xr:uid="{00000000-0005-0000-0000-0000D6200000}"/>
    <cellStyle name="Total 48 3" xfId="4307" xr:uid="{00000000-0005-0000-0000-0000D7200000}"/>
    <cellStyle name="Total 48 3 10" xfId="8103" xr:uid="{00000000-0005-0000-0000-0000D8200000}"/>
    <cellStyle name="Total 48 3 11" xfId="9129" xr:uid="{00000000-0005-0000-0000-0000D9200000}"/>
    <cellStyle name="Total 48 3 12" xfId="8923" xr:uid="{00000000-0005-0000-0000-0000DA200000}"/>
    <cellStyle name="Total 48 3 13" xfId="9742" xr:uid="{00000000-0005-0000-0000-0000DB200000}"/>
    <cellStyle name="Total 48 3 14" xfId="10214" xr:uid="{00000000-0005-0000-0000-0000DC200000}"/>
    <cellStyle name="Total 48 3 15" xfId="10601" xr:uid="{00000000-0005-0000-0000-0000DD200000}"/>
    <cellStyle name="Total 48 3 16" xfId="11101" xr:uid="{00000000-0005-0000-0000-0000DE200000}"/>
    <cellStyle name="Total 48 3 17" xfId="11570" xr:uid="{00000000-0005-0000-0000-0000DF200000}"/>
    <cellStyle name="Total 48 3 18" xfId="12236" xr:uid="{00000000-0005-0000-0000-0000E0200000}"/>
    <cellStyle name="Total 48 3 19" xfId="12641" xr:uid="{00000000-0005-0000-0000-0000E1200000}"/>
    <cellStyle name="Total 48 3 2" xfId="4853" xr:uid="{00000000-0005-0000-0000-0000E2200000}"/>
    <cellStyle name="Total 48 3 3" xfId="5291" xr:uid="{00000000-0005-0000-0000-0000E3200000}"/>
    <cellStyle name="Total 48 3 4" xfId="5729" xr:uid="{00000000-0005-0000-0000-0000E4200000}"/>
    <cellStyle name="Total 48 3 5" xfId="6166" xr:uid="{00000000-0005-0000-0000-0000E5200000}"/>
    <cellStyle name="Total 48 3 6" xfId="6603" xr:uid="{00000000-0005-0000-0000-0000E6200000}"/>
    <cellStyle name="Total 48 3 7" xfId="7040" xr:uid="{00000000-0005-0000-0000-0000E7200000}"/>
    <cellStyle name="Total 48 3 8" xfId="7477" xr:uid="{00000000-0005-0000-0000-0000E8200000}"/>
    <cellStyle name="Total 48 3 9" xfId="8325" xr:uid="{00000000-0005-0000-0000-0000E9200000}"/>
    <cellStyle name="Total 48 4" xfId="4521" xr:uid="{00000000-0005-0000-0000-0000EA200000}"/>
    <cellStyle name="Total 48 4 10" xfId="7890" xr:uid="{00000000-0005-0000-0000-0000EB200000}"/>
    <cellStyle name="Total 48 4 11" xfId="9344" xr:uid="{00000000-0005-0000-0000-0000EC200000}"/>
    <cellStyle name="Total 48 4 12" xfId="9536" xr:uid="{00000000-0005-0000-0000-0000ED200000}"/>
    <cellStyle name="Total 48 4 13" xfId="9957" xr:uid="{00000000-0005-0000-0000-0000EE200000}"/>
    <cellStyle name="Total 48 4 14" xfId="10429" xr:uid="{00000000-0005-0000-0000-0000EF200000}"/>
    <cellStyle name="Total 48 4 15" xfId="10766" xr:uid="{00000000-0005-0000-0000-0000F0200000}"/>
    <cellStyle name="Total 48 4 16" xfId="11316" xr:uid="{00000000-0005-0000-0000-0000F1200000}"/>
    <cellStyle name="Total 48 4 17" xfId="11785" xr:uid="{00000000-0005-0000-0000-0000F2200000}"/>
    <cellStyle name="Total 48 4 18" xfId="12313" xr:uid="{00000000-0005-0000-0000-0000F3200000}"/>
    <cellStyle name="Total 48 4 19" xfId="12856" xr:uid="{00000000-0005-0000-0000-0000F4200000}"/>
    <cellStyle name="Total 48 4 2" xfId="5068" xr:uid="{00000000-0005-0000-0000-0000F5200000}"/>
    <cellStyle name="Total 48 4 3" xfId="5506" xr:uid="{00000000-0005-0000-0000-0000F6200000}"/>
    <cellStyle name="Total 48 4 4" xfId="5944" xr:uid="{00000000-0005-0000-0000-0000F7200000}"/>
    <cellStyle name="Total 48 4 5" xfId="6381" xr:uid="{00000000-0005-0000-0000-0000F8200000}"/>
    <cellStyle name="Total 48 4 6" xfId="6818" xr:uid="{00000000-0005-0000-0000-0000F9200000}"/>
    <cellStyle name="Total 48 4 7" xfId="7255" xr:uid="{00000000-0005-0000-0000-0000FA200000}"/>
    <cellStyle name="Total 48 4 8" xfId="7692" xr:uid="{00000000-0005-0000-0000-0000FB200000}"/>
    <cellStyle name="Total 48 4 9" xfId="8540" xr:uid="{00000000-0005-0000-0000-0000FC200000}"/>
    <cellStyle name="Total 49" xfId="4109" xr:uid="{00000000-0005-0000-0000-0000FD200000}"/>
    <cellStyle name="Total 49 2" xfId="4110" xr:uid="{00000000-0005-0000-0000-0000FE200000}"/>
    <cellStyle name="Total 49 2 2" xfId="4310" xr:uid="{00000000-0005-0000-0000-0000FF200000}"/>
    <cellStyle name="Total 49 2 2 10" xfId="8100" xr:uid="{00000000-0005-0000-0000-000000210000}"/>
    <cellStyle name="Total 49 2 2 11" xfId="9132" xr:uid="{00000000-0005-0000-0000-000001210000}"/>
    <cellStyle name="Total 49 2 2 12" xfId="8920" xr:uid="{00000000-0005-0000-0000-000002210000}"/>
    <cellStyle name="Total 49 2 2 13" xfId="9745" xr:uid="{00000000-0005-0000-0000-000003210000}"/>
    <cellStyle name="Total 49 2 2 14" xfId="10217" xr:uid="{00000000-0005-0000-0000-000004210000}"/>
    <cellStyle name="Total 49 2 2 15" xfId="10941" xr:uid="{00000000-0005-0000-0000-000005210000}"/>
    <cellStyle name="Total 49 2 2 16" xfId="11104" xr:uid="{00000000-0005-0000-0000-000006210000}"/>
    <cellStyle name="Total 49 2 2 17" xfId="11573" xr:uid="{00000000-0005-0000-0000-000007210000}"/>
    <cellStyle name="Total 49 2 2 18" xfId="12125" xr:uid="{00000000-0005-0000-0000-000008210000}"/>
    <cellStyle name="Total 49 2 2 19" xfId="12644" xr:uid="{00000000-0005-0000-0000-000009210000}"/>
    <cellStyle name="Total 49 2 2 2" xfId="4856" xr:uid="{00000000-0005-0000-0000-00000A210000}"/>
    <cellStyle name="Total 49 2 2 3" xfId="5294" xr:uid="{00000000-0005-0000-0000-00000B210000}"/>
    <cellStyle name="Total 49 2 2 4" xfId="5732" xr:uid="{00000000-0005-0000-0000-00000C210000}"/>
    <cellStyle name="Total 49 2 2 5" xfId="6169" xr:uid="{00000000-0005-0000-0000-00000D210000}"/>
    <cellStyle name="Total 49 2 2 6" xfId="6606" xr:uid="{00000000-0005-0000-0000-00000E210000}"/>
    <cellStyle name="Total 49 2 2 7" xfId="7043" xr:uid="{00000000-0005-0000-0000-00000F210000}"/>
    <cellStyle name="Total 49 2 2 8" xfId="7480" xr:uid="{00000000-0005-0000-0000-000010210000}"/>
    <cellStyle name="Total 49 2 2 9" xfId="8328" xr:uid="{00000000-0005-0000-0000-000011210000}"/>
    <cellStyle name="Total 49 2 3" xfId="4524" xr:uid="{00000000-0005-0000-0000-000012210000}"/>
    <cellStyle name="Total 49 2 3 10" xfId="7887" xr:uid="{00000000-0005-0000-0000-000013210000}"/>
    <cellStyle name="Total 49 2 3 11" xfId="9347" xr:uid="{00000000-0005-0000-0000-000014210000}"/>
    <cellStyle name="Total 49 2 3 12" xfId="9614" xr:uid="{00000000-0005-0000-0000-000015210000}"/>
    <cellStyle name="Total 49 2 3 13" xfId="9960" xr:uid="{00000000-0005-0000-0000-000016210000}"/>
    <cellStyle name="Total 49 2 3 14" xfId="10432" xr:uid="{00000000-0005-0000-0000-000017210000}"/>
    <cellStyle name="Total 49 2 3 15" xfId="10650" xr:uid="{00000000-0005-0000-0000-000018210000}"/>
    <cellStyle name="Total 49 2 3 16" xfId="11319" xr:uid="{00000000-0005-0000-0000-000019210000}"/>
    <cellStyle name="Total 49 2 3 17" xfId="11788" xr:uid="{00000000-0005-0000-0000-00001A210000}"/>
    <cellStyle name="Total 49 2 3 18" xfId="12227" xr:uid="{00000000-0005-0000-0000-00001B210000}"/>
    <cellStyle name="Total 49 2 3 19" xfId="12859" xr:uid="{00000000-0005-0000-0000-00001C210000}"/>
    <cellStyle name="Total 49 2 3 2" xfId="5071" xr:uid="{00000000-0005-0000-0000-00001D210000}"/>
    <cellStyle name="Total 49 2 3 3" xfId="5509" xr:uid="{00000000-0005-0000-0000-00001E210000}"/>
    <cellStyle name="Total 49 2 3 4" xfId="5947" xr:uid="{00000000-0005-0000-0000-00001F210000}"/>
    <cellStyle name="Total 49 2 3 5" xfId="6384" xr:uid="{00000000-0005-0000-0000-000020210000}"/>
    <cellStyle name="Total 49 2 3 6" xfId="6821" xr:uid="{00000000-0005-0000-0000-000021210000}"/>
    <cellStyle name="Total 49 2 3 7" xfId="7258" xr:uid="{00000000-0005-0000-0000-000022210000}"/>
    <cellStyle name="Total 49 2 3 8" xfId="7695" xr:uid="{00000000-0005-0000-0000-000023210000}"/>
    <cellStyle name="Total 49 2 3 9" xfId="8543" xr:uid="{00000000-0005-0000-0000-000024210000}"/>
    <cellStyle name="Total 49 3" xfId="4309" xr:uid="{00000000-0005-0000-0000-000025210000}"/>
    <cellStyle name="Total 49 3 10" xfId="8101" xr:uid="{00000000-0005-0000-0000-000026210000}"/>
    <cellStyle name="Total 49 3 11" xfId="9131" xr:uid="{00000000-0005-0000-0000-000027210000}"/>
    <cellStyle name="Total 49 3 12" xfId="8921" xr:uid="{00000000-0005-0000-0000-000028210000}"/>
    <cellStyle name="Total 49 3 13" xfId="9744" xr:uid="{00000000-0005-0000-0000-000029210000}"/>
    <cellStyle name="Total 49 3 14" xfId="10216" xr:uid="{00000000-0005-0000-0000-00002A210000}"/>
    <cellStyle name="Total 49 3 15" xfId="10914" xr:uid="{00000000-0005-0000-0000-00002B210000}"/>
    <cellStyle name="Total 49 3 16" xfId="11103" xr:uid="{00000000-0005-0000-0000-00002C210000}"/>
    <cellStyle name="Total 49 3 17" xfId="11572" xr:uid="{00000000-0005-0000-0000-00002D210000}"/>
    <cellStyle name="Total 49 3 18" xfId="12198" xr:uid="{00000000-0005-0000-0000-00002E210000}"/>
    <cellStyle name="Total 49 3 19" xfId="12643" xr:uid="{00000000-0005-0000-0000-00002F210000}"/>
    <cellStyle name="Total 49 3 2" xfId="4855" xr:uid="{00000000-0005-0000-0000-000030210000}"/>
    <cellStyle name="Total 49 3 3" xfId="5293" xr:uid="{00000000-0005-0000-0000-000031210000}"/>
    <cellStyle name="Total 49 3 4" xfId="5731" xr:uid="{00000000-0005-0000-0000-000032210000}"/>
    <cellStyle name="Total 49 3 5" xfId="6168" xr:uid="{00000000-0005-0000-0000-000033210000}"/>
    <cellStyle name="Total 49 3 6" xfId="6605" xr:uid="{00000000-0005-0000-0000-000034210000}"/>
    <cellStyle name="Total 49 3 7" xfId="7042" xr:uid="{00000000-0005-0000-0000-000035210000}"/>
    <cellStyle name="Total 49 3 8" xfId="7479" xr:uid="{00000000-0005-0000-0000-000036210000}"/>
    <cellStyle name="Total 49 3 9" xfId="8327" xr:uid="{00000000-0005-0000-0000-000037210000}"/>
    <cellStyle name="Total 49 4" xfId="4523" xr:uid="{00000000-0005-0000-0000-000038210000}"/>
    <cellStyle name="Total 49 4 10" xfId="7888" xr:uid="{00000000-0005-0000-0000-000039210000}"/>
    <cellStyle name="Total 49 4 11" xfId="9346" xr:uid="{00000000-0005-0000-0000-00003A210000}"/>
    <cellStyle name="Total 49 4 12" xfId="9593" xr:uid="{00000000-0005-0000-0000-00003B210000}"/>
    <cellStyle name="Total 49 4 13" xfId="9959" xr:uid="{00000000-0005-0000-0000-00003C210000}"/>
    <cellStyle name="Total 49 4 14" xfId="10431" xr:uid="{00000000-0005-0000-0000-00003D210000}"/>
    <cellStyle name="Total 49 4 15" xfId="10689" xr:uid="{00000000-0005-0000-0000-00003E210000}"/>
    <cellStyle name="Total 49 4 16" xfId="11318" xr:uid="{00000000-0005-0000-0000-00003F210000}"/>
    <cellStyle name="Total 49 4 17" xfId="11787" xr:uid="{00000000-0005-0000-0000-000040210000}"/>
    <cellStyle name="Total 49 4 18" xfId="12257" xr:uid="{00000000-0005-0000-0000-000041210000}"/>
    <cellStyle name="Total 49 4 19" xfId="12858" xr:uid="{00000000-0005-0000-0000-000042210000}"/>
    <cellStyle name="Total 49 4 2" xfId="5070" xr:uid="{00000000-0005-0000-0000-000043210000}"/>
    <cellStyle name="Total 49 4 3" xfId="5508" xr:uid="{00000000-0005-0000-0000-000044210000}"/>
    <cellStyle name="Total 49 4 4" xfId="5946" xr:uid="{00000000-0005-0000-0000-000045210000}"/>
    <cellStyle name="Total 49 4 5" xfId="6383" xr:uid="{00000000-0005-0000-0000-000046210000}"/>
    <cellStyle name="Total 49 4 6" xfId="6820" xr:uid="{00000000-0005-0000-0000-000047210000}"/>
    <cellStyle name="Total 49 4 7" xfId="7257" xr:uid="{00000000-0005-0000-0000-000048210000}"/>
    <cellStyle name="Total 49 4 8" xfId="7694" xr:uid="{00000000-0005-0000-0000-000049210000}"/>
    <cellStyle name="Total 49 4 9" xfId="8542" xr:uid="{00000000-0005-0000-0000-00004A210000}"/>
    <cellStyle name="Total 5" xfId="779" xr:uid="{00000000-0005-0000-0000-00004B210000}"/>
    <cellStyle name="Total 5 2" xfId="4111" xr:uid="{00000000-0005-0000-0000-00004C210000}"/>
    <cellStyle name="Total 5 2 2" xfId="4312" xr:uid="{00000000-0005-0000-0000-00004D210000}"/>
    <cellStyle name="Total 5 2 2 10" xfId="8098" xr:uid="{00000000-0005-0000-0000-00004E210000}"/>
    <cellStyle name="Total 5 2 2 11" xfId="9134" xr:uid="{00000000-0005-0000-0000-00004F210000}"/>
    <cellStyle name="Total 5 2 2 12" xfId="8918" xr:uid="{00000000-0005-0000-0000-000050210000}"/>
    <cellStyle name="Total 5 2 2 13" xfId="9747" xr:uid="{00000000-0005-0000-0000-000051210000}"/>
    <cellStyle name="Total 5 2 2 14" xfId="10219" xr:uid="{00000000-0005-0000-0000-000052210000}"/>
    <cellStyle name="Total 5 2 2 15" xfId="10897" xr:uid="{00000000-0005-0000-0000-000053210000}"/>
    <cellStyle name="Total 5 2 2 16" xfId="11106" xr:uid="{00000000-0005-0000-0000-000054210000}"/>
    <cellStyle name="Total 5 2 2 17" xfId="11575" xr:uid="{00000000-0005-0000-0000-000055210000}"/>
    <cellStyle name="Total 5 2 2 18" xfId="11461" xr:uid="{00000000-0005-0000-0000-000056210000}"/>
    <cellStyle name="Total 5 2 2 19" xfId="12646" xr:uid="{00000000-0005-0000-0000-000057210000}"/>
    <cellStyle name="Total 5 2 2 2" xfId="4858" xr:uid="{00000000-0005-0000-0000-000058210000}"/>
    <cellStyle name="Total 5 2 2 3" xfId="5296" xr:uid="{00000000-0005-0000-0000-000059210000}"/>
    <cellStyle name="Total 5 2 2 4" xfId="5734" xr:uid="{00000000-0005-0000-0000-00005A210000}"/>
    <cellStyle name="Total 5 2 2 5" xfId="6171" xr:uid="{00000000-0005-0000-0000-00005B210000}"/>
    <cellStyle name="Total 5 2 2 6" xfId="6608" xr:uid="{00000000-0005-0000-0000-00005C210000}"/>
    <cellStyle name="Total 5 2 2 7" xfId="7045" xr:uid="{00000000-0005-0000-0000-00005D210000}"/>
    <cellStyle name="Total 5 2 2 8" xfId="7482" xr:uid="{00000000-0005-0000-0000-00005E210000}"/>
    <cellStyle name="Total 5 2 2 9" xfId="8330" xr:uid="{00000000-0005-0000-0000-00005F210000}"/>
    <cellStyle name="Total 5 2 3" xfId="4526" xr:uid="{00000000-0005-0000-0000-000060210000}"/>
    <cellStyle name="Total 5 2 3 10" xfId="7885" xr:uid="{00000000-0005-0000-0000-000061210000}"/>
    <cellStyle name="Total 5 2 3 11" xfId="9349" xr:uid="{00000000-0005-0000-0000-000062210000}"/>
    <cellStyle name="Total 5 2 3 12" xfId="9573" xr:uid="{00000000-0005-0000-0000-000063210000}"/>
    <cellStyle name="Total 5 2 3 13" xfId="9962" xr:uid="{00000000-0005-0000-0000-000064210000}"/>
    <cellStyle name="Total 5 2 3 14" xfId="10434" xr:uid="{00000000-0005-0000-0000-000065210000}"/>
    <cellStyle name="Total 5 2 3 15" xfId="10571" xr:uid="{00000000-0005-0000-0000-000066210000}"/>
    <cellStyle name="Total 5 2 3 16" xfId="11321" xr:uid="{00000000-0005-0000-0000-000067210000}"/>
    <cellStyle name="Total 5 2 3 17" xfId="11790" xr:uid="{00000000-0005-0000-0000-000068210000}"/>
    <cellStyle name="Total 5 2 3 18" xfId="12189" xr:uid="{00000000-0005-0000-0000-000069210000}"/>
    <cellStyle name="Total 5 2 3 19" xfId="12861" xr:uid="{00000000-0005-0000-0000-00006A210000}"/>
    <cellStyle name="Total 5 2 3 2" xfId="5073" xr:uid="{00000000-0005-0000-0000-00006B210000}"/>
    <cellStyle name="Total 5 2 3 3" xfId="5511" xr:uid="{00000000-0005-0000-0000-00006C210000}"/>
    <cellStyle name="Total 5 2 3 4" xfId="5949" xr:uid="{00000000-0005-0000-0000-00006D210000}"/>
    <cellStyle name="Total 5 2 3 5" xfId="6386" xr:uid="{00000000-0005-0000-0000-00006E210000}"/>
    <cellStyle name="Total 5 2 3 6" xfId="6823" xr:uid="{00000000-0005-0000-0000-00006F210000}"/>
    <cellStyle name="Total 5 2 3 7" xfId="7260" xr:uid="{00000000-0005-0000-0000-000070210000}"/>
    <cellStyle name="Total 5 2 3 8" xfId="7697" xr:uid="{00000000-0005-0000-0000-000071210000}"/>
    <cellStyle name="Total 5 2 3 9" xfId="8545" xr:uid="{00000000-0005-0000-0000-000072210000}"/>
    <cellStyle name="Total 5 3" xfId="4311" xr:uid="{00000000-0005-0000-0000-000073210000}"/>
    <cellStyle name="Total 5 3 10" xfId="8099" xr:uid="{00000000-0005-0000-0000-000074210000}"/>
    <cellStyle name="Total 5 3 11" xfId="9133" xr:uid="{00000000-0005-0000-0000-000075210000}"/>
    <cellStyle name="Total 5 3 12" xfId="8919" xr:uid="{00000000-0005-0000-0000-000076210000}"/>
    <cellStyle name="Total 5 3 13" xfId="9746" xr:uid="{00000000-0005-0000-0000-000077210000}"/>
    <cellStyle name="Total 5 3 14" xfId="10218" xr:uid="{00000000-0005-0000-0000-000078210000}"/>
    <cellStyle name="Total 5 3 15" xfId="10848" xr:uid="{00000000-0005-0000-0000-000079210000}"/>
    <cellStyle name="Total 5 3 16" xfId="11105" xr:uid="{00000000-0005-0000-0000-00007A210000}"/>
    <cellStyle name="Total 5 3 17" xfId="11574" xr:uid="{00000000-0005-0000-0000-00007B210000}"/>
    <cellStyle name="Total 5 3 18" xfId="11462" xr:uid="{00000000-0005-0000-0000-00007C210000}"/>
    <cellStyle name="Total 5 3 19" xfId="12645" xr:uid="{00000000-0005-0000-0000-00007D210000}"/>
    <cellStyle name="Total 5 3 2" xfId="4857" xr:uid="{00000000-0005-0000-0000-00007E210000}"/>
    <cellStyle name="Total 5 3 3" xfId="5295" xr:uid="{00000000-0005-0000-0000-00007F210000}"/>
    <cellStyle name="Total 5 3 4" xfId="5733" xr:uid="{00000000-0005-0000-0000-000080210000}"/>
    <cellStyle name="Total 5 3 5" xfId="6170" xr:uid="{00000000-0005-0000-0000-000081210000}"/>
    <cellStyle name="Total 5 3 6" xfId="6607" xr:uid="{00000000-0005-0000-0000-000082210000}"/>
    <cellStyle name="Total 5 3 7" xfId="7044" xr:uid="{00000000-0005-0000-0000-000083210000}"/>
    <cellStyle name="Total 5 3 8" xfId="7481" xr:uid="{00000000-0005-0000-0000-000084210000}"/>
    <cellStyle name="Total 5 3 9" xfId="8329" xr:uid="{00000000-0005-0000-0000-000085210000}"/>
    <cellStyle name="Total 5 4" xfId="4525" xr:uid="{00000000-0005-0000-0000-000086210000}"/>
    <cellStyle name="Total 5 4 10" xfId="7886" xr:uid="{00000000-0005-0000-0000-000087210000}"/>
    <cellStyle name="Total 5 4 11" xfId="9348" xr:uid="{00000000-0005-0000-0000-000088210000}"/>
    <cellStyle name="Total 5 4 12" xfId="9582" xr:uid="{00000000-0005-0000-0000-000089210000}"/>
    <cellStyle name="Total 5 4 13" xfId="9961" xr:uid="{00000000-0005-0000-0000-00008A210000}"/>
    <cellStyle name="Total 5 4 14" xfId="10433" xr:uid="{00000000-0005-0000-0000-00008B210000}"/>
    <cellStyle name="Total 5 4 15" xfId="10610" xr:uid="{00000000-0005-0000-0000-00008C210000}"/>
    <cellStyle name="Total 5 4 16" xfId="11320" xr:uid="{00000000-0005-0000-0000-00008D210000}"/>
    <cellStyle name="Total 5 4 17" xfId="11789" xr:uid="{00000000-0005-0000-0000-00008E210000}"/>
    <cellStyle name="Total 5 4 18" xfId="12184" xr:uid="{00000000-0005-0000-0000-00008F210000}"/>
    <cellStyle name="Total 5 4 19" xfId="12860" xr:uid="{00000000-0005-0000-0000-000090210000}"/>
    <cellStyle name="Total 5 4 2" xfId="5072" xr:uid="{00000000-0005-0000-0000-000091210000}"/>
    <cellStyle name="Total 5 4 3" xfId="5510" xr:uid="{00000000-0005-0000-0000-000092210000}"/>
    <cellStyle name="Total 5 4 4" xfId="5948" xr:uid="{00000000-0005-0000-0000-000093210000}"/>
    <cellStyle name="Total 5 4 5" xfId="6385" xr:uid="{00000000-0005-0000-0000-000094210000}"/>
    <cellStyle name="Total 5 4 6" xfId="6822" xr:uid="{00000000-0005-0000-0000-000095210000}"/>
    <cellStyle name="Total 5 4 7" xfId="7259" xr:uid="{00000000-0005-0000-0000-000096210000}"/>
    <cellStyle name="Total 5 4 8" xfId="7696" xr:uid="{00000000-0005-0000-0000-000097210000}"/>
    <cellStyle name="Total 5 4 9" xfId="8544" xr:uid="{00000000-0005-0000-0000-000098210000}"/>
    <cellStyle name="Total 5 5" xfId="12379" xr:uid="{00000000-0005-0000-0000-000099210000}"/>
    <cellStyle name="Total 5 6" xfId="12440" xr:uid="{00000000-0005-0000-0000-00009A210000}"/>
    <cellStyle name="Total 5 7" xfId="12501" xr:uid="{00000000-0005-0000-0000-00009B210000}"/>
    <cellStyle name="Total 50" xfId="4112" xr:uid="{00000000-0005-0000-0000-00009C210000}"/>
    <cellStyle name="Total 50 2" xfId="4113" xr:uid="{00000000-0005-0000-0000-00009D210000}"/>
    <cellStyle name="Total 50 2 2" xfId="4314" xr:uid="{00000000-0005-0000-0000-00009E210000}"/>
    <cellStyle name="Total 50 2 2 10" xfId="8096" xr:uid="{00000000-0005-0000-0000-00009F210000}"/>
    <cellStyle name="Total 50 2 2 11" xfId="9136" xr:uid="{00000000-0005-0000-0000-0000A0210000}"/>
    <cellStyle name="Total 50 2 2 12" xfId="8916" xr:uid="{00000000-0005-0000-0000-0000A1210000}"/>
    <cellStyle name="Total 50 2 2 13" xfId="9749" xr:uid="{00000000-0005-0000-0000-0000A2210000}"/>
    <cellStyle name="Total 50 2 2 14" xfId="10221" xr:uid="{00000000-0005-0000-0000-0000A3210000}"/>
    <cellStyle name="Total 50 2 2 15" xfId="10777" xr:uid="{00000000-0005-0000-0000-0000A4210000}"/>
    <cellStyle name="Total 50 2 2 16" xfId="11108" xr:uid="{00000000-0005-0000-0000-0000A5210000}"/>
    <cellStyle name="Total 50 2 2 17" xfId="11577" xr:uid="{00000000-0005-0000-0000-0000A6210000}"/>
    <cellStyle name="Total 50 2 2 18" xfId="12101" xr:uid="{00000000-0005-0000-0000-0000A7210000}"/>
    <cellStyle name="Total 50 2 2 19" xfId="12648" xr:uid="{00000000-0005-0000-0000-0000A8210000}"/>
    <cellStyle name="Total 50 2 2 2" xfId="4860" xr:uid="{00000000-0005-0000-0000-0000A9210000}"/>
    <cellStyle name="Total 50 2 2 3" xfId="5298" xr:uid="{00000000-0005-0000-0000-0000AA210000}"/>
    <cellStyle name="Total 50 2 2 4" xfId="5736" xr:uid="{00000000-0005-0000-0000-0000AB210000}"/>
    <cellStyle name="Total 50 2 2 5" xfId="6173" xr:uid="{00000000-0005-0000-0000-0000AC210000}"/>
    <cellStyle name="Total 50 2 2 6" xfId="6610" xr:uid="{00000000-0005-0000-0000-0000AD210000}"/>
    <cellStyle name="Total 50 2 2 7" xfId="7047" xr:uid="{00000000-0005-0000-0000-0000AE210000}"/>
    <cellStyle name="Total 50 2 2 8" xfId="7484" xr:uid="{00000000-0005-0000-0000-0000AF210000}"/>
    <cellStyle name="Total 50 2 2 9" xfId="8332" xr:uid="{00000000-0005-0000-0000-0000B0210000}"/>
    <cellStyle name="Total 50 2 3" xfId="4528" xr:uid="{00000000-0005-0000-0000-0000B1210000}"/>
    <cellStyle name="Total 50 2 3 10" xfId="7883" xr:uid="{00000000-0005-0000-0000-0000B2210000}"/>
    <cellStyle name="Total 50 2 3 11" xfId="9351" xr:uid="{00000000-0005-0000-0000-0000B3210000}"/>
    <cellStyle name="Total 50 2 3 12" xfId="9552" xr:uid="{00000000-0005-0000-0000-0000B4210000}"/>
    <cellStyle name="Total 50 2 3 13" xfId="9964" xr:uid="{00000000-0005-0000-0000-0000B5210000}"/>
    <cellStyle name="Total 50 2 3 14" xfId="10436" xr:uid="{00000000-0005-0000-0000-0000B6210000}"/>
    <cellStyle name="Total 50 2 3 15" xfId="10951" xr:uid="{00000000-0005-0000-0000-0000B7210000}"/>
    <cellStyle name="Total 50 2 3 16" xfId="11323" xr:uid="{00000000-0005-0000-0000-0000B8210000}"/>
    <cellStyle name="Total 50 2 3 17" xfId="11792" xr:uid="{00000000-0005-0000-0000-0000B9210000}"/>
    <cellStyle name="Total 50 2 3 18" xfId="12155" xr:uid="{00000000-0005-0000-0000-0000BA210000}"/>
    <cellStyle name="Total 50 2 3 19" xfId="12863" xr:uid="{00000000-0005-0000-0000-0000BB210000}"/>
    <cellStyle name="Total 50 2 3 2" xfId="5075" xr:uid="{00000000-0005-0000-0000-0000BC210000}"/>
    <cellStyle name="Total 50 2 3 3" xfId="5513" xr:uid="{00000000-0005-0000-0000-0000BD210000}"/>
    <cellStyle name="Total 50 2 3 4" xfId="5951" xr:uid="{00000000-0005-0000-0000-0000BE210000}"/>
    <cellStyle name="Total 50 2 3 5" xfId="6388" xr:uid="{00000000-0005-0000-0000-0000BF210000}"/>
    <cellStyle name="Total 50 2 3 6" xfId="6825" xr:uid="{00000000-0005-0000-0000-0000C0210000}"/>
    <cellStyle name="Total 50 2 3 7" xfId="7262" xr:uid="{00000000-0005-0000-0000-0000C1210000}"/>
    <cellStyle name="Total 50 2 3 8" xfId="7699" xr:uid="{00000000-0005-0000-0000-0000C2210000}"/>
    <cellStyle name="Total 50 2 3 9" xfId="8547" xr:uid="{00000000-0005-0000-0000-0000C3210000}"/>
    <cellStyle name="Total 50 3" xfId="4313" xr:uid="{00000000-0005-0000-0000-0000C4210000}"/>
    <cellStyle name="Total 50 3 10" xfId="8097" xr:uid="{00000000-0005-0000-0000-0000C5210000}"/>
    <cellStyle name="Total 50 3 11" xfId="9135" xr:uid="{00000000-0005-0000-0000-0000C6210000}"/>
    <cellStyle name="Total 50 3 12" xfId="8917" xr:uid="{00000000-0005-0000-0000-0000C7210000}"/>
    <cellStyle name="Total 50 3 13" xfId="9748" xr:uid="{00000000-0005-0000-0000-0000C8210000}"/>
    <cellStyle name="Total 50 3 14" xfId="10220" xr:uid="{00000000-0005-0000-0000-0000C9210000}"/>
    <cellStyle name="Total 50 3 15" xfId="10816" xr:uid="{00000000-0005-0000-0000-0000CA210000}"/>
    <cellStyle name="Total 50 3 16" xfId="11107" xr:uid="{00000000-0005-0000-0000-0000CB210000}"/>
    <cellStyle name="Total 50 3 17" xfId="11576" xr:uid="{00000000-0005-0000-0000-0000CC210000}"/>
    <cellStyle name="Total 50 3 18" xfId="12160" xr:uid="{00000000-0005-0000-0000-0000CD210000}"/>
    <cellStyle name="Total 50 3 19" xfId="12647" xr:uid="{00000000-0005-0000-0000-0000CE210000}"/>
    <cellStyle name="Total 50 3 2" xfId="4859" xr:uid="{00000000-0005-0000-0000-0000CF210000}"/>
    <cellStyle name="Total 50 3 3" xfId="5297" xr:uid="{00000000-0005-0000-0000-0000D0210000}"/>
    <cellStyle name="Total 50 3 4" xfId="5735" xr:uid="{00000000-0005-0000-0000-0000D1210000}"/>
    <cellStyle name="Total 50 3 5" xfId="6172" xr:uid="{00000000-0005-0000-0000-0000D2210000}"/>
    <cellStyle name="Total 50 3 6" xfId="6609" xr:uid="{00000000-0005-0000-0000-0000D3210000}"/>
    <cellStyle name="Total 50 3 7" xfId="7046" xr:uid="{00000000-0005-0000-0000-0000D4210000}"/>
    <cellStyle name="Total 50 3 8" xfId="7483" xr:uid="{00000000-0005-0000-0000-0000D5210000}"/>
    <cellStyle name="Total 50 3 9" xfId="8331" xr:uid="{00000000-0005-0000-0000-0000D6210000}"/>
    <cellStyle name="Total 50 4" xfId="4527" xr:uid="{00000000-0005-0000-0000-0000D7210000}"/>
    <cellStyle name="Total 50 4 10" xfId="7884" xr:uid="{00000000-0005-0000-0000-0000D8210000}"/>
    <cellStyle name="Total 50 4 11" xfId="9350" xr:uid="{00000000-0005-0000-0000-0000D9210000}"/>
    <cellStyle name="Total 50 4 12" xfId="9562" xr:uid="{00000000-0005-0000-0000-0000DA210000}"/>
    <cellStyle name="Total 50 4 13" xfId="9963" xr:uid="{00000000-0005-0000-0000-0000DB210000}"/>
    <cellStyle name="Total 50 4 14" xfId="10435" xr:uid="{00000000-0005-0000-0000-0000DC210000}"/>
    <cellStyle name="Total 50 4 15" xfId="10907" xr:uid="{00000000-0005-0000-0000-0000DD210000}"/>
    <cellStyle name="Total 50 4 16" xfId="11322" xr:uid="{00000000-0005-0000-0000-0000DE210000}"/>
    <cellStyle name="Total 50 4 17" xfId="11791" xr:uid="{00000000-0005-0000-0000-0000DF210000}"/>
    <cellStyle name="Total 50 4 18" xfId="12134" xr:uid="{00000000-0005-0000-0000-0000E0210000}"/>
    <cellStyle name="Total 50 4 19" xfId="12862" xr:uid="{00000000-0005-0000-0000-0000E1210000}"/>
    <cellStyle name="Total 50 4 2" xfId="5074" xr:uid="{00000000-0005-0000-0000-0000E2210000}"/>
    <cellStyle name="Total 50 4 3" xfId="5512" xr:uid="{00000000-0005-0000-0000-0000E3210000}"/>
    <cellStyle name="Total 50 4 4" xfId="5950" xr:uid="{00000000-0005-0000-0000-0000E4210000}"/>
    <cellStyle name="Total 50 4 5" xfId="6387" xr:uid="{00000000-0005-0000-0000-0000E5210000}"/>
    <cellStyle name="Total 50 4 6" xfId="6824" xr:uid="{00000000-0005-0000-0000-0000E6210000}"/>
    <cellStyle name="Total 50 4 7" xfId="7261" xr:uid="{00000000-0005-0000-0000-0000E7210000}"/>
    <cellStyle name="Total 50 4 8" xfId="7698" xr:uid="{00000000-0005-0000-0000-0000E8210000}"/>
    <cellStyle name="Total 50 4 9" xfId="8546" xr:uid="{00000000-0005-0000-0000-0000E9210000}"/>
    <cellStyle name="Total 51" xfId="4114" xr:uid="{00000000-0005-0000-0000-0000EA210000}"/>
    <cellStyle name="Total 51 2" xfId="4115" xr:uid="{00000000-0005-0000-0000-0000EB210000}"/>
    <cellStyle name="Total 51 2 2" xfId="4316" xr:uid="{00000000-0005-0000-0000-0000EC210000}"/>
    <cellStyle name="Total 51 2 2 10" xfId="8094" xr:uid="{00000000-0005-0000-0000-0000ED210000}"/>
    <cellStyle name="Total 51 2 2 11" xfId="9138" xr:uid="{00000000-0005-0000-0000-0000EE210000}"/>
    <cellStyle name="Total 51 2 2 12" xfId="8914" xr:uid="{00000000-0005-0000-0000-0000EF210000}"/>
    <cellStyle name="Total 51 2 2 13" xfId="9751" xr:uid="{00000000-0005-0000-0000-0000F0210000}"/>
    <cellStyle name="Total 51 2 2 14" xfId="10223" xr:uid="{00000000-0005-0000-0000-0000F1210000}"/>
    <cellStyle name="Total 51 2 2 15" xfId="10700" xr:uid="{00000000-0005-0000-0000-0000F2210000}"/>
    <cellStyle name="Total 51 2 2 16" xfId="11110" xr:uid="{00000000-0005-0000-0000-0000F3210000}"/>
    <cellStyle name="Total 51 2 2 17" xfId="11579" xr:uid="{00000000-0005-0000-0000-0000F4210000}"/>
    <cellStyle name="Total 51 2 2 18" xfId="12042" xr:uid="{00000000-0005-0000-0000-0000F5210000}"/>
    <cellStyle name="Total 51 2 2 19" xfId="12650" xr:uid="{00000000-0005-0000-0000-0000F6210000}"/>
    <cellStyle name="Total 51 2 2 2" xfId="4862" xr:uid="{00000000-0005-0000-0000-0000F7210000}"/>
    <cellStyle name="Total 51 2 2 3" xfId="5300" xr:uid="{00000000-0005-0000-0000-0000F8210000}"/>
    <cellStyle name="Total 51 2 2 4" xfId="5738" xr:uid="{00000000-0005-0000-0000-0000F9210000}"/>
    <cellStyle name="Total 51 2 2 5" xfId="6175" xr:uid="{00000000-0005-0000-0000-0000FA210000}"/>
    <cellStyle name="Total 51 2 2 6" xfId="6612" xr:uid="{00000000-0005-0000-0000-0000FB210000}"/>
    <cellStyle name="Total 51 2 2 7" xfId="7049" xr:uid="{00000000-0005-0000-0000-0000FC210000}"/>
    <cellStyle name="Total 51 2 2 8" xfId="7486" xr:uid="{00000000-0005-0000-0000-0000FD210000}"/>
    <cellStyle name="Total 51 2 2 9" xfId="8334" xr:uid="{00000000-0005-0000-0000-0000FE210000}"/>
    <cellStyle name="Total 51 2 3" xfId="4530" xr:uid="{00000000-0005-0000-0000-0000FF210000}"/>
    <cellStyle name="Total 51 2 3 10" xfId="7881" xr:uid="{00000000-0005-0000-0000-000000220000}"/>
    <cellStyle name="Total 51 2 3 11" xfId="9353" xr:uid="{00000000-0005-0000-0000-000001220000}"/>
    <cellStyle name="Total 51 2 3 12" xfId="9534" xr:uid="{00000000-0005-0000-0000-000002220000}"/>
    <cellStyle name="Total 51 2 3 13" xfId="9966" xr:uid="{00000000-0005-0000-0000-000003220000}"/>
    <cellStyle name="Total 51 2 3 14" xfId="10438" xr:uid="{00000000-0005-0000-0000-000004220000}"/>
    <cellStyle name="Total 51 2 3 15" xfId="10865" xr:uid="{00000000-0005-0000-0000-000005220000}"/>
    <cellStyle name="Total 51 2 3 16" xfId="11325" xr:uid="{00000000-0005-0000-0000-000006220000}"/>
    <cellStyle name="Total 51 2 3 17" xfId="11794" xr:uid="{00000000-0005-0000-0000-000007220000}"/>
    <cellStyle name="Total 51 2 3 18" xfId="12066" xr:uid="{00000000-0005-0000-0000-000008220000}"/>
    <cellStyle name="Total 51 2 3 19" xfId="12865" xr:uid="{00000000-0005-0000-0000-000009220000}"/>
    <cellStyle name="Total 51 2 3 2" xfId="5077" xr:uid="{00000000-0005-0000-0000-00000A220000}"/>
    <cellStyle name="Total 51 2 3 3" xfId="5515" xr:uid="{00000000-0005-0000-0000-00000B220000}"/>
    <cellStyle name="Total 51 2 3 4" xfId="5953" xr:uid="{00000000-0005-0000-0000-00000C220000}"/>
    <cellStyle name="Total 51 2 3 5" xfId="6390" xr:uid="{00000000-0005-0000-0000-00000D220000}"/>
    <cellStyle name="Total 51 2 3 6" xfId="6827" xr:uid="{00000000-0005-0000-0000-00000E220000}"/>
    <cellStyle name="Total 51 2 3 7" xfId="7264" xr:uid="{00000000-0005-0000-0000-00000F220000}"/>
    <cellStyle name="Total 51 2 3 8" xfId="7701" xr:uid="{00000000-0005-0000-0000-000010220000}"/>
    <cellStyle name="Total 51 2 3 9" xfId="8549" xr:uid="{00000000-0005-0000-0000-000011220000}"/>
    <cellStyle name="Total 51 3" xfId="4315" xr:uid="{00000000-0005-0000-0000-000012220000}"/>
    <cellStyle name="Total 51 3 10" xfId="8095" xr:uid="{00000000-0005-0000-0000-000013220000}"/>
    <cellStyle name="Total 51 3 11" xfId="9137" xr:uid="{00000000-0005-0000-0000-000014220000}"/>
    <cellStyle name="Total 51 3 12" xfId="8915" xr:uid="{00000000-0005-0000-0000-000015220000}"/>
    <cellStyle name="Total 51 3 13" xfId="9750" xr:uid="{00000000-0005-0000-0000-000016220000}"/>
    <cellStyle name="Total 51 3 14" xfId="10222" xr:uid="{00000000-0005-0000-0000-000017220000}"/>
    <cellStyle name="Total 51 3 15" xfId="10739" xr:uid="{00000000-0005-0000-0000-000018220000}"/>
    <cellStyle name="Total 51 3 16" xfId="11109" xr:uid="{00000000-0005-0000-0000-000019220000}"/>
    <cellStyle name="Total 51 3 17" xfId="11578" xr:uid="{00000000-0005-0000-0000-00001A220000}"/>
    <cellStyle name="Total 51 3 18" xfId="12071" xr:uid="{00000000-0005-0000-0000-00001B220000}"/>
    <cellStyle name="Total 51 3 19" xfId="12649" xr:uid="{00000000-0005-0000-0000-00001C220000}"/>
    <cellStyle name="Total 51 3 2" xfId="4861" xr:uid="{00000000-0005-0000-0000-00001D220000}"/>
    <cellStyle name="Total 51 3 3" xfId="5299" xr:uid="{00000000-0005-0000-0000-00001E220000}"/>
    <cellStyle name="Total 51 3 4" xfId="5737" xr:uid="{00000000-0005-0000-0000-00001F220000}"/>
    <cellStyle name="Total 51 3 5" xfId="6174" xr:uid="{00000000-0005-0000-0000-000020220000}"/>
    <cellStyle name="Total 51 3 6" xfId="6611" xr:uid="{00000000-0005-0000-0000-000021220000}"/>
    <cellStyle name="Total 51 3 7" xfId="7048" xr:uid="{00000000-0005-0000-0000-000022220000}"/>
    <cellStyle name="Total 51 3 8" xfId="7485" xr:uid="{00000000-0005-0000-0000-000023220000}"/>
    <cellStyle name="Total 51 3 9" xfId="8333" xr:uid="{00000000-0005-0000-0000-000024220000}"/>
    <cellStyle name="Total 51 4" xfId="4529" xr:uid="{00000000-0005-0000-0000-000025220000}"/>
    <cellStyle name="Total 51 4 10" xfId="7882" xr:uid="{00000000-0005-0000-0000-000026220000}"/>
    <cellStyle name="Total 51 4 11" xfId="9352" xr:uid="{00000000-0005-0000-0000-000027220000}"/>
    <cellStyle name="Total 51 4 12" xfId="9542" xr:uid="{00000000-0005-0000-0000-000028220000}"/>
    <cellStyle name="Total 51 4 13" xfId="9965" xr:uid="{00000000-0005-0000-0000-000029220000}"/>
    <cellStyle name="Total 51 4 14" xfId="10437" xr:uid="{00000000-0005-0000-0000-00002A220000}"/>
    <cellStyle name="Total 51 4 15" xfId="10838" xr:uid="{00000000-0005-0000-0000-00002B220000}"/>
    <cellStyle name="Total 51 4 16" xfId="11324" xr:uid="{00000000-0005-0000-0000-00002C220000}"/>
    <cellStyle name="Total 51 4 17" xfId="11793" xr:uid="{00000000-0005-0000-0000-00002D220000}"/>
    <cellStyle name="Total 51 4 18" xfId="12096" xr:uid="{00000000-0005-0000-0000-00002E220000}"/>
    <cellStyle name="Total 51 4 19" xfId="12864" xr:uid="{00000000-0005-0000-0000-00002F220000}"/>
    <cellStyle name="Total 51 4 2" xfId="5076" xr:uid="{00000000-0005-0000-0000-000030220000}"/>
    <cellStyle name="Total 51 4 3" xfId="5514" xr:uid="{00000000-0005-0000-0000-000031220000}"/>
    <cellStyle name="Total 51 4 4" xfId="5952" xr:uid="{00000000-0005-0000-0000-000032220000}"/>
    <cellStyle name="Total 51 4 5" xfId="6389" xr:uid="{00000000-0005-0000-0000-000033220000}"/>
    <cellStyle name="Total 51 4 6" xfId="6826" xr:uid="{00000000-0005-0000-0000-000034220000}"/>
    <cellStyle name="Total 51 4 7" xfId="7263" xr:uid="{00000000-0005-0000-0000-000035220000}"/>
    <cellStyle name="Total 51 4 8" xfId="7700" xr:uid="{00000000-0005-0000-0000-000036220000}"/>
    <cellStyle name="Total 51 4 9" xfId="8548" xr:uid="{00000000-0005-0000-0000-000037220000}"/>
    <cellStyle name="Total 52" xfId="4116" xr:uid="{00000000-0005-0000-0000-000038220000}"/>
    <cellStyle name="Total 52 2" xfId="4317" xr:uid="{00000000-0005-0000-0000-000039220000}"/>
    <cellStyle name="Total 52 2 10" xfId="8093" xr:uid="{00000000-0005-0000-0000-00003A220000}"/>
    <cellStyle name="Total 52 2 11" xfId="9139" xr:uid="{00000000-0005-0000-0000-00003B220000}"/>
    <cellStyle name="Total 52 2 12" xfId="8913" xr:uid="{00000000-0005-0000-0000-00003C220000}"/>
    <cellStyle name="Total 52 2 13" xfId="9752" xr:uid="{00000000-0005-0000-0000-00003D220000}"/>
    <cellStyle name="Total 52 2 14" xfId="10224" xr:uid="{00000000-0005-0000-0000-00003E220000}"/>
    <cellStyle name="Total 52 2 15" xfId="10661" xr:uid="{00000000-0005-0000-0000-00003F220000}"/>
    <cellStyle name="Total 52 2 16" xfId="11111" xr:uid="{00000000-0005-0000-0000-000040220000}"/>
    <cellStyle name="Total 52 2 17" xfId="11580" xr:uid="{00000000-0005-0000-0000-000041220000}"/>
    <cellStyle name="Total 52 2 18" xfId="12013" xr:uid="{00000000-0005-0000-0000-000042220000}"/>
    <cellStyle name="Total 52 2 19" xfId="12651" xr:uid="{00000000-0005-0000-0000-000043220000}"/>
    <cellStyle name="Total 52 2 2" xfId="4863" xr:uid="{00000000-0005-0000-0000-000044220000}"/>
    <cellStyle name="Total 52 2 3" xfId="5301" xr:uid="{00000000-0005-0000-0000-000045220000}"/>
    <cellStyle name="Total 52 2 4" xfId="5739" xr:uid="{00000000-0005-0000-0000-000046220000}"/>
    <cellStyle name="Total 52 2 5" xfId="6176" xr:uid="{00000000-0005-0000-0000-000047220000}"/>
    <cellStyle name="Total 52 2 6" xfId="6613" xr:uid="{00000000-0005-0000-0000-000048220000}"/>
    <cellStyle name="Total 52 2 7" xfId="7050" xr:uid="{00000000-0005-0000-0000-000049220000}"/>
    <cellStyle name="Total 52 2 8" xfId="7487" xr:uid="{00000000-0005-0000-0000-00004A220000}"/>
    <cellStyle name="Total 52 2 9" xfId="8335" xr:uid="{00000000-0005-0000-0000-00004B220000}"/>
    <cellStyle name="Total 52 3" xfId="4531" xr:uid="{00000000-0005-0000-0000-00004C220000}"/>
    <cellStyle name="Total 52 3 10" xfId="7880" xr:uid="{00000000-0005-0000-0000-00004D220000}"/>
    <cellStyle name="Total 52 3 11" xfId="9354" xr:uid="{00000000-0005-0000-0000-00004E220000}"/>
    <cellStyle name="Total 52 3 12" xfId="9526" xr:uid="{00000000-0005-0000-0000-00004F220000}"/>
    <cellStyle name="Total 52 3 13" xfId="9967" xr:uid="{00000000-0005-0000-0000-000050220000}"/>
    <cellStyle name="Total 52 3 14" xfId="10439" xr:uid="{00000000-0005-0000-0000-000051220000}"/>
    <cellStyle name="Total 52 3 15" xfId="10784" xr:uid="{00000000-0005-0000-0000-000052220000}"/>
    <cellStyle name="Total 52 3 16" xfId="11326" xr:uid="{00000000-0005-0000-0000-000053220000}"/>
    <cellStyle name="Total 52 3 17" xfId="11795" xr:uid="{00000000-0005-0000-0000-000054220000}"/>
    <cellStyle name="Total 52 3 18" xfId="12037" xr:uid="{00000000-0005-0000-0000-000055220000}"/>
    <cellStyle name="Total 52 3 19" xfId="12866" xr:uid="{00000000-0005-0000-0000-000056220000}"/>
    <cellStyle name="Total 52 3 2" xfId="5078" xr:uid="{00000000-0005-0000-0000-000057220000}"/>
    <cellStyle name="Total 52 3 3" xfId="5516" xr:uid="{00000000-0005-0000-0000-000058220000}"/>
    <cellStyle name="Total 52 3 4" xfId="5954" xr:uid="{00000000-0005-0000-0000-000059220000}"/>
    <cellStyle name="Total 52 3 5" xfId="6391" xr:uid="{00000000-0005-0000-0000-00005A220000}"/>
    <cellStyle name="Total 52 3 6" xfId="6828" xr:uid="{00000000-0005-0000-0000-00005B220000}"/>
    <cellStyle name="Total 52 3 7" xfId="7265" xr:uid="{00000000-0005-0000-0000-00005C220000}"/>
    <cellStyle name="Total 52 3 8" xfId="7702" xr:uid="{00000000-0005-0000-0000-00005D220000}"/>
    <cellStyle name="Total 52 3 9" xfId="8550" xr:uid="{00000000-0005-0000-0000-00005E220000}"/>
    <cellStyle name="Total 6" xfId="780" xr:uid="{00000000-0005-0000-0000-00005F220000}"/>
    <cellStyle name="Total 6 2" xfId="4117" xr:uid="{00000000-0005-0000-0000-000060220000}"/>
    <cellStyle name="Total 6 2 2" xfId="4319" xr:uid="{00000000-0005-0000-0000-000061220000}"/>
    <cellStyle name="Total 6 2 2 10" xfId="8091" xr:uid="{00000000-0005-0000-0000-000062220000}"/>
    <cellStyle name="Total 6 2 2 11" xfId="9141" xr:uid="{00000000-0005-0000-0000-000063220000}"/>
    <cellStyle name="Total 6 2 2 12" xfId="8911" xr:uid="{00000000-0005-0000-0000-000064220000}"/>
    <cellStyle name="Total 6 2 2 13" xfId="9754" xr:uid="{00000000-0005-0000-0000-000065220000}"/>
    <cellStyle name="Total 6 2 2 14" xfId="10226" xr:uid="{00000000-0005-0000-0000-000066220000}"/>
    <cellStyle name="Total 6 2 2 15" xfId="10582" xr:uid="{00000000-0005-0000-0000-000067220000}"/>
    <cellStyle name="Total 6 2 2 16" xfId="11113" xr:uid="{00000000-0005-0000-0000-000068220000}"/>
    <cellStyle name="Total 6 2 2 17" xfId="11582" xr:uid="{00000000-0005-0000-0000-000069220000}"/>
    <cellStyle name="Total 6 2 2 18" xfId="11956" xr:uid="{00000000-0005-0000-0000-00006A220000}"/>
    <cellStyle name="Total 6 2 2 19" xfId="12653" xr:uid="{00000000-0005-0000-0000-00006B220000}"/>
    <cellStyle name="Total 6 2 2 2" xfId="4865" xr:uid="{00000000-0005-0000-0000-00006C220000}"/>
    <cellStyle name="Total 6 2 2 3" xfId="5303" xr:uid="{00000000-0005-0000-0000-00006D220000}"/>
    <cellStyle name="Total 6 2 2 4" xfId="5741" xr:uid="{00000000-0005-0000-0000-00006E220000}"/>
    <cellStyle name="Total 6 2 2 5" xfId="6178" xr:uid="{00000000-0005-0000-0000-00006F220000}"/>
    <cellStyle name="Total 6 2 2 6" xfId="6615" xr:uid="{00000000-0005-0000-0000-000070220000}"/>
    <cellStyle name="Total 6 2 2 7" xfId="7052" xr:uid="{00000000-0005-0000-0000-000071220000}"/>
    <cellStyle name="Total 6 2 2 8" xfId="7489" xr:uid="{00000000-0005-0000-0000-000072220000}"/>
    <cellStyle name="Total 6 2 2 9" xfId="8337" xr:uid="{00000000-0005-0000-0000-000073220000}"/>
    <cellStyle name="Total 6 2 3" xfId="4533" xr:uid="{00000000-0005-0000-0000-000074220000}"/>
    <cellStyle name="Total 6 2 3 10" xfId="7878" xr:uid="{00000000-0005-0000-0000-000075220000}"/>
    <cellStyle name="Total 6 2 3 11" xfId="9356" xr:uid="{00000000-0005-0000-0000-000076220000}"/>
    <cellStyle name="Total 6 2 3 12" xfId="9617" xr:uid="{00000000-0005-0000-0000-000077220000}"/>
    <cellStyle name="Total 6 2 3 13" xfId="9969" xr:uid="{00000000-0005-0000-0000-000078220000}"/>
    <cellStyle name="Total 6 2 3 14" xfId="10441" xr:uid="{00000000-0005-0000-0000-000079220000}"/>
    <cellStyle name="Total 6 2 3 15" xfId="10708" xr:uid="{00000000-0005-0000-0000-00007A220000}"/>
    <cellStyle name="Total 6 2 3 16" xfId="11328" xr:uid="{00000000-0005-0000-0000-00007B220000}"/>
    <cellStyle name="Total 6 2 3 17" xfId="11797" xr:uid="{00000000-0005-0000-0000-00007C220000}"/>
    <cellStyle name="Total 6 2 3 18" xfId="11980" xr:uid="{00000000-0005-0000-0000-00007D220000}"/>
    <cellStyle name="Total 6 2 3 19" xfId="12868" xr:uid="{00000000-0005-0000-0000-00007E220000}"/>
    <cellStyle name="Total 6 2 3 2" xfId="5080" xr:uid="{00000000-0005-0000-0000-00007F220000}"/>
    <cellStyle name="Total 6 2 3 3" xfId="5518" xr:uid="{00000000-0005-0000-0000-000080220000}"/>
    <cellStyle name="Total 6 2 3 4" xfId="5956" xr:uid="{00000000-0005-0000-0000-000081220000}"/>
    <cellStyle name="Total 6 2 3 5" xfId="6393" xr:uid="{00000000-0005-0000-0000-000082220000}"/>
    <cellStyle name="Total 6 2 3 6" xfId="6830" xr:uid="{00000000-0005-0000-0000-000083220000}"/>
    <cellStyle name="Total 6 2 3 7" xfId="7267" xr:uid="{00000000-0005-0000-0000-000084220000}"/>
    <cellStyle name="Total 6 2 3 8" xfId="7704" xr:uid="{00000000-0005-0000-0000-000085220000}"/>
    <cellStyle name="Total 6 2 3 9" xfId="8552" xr:uid="{00000000-0005-0000-0000-000086220000}"/>
    <cellStyle name="Total 6 3" xfId="4318" xr:uid="{00000000-0005-0000-0000-000087220000}"/>
    <cellStyle name="Total 6 3 10" xfId="8092" xr:uid="{00000000-0005-0000-0000-000088220000}"/>
    <cellStyle name="Total 6 3 11" xfId="9140" xr:uid="{00000000-0005-0000-0000-000089220000}"/>
    <cellStyle name="Total 6 3 12" xfId="8912" xr:uid="{00000000-0005-0000-0000-00008A220000}"/>
    <cellStyle name="Total 6 3 13" xfId="9753" xr:uid="{00000000-0005-0000-0000-00008B220000}"/>
    <cellStyle name="Total 6 3 14" xfId="10225" xr:uid="{00000000-0005-0000-0000-00008C220000}"/>
    <cellStyle name="Total 6 3 15" xfId="10621" xr:uid="{00000000-0005-0000-0000-00008D220000}"/>
    <cellStyle name="Total 6 3 16" xfId="11112" xr:uid="{00000000-0005-0000-0000-00008E220000}"/>
    <cellStyle name="Total 6 3 17" xfId="11581" xr:uid="{00000000-0005-0000-0000-00008F220000}"/>
    <cellStyle name="Total 6 3 18" xfId="11985" xr:uid="{00000000-0005-0000-0000-000090220000}"/>
    <cellStyle name="Total 6 3 19" xfId="12652" xr:uid="{00000000-0005-0000-0000-000091220000}"/>
    <cellStyle name="Total 6 3 2" xfId="4864" xr:uid="{00000000-0005-0000-0000-000092220000}"/>
    <cellStyle name="Total 6 3 3" xfId="5302" xr:uid="{00000000-0005-0000-0000-000093220000}"/>
    <cellStyle name="Total 6 3 4" xfId="5740" xr:uid="{00000000-0005-0000-0000-000094220000}"/>
    <cellStyle name="Total 6 3 5" xfId="6177" xr:uid="{00000000-0005-0000-0000-000095220000}"/>
    <cellStyle name="Total 6 3 6" xfId="6614" xr:uid="{00000000-0005-0000-0000-000096220000}"/>
    <cellStyle name="Total 6 3 7" xfId="7051" xr:uid="{00000000-0005-0000-0000-000097220000}"/>
    <cellStyle name="Total 6 3 8" xfId="7488" xr:uid="{00000000-0005-0000-0000-000098220000}"/>
    <cellStyle name="Total 6 3 9" xfId="8336" xr:uid="{00000000-0005-0000-0000-000099220000}"/>
    <cellStyle name="Total 6 4" xfId="4532" xr:uid="{00000000-0005-0000-0000-00009A220000}"/>
    <cellStyle name="Total 6 4 10" xfId="7879" xr:uid="{00000000-0005-0000-0000-00009B220000}"/>
    <cellStyle name="Total 6 4 11" xfId="9355" xr:uid="{00000000-0005-0000-0000-00009C220000}"/>
    <cellStyle name="Total 6 4 12" xfId="9595" xr:uid="{00000000-0005-0000-0000-00009D220000}"/>
    <cellStyle name="Total 6 4 13" xfId="9968" xr:uid="{00000000-0005-0000-0000-00009E220000}"/>
    <cellStyle name="Total 6 4 14" xfId="10440" xr:uid="{00000000-0005-0000-0000-00009F220000}"/>
    <cellStyle name="Total 6 4 15" xfId="10746" xr:uid="{00000000-0005-0000-0000-0000A0220000}"/>
    <cellStyle name="Total 6 4 16" xfId="11327" xr:uid="{00000000-0005-0000-0000-0000A1220000}"/>
    <cellStyle name="Total 6 4 17" xfId="11796" xr:uid="{00000000-0005-0000-0000-0000A2220000}"/>
    <cellStyle name="Total 6 4 18" xfId="12008" xr:uid="{00000000-0005-0000-0000-0000A3220000}"/>
    <cellStyle name="Total 6 4 19" xfId="12867" xr:uid="{00000000-0005-0000-0000-0000A4220000}"/>
    <cellStyle name="Total 6 4 2" xfId="5079" xr:uid="{00000000-0005-0000-0000-0000A5220000}"/>
    <cellStyle name="Total 6 4 3" xfId="5517" xr:uid="{00000000-0005-0000-0000-0000A6220000}"/>
    <cellStyle name="Total 6 4 4" xfId="5955" xr:uid="{00000000-0005-0000-0000-0000A7220000}"/>
    <cellStyle name="Total 6 4 5" xfId="6392" xr:uid="{00000000-0005-0000-0000-0000A8220000}"/>
    <cellStyle name="Total 6 4 6" xfId="6829" xr:uid="{00000000-0005-0000-0000-0000A9220000}"/>
    <cellStyle name="Total 6 4 7" xfId="7266" xr:uid="{00000000-0005-0000-0000-0000AA220000}"/>
    <cellStyle name="Total 6 4 8" xfId="7703" xr:uid="{00000000-0005-0000-0000-0000AB220000}"/>
    <cellStyle name="Total 6 4 9" xfId="8551" xr:uid="{00000000-0005-0000-0000-0000AC220000}"/>
    <cellStyle name="Total 6 5" xfId="12380" xr:uid="{00000000-0005-0000-0000-0000AD220000}"/>
    <cellStyle name="Total 6 6" xfId="12441" xr:uid="{00000000-0005-0000-0000-0000AE220000}"/>
    <cellStyle name="Total 6 7" xfId="12492" xr:uid="{00000000-0005-0000-0000-0000AF220000}"/>
    <cellStyle name="Total 7" xfId="781" xr:uid="{00000000-0005-0000-0000-0000B0220000}"/>
    <cellStyle name="Total 7 2" xfId="4118" xr:uid="{00000000-0005-0000-0000-0000B1220000}"/>
    <cellStyle name="Total 7 2 2" xfId="4321" xr:uid="{00000000-0005-0000-0000-0000B2220000}"/>
    <cellStyle name="Total 7 2 2 10" xfId="8089" xr:uid="{00000000-0005-0000-0000-0000B3220000}"/>
    <cellStyle name="Total 7 2 2 11" xfId="9143" xr:uid="{00000000-0005-0000-0000-0000B4220000}"/>
    <cellStyle name="Total 7 2 2 12" xfId="8909" xr:uid="{00000000-0005-0000-0000-0000B5220000}"/>
    <cellStyle name="Total 7 2 2 13" xfId="9756" xr:uid="{00000000-0005-0000-0000-0000B6220000}"/>
    <cellStyle name="Total 7 2 2 14" xfId="10228" xr:uid="{00000000-0005-0000-0000-0000B7220000}"/>
    <cellStyle name="Total 7 2 2 15" xfId="10962" xr:uid="{00000000-0005-0000-0000-0000B8220000}"/>
    <cellStyle name="Total 7 2 2 16" xfId="11115" xr:uid="{00000000-0005-0000-0000-0000B9220000}"/>
    <cellStyle name="Total 7 2 2 17" xfId="11584" xr:uid="{00000000-0005-0000-0000-0000BA220000}"/>
    <cellStyle name="Total 7 2 2 18" xfId="12335" xr:uid="{00000000-0005-0000-0000-0000BB220000}"/>
    <cellStyle name="Total 7 2 2 19" xfId="12655" xr:uid="{00000000-0005-0000-0000-0000BC220000}"/>
    <cellStyle name="Total 7 2 2 2" xfId="4867" xr:uid="{00000000-0005-0000-0000-0000BD220000}"/>
    <cellStyle name="Total 7 2 2 3" xfId="5305" xr:uid="{00000000-0005-0000-0000-0000BE220000}"/>
    <cellStyle name="Total 7 2 2 4" xfId="5743" xr:uid="{00000000-0005-0000-0000-0000BF220000}"/>
    <cellStyle name="Total 7 2 2 5" xfId="6180" xr:uid="{00000000-0005-0000-0000-0000C0220000}"/>
    <cellStyle name="Total 7 2 2 6" xfId="6617" xr:uid="{00000000-0005-0000-0000-0000C1220000}"/>
    <cellStyle name="Total 7 2 2 7" xfId="7054" xr:uid="{00000000-0005-0000-0000-0000C2220000}"/>
    <cellStyle name="Total 7 2 2 8" xfId="7491" xr:uid="{00000000-0005-0000-0000-0000C3220000}"/>
    <cellStyle name="Total 7 2 2 9" xfId="8339" xr:uid="{00000000-0005-0000-0000-0000C4220000}"/>
    <cellStyle name="Total 7 2 3" xfId="4535" xr:uid="{00000000-0005-0000-0000-0000C5220000}"/>
    <cellStyle name="Total 7 2 3 10" xfId="7876" xr:uid="{00000000-0005-0000-0000-0000C6220000}"/>
    <cellStyle name="Total 7 2 3 11" xfId="9358" xr:uid="{00000000-0005-0000-0000-0000C7220000}"/>
    <cellStyle name="Total 7 2 3 12" xfId="9576" xr:uid="{00000000-0005-0000-0000-0000C8220000}"/>
    <cellStyle name="Total 7 2 3 13" xfId="9971" xr:uid="{00000000-0005-0000-0000-0000C9220000}"/>
    <cellStyle name="Total 7 2 3 14" xfId="10443" xr:uid="{00000000-0005-0000-0000-0000CA220000}"/>
    <cellStyle name="Total 7 2 3 15" xfId="10630" xr:uid="{00000000-0005-0000-0000-0000CB220000}"/>
    <cellStyle name="Total 7 2 3 16" xfId="11330" xr:uid="{00000000-0005-0000-0000-0000CC220000}"/>
    <cellStyle name="Total 7 2 3 17" xfId="11799" xr:uid="{00000000-0005-0000-0000-0000CD220000}"/>
    <cellStyle name="Total 7 2 3 18" xfId="11922" xr:uid="{00000000-0005-0000-0000-0000CE220000}"/>
    <cellStyle name="Total 7 2 3 19" xfId="12870" xr:uid="{00000000-0005-0000-0000-0000CF220000}"/>
    <cellStyle name="Total 7 2 3 2" xfId="5082" xr:uid="{00000000-0005-0000-0000-0000D0220000}"/>
    <cellStyle name="Total 7 2 3 3" xfId="5520" xr:uid="{00000000-0005-0000-0000-0000D1220000}"/>
    <cellStyle name="Total 7 2 3 4" xfId="5958" xr:uid="{00000000-0005-0000-0000-0000D2220000}"/>
    <cellStyle name="Total 7 2 3 5" xfId="6395" xr:uid="{00000000-0005-0000-0000-0000D3220000}"/>
    <cellStyle name="Total 7 2 3 6" xfId="6832" xr:uid="{00000000-0005-0000-0000-0000D4220000}"/>
    <cellStyle name="Total 7 2 3 7" xfId="7269" xr:uid="{00000000-0005-0000-0000-0000D5220000}"/>
    <cellStyle name="Total 7 2 3 8" xfId="7706" xr:uid="{00000000-0005-0000-0000-0000D6220000}"/>
    <cellStyle name="Total 7 2 3 9" xfId="8554" xr:uid="{00000000-0005-0000-0000-0000D7220000}"/>
    <cellStyle name="Total 7 3" xfId="4320" xr:uid="{00000000-0005-0000-0000-0000D8220000}"/>
    <cellStyle name="Total 7 3 10" xfId="8090" xr:uid="{00000000-0005-0000-0000-0000D9220000}"/>
    <cellStyle name="Total 7 3 11" xfId="9142" xr:uid="{00000000-0005-0000-0000-0000DA220000}"/>
    <cellStyle name="Total 7 3 12" xfId="8910" xr:uid="{00000000-0005-0000-0000-0000DB220000}"/>
    <cellStyle name="Total 7 3 13" xfId="9755" xr:uid="{00000000-0005-0000-0000-0000DC220000}"/>
    <cellStyle name="Total 7 3 14" xfId="10227" xr:uid="{00000000-0005-0000-0000-0000DD220000}"/>
    <cellStyle name="Total 7 3 15" xfId="10980" xr:uid="{00000000-0005-0000-0000-0000DE220000}"/>
    <cellStyle name="Total 7 3 16" xfId="11114" xr:uid="{00000000-0005-0000-0000-0000DF220000}"/>
    <cellStyle name="Total 7 3 17" xfId="11583" xr:uid="{00000000-0005-0000-0000-0000E0220000}"/>
    <cellStyle name="Total 7 3 18" xfId="11927" xr:uid="{00000000-0005-0000-0000-0000E1220000}"/>
    <cellStyle name="Total 7 3 19" xfId="12654" xr:uid="{00000000-0005-0000-0000-0000E2220000}"/>
    <cellStyle name="Total 7 3 2" xfId="4866" xr:uid="{00000000-0005-0000-0000-0000E3220000}"/>
    <cellStyle name="Total 7 3 3" xfId="5304" xr:uid="{00000000-0005-0000-0000-0000E4220000}"/>
    <cellStyle name="Total 7 3 4" xfId="5742" xr:uid="{00000000-0005-0000-0000-0000E5220000}"/>
    <cellStyle name="Total 7 3 5" xfId="6179" xr:uid="{00000000-0005-0000-0000-0000E6220000}"/>
    <cellStyle name="Total 7 3 6" xfId="6616" xr:uid="{00000000-0005-0000-0000-0000E7220000}"/>
    <cellStyle name="Total 7 3 7" xfId="7053" xr:uid="{00000000-0005-0000-0000-0000E8220000}"/>
    <cellStyle name="Total 7 3 8" xfId="7490" xr:uid="{00000000-0005-0000-0000-0000E9220000}"/>
    <cellStyle name="Total 7 3 9" xfId="8338" xr:uid="{00000000-0005-0000-0000-0000EA220000}"/>
    <cellStyle name="Total 7 4" xfId="4534" xr:uid="{00000000-0005-0000-0000-0000EB220000}"/>
    <cellStyle name="Total 7 4 10" xfId="7877" xr:uid="{00000000-0005-0000-0000-0000EC220000}"/>
    <cellStyle name="Total 7 4 11" xfId="9357" xr:uid="{00000000-0005-0000-0000-0000ED220000}"/>
    <cellStyle name="Total 7 4 12" xfId="9585" xr:uid="{00000000-0005-0000-0000-0000EE220000}"/>
    <cellStyle name="Total 7 4 13" xfId="9970" xr:uid="{00000000-0005-0000-0000-0000EF220000}"/>
    <cellStyle name="Total 7 4 14" xfId="10442" xr:uid="{00000000-0005-0000-0000-0000F0220000}"/>
    <cellStyle name="Total 7 4 15" xfId="10669" xr:uid="{00000000-0005-0000-0000-0000F1220000}"/>
    <cellStyle name="Total 7 4 16" xfId="11329" xr:uid="{00000000-0005-0000-0000-0000F2220000}"/>
    <cellStyle name="Total 7 4 17" xfId="11798" xr:uid="{00000000-0005-0000-0000-0000F3220000}"/>
    <cellStyle name="Total 7 4 18" xfId="11951" xr:uid="{00000000-0005-0000-0000-0000F4220000}"/>
    <cellStyle name="Total 7 4 19" xfId="12869" xr:uid="{00000000-0005-0000-0000-0000F5220000}"/>
    <cellStyle name="Total 7 4 2" xfId="5081" xr:uid="{00000000-0005-0000-0000-0000F6220000}"/>
    <cellStyle name="Total 7 4 3" xfId="5519" xr:uid="{00000000-0005-0000-0000-0000F7220000}"/>
    <cellStyle name="Total 7 4 4" xfId="5957" xr:uid="{00000000-0005-0000-0000-0000F8220000}"/>
    <cellStyle name="Total 7 4 5" xfId="6394" xr:uid="{00000000-0005-0000-0000-0000F9220000}"/>
    <cellStyle name="Total 7 4 6" xfId="6831" xr:uid="{00000000-0005-0000-0000-0000FA220000}"/>
    <cellStyle name="Total 7 4 7" xfId="7268" xr:uid="{00000000-0005-0000-0000-0000FB220000}"/>
    <cellStyle name="Total 7 4 8" xfId="7705" xr:uid="{00000000-0005-0000-0000-0000FC220000}"/>
    <cellStyle name="Total 7 4 9" xfId="8553" xr:uid="{00000000-0005-0000-0000-0000FD220000}"/>
    <cellStyle name="Total 7 5" xfId="12381" xr:uid="{00000000-0005-0000-0000-0000FE220000}"/>
    <cellStyle name="Total 7 6" xfId="12442" xr:uid="{00000000-0005-0000-0000-0000FF220000}"/>
    <cellStyle name="Total 7 7" xfId="12482" xr:uid="{00000000-0005-0000-0000-000000230000}"/>
    <cellStyle name="Total 8" xfId="782" xr:uid="{00000000-0005-0000-0000-000001230000}"/>
    <cellStyle name="Total 8 2" xfId="4119" xr:uid="{00000000-0005-0000-0000-000002230000}"/>
    <cellStyle name="Total 8 2 2" xfId="4323" xr:uid="{00000000-0005-0000-0000-000003230000}"/>
    <cellStyle name="Total 8 2 2 10" xfId="8087" xr:uid="{00000000-0005-0000-0000-000004230000}"/>
    <cellStyle name="Total 8 2 2 11" xfId="9145" xr:uid="{00000000-0005-0000-0000-000005230000}"/>
    <cellStyle name="Total 8 2 2 12" xfId="8907" xr:uid="{00000000-0005-0000-0000-000006230000}"/>
    <cellStyle name="Total 8 2 2 13" xfId="9758" xr:uid="{00000000-0005-0000-0000-000007230000}"/>
    <cellStyle name="Total 8 2 2 14" xfId="10230" xr:uid="{00000000-0005-0000-0000-000008230000}"/>
    <cellStyle name="Total 8 2 2 15" xfId="10876" xr:uid="{00000000-0005-0000-0000-000009230000}"/>
    <cellStyle name="Total 8 2 2 16" xfId="11117" xr:uid="{00000000-0005-0000-0000-00000A230000}"/>
    <cellStyle name="Total 8 2 2 17" xfId="11586" xr:uid="{00000000-0005-0000-0000-00000B230000}"/>
    <cellStyle name="Total 8 2 2 18" xfId="12279" xr:uid="{00000000-0005-0000-0000-00000C230000}"/>
    <cellStyle name="Total 8 2 2 19" xfId="12657" xr:uid="{00000000-0005-0000-0000-00000D230000}"/>
    <cellStyle name="Total 8 2 2 2" xfId="4869" xr:uid="{00000000-0005-0000-0000-00000E230000}"/>
    <cellStyle name="Total 8 2 2 3" xfId="5307" xr:uid="{00000000-0005-0000-0000-00000F230000}"/>
    <cellStyle name="Total 8 2 2 4" xfId="5745" xr:uid="{00000000-0005-0000-0000-000010230000}"/>
    <cellStyle name="Total 8 2 2 5" xfId="6182" xr:uid="{00000000-0005-0000-0000-000011230000}"/>
    <cellStyle name="Total 8 2 2 6" xfId="6619" xr:uid="{00000000-0005-0000-0000-000012230000}"/>
    <cellStyle name="Total 8 2 2 7" xfId="7056" xr:uid="{00000000-0005-0000-0000-000013230000}"/>
    <cellStyle name="Total 8 2 2 8" xfId="7493" xr:uid="{00000000-0005-0000-0000-000014230000}"/>
    <cellStyle name="Total 8 2 2 9" xfId="8341" xr:uid="{00000000-0005-0000-0000-000015230000}"/>
    <cellStyle name="Total 8 2 3" xfId="4537" xr:uid="{00000000-0005-0000-0000-000016230000}"/>
    <cellStyle name="Total 8 2 3 10" xfId="7874" xr:uid="{00000000-0005-0000-0000-000017230000}"/>
    <cellStyle name="Total 8 2 3 11" xfId="9360" xr:uid="{00000000-0005-0000-0000-000018230000}"/>
    <cellStyle name="Total 8 2 3 12" xfId="9555" xr:uid="{00000000-0005-0000-0000-000019230000}"/>
    <cellStyle name="Total 8 2 3 13" xfId="9973" xr:uid="{00000000-0005-0000-0000-00001A230000}"/>
    <cellStyle name="Total 8 2 3 14" xfId="10445" xr:uid="{00000000-0005-0000-0000-00001B230000}"/>
    <cellStyle name="Total 8 2 3 15" xfId="10551" xr:uid="{00000000-0005-0000-0000-00001C230000}"/>
    <cellStyle name="Total 8 2 3 16" xfId="11332" xr:uid="{00000000-0005-0000-0000-00001D230000}"/>
    <cellStyle name="Total 8 2 3 17" xfId="11801" xr:uid="{00000000-0005-0000-0000-00001E230000}"/>
    <cellStyle name="Total 8 2 3 18" xfId="12301" xr:uid="{00000000-0005-0000-0000-00001F230000}"/>
    <cellStyle name="Total 8 2 3 19" xfId="12872" xr:uid="{00000000-0005-0000-0000-000020230000}"/>
    <cellStyle name="Total 8 2 3 2" xfId="5084" xr:uid="{00000000-0005-0000-0000-000021230000}"/>
    <cellStyle name="Total 8 2 3 3" xfId="5522" xr:uid="{00000000-0005-0000-0000-000022230000}"/>
    <cellStyle name="Total 8 2 3 4" xfId="5960" xr:uid="{00000000-0005-0000-0000-000023230000}"/>
    <cellStyle name="Total 8 2 3 5" xfId="6397" xr:uid="{00000000-0005-0000-0000-000024230000}"/>
    <cellStyle name="Total 8 2 3 6" xfId="6834" xr:uid="{00000000-0005-0000-0000-000025230000}"/>
    <cellStyle name="Total 8 2 3 7" xfId="7271" xr:uid="{00000000-0005-0000-0000-000026230000}"/>
    <cellStyle name="Total 8 2 3 8" xfId="7708" xr:uid="{00000000-0005-0000-0000-000027230000}"/>
    <cellStyle name="Total 8 2 3 9" xfId="8556" xr:uid="{00000000-0005-0000-0000-000028230000}"/>
    <cellStyle name="Total 8 3" xfId="4322" xr:uid="{00000000-0005-0000-0000-000029230000}"/>
    <cellStyle name="Total 8 3 10" xfId="8088" xr:uid="{00000000-0005-0000-0000-00002A230000}"/>
    <cellStyle name="Total 8 3 11" xfId="9144" xr:uid="{00000000-0005-0000-0000-00002B230000}"/>
    <cellStyle name="Total 8 3 12" xfId="8908" xr:uid="{00000000-0005-0000-0000-00002C230000}"/>
    <cellStyle name="Total 8 3 13" xfId="9757" xr:uid="{00000000-0005-0000-0000-00002D230000}"/>
    <cellStyle name="Total 8 3 14" xfId="10229" xr:uid="{00000000-0005-0000-0000-00002E230000}"/>
    <cellStyle name="Total 8 3 15" xfId="10827" xr:uid="{00000000-0005-0000-0000-00002F230000}"/>
    <cellStyle name="Total 8 3 16" xfId="11116" xr:uid="{00000000-0005-0000-0000-000030230000}"/>
    <cellStyle name="Total 8 3 17" xfId="11585" xr:uid="{00000000-0005-0000-0000-000031230000}"/>
    <cellStyle name="Total 8 3 18" xfId="12293" xr:uid="{00000000-0005-0000-0000-000032230000}"/>
    <cellStyle name="Total 8 3 19" xfId="12656" xr:uid="{00000000-0005-0000-0000-000033230000}"/>
    <cellStyle name="Total 8 3 2" xfId="4868" xr:uid="{00000000-0005-0000-0000-000034230000}"/>
    <cellStyle name="Total 8 3 3" xfId="5306" xr:uid="{00000000-0005-0000-0000-000035230000}"/>
    <cellStyle name="Total 8 3 4" xfId="5744" xr:uid="{00000000-0005-0000-0000-000036230000}"/>
    <cellStyle name="Total 8 3 5" xfId="6181" xr:uid="{00000000-0005-0000-0000-000037230000}"/>
    <cellStyle name="Total 8 3 6" xfId="6618" xr:uid="{00000000-0005-0000-0000-000038230000}"/>
    <cellStyle name="Total 8 3 7" xfId="7055" xr:uid="{00000000-0005-0000-0000-000039230000}"/>
    <cellStyle name="Total 8 3 8" xfId="7492" xr:uid="{00000000-0005-0000-0000-00003A230000}"/>
    <cellStyle name="Total 8 3 9" xfId="8340" xr:uid="{00000000-0005-0000-0000-00003B230000}"/>
    <cellStyle name="Total 8 4" xfId="4536" xr:uid="{00000000-0005-0000-0000-00003C230000}"/>
    <cellStyle name="Total 8 4 10" xfId="7875" xr:uid="{00000000-0005-0000-0000-00003D230000}"/>
    <cellStyle name="Total 8 4 11" xfId="9359" xr:uid="{00000000-0005-0000-0000-00003E230000}"/>
    <cellStyle name="Total 8 4 12" xfId="9565" xr:uid="{00000000-0005-0000-0000-00003F230000}"/>
    <cellStyle name="Total 8 4 13" xfId="9972" xr:uid="{00000000-0005-0000-0000-000040230000}"/>
    <cellStyle name="Total 8 4 14" xfId="10444" xr:uid="{00000000-0005-0000-0000-000041230000}"/>
    <cellStyle name="Total 8 4 15" xfId="10591" xr:uid="{00000000-0005-0000-0000-000042230000}"/>
    <cellStyle name="Total 8 4 16" xfId="11331" xr:uid="{00000000-0005-0000-0000-000043230000}"/>
    <cellStyle name="Total 8 4 17" xfId="11800" xr:uid="{00000000-0005-0000-0000-000044230000}"/>
    <cellStyle name="Total 8 4 18" xfId="12330" xr:uid="{00000000-0005-0000-0000-000045230000}"/>
    <cellStyle name="Total 8 4 19" xfId="12871" xr:uid="{00000000-0005-0000-0000-000046230000}"/>
    <cellStyle name="Total 8 4 2" xfId="5083" xr:uid="{00000000-0005-0000-0000-000047230000}"/>
    <cellStyle name="Total 8 4 3" xfId="5521" xr:uid="{00000000-0005-0000-0000-000048230000}"/>
    <cellStyle name="Total 8 4 4" xfId="5959" xr:uid="{00000000-0005-0000-0000-000049230000}"/>
    <cellStyle name="Total 8 4 5" xfId="6396" xr:uid="{00000000-0005-0000-0000-00004A230000}"/>
    <cellStyle name="Total 8 4 6" xfId="6833" xr:uid="{00000000-0005-0000-0000-00004B230000}"/>
    <cellStyle name="Total 8 4 7" xfId="7270" xr:uid="{00000000-0005-0000-0000-00004C230000}"/>
    <cellStyle name="Total 8 4 8" xfId="7707" xr:uid="{00000000-0005-0000-0000-00004D230000}"/>
    <cellStyle name="Total 8 4 9" xfId="8555" xr:uid="{00000000-0005-0000-0000-00004E230000}"/>
    <cellStyle name="Total 8 5" xfId="12382" xr:uid="{00000000-0005-0000-0000-00004F230000}"/>
    <cellStyle name="Total 8 6" xfId="12443" xr:uid="{00000000-0005-0000-0000-000050230000}"/>
    <cellStyle name="Total 8 7" xfId="12477" xr:uid="{00000000-0005-0000-0000-000051230000}"/>
    <cellStyle name="Total 9" xfId="783" xr:uid="{00000000-0005-0000-0000-000052230000}"/>
    <cellStyle name="Total 9 2" xfId="4120" xr:uid="{00000000-0005-0000-0000-000053230000}"/>
    <cellStyle name="Total 9 2 2" xfId="4325" xr:uid="{00000000-0005-0000-0000-000054230000}"/>
    <cellStyle name="Total 9 2 2 10" xfId="8085" xr:uid="{00000000-0005-0000-0000-000055230000}"/>
    <cellStyle name="Total 9 2 2 11" xfId="9147" xr:uid="{00000000-0005-0000-0000-000056230000}"/>
    <cellStyle name="Total 9 2 2 12" xfId="8905" xr:uid="{00000000-0005-0000-0000-000057230000}"/>
    <cellStyle name="Total 9 2 2 13" xfId="9760" xr:uid="{00000000-0005-0000-0000-000058230000}"/>
    <cellStyle name="Total 9 2 2 14" xfId="10232" xr:uid="{00000000-0005-0000-0000-000059230000}"/>
    <cellStyle name="Total 9 2 2 15" xfId="10757" xr:uid="{00000000-0005-0000-0000-00005A230000}"/>
    <cellStyle name="Total 9 2 2 16" xfId="11119" xr:uid="{00000000-0005-0000-0000-00005B230000}"/>
    <cellStyle name="Total 9 2 2 17" xfId="11588" xr:uid="{00000000-0005-0000-0000-00005C230000}"/>
    <cellStyle name="Total 9 2 2 18" xfId="12171" xr:uid="{00000000-0005-0000-0000-00005D230000}"/>
    <cellStyle name="Total 9 2 2 19" xfId="12659" xr:uid="{00000000-0005-0000-0000-00005E230000}"/>
    <cellStyle name="Total 9 2 2 2" xfId="4871" xr:uid="{00000000-0005-0000-0000-00005F230000}"/>
    <cellStyle name="Total 9 2 2 3" xfId="5309" xr:uid="{00000000-0005-0000-0000-000060230000}"/>
    <cellStyle name="Total 9 2 2 4" xfId="5747" xr:uid="{00000000-0005-0000-0000-000061230000}"/>
    <cellStyle name="Total 9 2 2 5" xfId="6184" xr:uid="{00000000-0005-0000-0000-000062230000}"/>
    <cellStyle name="Total 9 2 2 6" xfId="6621" xr:uid="{00000000-0005-0000-0000-000063230000}"/>
    <cellStyle name="Total 9 2 2 7" xfId="7058" xr:uid="{00000000-0005-0000-0000-000064230000}"/>
    <cellStyle name="Total 9 2 2 8" xfId="7495" xr:uid="{00000000-0005-0000-0000-000065230000}"/>
    <cellStyle name="Total 9 2 2 9" xfId="8343" xr:uid="{00000000-0005-0000-0000-000066230000}"/>
    <cellStyle name="Total 9 2 3" xfId="4539" xr:uid="{00000000-0005-0000-0000-000067230000}"/>
    <cellStyle name="Total 9 2 3 10" xfId="7872" xr:uid="{00000000-0005-0000-0000-000068230000}"/>
    <cellStyle name="Total 9 2 3 11" xfId="9362" xr:uid="{00000000-0005-0000-0000-000069230000}"/>
    <cellStyle name="Total 9 2 3 12" xfId="9537" xr:uid="{00000000-0005-0000-0000-00006A230000}"/>
    <cellStyle name="Total 9 2 3 13" xfId="9975" xr:uid="{00000000-0005-0000-0000-00006B230000}"/>
    <cellStyle name="Total 9 2 3 14" xfId="10447" xr:uid="{00000000-0005-0000-0000-00006C230000}"/>
    <cellStyle name="Total 9 2 3 15" xfId="10931" xr:uid="{00000000-0005-0000-0000-00006D230000}"/>
    <cellStyle name="Total 9 2 3 16" xfId="11334" xr:uid="{00000000-0005-0000-0000-00006E230000}"/>
    <cellStyle name="Total 9 2 3 17" xfId="11803" xr:uid="{00000000-0005-0000-0000-00006F230000}"/>
    <cellStyle name="Total 9 2 3 18" xfId="12243" xr:uid="{00000000-0005-0000-0000-000070230000}"/>
    <cellStyle name="Total 9 2 3 19" xfId="12874" xr:uid="{00000000-0005-0000-0000-000071230000}"/>
    <cellStyle name="Total 9 2 3 2" xfId="5086" xr:uid="{00000000-0005-0000-0000-000072230000}"/>
    <cellStyle name="Total 9 2 3 3" xfId="5524" xr:uid="{00000000-0005-0000-0000-000073230000}"/>
    <cellStyle name="Total 9 2 3 4" xfId="5962" xr:uid="{00000000-0005-0000-0000-000074230000}"/>
    <cellStyle name="Total 9 2 3 5" xfId="6399" xr:uid="{00000000-0005-0000-0000-000075230000}"/>
    <cellStyle name="Total 9 2 3 6" xfId="6836" xr:uid="{00000000-0005-0000-0000-000076230000}"/>
    <cellStyle name="Total 9 2 3 7" xfId="7273" xr:uid="{00000000-0005-0000-0000-000077230000}"/>
    <cellStyle name="Total 9 2 3 8" xfId="7710" xr:uid="{00000000-0005-0000-0000-000078230000}"/>
    <cellStyle name="Total 9 2 3 9" xfId="8558" xr:uid="{00000000-0005-0000-0000-000079230000}"/>
    <cellStyle name="Total 9 3" xfId="4324" xr:uid="{00000000-0005-0000-0000-00007A230000}"/>
    <cellStyle name="Total 9 3 10" xfId="8086" xr:uid="{00000000-0005-0000-0000-00007B230000}"/>
    <cellStyle name="Total 9 3 11" xfId="9146" xr:uid="{00000000-0005-0000-0000-00007C230000}"/>
    <cellStyle name="Total 9 3 12" xfId="8906" xr:uid="{00000000-0005-0000-0000-00007D230000}"/>
    <cellStyle name="Total 9 3 13" xfId="9759" xr:uid="{00000000-0005-0000-0000-00007E230000}"/>
    <cellStyle name="Total 9 3 14" xfId="10231" xr:uid="{00000000-0005-0000-0000-00007F230000}"/>
    <cellStyle name="Total 9 3 15" xfId="10795" xr:uid="{00000000-0005-0000-0000-000080230000}"/>
    <cellStyle name="Total 9 3 16" xfId="11118" xr:uid="{00000000-0005-0000-0000-000081230000}"/>
    <cellStyle name="Total 9 3 17" xfId="11587" xr:uid="{00000000-0005-0000-0000-000082230000}"/>
    <cellStyle name="Total 9 3 18" xfId="12248" xr:uid="{00000000-0005-0000-0000-000083230000}"/>
    <cellStyle name="Total 9 3 19" xfId="12658" xr:uid="{00000000-0005-0000-0000-000084230000}"/>
    <cellStyle name="Total 9 3 2" xfId="4870" xr:uid="{00000000-0005-0000-0000-000085230000}"/>
    <cellStyle name="Total 9 3 3" xfId="5308" xr:uid="{00000000-0005-0000-0000-000086230000}"/>
    <cellStyle name="Total 9 3 4" xfId="5746" xr:uid="{00000000-0005-0000-0000-000087230000}"/>
    <cellStyle name="Total 9 3 5" xfId="6183" xr:uid="{00000000-0005-0000-0000-000088230000}"/>
    <cellStyle name="Total 9 3 6" xfId="6620" xr:uid="{00000000-0005-0000-0000-000089230000}"/>
    <cellStyle name="Total 9 3 7" xfId="7057" xr:uid="{00000000-0005-0000-0000-00008A230000}"/>
    <cellStyle name="Total 9 3 8" xfId="7494" xr:uid="{00000000-0005-0000-0000-00008B230000}"/>
    <cellStyle name="Total 9 3 9" xfId="8342" xr:uid="{00000000-0005-0000-0000-00008C230000}"/>
    <cellStyle name="Total 9 4" xfId="4538" xr:uid="{00000000-0005-0000-0000-00008D230000}"/>
    <cellStyle name="Total 9 4 10" xfId="7873" xr:uid="{00000000-0005-0000-0000-00008E230000}"/>
    <cellStyle name="Total 9 4 11" xfId="9361" xr:uid="{00000000-0005-0000-0000-00008F230000}"/>
    <cellStyle name="Total 9 4 12" xfId="9545" xr:uid="{00000000-0005-0000-0000-000090230000}"/>
    <cellStyle name="Total 9 4 13" xfId="9974" xr:uid="{00000000-0005-0000-0000-000091230000}"/>
    <cellStyle name="Total 9 4 14" xfId="10446" xr:uid="{00000000-0005-0000-0000-000092230000}"/>
    <cellStyle name="Total 9 4 15" xfId="10924" xr:uid="{00000000-0005-0000-0000-000093230000}"/>
    <cellStyle name="Total 9 4 16" xfId="11333" xr:uid="{00000000-0005-0000-0000-000094230000}"/>
    <cellStyle name="Total 9 4 17" xfId="11802" xr:uid="{00000000-0005-0000-0000-000095230000}"/>
    <cellStyle name="Total 9 4 18" xfId="12274" xr:uid="{00000000-0005-0000-0000-000096230000}"/>
    <cellStyle name="Total 9 4 19" xfId="12873" xr:uid="{00000000-0005-0000-0000-000097230000}"/>
    <cellStyle name="Total 9 4 2" xfId="5085" xr:uid="{00000000-0005-0000-0000-000098230000}"/>
    <cellStyle name="Total 9 4 3" xfId="5523" xr:uid="{00000000-0005-0000-0000-000099230000}"/>
    <cellStyle name="Total 9 4 4" xfId="5961" xr:uid="{00000000-0005-0000-0000-00009A230000}"/>
    <cellStyle name="Total 9 4 5" xfId="6398" xr:uid="{00000000-0005-0000-0000-00009B230000}"/>
    <cellStyle name="Total 9 4 6" xfId="6835" xr:uid="{00000000-0005-0000-0000-00009C230000}"/>
    <cellStyle name="Total 9 4 7" xfId="7272" xr:uid="{00000000-0005-0000-0000-00009D230000}"/>
    <cellStyle name="Total 9 4 8" xfId="7709" xr:uid="{00000000-0005-0000-0000-00009E230000}"/>
    <cellStyle name="Total 9 4 9" xfId="8557" xr:uid="{00000000-0005-0000-0000-00009F230000}"/>
    <cellStyle name="Total 9 5" xfId="12383" xr:uid="{00000000-0005-0000-0000-0000A0230000}"/>
    <cellStyle name="Total 9 6" xfId="12444" xr:uid="{00000000-0005-0000-0000-0000A1230000}"/>
    <cellStyle name="Total 9 7" xfId="12471" xr:uid="{00000000-0005-0000-0000-0000A2230000}"/>
    <cellStyle name="Warning Text" xfId="14" builtinId="11" customBuiltin="1"/>
    <cellStyle name="Warning Text 10" xfId="784" xr:uid="{00000000-0005-0000-0000-0000A4230000}"/>
    <cellStyle name="Warning Text 10 2" xfId="4121" xr:uid="{00000000-0005-0000-0000-0000A5230000}"/>
    <cellStyle name="Warning Text 10 2 2" xfId="4327" xr:uid="{00000000-0005-0000-0000-0000A6230000}"/>
    <cellStyle name="Warning Text 10 2 2 10" xfId="8083" xr:uid="{00000000-0005-0000-0000-0000A7230000}"/>
    <cellStyle name="Warning Text 10 2 2 11" xfId="9149" xr:uid="{00000000-0005-0000-0000-0000A8230000}"/>
    <cellStyle name="Warning Text 10 2 2 12" xfId="8903" xr:uid="{00000000-0005-0000-0000-0000A9230000}"/>
    <cellStyle name="Warning Text 10 2 2 13" xfId="9762" xr:uid="{00000000-0005-0000-0000-0000AA230000}"/>
    <cellStyle name="Warning Text 10 2 2 14" xfId="10234" xr:uid="{00000000-0005-0000-0000-0000AB230000}"/>
    <cellStyle name="Warning Text 10 2 2 15" xfId="10680" xr:uid="{00000000-0005-0000-0000-0000AC230000}"/>
    <cellStyle name="Warning Text 10 2 2 16" xfId="11121" xr:uid="{00000000-0005-0000-0000-0000AD230000}"/>
    <cellStyle name="Warning Text 10 2 2 17" xfId="11590" xr:uid="{00000000-0005-0000-0000-0000AE230000}"/>
    <cellStyle name="Warning Text 10 2 2 18" xfId="12111" xr:uid="{00000000-0005-0000-0000-0000AF230000}"/>
    <cellStyle name="Warning Text 10 2 2 19" xfId="12661" xr:uid="{00000000-0005-0000-0000-0000B0230000}"/>
    <cellStyle name="Warning Text 10 2 2 2" xfId="4873" xr:uid="{00000000-0005-0000-0000-0000B1230000}"/>
    <cellStyle name="Warning Text 10 2 2 3" xfId="5311" xr:uid="{00000000-0005-0000-0000-0000B2230000}"/>
    <cellStyle name="Warning Text 10 2 2 4" xfId="5749" xr:uid="{00000000-0005-0000-0000-0000B3230000}"/>
    <cellStyle name="Warning Text 10 2 2 5" xfId="6186" xr:uid="{00000000-0005-0000-0000-0000B4230000}"/>
    <cellStyle name="Warning Text 10 2 2 6" xfId="6623" xr:uid="{00000000-0005-0000-0000-0000B5230000}"/>
    <cellStyle name="Warning Text 10 2 2 7" xfId="7060" xr:uid="{00000000-0005-0000-0000-0000B6230000}"/>
    <cellStyle name="Warning Text 10 2 2 8" xfId="7497" xr:uid="{00000000-0005-0000-0000-0000B7230000}"/>
    <cellStyle name="Warning Text 10 2 2 9" xfId="8345" xr:uid="{00000000-0005-0000-0000-0000B8230000}"/>
    <cellStyle name="Warning Text 10 2 3" xfId="4541" xr:uid="{00000000-0005-0000-0000-0000B9230000}"/>
    <cellStyle name="Warning Text 10 2 3 10" xfId="7870" xr:uid="{00000000-0005-0000-0000-0000BA230000}"/>
    <cellStyle name="Warning Text 10 2 3 11" xfId="9364" xr:uid="{00000000-0005-0000-0000-0000BB230000}"/>
    <cellStyle name="Warning Text 10 2 3 12" xfId="9592" xr:uid="{00000000-0005-0000-0000-0000BC230000}"/>
    <cellStyle name="Warning Text 10 2 3 13" xfId="9977" xr:uid="{00000000-0005-0000-0000-0000BD230000}"/>
    <cellStyle name="Warning Text 10 2 3 14" xfId="10449" xr:uid="{00000000-0005-0000-0000-0000BE230000}"/>
    <cellStyle name="Warning Text 10 2 3 15" xfId="10887" xr:uid="{00000000-0005-0000-0000-0000BF230000}"/>
    <cellStyle name="Warning Text 10 2 3 16" xfId="11336" xr:uid="{00000000-0005-0000-0000-0000C0230000}"/>
    <cellStyle name="Warning Text 10 2 3 17" xfId="11805" xr:uid="{00000000-0005-0000-0000-0000C1230000}"/>
    <cellStyle name="Warning Text 10 2 3 18" xfId="12206" xr:uid="{00000000-0005-0000-0000-0000C2230000}"/>
    <cellStyle name="Warning Text 10 2 3 19" xfId="12876" xr:uid="{00000000-0005-0000-0000-0000C3230000}"/>
    <cellStyle name="Warning Text 10 2 3 2" xfId="5088" xr:uid="{00000000-0005-0000-0000-0000C4230000}"/>
    <cellStyle name="Warning Text 10 2 3 3" xfId="5526" xr:uid="{00000000-0005-0000-0000-0000C5230000}"/>
    <cellStyle name="Warning Text 10 2 3 4" xfId="5964" xr:uid="{00000000-0005-0000-0000-0000C6230000}"/>
    <cellStyle name="Warning Text 10 2 3 5" xfId="6401" xr:uid="{00000000-0005-0000-0000-0000C7230000}"/>
    <cellStyle name="Warning Text 10 2 3 6" xfId="6838" xr:uid="{00000000-0005-0000-0000-0000C8230000}"/>
    <cellStyle name="Warning Text 10 2 3 7" xfId="7275" xr:uid="{00000000-0005-0000-0000-0000C9230000}"/>
    <cellStyle name="Warning Text 10 2 3 8" xfId="7712" xr:uid="{00000000-0005-0000-0000-0000CA230000}"/>
    <cellStyle name="Warning Text 10 2 3 9" xfId="8560" xr:uid="{00000000-0005-0000-0000-0000CB230000}"/>
    <cellStyle name="Warning Text 10 3" xfId="4326" xr:uid="{00000000-0005-0000-0000-0000CC230000}"/>
    <cellStyle name="Warning Text 10 3 10" xfId="8084" xr:uid="{00000000-0005-0000-0000-0000CD230000}"/>
    <cellStyle name="Warning Text 10 3 11" xfId="9148" xr:uid="{00000000-0005-0000-0000-0000CE230000}"/>
    <cellStyle name="Warning Text 10 3 12" xfId="8904" xr:uid="{00000000-0005-0000-0000-0000CF230000}"/>
    <cellStyle name="Warning Text 10 3 13" xfId="9761" xr:uid="{00000000-0005-0000-0000-0000D0230000}"/>
    <cellStyle name="Warning Text 10 3 14" xfId="10233" xr:uid="{00000000-0005-0000-0000-0000D1230000}"/>
    <cellStyle name="Warning Text 10 3 15" xfId="10719" xr:uid="{00000000-0005-0000-0000-0000D2230000}"/>
    <cellStyle name="Warning Text 10 3 16" xfId="11120" xr:uid="{00000000-0005-0000-0000-0000D3230000}"/>
    <cellStyle name="Warning Text 10 3 17" xfId="11589" xr:uid="{00000000-0005-0000-0000-0000D4230000}"/>
    <cellStyle name="Warning Text 10 3 18" xfId="12211" xr:uid="{00000000-0005-0000-0000-0000D5230000}"/>
    <cellStyle name="Warning Text 10 3 19" xfId="12660" xr:uid="{00000000-0005-0000-0000-0000D6230000}"/>
    <cellStyle name="Warning Text 10 3 2" xfId="4872" xr:uid="{00000000-0005-0000-0000-0000D7230000}"/>
    <cellStyle name="Warning Text 10 3 3" xfId="5310" xr:uid="{00000000-0005-0000-0000-0000D8230000}"/>
    <cellStyle name="Warning Text 10 3 4" xfId="5748" xr:uid="{00000000-0005-0000-0000-0000D9230000}"/>
    <cellStyle name="Warning Text 10 3 5" xfId="6185" xr:uid="{00000000-0005-0000-0000-0000DA230000}"/>
    <cellStyle name="Warning Text 10 3 6" xfId="6622" xr:uid="{00000000-0005-0000-0000-0000DB230000}"/>
    <cellStyle name="Warning Text 10 3 7" xfId="7059" xr:uid="{00000000-0005-0000-0000-0000DC230000}"/>
    <cellStyle name="Warning Text 10 3 8" xfId="7496" xr:uid="{00000000-0005-0000-0000-0000DD230000}"/>
    <cellStyle name="Warning Text 10 3 9" xfId="8344" xr:uid="{00000000-0005-0000-0000-0000DE230000}"/>
    <cellStyle name="Warning Text 10 4" xfId="4540" xr:uid="{00000000-0005-0000-0000-0000DF230000}"/>
    <cellStyle name="Warning Text 10 4 10" xfId="7871" xr:uid="{00000000-0005-0000-0000-0000E0230000}"/>
    <cellStyle name="Warning Text 10 4 11" xfId="9363" xr:uid="{00000000-0005-0000-0000-0000E1230000}"/>
    <cellStyle name="Warning Text 10 4 12" xfId="9529" xr:uid="{00000000-0005-0000-0000-0000E2230000}"/>
    <cellStyle name="Warning Text 10 4 13" xfId="9976" xr:uid="{00000000-0005-0000-0000-0000E3230000}"/>
    <cellStyle name="Warning Text 10 4 14" xfId="10448" xr:uid="{00000000-0005-0000-0000-0000E4230000}"/>
    <cellStyle name="Warning Text 10 4 15" xfId="10858" xr:uid="{00000000-0005-0000-0000-0000E5230000}"/>
    <cellStyle name="Warning Text 10 4 16" xfId="11335" xr:uid="{00000000-0005-0000-0000-0000E6230000}"/>
    <cellStyle name="Warning Text 10 4 17" xfId="11804" xr:uid="{00000000-0005-0000-0000-0000E7230000}"/>
    <cellStyle name="Warning Text 10 4 18" xfId="12216" xr:uid="{00000000-0005-0000-0000-0000E8230000}"/>
    <cellStyle name="Warning Text 10 4 19" xfId="12875" xr:uid="{00000000-0005-0000-0000-0000E9230000}"/>
    <cellStyle name="Warning Text 10 4 2" xfId="5087" xr:uid="{00000000-0005-0000-0000-0000EA230000}"/>
    <cellStyle name="Warning Text 10 4 3" xfId="5525" xr:uid="{00000000-0005-0000-0000-0000EB230000}"/>
    <cellStyle name="Warning Text 10 4 4" xfId="5963" xr:uid="{00000000-0005-0000-0000-0000EC230000}"/>
    <cellStyle name="Warning Text 10 4 5" xfId="6400" xr:uid="{00000000-0005-0000-0000-0000ED230000}"/>
    <cellStyle name="Warning Text 10 4 6" xfId="6837" xr:uid="{00000000-0005-0000-0000-0000EE230000}"/>
    <cellStyle name="Warning Text 10 4 7" xfId="7274" xr:uid="{00000000-0005-0000-0000-0000EF230000}"/>
    <cellStyle name="Warning Text 10 4 8" xfId="7711" xr:uid="{00000000-0005-0000-0000-0000F0230000}"/>
    <cellStyle name="Warning Text 10 4 9" xfId="8559" xr:uid="{00000000-0005-0000-0000-0000F1230000}"/>
    <cellStyle name="Warning Text 10 5" xfId="12384" xr:uid="{00000000-0005-0000-0000-0000F2230000}"/>
    <cellStyle name="Warning Text 10 6" xfId="12445" xr:uid="{00000000-0005-0000-0000-0000F3230000}"/>
    <cellStyle name="Warning Text 10 7" xfId="12521" xr:uid="{00000000-0005-0000-0000-0000F4230000}"/>
    <cellStyle name="Warning Text 11" xfId="785" xr:uid="{00000000-0005-0000-0000-0000F5230000}"/>
    <cellStyle name="Warning Text 11 2" xfId="4122" xr:uid="{00000000-0005-0000-0000-0000F6230000}"/>
    <cellStyle name="Warning Text 11 2 2" xfId="4329" xr:uid="{00000000-0005-0000-0000-0000F7230000}"/>
    <cellStyle name="Warning Text 11 2 2 10" xfId="8081" xr:uid="{00000000-0005-0000-0000-0000F8230000}"/>
    <cellStyle name="Warning Text 11 2 2 11" xfId="9151" xr:uid="{00000000-0005-0000-0000-0000F9230000}"/>
    <cellStyle name="Warning Text 11 2 2 12" xfId="8901" xr:uid="{00000000-0005-0000-0000-0000FA230000}"/>
    <cellStyle name="Warning Text 11 2 2 13" xfId="9764" xr:uid="{00000000-0005-0000-0000-0000FB230000}"/>
    <cellStyle name="Warning Text 11 2 2 14" xfId="10236" xr:uid="{00000000-0005-0000-0000-0000FC230000}"/>
    <cellStyle name="Warning Text 11 2 2 15" xfId="10602" xr:uid="{00000000-0005-0000-0000-0000FD230000}"/>
    <cellStyle name="Warning Text 11 2 2 16" xfId="11123" xr:uid="{00000000-0005-0000-0000-0000FE230000}"/>
    <cellStyle name="Warning Text 11 2 2 17" xfId="11592" xr:uid="{00000000-0005-0000-0000-0000FF230000}"/>
    <cellStyle name="Warning Text 11 2 2 18" xfId="12086" xr:uid="{00000000-0005-0000-0000-000000240000}"/>
    <cellStyle name="Warning Text 11 2 2 19" xfId="12663" xr:uid="{00000000-0005-0000-0000-000001240000}"/>
    <cellStyle name="Warning Text 11 2 2 2" xfId="4875" xr:uid="{00000000-0005-0000-0000-000002240000}"/>
    <cellStyle name="Warning Text 11 2 2 3" xfId="5313" xr:uid="{00000000-0005-0000-0000-000003240000}"/>
    <cellStyle name="Warning Text 11 2 2 4" xfId="5751" xr:uid="{00000000-0005-0000-0000-000004240000}"/>
    <cellStyle name="Warning Text 11 2 2 5" xfId="6188" xr:uid="{00000000-0005-0000-0000-000005240000}"/>
    <cellStyle name="Warning Text 11 2 2 6" xfId="6625" xr:uid="{00000000-0005-0000-0000-000006240000}"/>
    <cellStyle name="Warning Text 11 2 2 7" xfId="7062" xr:uid="{00000000-0005-0000-0000-000007240000}"/>
    <cellStyle name="Warning Text 11 2 2 8" xfId="7499" xr:uid="{00000000-0005-0000-0000-000008240000}"/>
    <cellStyle name="Warning Text 11 2 2 9" xfId="8347" xr:uid="{00000000-0005-0000-0000-000009240000}"/>
    <cellStyle name="Warning Text 11 2 3" xfId="4543" xr:uid="{00000000-0005-0000-0000-00000A240000}"/>
    <cellStyle name="Warning Text 11 2 3 10" xfId="7868" xr:uid="{00000000-0005-0000-0000-00000B240000}"/>
    <cellStyle name="Warning Text 11 2 3 11" xfId="9366" xr:uid="{00000000-0005-0000-0000-00000C240000}"/>
    <cellStyle name="Warning Text 11 2 3 12" xfId="9506" xr:uid="{00000000-0005-0000-0000-00000D240000}"/>
    <cellStyle name="Warning Text 11 2 3 13" xfId="9979" xr:uid="{00000000-0005-0000-0000-00000E240000}"/>
    <cellStyle name="Warning Text 11 2 3 14" xfId="10451" xr:uid="{00000000-0005-0000-0000-00000F240000}"/>
    <cellStyle name="Warning Text 11 2 3 15" xfId="10767" xr:uid="{00000000-0005-0000-0000-000010240000}"/>
    <cellStyle name="Warning Text 11 2 3 16" xfId="11338" xr:uid="{00000000-0005-0000-0000-000011240000}"/>
    <cellStyle name="Warning Text 11 2 3 17" xfId="11807" xr:uid="{00000000-0005-0000-0000-000012240000}"/>
    <cellStyle name="Warning Text 11 2 3 18" xfId="12140" xr:uid="{00000000-0005-0000-0000-000013240000}"/>
    <cellStyle name="Warning Text 11 2 3 19" xfId="12878" xr:uid="{00000000-0005-0000-0000-000014240000}"/>
    <cellStyle name="Warning Text 11 2 3 2" xfId="5090" xr:uid="{00000000-0005-0000-0000-000015240000}"/>
    <cellStyle name="Warning Text 11 2 3 3" xfId="5528" xr:uid="{00000000-0005-0000-0000-000016240000}"/>
    <cellStyle name="Warning Text 11 2 3 4" xfId="5966" xr:uid="{00000000-0005-0000-0000-000017240000}"/>
    <cellStyle name="Warning Text 11 2 3 5" xfId="6403" xr:uid="{00000000-0005-0000-0000-000018240000}"/>
    <cellStyle name="Warning Text 11 2 3 6" xfId="6840" xr:uid="{00000000-0005-0000-0000-000019240000}"/>
    <cellStyle name="Warning Text 11 2 3 7" xfId="7277" xr:uid="{00000000-0005-0000-0000-00001A240000}"/>
    <cellStyle name="Warning Text 11 2 3 8" xfId="7714" xr:uid="{00000000-0005-0000-0000-00001B240000}"/>
    <cellStyle name="Warning Text 11 2 3 9" xfId="8562" xr:uid="{00000000-0005-0000-0000-00001C240000}"/>
    <cellStyle name="Warning Text 11 3" xfId="4328" xr:uid="{00000000-0005-0000-0000-00001D240000}"/>
    <cellStyle name="Warning Text 11 3 10" xfId="8082" xr:uid="{00000000-0005-0000-0000-00001E240000}"/>
    <cellStyle name="Warning Text 11 3 11" xfId="9150" xr:uid="{00000000-0005-0000-0000-00001F240000}"/>
    <cellStyle name="Warning Text 11 3 12" xfId="8902" xr:uid="{00000000-0005-0000-0000-000020240000}"/>
    <cellStyle name="Warning Text 11 3 13" xfId="9763" xr:uid="{00000000-0005-0000-0000-000021240000}"/>
    <cellStyle name="Warning Text 11 3 14" xfId="10235" xr:uid="{00000000-0005-0000-0000-000022240000}"/>
    <cellStyle name="Warning Text 11 3 15" xfId="10641" xr:uid="{00000000-0005-0000-0000-000023240000}"/>
    <cellStyle name="Warning Text 11 3 16" xfId="11122" xr:uid="{00000000-0005-0000-0000-000024240000}"/>
    <cellStyle name="Warning Text 11 3 17" xfId="11591" xr:uid="{00000000-0005-0000-0000-000025240000}"/>
    <cellStyle name="Warning Text 11 3 18" xfId="12145" xr:uid="{00000000-0005-0000-0000-000026240000}"/>
    <cellStyle name="Warning Text 11 3 19" xfId="12662" xr:uid="{00000000-0005-0000-0000-000027240000}"/>
    <cellStyle name="Warning Text 11 3 2" xfId="4874" xr:uid="{00000000-0005-0000-0000-000028240000}"/>
    <cellStyle name="Warning Text 11 3 3" xfId="5312" xr:uid="{00000000-0005-0000-0000-000029240000}"/>
    <cellStyle name="Warning Text 11 3 4" xfId="5750" xr:uid="{00000000-0005-0000-0000-00002A240000}"/>
    <cellStyle name="Warning Text 11 3 5" xfId="6187" xr:uid="{00000000-0005-0000-0000-00002B240000}"/>
    <cellStyle name="Warning Text 11 3 6" xfId="6624" xr:uid="{00000000-0005-0000-0000-00002C240000}"/>
    <cellStyle name="Warning Text 11 3 7" xfId="7061" xr:uid="{00000000-0005-0000-0000-00002D240000}"/>
    <cellStyle name="Warning Text 11 3 8" xfId="7498" xr:uid="{00000000-0005-0000-0000-00002E240000}"/>
    <cellStyle name="Warning Text 11 3 9" xfId="8346" xr:uid="{00000000-0005-0000-0000-00002F240000}"/>
    <cellStyle name="Warning Text 11 4" xfId="4542" xr:uid="{00000000-0005-0000-0000-000030240000}"/>
    <cellStyle name="Warning Text 11 4 10" xfId="7869" xr:uid="{00000000-0005-0000-0000-000031240000}"/>
    <cellStyle name="Warning Text 11 4 11" xfId="9365" xr:uid="{00000000-0005-0000-0000-000032240000}"/>
    <cellStyle name="Warning Text 11 4 12" xfId="9605" xr:uid="{00000000-0005-0000-0000-000033240000}"/>
    <cellStyle name="Warning Text 11 4 13" xfId="9978" xr:uid="{00000000-0005-0000-0000-000034240000}"/>
    <cellStyle name="Warning Text 11 4 14" xfId="10450" xr:uid="{00000000-0005-0000-0000-000035240000}"/>
    <cellStyle name="Warning Text 11 4 15" xfId="10806" xr:uid="{00000000-0005-0000-0000-000036240000}"/>
    <cellStyle name="Warning Text 11 4 16" xfId="11337" xr:uid="{00000000-0005-0000-0000-000037240000}"/>
    <cellStyle name="Warning Text 11 4 17" xfId="11806" xr:uid="{00000000-0005-0000-0000-000038240000}"/>
    <cellStyle name="Warning Text 11 4 18" xfId="12116" xr:uid="{00000000-0005-0000-0000-000039240000}"/>
    <cellStyle name="Warning Text 11 4 19" xfId="12877" xr:uid="{00000000-0005-0000-0000-00003A240000}"/>
    <cellStyle name="Warning Text 11 4 2" xfId="5089" xr:uid="{00000000-0005-0000-0000-00003B240000}"/>
    <cellStyle name="Warning Text 11 4 3" xfId="5527" xr:uid="{00000000-0005-0000-0000-00003C240000}"/>
    <cellStyle name="Warning Text 11 4 4" xfId="5965" xr:uid="{00000000-0005-0000-0000-00003D240000}"/>
    <cellStyle name="Warning Text 11 4 5" xfId="6402" xr:uid="{00000000-0005-0000-0000-00003E240000}"/>
    <cellStyle name="Warning Text 11 4 6" xfId="6839" xr:uid="{00000000-0005-0000-0000-00003F240000}"/>
    <cellStyle name="Warning Text 11 4 7" xfId="7276" xr:uid="{00000000-0005-0000-0000-000040240000}"/>
    <cellStyle name="Warning Text 11 4 8" xfId="7713" xr:uid="{00000000-0005-0000-0000-000041240000}"/>
    <cellStyle name="Warning Text 11 4 9" xfId="8561" xr:uid="{00000000-0005-0000-0000-000042240000}"/>
    <cellStyle name="Warning Text 11 5" xfId="12385" xr:uid="{00000000-0005-0000-0000-000043240000}"/>
    <cellStyle name="Warning Text 11 6" xfId="12446" xr:uid="{00000000-0005-0000-0000-000044240000}"/>
    <cellStyle name="Warning Text 11 7" xfId="12516" xr:uid="{00000000-0005-0000-0000-000045240000}"/>
    <cellStyle name="Warning Text 12" xfId="786" xr:uid="{00000000-0005-0000-0000-000046240000}"/>
    <cellStyle name="Warning Text 12 2" xfId="4123" xr:uid="{00000000-0005-0000-0000-000047240000}"/>
    <cellStyle name="Warning Text 12 2 2" xfId="4331" xr:uid="{00000000-0005-0000-0000-000048240000}"/>
    <cellStyle name="Warning Text 12 2 2 10" xfId="8079" xr:uid="{00000000-0005-0000-0000-000049240000}"/>
    <cellStyle name="Warning Text 12 2 2 11" xfId="9153" xr:uid="{00000000-0005-0000-0000-00004A240000}"/>
    <cellStyle name="Warning Text 12 2 2 12" xfId="8899" xr:uid="{00000000-0005-0000-0000-00004B240000}"/>
    <cellStyle name="Warning Text 12 2 2 13" xfId="9766" xr:uid="{00000000-0005-0000-0000-00004C240000}"/>
    <cellStyle name="Warning Text 12 2 2 14" xfId="10238" xr:uid="{00000000-0005-0000-0000-00004D240000}"/>
    <cellStyle name="Warning Text 12 2 2 15" xfId="10913" xr:uid="{00000000-0005-0000-0000-00004E240000}"/>
    <cellStyle name="Warning Text 12 2 2 16" xfId="11125" xr:uid="{00000000-0005-0000-0000-00004F240000}"/>
    <cellStyle name="Warning Text 12 2 2 17" xfId="11594" xr:uid="{00000000-0005-0000-0000-000050240000}"/>
    <cellStyle name="Warning Text 12 2 2 18" xfId="12027" xr:uid="{00000000-0005-0000-0000-000051240000}"/>
    <cellStyle name="Warning Text 12 2 2 19" xfId="12665" xr:uid="{00000000-0005-0000-0000-000052240000}"/>
    <cellStyle name="Warning Text 12 2 2 2" xfId="4877" xr:uid="{00000000-0005-0000-0000-000053240000}"/>
    <cellStyle name="Warning Text 12 2 2 3" xfId="5315" xr:uid="{00000000-0005-0000-0000-000054240000}"/>
    <cellStyle name="Warning Text 12 2 2 4" xfId="5753" xr:uid="{00000000-0005-0000-0000-000055240000}"/>
    <cellStyle name="Warning Text 12 2 2 5" xfId="6190" xr:uid="{00000000-0005-0000-0000-000056240000}"/>
    <cellStyle name="Warning Text 12 2 2 6" xfId="6627" xr:uid="{00000000-0005-0000-0000-000057240000}"/>
    <cellStyle name="Warning Text 12 2 2 7" xfId="7064" xr:uid="{00000000-0005-0000-0000-000058240000}"/>
    <cellStyle name="Warning Text 12 2 2 8" xfId="7501" xr:uid="{00000000-0005-0000-0000-000059240000}"/>
    <cellStyle name="Warning Text 12 2 2 9" xfId="8349" xr:uid="{00000000-0005-0000-0000-00005A240000}"/>
    <cellStyle name="Warning Text 12 2 3" xfId="4545" xr:uid="{00000000-0005-0000-0000-00005B240000}"/>
    <cellStyle name="Warning Text 12 2 3 10" xfId="7866" xr:uid="{00000000-0005-0000-0000-00005C240000}"/>
    <cellStyle name="Warning Text 12 2 3 11" xfId="9368" xr:uid="{00000000-0005-0000-0000-00005D240000}"/>
    <cellStyle name="Warning Text 12 2 3 12" xfId="9498" xr:uid="{00000000-0005-0000-0000-00005E240000}"/>
    <cellStyle name="Warning Text 12 2 3 13" xfId="9981" xr:uid="{00000000-0005-0000-0000-00005F240000}"/>
    <cellStyle name="Warning Text 12 2 3 14" xfId="10453" xr:uid="{00000000-0005-0000-0000-000060240000}"/>
    <cellStyle name="Warning Text 12 2 3 15" xfId="10690" xr:uid="{00000000-0005-0000-0000-000061240000}"/>
    <cellStyle name="Warning Text 12 2 3 16" xfId="11340" xr:uid="{00000000-0005-0000-0000-000062240000}"/>
    <cellStyle name="Warning Text 12 2 3 17" xfId="11809" xr:uid="{00000000-0005-0000-0000-000063240000}"/>
    <cellStyle name="Warning Text 12 2 3 18" xfId="12051" xr:uid="{00000000-0005-0000-0000-000064240000}"/>
    <cellStyle name="Warning Text 12 2 3 19" xfId="12880" xr:uid="{00000000-0005-0000-0000-000065240000}"/>
    <cellStyle name="Warning Text 12 2 3 2" xfId="5092" xr:uid="{00000000-0005-0000-0000-000066240000}"/>
    <cellStyle name="Warning Text 12 2 3 3" xfId="5530" xr:uid="{00000000-0005-0000-0000-000067240000}"/>
    <cellStyle name="Warning Text 12 2 3 4" xfId="5968" xr:uid="{00000000-0005-0000-0000-000068240000}"/>
    <cellStyle name="Warning Text 12 2 3 5" xfId="6405" xr:uid="{00000000-0005-0000-0000-000069240000}"/>
    <cellStyle name="Warning Text 12 2 3 6" xfId="6842" xr:uid="{00000000-0005-0000-0000-00006A240000}"/>
    <cellStyle name="Warning Text 12 2 3 7" xfId="7279" xr:uid="{00000000-0005-0000-0000-00006B240000}"/>
    <cellStyle name="Warning Text 12 2 3 8" xfId="7716" xr:uid="{00000000-0005-0000-0000-00006C240000}"/>
    <cellStyle name="Warning Text 12 2 3 9" xfId="8564" xr:uid="{00000000-0005-0000-0000-00006D240000}"/>
    <cellStyle name="Warning Text 12 3" xfId="4330" xr:uid="{00000000-0005-0000-0000-00006E240000}"/>
    <cellStyle name="Warning Text 12 3 10" xfId="8080" xr:uid="{00000000-0005-0000-0000-00006F240000}"/>
    <cellStyle name="Warning Text 12 3 11" xfId="9152" xr:uid="{00000000-0005-0000-0000-000070240000}"/>
    <cellStyle name="Warning Text 12 3 12" xfId="8900" xr:uid="{00000000-0005-0000-0000-000071240000}"/>
    <cellStyle name="Warning Text 12 3 13" xfId="9765" xr:uid="{00000000-0005-0000-0000-000072240000}"/>
    <cellStyle name="Warning Text 12 3 14" xfId="10237" xr:uid="{00000000-0005-0000-0000-000073240000}"/>
    <cellStyle name="Warning Text 12 3 15" xfId="10562" xr:uid="{00000000-0005-0000-0000-000074240000}"/>
    <cellStyle name="Warning Text 12 3 16" xfId="11124" xr:uid="{00000000-0005-0000-0000-000075240000}"/>
    <cellStyle name="Warning Text 12 3 17" xfId="11593" xr:uid="{00000000-0005-0000-0000-000076240000}"/>
    <cellStyle name="Warning Text 12 3 18" xfId="12056" xr:uid="{00000000-0005-0000-0000-000077240000}"/>
    <cellStyle name="Warning Text 12 3 19" xfId="12664" xr:uid="{00000000-0005-0000-0000-000078240000}"/>
    <cellStyle name="Warning Text 12 3 2" xfId="4876" xr:uid="{00000000-0005-0000-0000-000079240000}"/>
    <cellStyle name="Warning Text 12 3 3" xfId="5314" xr:uid="{00000000-0005-0000-0000-00007A240000}"/>
    <cellStyle name="Warning Text 12 3 4" xfId="5752" xr:uid="{00000000-0005-0000-0000-00007B240000}"/>
    <cellStyle name="Warning Text 12 3 5" xfId="6189" xr:uid="{00000000-0005-0000-0000-00007C240000}"/>
    <cellStyle name="Warning Text 12 3 6" xfId="6626" xr:uid="{00000000-0005-0000-0000-00007D240000}"/>
    <cellStyle name="Warning Text 12 3 7" xfId="7063" xr:uid="{00000000-0005-0000-0000-00007E240000}"/>
    <cellStyle name="Warning Text 12 3 8" xfId="7500" xr:uid="{00000000-0005-0000-0000-00007F240000}"/>
    <cellStyle name="Warning Text 12 3 9" xfId="8348" xr:uid="{00000000-0005-0000-0000-000080240000}"/>
    <cellStyle name="Warning Text 12 4" xfId="4544" xr:uid="{00000000-0005-0000-0000-000081240000}"/>
    <cellStyle name="Warning Text 12 4 10" xfId="7867" xr:uid="{00000000-0005-0000-0000-000082240000}"/>
    <cellStyle name="Warning Text 12 4 11" xfId="9367" xr:uid="{00000000-0005-0000-0000-000083240000}"/>
    <cellStyle name="Warning Text 12 4 12" xfId="9524" xr:uid="{00000000-0005-0000-0000-000084240000}"/>
    <cellStyle name="Warning Text 12 4 13" xfId="9980" xr:uid="{00000000-0005-0000-0000-000085240000}"/>
    <cellStyle name="Warning Text 12 4 14" xfId="10452" xr:uid="{00000000-0005-0000-0000-000086240000}"/>
    <cellStyle name="Warning Text 12 4 15" xfId="10729" xr:uid="{00000000-0005-0000-0000-000087240000}"/>
    <cellStyle name="Warning Text 12 4 16" xfId="11339" xr:uid="{00000000-0005-0000-0000-000088240000}"/>
    <cellStyle name="Warning Text 12 4 17" xfId="11808" xr:uid="{00000000-0005-0000-0000-000089240000}"/>
    <cellStyle name="Warning Text 12 4 18" xfId="12081" xr:uid="{00000000-0005-0000-0000-00008A240000}"/>
    <cellStyle name="Warning Text 12 4 19" xfId="12879" xr:uid="{00000000-0005-0000-0000-00008B240000}"/>
    <cellStyle name="Warning Text 12 4 2" xfId="5091" xr:uid="{00000000-0005-0000-0000-00008C240000}"/>
    <cellStyle name="Warning Text 12 4 3" xfId="5529" xr:uid="{00000000-0005-0000-0000-00008D240000}"/>
    <cellStyle name="Warning Text 12 4 4" xfId="5967" xr:uid="{00000000-0005-0000-0000-00008E240000}"/>
    <cellStyle name="Warning Text 12 4 5" xfId="6404" xr:uid="{00000000-0005-0000-0000-00008F240000}"/>
    <cellStyle name="Warning Text 12 4 6" xfId="6841" xr:uid="{00000000-0005-0000-0000-000090240000}"/>
    <cellStyle name="Warning Text 12 4 7" xfId="7278" xr:uid="{00000000-0005-0000-0000-000091240000}"/>
    <cellStyle name="Warning Text 12 4 8" xfId="7715" xr:uid="{00000000-0005-0000-0000-000092240000}"/>
    <cellStyle name="Warning Text 12 4 9" xfId="8563" xr:uid="{00000000-0005-0000-0000-000093240000}"/>
    <cellStyle name="Warning Text 12 5" xfId="12386" xr:uid="{00000000-0005-0000-0000-000094240000}"/>
    <cellStyle name="Warning Text 12 6" xfId="12447" xr:uid="{00000000-0005-0000-0000-000095240000}"/>
    <cellStyle name="Warning Text 12 7" xfId="12509" xr:uid="{00000000-0005-0000-0000-000096240000}"/>
    <cellStyle name="Warning Text 13" xfId="787" xr:uid="{00000000-0005-0000-0000-000097240000}"/>
    <cellStyle name="Warning Text 13 2" xfId="4124" xr:uid="{00000000-0005-0000-0000-000098240000}"/>
    <cellStyle name="Warning Text 13 2 2" xfId="4333" xr:uid="{00000000-0005-0000-0000-000099240000}"/>
    <cellStyle name="Warning Text 13 2 2 10" xfId="8077" xr:uid="{00000000-0005-0000-0000-00009A240000}"/>
    <cellStyle name="Warning Text 13 2 2 11" xfId="9155" xr:uid="{00000000-0005-0000-0000-00009B240000}"/>
    <cellStyle name="Warning Text 13 2 2 12" xfId="8897" xr:uid="{00000000-0005-0000-0000-00009C240000}"/>
    <cellStyle name="Warning Text 13 2 2 13" xfId="9768" xr:uid="{00000000-0005-0000-0000-00009D240000}"/>
    <cellStyle name="Warning Text 13 2 2 14" xfId="10240" xr:uid="{00000000-0005-0000-0000-00009E240000}"/>
    <cellStyle name="Warning Text 13 2 2 15" xfId="10847" xr:uid="{00000000-0005-0000-0000-00009F240000}"/>
    <cellStyle name="Warning Text 13 2 2 16" xfId="11127" xr:uid="{00000000-0005-0000-0000-0000A0240000}"/>
    <cellStyle name="Warning Text 13 2 2 17" xfId="11596" xr:uid="{00000000-0005-0000-0000-0000A1240000}"/>
    <cellStyle name="Warning Text 13 2 2 18" xfId="11970" xr:uid="{00000000-0005-0000-0000-0000A2240000}"/>
    <cellStyle name="Warning Text 13 2 2 19" xfId="12667" xr:uid="{00000000-0005-0000-0000-0000A3240000}"/>
    <cellStyle name="Warning Text 13 2 2 2" xfId="4879" xr:uid="{00000000-0005-0000-0000-0000A4240000}"/>
    <cellStyle name="Warning Text 13 2 2 3" xfId="5317" xr:uid="{00000000-0005-0000-0000-0000A5240000}"/>
    <cellStyle name="Warning Text 13 2 2 4" xfId="5755" xr:uid="{00000000-0005-0000-0000-0000A6240000}"/>
    <cellStyle name="Warning Text 13 2 2 5" xfId="6192" xr:uid="{00000000-0005-0000-0000-0000A7240000}"/>
    <cellStyle name="Warning Text 13 2 2 6" xfId="6629" xr:uid="{00000000-0005-0000-0000-0000A8240000}"/>
    <cellStyle name="Warning Text 13 2 2 7" xfId="7066" xr:uid="{00000000-0005-0000-0000-0000A9240000}"/>
    <cellStyle name="Warning Text 13 2 2 8" xfId="7503" xr:uid="{00000000-0005-0000-0000-0000AA240000}"/>
    <cellStyle name="Warning Text 13 2 2 9" xfId="8351" xr:uid="{00000000-0005-0000-0000-0000AB240000}"/>
    <cellStyle name="Warning Text 13 2 3" xfId="4547" xr:uid="{00000000-0005-0000-0000-0000AC240000}"/>
    <cellStyle name="Warning Text 13 2 3 10" xfId="7864" xr:uid="{00000000-0005-0000-0000-0000AD240000}"/>
    <cellStyle name="Warning Text 13 2 3 11" xfId="9370" xr:uid="{00000000-0005-0000-0000-0000AE240000}"/>
    <cellStyle name="Warning Text 13 2 3 12" xfId="9491" xr:uid="{00000000-0005-0000-0000-0000AF240000}"/>
    <cellStyle name="Warning Text 13 2 3 13" xfId="9983" xr:uid="{00000000-0005-0000-0000-0000B0240000}"/>
    <cellStyle name="Warning Text 13 2 3 14" xfId="10455" xr:uid="{00000000-0005-0000-0000-0000B1240000}"/>
    <cellStyle name="Warning Text 13 2 3 15" xfId="10611" xr:uid="{00000000-0005-0000-0000-0000B2240000}"/>
    <cellStyle name="Warning Text 13 2 3 16" xfId="11342" xr:uid="{00000000-0005-0000-0000-0000B3240000}"/>
    <cellStyle name="Warning Text 13 2 3 17" xfId="11811" xr:uid="{00000000-0005-0000-0000-0000B4240000}"/>
    <cellStyle name="Warning Text 13 2 3 18" xfId="11993" xr:uid="{00000000-0005-0000-0000-0000B5240000}"/>
    <cellStyle name="Warning Text 13 2 3 19" xfId="12882" xr:uid="{00000000-0005-0000-0000-0000B6240000}"/>
    <cellStyle name="Warning Text 13 2 3 2" xfId="5094" xr:uid="{00000000-0005-0000-0000-0000B7240000}"/>
    <cellStyle name="Warning Text 13 2 3 3" xfId="5532" xr:uid="{00000000-0005-0000-0000-0000B8240000}"/>
    <cellStyle name="Warning Text 13 2 3 4" xfId="5970" xr:uid="{00000000-0005-0000-0000-0000B9240000}"/>
    <cellStyle name="Warning Text 13 2 3 5" xfId="6407" xr:uid="{00000000-0005-0000-0000-0000BA240000}"/>
    <cellStyle name="Warning Text 13 2 3 6" xfId="6844" xr:uid="{00000000-0005-0000-0000-0000BB240000}"/>
    <cellStyle name="Warning Text 13 2 3 7" xfId="7281" xr:uid="{00000000-0005-0000-0000-0000BC240000}"/>
    <cellStyle name="Warning Text 13 2 3 8" xfId="7718" xr:uid="{00000000-0005-0000-0000-0000BD240000}"/>
    <cellStyle name="Warning Text 13 2 3 9" xfId="8566" xr:uid="{00000000-0005-0000-0000-0000BE240000}"/>
    <cellStyle name="Warning Text 13 3" xfId="4332" xr:uid="{00000000-0005-0000-0000-0000BF240000}"/>
    <cellStyle name="Warning Text 13 3 10" xfId="8078" xr:uid="{00000000-0005-0000-0000-0000C0240000}"/>
    <cellStyle name="Warning Text 13 3 11" xfId="9154" xr:uid="{00000000-0005-0000-0000-0000C1240000}"/>
    <cellStyle name="Warning Text 13 3 12" xfId="8898" xr:uid="{00000000-0005-0000-0000-0000C2240000}"/>
    <cellStyle name="Warning Text 13 3 13" xfId="9767" xr:uid="{00000000-0005-0000-0000-0000C3240000}"/>
    <cellStyle name="Warning Text 13 3 14" xfId="10239" xr:uid="{00000000-0005-0000-0000-0000C4240000}"/>
    <cellStyle name="Warning Text 13 3 15" xfId="10942" xr:uid="{00000000-0005-0000-0000-0000C5240000}"/>
    <cellStyle name="Warning Text 13 3 16" xfId="11126" xr:uid="{00000000-0005-0000-0000-0000C6240000}"/>
    <cellStyle name="Warning Text 13 3 17" xfId="11595" xr:uid="{00000000-0005-0000-0000-0000C7240000}"/>
    <cellStyle name="Warning Text 13 3 18" xfId="11998" xr:uid="{00000000-0005-0000-0000-0000C8240000}"/>
    <cellStyle name="Warning Text 13 3 19" xfId="12666" xr:uid="{00000000-0005-0000-0000-0000C9240000}"/>
    <cellStyle name="Warning Text 13 3 2" xfId="4878" xr:uid="{00000000-0005-0000-0000-0000CA240000}"/>
    <cellStyle name="Warning Text 13 3 3" xfId="5316" xr:uid="{00000000-0005-0000-0000-0000CB240000}"/>
    <cellStyle name="Warning Text 13 3 4" xfId="5754" xr:uid="{00000000-0005-0000-0000-0000CC240000}"/>
    <cellStyle name="Warning Text 13 3 5" xfId="6191" xr:uid="{00000000-0005-0000-0000-0000CD240000}"/>
    <cellStyle name="Warning Text 13 3 6" xfId="6628" xr:uid="{00000000-0005-0000-0000-0000CE240000}"/>
    <cellStyle name="Warning Text 13 3 7" xfId="7065" xr:uid="{00000000-0005-0000-0000-0000CF240000}"/>
    <cellStyle name="Warning Text 13 3 8" xfId="7502" xr:uid="{00000000-0005-0000-0000-0000D0240000}"/>
    <cellStyle name="Warning Text 13 3 9" xfId="8350" xr:uid="{00000000-0005-0000-0000-0000D1240000}"/>
    <cellStyle name="Warning Text 13 4" xfId="4546" xr:uid="{00000000-0005-0000-0000-0000D2240000}"/>
    <cellStyle name="Warning Text 13 4 10" xfId="7865" xr:uid="{00000000-0005-0000-0000-0000D3240000}"/>
    <cellStyle name="Warning Text 13 4 11" xfId="9369" xr:uid="{00000000-0005-0000-0000-0000D4240000}"/>
    <cellStyle name="Warning Text 13 4 12" xfId="9483" xr:uid="{00000000-0005-0000-0000-0000D5240000}"/>
    <cellStyle name="Warning Text 13 4 13" xfId="9982" xr:uid="{00000000-0005-0000-0000-0000D6240000}"/>
    <cellStyle name="Warning Text 13 4 14" xfId="10454" xr:uid="{00000000-0005-0000-0000-0000D7240000}"/>
    <cellStyle name="Warning Text 13 4 15" xfId="10651" xr:uid="{00000000-0005-0000-0000-0000D8240000}"/>
    <cellStyle name="Warning Text 13 4 16" xfId="11341" xr:uid="{00000000-0005-0000-0000-0000D9240000}"/>
    <cellStyle name="Warning Text 13 4 17" xfId="11810" xr:uid="{00000000-0005-0000-0000-0000DA240000}"/>
    <cellStyle name="Warning Text 13 4 18" xfId="12022" xr:uid="{00000000-0005-0000-0000-0000DB240000}"/>
    <cellStyle name="Warning Text 13 4 19" xfId="12881" xr:uid="{00000000-0005-0000-0000-0000DC240000}"/>
    <cellStyle name="Warning Text 13 4 2" xfId="5093" xr:uid="{00000000-0005-0000-0000-0000DD240000}"/>
    <cellStyle name="Warning Text 13 4 3" xfId="5531" xr:uid="{00000000-0005-0000-0000-0000DE240000}"/>
    <cellStyle name="Warning Text 13 4 4" xfId="5969" xr:uid="{00000000-0005-0000-0000-0000DF240000}"/>
    <cellStyle name="Warning Text 13 4 5" xfId="6406" xr:uid="{00000000-0005-0000-0000-0000E0240000}"/>
    <cellStyle name="Warning Text 13 4 6" xfId="6843" xr:uid="{00000000-0005-0000-0000-0000E1240000}"/>
    <cellStyle name="Warning Text 13 4 7" xfId="7280" xr:uid="{00000000-0005-0000-0000-0000E2240000}"/>
    <cellStyle name="Warning Text 13 4 8" xfId="7717" xr:uid="{00000000-0005-0000-0000-0000E3240000}"/>
    <cellStyle name="Warning Text 13 4 9" xfId="8565" xr:uid="{00000000-0005-0000-0000-0000E4240000}"/>
    <cellStyle name="Warning Text 13 5" xfId="12387" xr:uid="{00000000-0005-0000-0000-0000E5240000}"/>
    <cellStyle name="Warning Text 13 6" xfId="12448" xr:uid="{00000000-0005-0000-0000-0000E6240000}"/>
    <cellStyle name="Warning Text 13 7" xfId="12500" xr:uid="{00000000-0005-0000-0000-0000E7240000}"/>
    <cellStyle name="Warning Text 14" xfId="788" xr:uid="{00000000-0005-0000-0000-0000E8240000}"/>
    <cellStyle name="Warning Text 14 2" xfId="4125" xr:uid="{00000000-0005-0000-0000-0000E9240000}"/>
    <cellStyle name="Warning Text 14 2 2" xfId="4335" xr:uid="{00000000-0005-0000-0000-0000EA240000}"/>
    <cellStyle name="Warning Text 14 2 2 10" xfId="8075" xr:uid="{00000000-0005-0000-0000-0000EB240000}"/>
    <cellStyle name="Warning Text 14 2 2 11" xfId="9157" xr:uid="{00000000-0005-0000-0000-0000EC240000}"/>
    <cellStyle name="Warning Text 14 2 2 12" xfId="8895" xr:uid="{00000000-0005-0000-0000-0000ED240000}"/>
    <cellStyle name="Warning Text 14 2 2 13" xfId="9770" xr:uid="{00000000-0005-0000-0000-0000EE240000}"/>
    <cellStyle name="Warning Text 14 2 2 14" xfId="10242" xr:uid="{00000000-0005-0000-0000-0000EF240000}"/>
    <cellStyle name="Warning Text 14 2 2 15" xfId="10105" xr:uid="{00000000-0005-0000-0000-0000F0240000}"/>
    <cellStyle name="Warning Text 14 2 2 16" xfId="11129" xr:uid="{00000000-0005-0000-0000-0000F1240000}"/>
    <cellStyle name="Warning Text 14 2 2 17" xfId="11598" xr:uid="{00000000-0005-0000-0000-0000F2240000}"/>
    <cellStyle name="Warning Text 14 2 2 18" xfId="11912" xr:uid="{00000000-0005-0000-0000-0000F3240000}"/>
    <cellStyle name="Warning Text 14 2 2 19" xfId="12669" xr:uid="{00000000-0005-0000-0000-0000F4240000}"/>
    <cellStyle name="Warning Text 14 2 2 2" xfId="4881" xr:uid="{00000000-0005-0000-0000-0000F5240000}"/>
    <cellStyle name="Warning Text 14 2 2 3" xfId="5319" xr:uid="{00000000-0005-0000-0000-0000F6240000}"/>
    <cellStyle name="Warning Text 14 2 2 4" xfId="5757" xr:uid="{00000000-0005-0000-0000-0000F7240000}"/>
    <cellStyle name="Warning Text 14 2 2 5" xfId="6194" xr:uid="{00000000-0005-0000-0000-0000F8240000}"/>
    <cellStyle name="Warning Text 14 2 2 6" xfId="6631" xr:uid="{00000000-0005-0000-0000-0000F9240000}"/>
    <cellStyle name="Warning Text 14 2 2 7" xfId="7068" xr:uid="{00000000-0005-0000-0000-0000FA240000}"/>
    <cellStyle name="Warning Text 14 2 2 8" xfId="7505" xr:uid="{00000000-0005-0000-0000-0000FB240000}"/>
    <cellStyle name="Warning Text 14 2 2 9" xfId="8353" xr:uid="{00000000-0005-0000-0000-0000FC240000}"/>
    <cellStyle name="Warning Text 14 2 3" xfId="4549" xr:uid="{00000000-0005-0000-0000-0000FD240000}"/>
    <cellStyle name="Warning Text 14 2 3 10" xfId="7862" xr:uid="{00000000-0005-0000-0000-0000FE240000}"/>
    <cellStyle name="Warning Text 14 2 3 11" xfId="9372" xr:uid="{00000000-0005-0000-0000-0000FF240000}"/>
    <cellStyle name="Warning Text 14 2 3 12" xfId="9489" xr:uid="{00000000-0005-0000-0000-000000250000}"/>
    <cellStyle name="Warning Text 14 2 3 13" xfId="9985" xr:uid="{00000000-0005-0000-0000-000001250000}"/>
    <cellStyle name="Warning Text 14 2 3 14" xfId="10457" xr:uid="{00000000-0005-0000-0000-000002250000}"/>
    <cellStyle name="Warning Text 14 2 3 15" xfId="10906" xr:uid="{00000000-0005-0000-0000-000003250000}"/>
    <cellStyle name="Warning Text 14 2 3 16" xfId="11344" xr:uid="{00000000-0005-0000-0000-000004250000}"/>
    <cellStyle name="Warning Text 14 2 3 17" xfId="11813" xr:uid="{00000000-0005-0000-0000-000005250000}"/>
    <cellStyle name="Warning Text 14 2 3 18" xfId="11936" xr:uid="{00000000-0005-0000-0000-000006250000}"/>
    <cellStyle name="Warning Text 14 2 3 19" xfId="12884" xr:uid="{00000000-0005-0000-0000-000007250000}"/>
    <cellStyle name="Warning Text 14 2 3 2" xfId="5096" xr:uid="{00000000-0005-0000-0000-000008250000}"/>
    <cellStyle name="Warning Text 14 2 3 3" xfId="5534" xr:uid="{00000000-0005-0000-0000-000009250000}"/>
    <cellStyle name="Warning Text 14 2 3 4" xfId="5972" xr:uid="{00000000-0005-0000-0000-00000A250000}"/>
    <cellStyle name="Warning Text 14 2 3 5" xfId="6409" xr:uid="{00000000-0005-0000-0000-00000B250000}"/>
    <cellStyle name="Warning Text 14 2 3 6" xfId="6846" xr:uid="{00000000-0005-0000-0000-00000C250000}"/>
    <cellStyle name="Warning Text 14 2 3 7" xfId="7283" xr:uid="{00000000-0005-0000-0000-00000D250000}"/>
    <cellStyle name="Warning Text 14 2 3 8" xfId="7720" xr:uid="{00000000-0005-0000-0000-00000E250000}"/>
    <cellStyle name="Warning Text 14 2 3 9" xfId="8568" xr:uid="{00000000-0005-0000-0000-00000F250000}"/>
    <cellStyle name="Warning Text 14 3" xfId="4334" xr:uid="{00000000-0005-0000-0000-000010250000}"/>
    <cellStyle name="Warning Text 14 3 10" xfId="8076" xr:uid="{00000000-0005-0000-0000-000011250000}"/>
    <cellStyle name="Warning Text 14 3 11" xfId="9156" xr:uid="{00000000-0005-0000-0000-000012250000}"/>
    <cellStyle name="Warning Text 14 3 12" xfId="8896" xr:uid="{00000000-0005-0000-0000-000013250000}"/>
    <cellStyle name="Warning Text 14 3 13" xfId="9769" xr:uid="{00000000-0005-0000-0000-000014250000}"/>
    <cellStyle name="Warning Text 14 3 14" xfId="10241" xr:uid="{00000000-0005-0000-0000-000015250000}"/>
    <cellStyle name="Warning Text 14 3 15" xfId="10106" xr:uid="{00000000-0005-0000-0000-000016250000}"/>
    <cellStyle name="Warning Text 14 3 16" xfId="11128" xr:uid="{00000000-0005-0000-0000-000017250000}"/>
    <cellStyle name="Warning Text 14 3 17" xfId="11597" xr:uid="{00000000-0005-0000-0000-000018250000}"/>
    <cellStyle name="Warning Text 14 3 18" xfId="11941" xr:uid="{00000000-0005-0000-0000-000019250000}"/>
    <cellStyle name="Warning Text 14 3 19" xfId="12668" xr:uid="{00000000-0005-0000-0000-00001A250000}"/>
    <cellStyle name="Warning Text 14 3 2" xfId="4880" xr:uid="{00000000-0005-0000-0000-00001B250000}"/>
    <cellStyle name="Warning Text 14 3 3" xfId="5318" xr:uid="{00000000-0005-0000-0000-00001C250000}"/>
    <cellStyle name="Warning Text 14 3 4" xfId="5756" xr:uid="{00000000-0005-0000-0000-00001D250000}"/>
    <cellStyle name="Warning Text 14 3 5" xfId="6193" xr:uid="{00000000-0005-0000-0000-00001E250000}"/>
    <cellStyle name="Warning Text 14 3 6" xfId="6630" xr:uid="{00000000-0005-0000-0000-00001F250000}"/>
    <cellStyle name="Warning Text 14 3 7" xfId="7067" xr:uid="{00000000-0005-0000-0000-000020250000}"/>
    <cellStyle name="Warning Text 14 3 8" xfId="7504" xr:uid="{00000000-0005-0000-0000-000021250000}"/>
    <cellStyle name="Warning Text 14 3 9" xfId="8352" xr:uid="{00000000-0005-0000-0000-000022250000}"/>
    <cellStyle name="Warning Text 14 4" xfId="4548" xr:uid="{00000000-0005-0000-0000-000023250000}"/>
    <cellStyle name="Warning Text 14 4 10" xfId="7863" xr:uid="{00000000-0005-0000-0000-000024250000}"/>
    <cellStyle name="Warning Text 14 4 11" xfId="9371" xr:uid="{00000000-0005-0000-0000-000025250000}"/>
    <cellStyle name="Warning Text 14 4 12" xfId="9485" xr:uid="{00000000-0005-0000-0000-000026250000}"/>
    <cellStyle name="Warning Text 14 4 13" xfId="9984" xr:uid="{00000000-0005-0000-0000-000027250000}"/>
    <cellStyle name="Warning Text 14 4 14" xfId="10456" xr:uid="{00000000-0005-0000-0000-000028250000}"/>
    <cellStyle name="Warning Text 14 4 15" xfId="10572" xr:uid="{00000000-0005-0000-0000-000029250000}"/>
    <cellStyle name="Warning Text 14 4 16" xfId="11343" xr:uid="{00000000-0005-0000-0000-00002A250000}"/>
    <cellStyle name="Warning Text 14 4 17" xfId="11812" xr:uid="{00000000-0005-0000-0000-00002B250000}"/>
    <cellStyle name="Warning Text 14 4 18" xfId="11965" xr:uid="{00000000-0005-0000-0000-00002C250000}"/>
    <cellStyle name="Warning Text 14 4 19" xfId="12883" xr:uid="{00000000-0005-0000-0000-00002D250000}"/>
    <cellStyle name="Warning Text 14 4 2" xfId="5095" xr:uid="{00000000-0005-0000-0000-00002E250000}"/>
    <cellStyle name="Warning Text 14 4 3" xfId="5533" xr:uid="{00000000-0005-0000-0000-00002F250000}"/>
    <cellStyle name="Warning Text 14 4 4" xfId="5971" xr:uid="{00000000-0005-0000-0000-000030250000}"/>
    <cellStyle name="Warning Text 14 4 5" xfId="6408" xr:uid="{00000000-0005-0000-0000-000031250000}"/>
    <cellStyle name="Warning Text 14 4 6" xfId="6845" xr:uid="{00000000-0005-0000-0000-000032250000}"/>
    <cellStyle name="Warning Text 14 4 7" xfId="7282" xr:uid="{00000000-0005-0000-0000-000033250000}"/>
    <cellStyle name="Warning Text 14 4 8" xfId="7719" xr:uid="{00000000-0005-0000-0000-000034250000}"/>
    <cellStyle name="Warning Text 14 4 9" xfId="8567" xr:uid="{00000000-0005-0000-0000-000035250000}"/>
    <cellStyle name="Warning Text 14 5" xfId="12388" xr:uid="{00000000-0005-0000-0000-000036250000}"/>
    <cellStyle name="Warning Text 14 6" xfId="12449" xr:uid="{00000000-0005-0000-0000-000037250000}"/>
    <cellStyle name="Warning Text 14 7" xfId="12489" xr:uid="{00000000-0005-0000-0000-000038250000}"/>
    <cellStyle name="Warning Text 15" xfId="789" xr:uid="{00000000-0005-0000-0000-000039250000}"/>
    <cellStyle name="Warning Text 15 2" xfId="4126" xr:uid="{00000000-0005-0000-0000-00003A250000}"/>
    <cellStyle name="Warning Text 15 2 2" xfId="4337" xr:uid="{00000000-0005-0000-0000-00003B250000}"/>
    <cellStyle name="Warning Text 15 2 2 10" xfId="8073" xr:uid="{00000000-0005-0000-0000-00003C250000}"/>
    <cellStyle name="Warning Text 15 2 2 11" xfId="9159" xr:uid="{00000000-0005-0000-0000-00003D250000}"/>
    <cellStyle name="Warning Text 15 2 2 12" xfId="8893" xr:uid="{00000000-0005-0000-0000-00003E250000}"/>
    <cellStyle name="Warning Text 15 2 2 13" xfId="9772" xr:uid="{00000000-0005-0000-0000-00003F250000}"/>
    <cellStyle name="Warning Text 15 2 2 14" xfId="10244" xr:uid="{00000000-0005-0000-0000-000040250000}"/>
    <cellStyle name="Warning Text 15 2 2 15" xfId="10813" xr:uid="{00000000-0005-0000-0000-000041250000}"/>
    <cellStyle name="Warning Text 15 2 2 16" xfId="11131" xr:uid="{00000000-0005-0000-0000-000042250000}"/>
    <cellStyle name="Warning Text 15 2 2 17" xfId="11600" xr:uid="{00000000-0005-0000-0000-000043250000}"/>
    <cellStyle name="Warning Text 15 2 2 18" xfId="12306" xr:uid="{00000000-0005-0000-0000-000044250000}"/>
    <cellStyle name="Warning Text 15 2 2 19" xfId="12671" xr:uid="{00000000-0005-0000-0000-000045250000}"/>
    <cellStyle name="Warning Text 15 2 2 2" xfId="4883" xr:uid="{00000000-0005-0000-0000-000046250000}"/>
    <cellStyle name="Warning Text 15 2 2 3" xfId="5321" xr:uid="{00000000-0005-0000-0000-000047250000}"/>
    <cellStyle name="Warning Text 15 2 2 4" xfId="5759" xr:uid="{00000000-0005-0000-0000-000048250000}"/>
    <cellStyle name="Warning Text 15 2 2 5" xfId="6196" xr:uid="{00000000-0005-0000-0000-000049250000}"/>
    <cellStyle name="Warning Text 15 2 2 6" xfId="6633" xr:uid="{00000000-0005-0000-0000-00004A250000}"/>
    <cellStyle name="Warning Text 15 2 2 7" xfId="7070" xr:uid="{00000000-0005-0000-0000-00004B250000}"/>
    <cellStyle name="Warning Text 15 2 2 8" xfId="7507" xr:uid="{00000000-0005-0000-0000-00004C250000}"/>
    <cellStyle name="Warning Text 15 2 2 9" xfId="8355" xr:uid="{00000000-0005-0000-0000-00004D250000}"/>
    <cellStyle name="Warning Text 15 2 3" xfId="4551" xr:uid="{00000000-0005-0000-0000-00004E250000}"/>
    <cellStyle name="Warning Text 15 2 3 10" xfId="7860" xr:uid="{00000000-0005-0000-0000-00004F250000}"/>
    <cellStyle name="Warning Text 15 2 3 11" xfId="9374" xr:uid="{00000000-0005-0000-0000-000050250000}"/>
    <cellStyle name="Warning Text 15 2 3 12" xfId="8806" xr:uid="{00000000-0005-0000-0000-000051250000}"/>
    <cellStyle name="Warning Text 15 2 3 13" xfId="9987" xr:uid="{00000000-0005-0000-0000-000052250000}"/>
    <cellStyle name="Warning Text 15 2 3 14" xfId="10459" xr:uid="{00000000-0005-0000-0000-000053250000}"/>
    <cellStyle name="Warning Text 15 2 3 15" xfId="10837" xr:uid="{00000000-0005-0000-0000-000054250000}"/>
    <cellStyle name="Warning Text 15 2 3 16" xfId="11346" xr:uid="{00000000-0005-0000-0000-000055250000}"/>
    <cellStyle name="Warning Text 15 2 3 17" xfId="11815" xr:uid="{00000000-0005-0000-0000-000056250000}"/>
    <cellStyle name="Warning Text 15 2 3 18" xfId="12314" xr:uid="{00000000-0005-0000-0000-000057250000}"/>
    <cellStyle name="Warning Text 15 2 3 19" xfId="12886" xr:uid="{00000000-0005-0000-0000-000058250000}"/>
    <cellStyle name="Warning Text 15 2 3 2" xfId="5098" xr:uid="{00000000-0005-0000-0000-000059250000}"/>
    <cellStyle name="Warning Text 15 2 3 3" xfId="5536" xr:uid="{00000000-0005-0000-0000-00005A250000}"/>
    <cellStyle name="Warning Text 15 2 3 4" xfId="5974" xr:uid="{00000000-0005-0000-0000-00005B250000}"/>
    <cellStyle name="Warning Text 15 2 3 5" xfId="6411" xr:uid="{00000000-0005-0000-0000-00005C250000}"/>
    <cellStyle name="Warning Text 15 2 3 6" xfId="6848" xr:uid="{00000000-0005-0000-0000-00005D250000}"/>
    <cellStyle name="Warning Text 15 2 3 7" xfId="7285" xr:uid="{00000000-0005-0000-0000-00005E250000}"/>
    <cellStyle name="Warning Text 15 2 3 8" xfId="7722" xr:uid="{00000000-0005-0000-0000-00005F250000}"/>
    <cellStyle name="Warning Text 15 2 3 9" xfId="8570" xr:uid="{00000000-0005-0000-0000-000060250000}"/>
    <cellStyle name="Warning Text 15 3" xfId="4336" xr:uid="{00000000-0005-0000-0000-000061250000}"/>
    <cellStyle name="Warning Text 15 3 10" xfId="8074" xr:uid="{00000000-0005-0000-0000-000062250000}"/>
    <cellStyle name="Warning Text 15 3 11" xfId="9158" xr:uid="{00000000-0005-0000-0000-000063250000}"/>
    <cellStyle name="Warning Text 15 3 12" xfId="8894" xr:uid="{00000000-0005-0000-0000-000064250000}"/>
    <cellStyle name="Warning Text 15 3 13" xfId="9771" xr:uid="{00000000-0005-0000-0000-000065250000}"/>
    <cellStyle name="Warning Text 15 3 14" xfId="10243" xr:uid="{00000000-0005-0000-0000-000066250000}"/>
    <cellStyle name="Warning Text 15 3 15" xfId="10894" xr:uid="{00000000-0005-0000-0000-000067250000}"/>
    <cellStyle name="Warning Text 15 3 16" xfId="11130" xr:uid="{00000000-0005-0000-0000-000068250000}"/>
    <cellStyle name="Warning Text 15 3 17" xfId="11599" xr:uid="{00000000-0005-0000-0000-000069250000}"/>
    <cellStyle name="Warning Text 15 3 18" xfId="12319" xr:uid="{00000000-0005-0000-0000-00006A250000}"/>
    <cellStyle name="Warning Text 15 3 19" xfId="12670" xr:uid="{00000000-0005-0000-0000-00006B250000}"/>
    <cellStyle name="Warning Text 15 3 2" xfId="4882" xr:uid="{00000000-0005-0000-0000-00006C250000}"/>
    <cellStyle name="Warning Text 15 3 3" xfId="5320" xr:uid="{00000000-0005-0000-0000-00006D250000}"/>
    <cellStyle name="Warning Text 15 3 4" xfId="5758" xr:uid="{00000000-0005-0000-0000-00006E250000}"/>
    <cellStyle name="Warning Text 15 3 5" xfId="6195" xr:uid="{00000000-0005-0000-0000-00006F250000}"/>
    <cellStyle name="Warning Text 15 3 6" xfId="6632" xr:uid="{00000000-0005-0000-0000-000070250000}"/>
    <cellStyle name="Warning Text 15 3 7" xfId="7069" xr:uid="{00000000-0005-0000-0000-000071250000}"/>
    <cellStyle name="Warning Text 15 3 8" xfId="7506" xr:uid="{00000000-0005-0000-0000-000072250000}"/>
    <cellStyle name="Warning Text 15 3 9" xfId="8354" xr:uid="{00000000-0005-0000-0000-000073250000}"/>
    <cellStyle name="Warning Text 15 4" xfId="4550" xr:uid="{00000000-0005-0000-0000-000074250000}"/>
    <cellStyle name="Warning Text 15 4 10" xfId="7861" xr:uid="{00000000-0005-0000-0000-000075250000}"/>
    <cellStyle name="Warning Text 15 4 11" xfId="9373" xr:uid="{00000000-0005-0000-0000-000076250000}"/>
    <cellStyle name="Warning Text 15 4 12" xfId="9621" xr:uid="{00000000-0005-0000-0000-000077250000}"/>
    <cellStyle name="Warning Text 15 4 13" xfId="9986" xr:uid="{00000000-0005-0000-0000-000078250000}"/>
    <cellStyle name="Warning Text 15 4 14" xfId="10458" xr:uid="{00000000-0005-0000-0000-000079250000}"/>
    <cellStyle name="Warning Text 15 4 15" xfId="10952" xr:uid="{00000000-0005-0000-0000-00007A250000}"/>
    <cellStyle name="Warning Text 15 4 16" xfId="11345" xr:uid="{00000000-0005-0000-0000-00007B250000}"/>
    <cellStyle name="Warning Text 15 4 17" xfId="11814" xr:uid="{00000000-0005-0000-0000-00007C250000}"/>
    <cellStyle name="Warning Text 15 4 18" xfId="11907" xr:uid="{00000000-0005-0000-0000-00007D250000}"/>
    <cellStyle name="Warning Text 15 4 19" xfId="12885" xr:uid="{00000000-0005-0000-0000-00007E250000}"/>
    <cellStyle name="Warning Text 15 4 2" xfId="5097" xr:uid="{00000000-0005-0000-0000-00007F250000}"/>
    <cellStyle name="Warning Text 15 4 3" xfId="5535" xr:uid="{00000000-0005-0000-0000-000080250000}"/>
    <cellStyle name="Warning Text 15 4 4" xfId="5973" xr:uid="{00000000-0005-0000-0000-000081250000}"/>
    <cellStyle name="Warning Text 15 4 5" xfId="6410" xr:uid="{00000000-0005-0000-0000-000082250000}"/>
    <cellStyle name="Warning Text 15 4 6" xfId="6847" xr:uid="{00000000-0005-0000-0000-000083250000}"/>
    <cellStyle name="Warning Text 15 4 7" xfId="7284" xr:uid="{00000000-0005-0000-0000-000084250000}"/>
    <cellStyle name="Warning Text 15 4 8" xfId="7721" xr:uid="{00000000-0005-0000-0000-000085250000}"/>
    <cellStyle name="Warning Text 15 4 9" xfId="8569" xr:uid="{00000000-0005-0000-0000-000086250000}"/>
    <cellStyle name="Warning Text 15 5" xfId="12389" xr:uid="{00000000-0005-0000-0000-000087250000}"/>
    <cellStyle name="Warning Text 15 6" xfId="12450" xr:uid="{00000000-0005-0000-0000-000088250000}"/>
    <cellStyle name="Warning Text 15 7" xfId="12491" xr:uid="{00000000-0005-0000-0000-000089250000}"/>
    <cellStyle name="Warning Text 16" xfId="790" xr:uid="{00000000-0005-0000-0000-00008A250000}"/>
    <cellStyle name="Warning Text 16 2" xfId="4127" xr:uid="{00000000-0005-0000-0000-00008B250000}"/>
    <cellStyle name="Warning Text 16 2 2" xfId="4339" xr:uid="{00000000-0005-0000-0000-00008C250000}"/>
    <cellStyle name="Warning Text 16 2 2 10" xfId="8071" xr:uid="{00000000-0005-0000-0000-00008D250000}"/>
    <cellStyle name="Warning Text 16 2 2 11" xfId="9161" xr:uid="{00000000-0005-0000-0000-00008E250000}"/>
    <cellStyle name="Warning Text 16 2 2 12" xfId="8891" xr:uid="{00000000-0005-0000-0000-00008F250000}"/>
    <cellStyle name="Warning Text 16 2 2 13" xfId="9774" xr:uid="{00000000-0005-0000-0000-000090250000}"/>
    <cellStyle name="Warning Text 16 2 2 14" xfId="10246" xr:uid="{00000000-0005-0000-0000-000091250000}"/>
    <cellStyle name="Warning Text 16 2 2 15" xfId="10736" xr:uid="{00000000-0005-0000-0000-000092250000}"/>
    <cellStyle name="Warning Text 16 2 2 16" xfId="11133" xr:uid="{00000000-0005-0000-0000-000093250000}"/>
    <cellStyle name="Warning Text 16 2 2 17" xfId="11602" xr:uid="{00000000-0005-0000-0000-000094250000}"/>
    <cellStyle name="Warning Text 16 2 2 18" xfId="12233" xr:uid="{00000000-0005-0000-0000-000095250000}"/>
    <cellStyle name="Warning Text 16 2 2 19" xfId="12673" xr:uid="{00000000-0005-0000-0000-000096250000}"/>
    <cellStyle name="Warning Text 16 2 2 2" xfId="4885" xr:uid="{00000000-0005-0000-0000-000097250000}"/>
    <cellStyle name="Warning Text 16 2 2 3" xfId="5323" xr:uid="{00000000-0005-0000-0000-000098250000}"/>
    <cellStyle name="Warning Text 16 2 2 4" xfId="5761" xr:uid="{00000000-0005-0000-0000-000099250000}"/>
    <cellStyle name="Warning Text 16 2 2 5" xfId="6198" xr:uid="{00000000-0005-0000-0000-00009A250000}"/>
    <cellStyle name="Warning Text 16 2 2 6" xfId="6635" xr:uid="{00000000-0005-0000-0000-00009B250000}"/>
    <cellStyle name="Warning Text 16 2 2 7" xfId="7072" xr:uid="{00000000-0005-0000-0000-00009C250000}"/>
    <cellStyle name="Warning Text 16 2 2 8" xfId="7509" xr:uid="{00000000-0005-0000-0000-00009D250000}"/>
    <cellStyle name="Warning Text 16 2 2 9" xfId="8357" xr:uid="{00000000-0005-0000-0000-00009E250000}"/>
    <cellStyle name="Warning Text 16 2 3" xfId="4553" xr:uid="{00000000-0005-0000-0000-00009F250000}"/>
    <cellStyle name="Warning Text 16 2 3 10" xfId="7858" xr:uid="{00000000-0005-0000-0000-0000A0250000}"/>
    <cellStyle name="Warning Text 16 2 3 11" xfId="9376" xr:uid="{00000000-0005-0000-0000-0000A1250000}"/>
    <cellStyle name="Warning Text 16 2 3 12" xfId="9505" xr:uid="{00000000-0005-0000-0000-0000A2250000}"/>
    <cellStyle name="Warning Text 16 2 3 13" xfId="9989" xr:uid="{00000000-0005-0000-0000-0000A3250000}"/>
    <cellStyle name="Warning Text 16 2 3 14" xfId="10461" xr:uid="{00000000-0005-0000-0000-0000A4250000}"/>
    <cellStyle name="Warning Text 16 2 3 15" xfId="10785" xr:uid="{00000000-0005-0000-0000-0000A5250000}"/>
    <cellStyle name="Warning Text 16 2 3 16" xfId="11348" xr:uid="{00000000-0005-0000-0000-0000A6250000}"/>
    <cellStyle name="Warning Text 16 2 3 17" xfId="11817" xr:uid="{00000000-0005-0000-0000-0000A7250000}"/>
    <cellStyle name="Warning Text 16 2 3 18" xfId="12258" xr:uid="{00000000-0005-0000-0000-0000A8250000}"/>
    <cellStyle name="Warning Text 16 2 3 19" xfId="12888" xr:uid="{00000000-0005-0000-0000-0000A9250000}"/>
    <cellStyle name="Warning Text 16 2 3 2" xfId="5100" xr:uid="{00000000-0005-0000-0000-0000AA250000}"/>
    <cellStyle name="Warning Text 16 2 3 3" xfId="5538" xr:uid="{00000000-0005-0000-0000-0000AB250000}"/>
    <cellStyle name="Warning Text 16 2 3 4" xfId="5976" xr:uid="{00000000-0005-0000-0000-0000AC250000}"/>
    <cellStyle name="Warning Text 16 2 3 5" xfId="6413" xr:uid="{00000000-0005-0000-0000-0000AD250000}"/>
    <cellStyle name="Warning Text 16 2 3 6" xfId="6850" xr:uid="{00000000-0005-0000-0000-0000AE250000}"/>
    <cellStyle name="Warning Text 16 2 3 7" xfId="7287" xr:uid="{00000000-0005-0000-0000-0000AF250000}"/>
    <cellStyle name="Warning Text 16 2 3 8" xfId="7724" xr:uid="{00000000-0005-0000-0000-0000B0250000}"/>
    <cellStyle name="Warning Text 16 2 3 9" xfId="8572" xr:uid="{00000000-0005-0000-0000-0000B1250000}"/>
    <cellStyle name="Warning Text 16 3" xfId="4338" xr:uid="{00000000-0005-0000-0000-0000B2250000}"/>
    <cellStyle name="Warning Text 16 3 10" xfId="8072" xr:uid="{00000000-0005-0000-0000-0000B3250000}"/>
    <cellStyle name="Warning Text 16 3 11" xfId="9160" xr:uid="{00000000-0005-0000-0000-0000B4250000}"/>
    <cellStyle name="Warning Text 16 3 12" xfId="8892" xr:uid="{00000000-0005-0000-0000-0000B5250000}"/>
    <cellStyle name="Warning Text 16 3 13" xfId="9773" xr:uid="{00000000-0005-0000-0000-0000B6250000}"/>
    <cellStyle name="Warning Text 16 3 14" xfId="10245" xr:uid="{00000000-0005-0000-0000-0000B7250000}"/>
    <cellStyle name="Warning Text 16 3 15" xfId="10774" xr:uid="{00000000-0005-0000-0000-0000B8250000}"/>
    <cellStyle name="Warning Text 16 3 16" xfId="11132" xr:uid="{00000000-0005-0000-0000-0000B9250000}"/>
    <cellStyle name="Warning Text 16 3 17" xfId="11601" xr:uid="{00000000-0005-0000-0000-0000BA250000}"/>
    <cellStyle name="Warning Text 16 3 18" xfId="12263" xr:uid="{00000000-0005-0000-0000-0000BB250000}"/>
    <cellStyle name="Warning Text 16 3 19" xfId="12672" xr:uid="{00000000-0005-0000-0000-0000BC250000}"/>
    <cellStyle name="Warning Text 16 3 2" xfId="4884" xr:uid="{00000000-0005-0000-0000-0000BD250000}"/>
    <cellStyle name="Warning Text 16 3 3" xfId="5322" xr:uid="{00000000-0005-0000-0000-0000BE250000}"/>
    <cellStyle name="Warning Text 16 3 4" xfId="5760" xr:uid="{00000000-0005-0000-0000-0000BF250000}"/>
    <cellStyle name="Warning Text 16 3 5" xfId="6197" xr:uid="{00000000-0005-0000-0000-0000C0250000}"/>
    <cellStyle name="Warning Text 16 3 6" xfId="6634" xr:uid="{00000000-0005-0000-0000-0000C1250000}"/>
    <cellStyle name="Warning Text 16 3 7" xfId="7071" xr:uid="{00000000-0005-0000-0000-0000C2250000}"/>
    <cellStyle name="Warning Text 16 3 8" xfId="7508" xr:uid="{00000000-0005-0000-0000-0000C3250000}"/>
    <cellStyle name="Warning Text 16 3 9" xfId="8356" xr:uid="{00000000-0005-0000-0000-0000C4250000}"/>
    <cellStyle name="Warning Text 16 4" xfId="4552" xr:uid="{00000000-0005-0000-0000-0000C5250000}"/>
    <cellStyle name="Warning Text 16 4 10" xfId="7859" xr:uid="{00000000-0005-0000-0000-0000C6250000}"/>
    <cellStyle name="Warning Text 16 4 11" xfId="9375" xr:uid="{00000000-0005-0000-0000-0000C7250000}"/>
    <cellStyle name="Warning Text 16 4 12" xfId="9604" xr:uid="{00000000-0005-0000-0000-0000C8250000}"/>
    <cellStyle name="Warning Text 16 4 13" xfId="9988" xr:uid="{00000000-0005-0000-0000-0000C9250000}"/>
    <cellStyle name="Warning Text 16 4 14" xfId="10460" xr:uid="{00000000-0005-0000-0000-0000CA250000}"/>
    <cellStyle name="Warning Text 16 4 15" xfId="10866" xr:uid="{00000000-0005-0000-0000-0000CB250000}"/>
    <cellStyle name="Warning Text 16 4 16" xfId="11347" xr:uid="{00000000-0005-0000-0000-0000CC250000}"/>
    <cellStyle name="Warning Text 16 4 17" xfId="11816" xr:uid="{00000000-0005-0000-0000-0000CD250000}"/>
    <cellStyle name="Warning Text 16 4 18" xfId="12294" xr:uid="{00000000-0005-0000-0000-0000CE250000}"/>
    <cellStyle name="Warning Text 16 4 19" xfId="12887" xr:uid="{00000000-0005-0000-0000-0000CF250000}"/>
    <cellStyle name="Warning Text 16 4 2" xfId="5099" xr:uid="{00000000-0005-0000-0000-0000D0250000}"/>
    <cellStyle name="Warning Text 16 4 3" xfId="5537" xr:uid="{00000000-0005-0000-0000-0000D1250000}"/>
    <cellStyle name="Warning Text 16 4 4" xfId="5975" xr:uid="{00000000-0005-0000-0000-0000D2250000}"/>
    <cellStyle name="Warning Text 16 4 5" xfId="6412" xr:uid="{00000000-0005-0000-0000-0000D3250000}"/>
    <cellStyle name="Warning Text 16 4 6" xfId="6849" xr:uid="{00000000-0005-0000-0000-0000D4250000}"/>
    <cellStyle name="Warning Text 16 4 7" xfId="7286" xr:uid="{00000000-0005-0000-0000-0000D5250000}"/>
    <cellStyle name="Warning Text 16 4 8" xfId="7723" xr:uid="{00000000-0005-0000-0000-0000D6250000}"/>
    <cellStyle name="Warning Text 16 4 9" xfId="8571" xr:uid="{00000000-0005-0000-0000-0000D7250000}"/>
    <cellStyle name="Warning Text 16 5" xfId="12390" xr:uid="{00000000-0005-0000-0000-0000D8250000}"/>
    <cellStyle name="Warning Text 16 6" xfId="12451" xr:uid="{00000000-0005-0000-0000-0000D9250000}"/>
    <cellStyle name="Warning Text 16 7" xfId="12481" xr:uid="{00000000-0005-0000-0000-0000DA250000}"/>
    <cellStyle name="Warning Text 17" xfId="791" xr:uid="{00000000-0005-0000-0000-0000DB250000}"/>
    <cellStyle name="Warning Text 17 2" xfId="4128" xr:uid="{00000000-0005-0000-0000-0000DC250000}"/>
    <cellStyle name="Warning Text 17 2 2" xfId="4341" xr:uid="{00000000-0005-0000-0000-0000DD250000}"/>
    <cellStyle name="Warning Text 17 2 2 10" xfId="8069" xr:uid="{00000000-0005-0000-0000-0000DE250000}"/>
    <cellStyle name="Warning Text 17 2 2 11" xfId="9163" xr:uid="{00000000-0005-0000-0000-0000DF250000}"/>
    <cellStyle name="Warning Text 17 2 2 12" xfId="8889" xr:uid="{00000000-0005-0000-0000-0000E0250000}"/>
    <cellStyle name="Warning Text 17 2 2 13" xfId="9776" xr:uid="{00000000-0005-0000-0000-0000E1250000}"/>
    <cellStyle name="Warning Text 17 2 2 14" xfId="10248" xr:uid="{00000000-0005-0000-0000-0000E2250000}"/>
    <cellStyle name="Warning Text 17 2 2 15" xfId="10658" xr:uid="{00000000-0005-0000-0000-0000E3250000}"/>
    <cellStyle name="Warning Text 17 2 2 16" xfId="11135" xr:uid="{00000000-0005-0000-0000-0000E4250000}"/>
    <cellStyle name="Warning Text 17 2 2 17" xfId="11604" xr:uid="{00000000-0005-0000-0000-0000E5250000}"/>
    <cellStyle name="Warning Text 17 2 2 18" xfId="12195" xr:uid="{00000000-0005-0000-0000-0000E6250000}"/>
    <cellStyle name="Warning Text 17 2 2 19" xfId="12675" xr:uid="{00000000-0005-0000-0000-0000E7250000}"/>
    <cellStyle name="Warning Text 17 2 2 2" xfId="4887" xr:uid="{00000000-0005-0000-0000-0000E8250000}"/>
    <cellStyle name="Warning Text 17 2 2 3" xfId="5325" xr:uid="{00000000-0005-0000-0000-0000E9250000}"/>
    <cellStyle name="Warning Text 17 2 2 4" xfId="5763" xr:uid="{00000000-0005-0000-0000-0000EA250000}"/>
    <cellStyle name="Warning Text 17 2 2 5" xfId="6200" xr:uid="{00000000-0005-0000-0000-0000EB250000}"/>
    <cellStyle name="Warning Text 17 2 2 6" xfId="6637" xr:uid="{00000000-0005-0000-0000-0000EC250000}"/>
    <cellStyle name="Warning Text 17 2 2 7" xfId="7074" xr:uid="{00000000-0005-0000-0000-0000ED250000}"/>
    <cellStyle name="Warning Text 17 2 2 8" xfId="7511" xr:uid="{00000000-0005-0000-0000-0000EE250000}"/>
    <cellStyle name="Warning Text 17 2 2 9" xfId="8359" xr:uid="{00000000-0005-0000-0000-0000EF250000}"/>
    <cellStyle name="Warning Text 17 2 3" xfId="4555" xr:uid="{00000000-0005-0000-0000-0000F0250000}"/>
    <cellStyle name="Warning Text 17 2 3 10" xfId="7856" xr:uid="{00000000-0005-0000-0000-0000F1250000}"/>
    <cellStyle name="Warning Text 17 2 3 11" xfId="9378" xr:uid="{00000000-0005-0000-0000-0000F2250000}"/>
    <cellStyle name="Warning Text 17 2 3 12" xfId="9497" xr:uid="{00000000-0005-0000-0000-0000F3250000}"/>
    <cellStyle name="Warning Text 17 2 3 13" xfId="9991" xr:uid="{00000000-0005-0000-0000-0000F4250000}"/>
    <cellStyle name="Warning Text 17 2 3 14" xfId="10463" xr:uid="{00000000-0005-0000-0000-0000F5250000}"/>
    <cellStyle name="Warning Text 17 2 3 15" xfId="10709" xr:uid="{00000000-0005-0000-0000-0000F6250000}"/>
    <cellStyle name="Warning Text 17 2 3 16" xfId="11350" xr:uid="{00000000-0005-0000-0000-0000F7250000}"/>
    <cellStyle name="Warning Text 17 2 3 17" xfId="11819" xr:uid="{00000000-0005-0000-0000-0000F8250000}"/>
    <cellStyle name="Warning Text 17 2 3 18" xfId="12183" xr:uid="{00000000-0005-0000-0000-0000F9250000}"/>
    <cellStyle name="Warning Text 17 2 3 19" xfId="12890" xr:uid="{00000000-0005-0000-0000-0000FA250000}"/>
    <cellStyle name="Warning Text 17 2 3 2" xfId="5102" xr:uid="{00000000-0005-0000-0000-0000FB250000}"/>
    <cellStyle name="Warning Text 17 2 3 3" xfId="5540" xr:uid="{00000000-0005-0000-0000-0000FC250000}"/>
    <cellStyle name="Warning Text 17 2 3 4" xfId="5978" xr:uid="{00000000-0005-0000-0000-0000FD250000}"/>
    <cellStyle name="Warning Text 17 2 3 5" xfId="6415" xr:uid="{00000000-0005-0000-0000-0000FE250000}"/>
    <cellStyle name="Warning Text 17 2 3 6" xfId="6852" xr:uid="{00000000-0005-0000-0000-0000FF250000}"/>
    <cellStyle name="Warning Text 17 2 3 7" xfId="7289" xr:uid="{00000000-0005-0000-0000-000000260000}"/>
    <cellStyle name="Warning Text 17 2 3 8" xfId="7726" xr:uid="{00000000-0005-0000-0000-000001260000}"/>
    <cellStyle name="Warning Text 17 2 3 9" xfId="8574" xr:uid="{00000000-0005-0000-0000-000002260000}"/>
    <cellStyle name="Warning Text 17 3" xfId="4340" xr:uid="{00000000-0005-0000-0000-000003260000}"/>
    <cellStyle name="Warning Text 17 3 10" xfId="8070" xr:uid="{00000000-0005-0000-0000-000004260000}"/>
    <cellStyle name="Warning Text 17 3 11" xfId="9162" xr:uid="{00000000-0005-0000-0000-000005260000}"/>
    <cellStyle name="Warning Text 17 3 12" xfId="8890" xr:uid="{00000000-0005-0000-0000-000006260000}"/>
    <cellStyle name="Warning Text 17 3 13" xfId="9775" xr:uid="{00000000-0005-0000-0000-000007260000}"/>
    <cellStyle name="Warning Text 17 3 14" xfId="10247" xr:uid="{00000000-0005-0000-0000-000008260000}"/>
    <cellStyle name="Warning Text 17 3 15" xfId="10697" xr:uid="{00000000-0005-0000-0000-000009260000}"/>
    <cellStyle name="Warning Text 17 3 16" xfId="11134" xr:uid="{00000000-0005-0000-0000-00000A260000}"/>
    <cellStyle name="Warning Text 17 3 17" xfId="11603" xr:uid="{00000000-0005-0000-0000-00000B260000}"/>
    <cellStyle name="Warning Text 17 3 18" xfId="12179" xr:uid="{00000000-0005-0000-0000-00000C260000}"/>
    <cellStyle name="Warning Text 17 3 19" xfId="12674" xr:uid="{00000000-0005-0000-0000-00000D260000}"/>
    <cellStyle name="Warning Text 17 3 2" xfId="4886" xr:uid="{00000000-0005-0000-0000-00000E260000}"/>
    <cellStyle name="Warning Text 17 3 3" xfId="5324" xr:uid="{00000000-0005-0000-0000-00000F260000}"/>
    <cellStyle name="Warning Text 17 3 4" xfId="5762" xr:uid="{00000000-0005-0000-0000-000010260000}"/>
    <cellStyle name="Warning Text 17 3 5" xfId="6199" xr:uid="{00000000-0005-0000-0000-000011260000}"/>
    <cellStyle name="Warning Text 17 3 6" xfId="6636" xr:uid="{00000000-0005-0000-0000-000012260000}"/>
    <cellStyle name="Warning Text 17 3 7" xfId="7073" xr:uid="{00000000-0005-0000-0000-000013260000}"/>
    <cellStyle name="Warning Text 17 3 8" xfId="7510" xr:uid="{00000000-0005-0000-0000-000014260000}"/>
    <cellStyle name="Warning Text 17 3 9" xfId="8358" xr:uid="{00000000-0005-0000-0000-000015260000}"/>
    <cellStyle name="Warning Text 17 4" xfId="4554" xr:uid="{00000000-0005-0000-0000-000016260000}"/>
    <cellStyle name="Warning Text 17 4 10" xfId="7857" xr:uid="{00000000-0005-0000-0000-000017260000}"/>
    <cellStyle name="Warning Text 17 4 11" xfId="9377" xr:uid="{00000000-0005-0000-0000-000018260000}"/>
    <cellStyle name="Warning Text 17 4 12" xfId="9487" xr:uid="{00000000-0005-0000-0000-000019260000}"/>
    <cellStyle name="Warning Text 17 4 13" xfId="9990" xr:uid="{00000000-0005-0000-0000-00001A260000}"/>
    <cellStyle name="Warning Text 17 4 14" xfId="10462" xr:uid="{00000000-0005-0000-0000-00001B260000}"/>
    <cellStyle name="Warning Text 17 4 15" xfId="10747" xr:uid="{00000000-0005-0000-0000-00001C260000}"/>
    <cellStyle name="Warning Text 17 4 16" xfId="11349" xr:uid="{00000000-0005-0000-0000-00001D260000}"/>
    <cellStyle name="Warning Text 17 4 17" xfId="11818" xr:uid="{00000000-0005-0000-0000-00001E260000}"/>
    <cellStyle name="Warning Text 17 4 18" xfId="12228" xr:uid="{00000000-0005-0000-0000-00001F260000}"/>
    <cellStyle name="Warning Text 17 4 19" xfId="12889" xr:uid="{00000000-0005-0000-0000-000020260000}"/>
    <cellStyle name="Warning Text 17 4 2" xfId="5101" xr:uid="{00000000-0005-0000-0000-000021260000}"/>
    <cellStyle name="Warning Text 17 4 3" xfId="5539" xr:uid="{00000000-0005-0000-0000-000022260000}"/>
    <cellStyle name="Warning Text 17 4 4" xfId="5977" xr:uid="{00000000-0005-0000-0000-000023260000}"/>
    <cellStyle name="Warning Text 17 4 5" xfId="6414" xr:uid="{00000000-0005-0000-0000-000024260000}"/>
    <cellStyle name="Warning Text 17 4 6" xfId="6851" xr:uid="{00000000-0005-0000-0000-000025260000}"/>
    <cellStyle name="Warning Text 17 4 7" xfId="7288" xr:uid="{00000000-0005-0000-0000-000026260000}"/>
    <cellStyle name="Warning Text 17 4 8" xfId="7725" xr:uid="{00000000-0005-0000-0000-000027260000}"/>
    <cellStyle name="Warning Text 17 4 9" xfId="8573" xr:uid="{00000000-0005-0000-0000-000028260000}"/>
    <cellStyle name="Warning Text 17 5" xfId="12391" xr:uid="{00000000-0005-0000-0000-000029260000}"/>
    <cellStyle name="Warning Text 17 6" xfId="12452" xr:uid="{00000000-0005-0000-0000-00002A260000}"/>
    <cellStyle name="Warning Text 17 7" xfId="12476" xr:uid="{00000000-0005-0000-0000-00002B260000}"/>
    <cellStyle name="Warning Text 18" xfId="792" xr:uid="{00000000-0005-0000-0000-00002C260000}"/>
    <cellStyle name="Warning Text 18 2" xfId="4129" xr:uid="{00000000-0005-0000-0000-00002D260000}"/>
    <cellStyle name="Warning Text 18 2 2" xfId="4343" xr:uid="{00000000-0005-0000-0000-00002E260000}"/>
    <cellStyle name="Warning Text 18 2 2 10" xfId="8067" xr:uid="{00000000-0005-0000-0000-00002F260000}"/>
    <cellStyle name="Warning Text 18 2 2 11" xfId="9165" xr:uid="{00000000-0005-0000-0000-000030260000}"/>
    <cellStyle name="Warning Text 18 2 2 12" xfId="8887" xr:uid="{00000000-0005-0000-0000-000031260000}"/>
    <cellStyle name="Warning Text 18 2 2 13" xfId="9778" xr:uid="{00000000-0005-0000-0000-000032260000}"/>
    <cellStyle name="Warning Text 18 2 2 14" xfId="10250" xr:uid="{00000000-0005-0000-0000-000033260000}"/>
    <cellStyle name="Warning Text 18 2 2 15" xfId="10579" xr:uid="{00000000-0005-0000-0000-000034260000}"/>
    <cellStyle name="Warning Text 18 2 2 16" xfId="11137" xr:uid="{00000000-0005-0000-0000-000035260000}"/>
    <cellStyle name="Warning Text 18 2 2 17" xfId="11606" xr:uid="{00000000-0005-0000-0000-000036260000}"/>
    <cellStyle name="Warning Text 18 2 2 18" xfId="12161" xr:uid="{00000000-0005-0000-0000-000037260000}"/>
    <cellStyle name="Warning Text 18 2 2 19" xfId="12677" xr:uid="{00000000-0005-0000-0000-000038260000}"/>
    <cellStyle name="Warning Text 18 2 2 2" xfId="4889" xr:uid="{00000000-0005-0000-0000-000039260000}"/>
    <cellStyle name="Warning Text 18 2 2 3" xfId="5327" xr:uid="{00000000-0005-0000-0000-00003A260000}"/>
    <cellStyle name="Warning Text 18 2 2 4" xfId="5765" xr:uid="{00000000-0005-0000-0000-00003B260000}"/>
    <cellStyle name="Warning Text 18 2 2 5" xfId="6202" xr:uid="{00000000-0005-0000-0000-00003C260000}"/>
    <cellStyle name="Warning Text 18 2 2 6" xfId="6639" xr:uid="{00000000-0005-0000-0000-00003D260000}"/>
    <cellStyle name="Warning Text 18 2 2 7" xfId="7076" xr:uid="{00000000-0005-0000-0000-00003E260000}"/>
    <cellStyle name="Warning Text 18 2 2 8" xfId="7513" xr:uid="{00000000-0005-0000-0000-00003F260000}"/>
    <cellStyle name="Warning Text 18 2 2 9" xfId="8361" xr:uid="{00000000-0005-0000-0000-000040260000}"/>
    <cellStyle name="Warning Text 18 2 3" xfId="4557" xr:uid="{00000000-0005-0000-0000-000041260000}"/>
    <cellStyle name="Warning Text 18 2 3 10" xfId="7854" xr:uid="{00000000-0005-0000-0000-000042260000}"/>
    <cellStyle name="Warning Text 18 2 3 11" xfId="9380" xr:uid="{00000000-0005-0000-0000-000043260000}"/>
    <cellStyle name="Warning Text 18 2 3 12" xfId="9490" xr:uid="{00000000-0005-0000-0000-000044260000}"/>
    <cellStyle name="Warning Text 18 2 3 13" xfId="9993" xr:uid="{00000000-0005-0000-0000-000045260000}"/>
    <cellStyle name="Warning Text 18 2 3 14" xfId="10465" xr:uid="{00000000-0005-0000-0000-000046260000}"/>
    <cellStyle name="Warning Text 18 2 3 15" xfId="10631" xr:uid="{00000000-0005-0000-0000-000047260000}"/>
    <cellStyle name="Warning Text 18 2 3 16" xfId="11352" xr:uid="{00000000-0005-0000-0000-000048260000}"/>
    <cellStyle name="Warning Text 18 2 3 17" xfId="11821" xr:uid="{00000000-0005-0000-0000-000049260000}"/>
    <cellStyle name="Warning Text 18 2 3 18" xfId="12133" xr:uid="{00000000-0005-0000-0000-00004A260000}"/>
    <cellStyle name="Warning Text 18 2 3 19" xfId="12892" xr:uid="{00000000-0005-0000-0000-00004B260000}"/>
    <cellStyle name="Warning Text 18 2 3 2" xfId="5104" xr:uid="{00000000-0005-0000-0000-00004C260000}"/>
    <cellStyle name="Warning Text 18 2 3 3" xfId="5542" xr:uid="{00000000-0005-0000-0000-00004D260000}"/>
    <cellStyle name="Warning Text 18 2 3 4" xfId="5980" xr:uid="{00000000-0005-0000-0000-00004E260000}"/>
    <cellStyle name="Warning Text 18 2 3 5" xfId="6417" xr:uid="{00000000-0005-0000-0000-00004F260000}"/>
    <cellStyle name="Warning Text 18 2 3 6" xfId="6854" xr:uid="{00000000-0005-0000-0000-000050260000}"/>
    <cellStyle name="Warning Text 18 2 3 7" xfId="7291" xr:uid="{00000000-0005-0000-0000-000051260000}"/>
    <cellStyle name="Warning Text 18 2 3 8" xfId="7728" xr:uid="{00000000-0005-0000-0000-000052260000}"/>
    <cellStyle name="Warning Text 18 2 3 9" xfId="8576" xr:uid="{00000000-0005-0000-0000-000053260000}"/>
    <cellStyle name="Warning Text 18 3" xfId="4342" xr:uid="{00000000-0005-0000-0000-000054260000}"/>
    <cellStyle name="Warning Text 18 3 10" xfId="8068" xr:uid="{00000000-0005-0000-0000-000055260000}"/>
    <cellStyle name="Warning Text 18 3 11" xfId="9164" xr:uid="{00000000-0005-0000-0000-000056260000}"/>
    <cellStyle name="Warning Text 18 3 12" xfId="8888" xr:uid="{00000000-0005-0000-0000-000057260000}"/>
    <cellStyle name="Warning Text 18 3 13" xfId="9777" xr:uid="{00000000-0005-0000-0000-000058260000}"/>
    <cellStyle name="Warning Text 18 3 14" xfId="10249" xr:uid="{00000000-0005-0000-0000-000059260000}"/>
    <cellStyle name="Warning Text 18 3 15" xfId="10618" xr:uid="{00000000-0005-0000-0000-00005A260000}"/>
    <cellStyle name="Warning Text 18 3 16" xfId="11136" xr:uid="{00000000-0005-0000-0000-00005B260000}"/>
    <cellStyle name="Warning Text 18 3 17" xfId="11605" xr:uid="{00000000-0005-0000-0000-00005C260000}"/>
    <cellStyle name="Warning Text 18 3 18" xfId="12128" xr:uid="{00000000-0005-0000-0000-00005D260000}"/>
    <cellStyle name="Warning Text 18 3 19" xfId="12676" xr:uid="{00000000-0005-0000-0000-00005E260000}"/>
    <cellStyle name="Warning Text 18 3 2" xfId="4888" xr:uid="{00000000-0005-0000-0000-00005F260000}"/>
    <cellStyle name="Warning Text 18 3 3" xfId="5326" xr:uid="{00000000-0005-0000-0000-000060260000}"/>
    <cellStyle name="Warning Text 18 3 4" xfId="5764" xr:uid="{00000000-0005-0000-0000-000061260000}"/>
    <cellStyle name="Warning Text 18 3 5" xfId="6201" xr:uid="{00000000-0005-0000-0000-000062260000}"/>
    <cellStyle name="Warning Text 18 3 6" xfId="6638" xr:uid="{00000000-0005-0000-0000-000063260000}"/>
    <cellStyle name="Warning Text 18 3 7" xfId="7075" xr:uid="{00000000-0005-0000-0000-000064260000}"/>
    <cellStyle name="Warning Text 18 3 8" xfId="7512" xr:uid="{00000000-0005-0000-0000-000065260000}"/>
    <cellStyle name="Warning Text 18 3 9" xfId="8360" xr:uid="{00000000-0005-0000-0000-000066260000}"/>
    <cellStyle name="Warning Text 18 4" xfId="4556" xr:uid="{00000000-0005-0000-0000-000067260000}"/>
    <cellStyle name="Warning Text 18 4 10" xfId="7855" xr:uid="{00000000-0005-0000-0000-000068260000}"/>
    <cellStyle name="Warning Text 18 4 11" xfId="9379" xr:uid="{00000000-0005-0000-0000-000069260000}"/>
    <cellStyle name="Warning Text 18 4 12" xfId="9484" xr:uid="{00000000-0005-0000-0000-00006A260000}"/>
    <cellStyle name="Warning Text 18 4 13" xfId="9992" xr:uid="{00000000-0005-0000-0000-00006B260000}"/>
    <cellStyle name="Warning Text 18 4 14" xfId="10464" xr:uid="{00000000-0005-0000-0000-00006C260000}"/>
    <cellStyle name="Warning Text 18 4 15" xfId="10670" xr:uid="{00000000-0005-0000-0000-00006D260000}"/>
    <cellStyle name="Warning Text 18 4 16" xfId="11351" xr:uid="{00000000-0005-0000-0000-00006E260000}"/>
    <cellStyle name="Warning Text 18 4 17" xfId="11820" xr:uid="{00000000-0005-0000-0000-00006F260000}"/>
    <cellStyle name="Warning Text 18 4 18" xfId="12190" xr:uid="{00000000-0005-0000-0000-000070260000}"/>
    <cellStyle name="Warning Text 18 4 19" xfId="12891" xr:uid="{00000000-0005-0000-0000-000071260000}"/>
    <cellStyle name="Warning Text 18 4 2" xfId="5103" xr:uid="{00000000-0005-0000-0000-000072260000}"/>
    <cellStyle name="Warning Text 18 4 3" xfId="5541" xr:uid="{00000000-0005-0000-0000-000073260000}"/>
    <cellStyle name="Warning Text 18 4 4" xfId="5979" xr:uid="{00000000-0005-0000-0000-000074260000}"/>
    <cellStyle name="Warning Text 18 4 5" xfId="6416" xr:uid="{00000000-0005-0000-0000-000075260000}"/>
    <cellStyle name="Warning Text 18 4 6" xfId="6853" xr:uid="{00000000-0005-0000-0000-000076260000}"/>
    <cellStyle name="Warning Text 18 4 7" xfId="7290" xr:uid="{00000000-0005-0000-0000-000077260000}"/>
    <cellStyle name="Warning Text 18 4 8" xfId="7727" xr:uid="{00000000-0005-0000-0000-000078260000}"/>
    <cellStyle name="Warning Text 18 4 9" xfId="8575" xr:uid="{00000000-0005-0000-0000-000079260000}"/>
    <cellStyle name="Warning Text 18 5" xfId="12392" xr:uid="{00000000-0005-0000-0000-00007A260000}"/>
    <cellStyle name="Warning Text 18 6" xfId="12453" xr:uid="{00000000-0005-0000-0000-00007B260000}"/>
    <cellStyle name="Warning Text 18 7" xfId="12470" xr:uid="{00000000-0005-0000-0000-00007C260000}"/>
    <cellStyle name="Warning Text 19" xfId="793" xr:uid="{00000000-0005-0000-0000-00007D260000}"/>
    <cellStyle name="Warning Text 19 2" xfId="4130" xr:uid="{00000000-0005-0000-0000-00007E260000}"/>
    <cellStyle name="Warning Text 19 2 2" xfId="4345" xr:uid="{00000000-0005-0000-0000-00007F260000}"/>
    <cellStyle name="Warning Text 19 2 2 10" xfId="8065" xr:uid="{00000000-0005-0000-0000-000080260000}"/>
    <cellStyle name="Warning Text 19 2 2 11" xfId="9167" xr:uid="{00000000-0005-0000-0000-000081260000}"/>
    <cellStyle name="Warning Text 19 2 2 12" xfId="8885" xr:uid="{00000000-0005-0000-0000-000082260000}"/>
    <cellStyle name="Warning Text 19 2 2 13" xfId="9780" xr:uid="{00000000-0005-0000-0000-000083260000}"/>
    <cellStyle name="Warning Text 19 2 2 14" xfId="10252" xr:uid="{00000000-0005-0000-0000-000084260000}"/>
    <cellStyle name="Warning Text 19 2 2 15" xfId="10959" xr:uid="{00000000-0005-0000-0000-000085260000}"/>
    <cellStyle name="Warning Text 19 2 2 16" xfId="11139" xr:uid="{00000000-0005-0000-0000-000086260000}"/>
    <cellStyle name="Warning Text 19 2 2 17" xfId="11608" xr:uid="{00000000-0005-0000-0000-000087260000}"/>
    <cellStyle name="Warning Text 19 2 2 18" xfId="12072" xr:uid="{00000000-0005-0000-0000-000088260000}"/>
    <cellStyle name="Warning Text 19 2 2 19" xfId="12679" xr:uid="{00000000-0005-0000-0000-000089260000}"/>
    <cellStyle name="Warning Text 19 2 2 2" xfId="4891" xr:uid="{00000000-0005-0000-0000-00008A260000}"/>
    <cellStyle name="Warning Text 19 2 2 3" xfId="5329" xr:uid="{00000000-0005-0000-0000-00008B260000}"/>
    <cellStyle name="Warning Text 19 2 2 4" xfId="5767" xr:uid="{00000000-0005-0000-0000-00008C260000}"/>
    <cellStyle name="Warning Text 19 2 2 5" xfId="6204" xr:uid="{00000000-0005-0000-0000-00008D260000}"/>
    <cellStyle name="Warning Text 19 2 2 6" xfId="6641" xr:uid="{00000000-0005-0000-0000-00008E260000}"/>
    <cellStyle name="Warning Text 19 2 2 7" xfId="7078" xr:uid="{00000000-0005-0000-0000-00008F260000}"/>
    <cellStyle name="Warning Text 19 2 2 8" xfId="7515" xr:uid="{00000000-0005-0000-0000-000090260000}"/>
    <cellStyle name="Warning Text 19 2 2 9" xfId="8363" xr:uid="{00000000-0005-0000-0000-000091260000}"/>
    <cellStyle name="Warning Text 19 2 3" xfId="4559" xr:uid="{00000000-0005-0000-0000-000092260000}"/>
    <cellStyle name="Warning Text 19 2 3 10" xfId="7852" xr:uid="{00000000-0005-0000-0000-000093260000}"/>
    <cellStyle name="Warning Text 19 2 3 11" xfId="9382" xr:uid="{00000000-0005-0000-0000-000094260000}"/>
    <cellStyle name="Warning Text 19 2 3 12" xfId="9488" xr:uid="{00000000-0005-0000-0000-000095260000}"/>
    <cellStyle name="Warning Text 19 2 3 13" xfId="9995" xr:uid="{00000000-0005-0000-0000-000096260000}"/>
    <cellStyle name="Warning Text 19 2 3 14" xfId="10467" xr:uid="{00000000-0005-0000-0000-000097260000}"/>
    <cellStyle name="Warning Text 19 2 3 15" xfId="10552" xr:uid="{00000000-0005-0000-0000-000098260000}"/>
    <cellStyle name="Warning Text 19 2 3 16" xfId="11354" xr:uid="{00000000-0005-0000-0000-000099260000}"/>
    <cellStyle name="Warning Text 19 2 3 17" xfId="11823" xr:uid="{00000000-0005-0000-0000-00009A260000}"/>
    <cellStyle name="Warning Text 19 2 3 18" xfId="11453" xr:uid="{00000000-0005-0000-0000-00009B260000}"/>
    <cellStyle name="Warning Text 19 2 3 19" xfId="12894" xr:uid="{00000000-0005-0000-0000-00009C260000}"/>
    <cellStyle name="Warning Text 19 2 3 2" xfId="5106" xr:uid="{00000000-0005-0000-0000-00009D260000}"/>
    <cellStyle name="Warning Text 19 2 3 3" xfId="5544" xr:uid="{00000000-0005-0000-0000-00009E260000}"/>
    <cellStyle name="Warning Text 19 2 3 4" xfId="5982" xr:uid="{00000000-0005-0000-0000-00009F260000}"/>
    <cellStyle name="Warning Text 19 2 3 5" xfId="6419" xr:uid="{00000000-0005-0000-0000-0000A0260000}"/>
    <cellStyle name="Warning Text 19 2 3 6" xfId="6856" xr:uid="{00000000-0005-0000-0000-0000A1260000}"/>
    <cellStyle name="Warning Text 19 2 3 7" xfId="7293" xr:uid="{00000000-0005-0000-0000-0000A2260000}"/>
    <cellStyle name="Warning Text 19 2 3 8" xfId="7730" xr:uid="{00000000-0005-0000-0000-0000A3260000}"/>
    <cellStyle name="Warning Text 19 2 3 9" xfId="8578" xr:uid="{00000000-0005-0000-0000-0000A4260000}"/>
    <cellStyle name="Warning Text 19 3" xfId="4344" xr:uid="{00000000-0005-0000-0000-0000A5260000}"/>
    <cellStyle name="Warning Text 19 3 10" xfId="8066" xr:uid="{00000000-0005-0000-0000-0000A6260000}"/>
    <cellStyle name="Warning Text 19 3 11" xfId="9166" xr:uid="{00000000-0005-0000-0000-0000A7260000}"/>
    <cellStyle name="Warning Text 19 3 12" xfId="8886" xr:uid="{00000000-0005-0000-0000-0000A8260000}"/>
    <cellStyle name="Warning Text 19 3 13" xfId="9779" xr:uid="{00000000-0005-0000-0000-0000A9260000}"/>
    <cellStyle name="Warning Text 19 3 14" xfId="10251" xr:uid="{00000000-0005-0000-0000-0000AA260000}"/>
    <cellStyle name="Warning Text 19 3 15" xfId="10975" xr:uid="{00000000-0005-0000-0000-0000AB260000}"/>
    <cellStyle name="Warning Text 19 3 16" xfId="11138" xr:uid="{00000000-0005-0000-0000-0000AC260000}"/>
    <cellStyle name="Warning Text 19 3 17" xfId="11607" xr:uid="{00000000-0005-0000-0000-0000AD260000}"/>
    <cellStyle name="Warning Text 19 3 18" xfId="12102" xr:uid="{00000000-0005-0000-0000-0000AE260000}"/>
    <cellStyle name="Warning Text 19 3 19" xfId="12678" xr:uid="{00000000-0005-0000-0000-0000AF260000}"/>
    <cellStyle name="Warning Text 19 3 2" xfId="4890" xr:uid="{00000000-0005-0000-0000-0000B0260000}"/>
    <cellStyle name="Warning Text 19 3 3" xfId="5328" xr:uid="{00000000-0005-0000-0000-0000B1260000}"/>
    <cellStyle name="Warning Text 19 3 4" xfId="5766" xr:uid="{00000000-0005-0000-0000-0000B2260000}"/>
    <cellStyle name="Warning Text 19 3 5" xfId="6203" xr:uid="{00000000-0005-0000-0000-0000B3260000}"/>
    <cellStyle name="Warning Text 19 3 6" xfId="6640" xr:uid="{00000000-0005-0000-0000-0000B4260000}"/>
    <cellStyle name="Warning Text 19 3 7" xfId="7077" xr:uid="{00000000-0005-0000-0000-0000B5260000}"/>
    <cellStyle name="Warning Text 19 3 8" xfId="7514" xr:uid="{00000000-0005-0000-0000-0000B6260000}"/>
    <cellStyle name="Warning Text 19 3 9" xfId="8362" xr:uid="{00000000-0005-0000-0000-0000B7260000}"/>
    <cellStyle name="Warning Text 19 4" xfId="4558" xr:uid="{00000000-0005-0000-0000-0000B8260000}"/>
    <cellStyle name="Warning Text 19 4 10" xfId="7853" xr:uid="{00000000-0005-0000-0000-0000B9260000}"/>
    <cellStyle name="Warning Text 19 4 11" xfId="9381" xr:uid="{00000000-0005-0000-0000-0000BA260000}"/>
    <cellStyle name="Warning Text 19 4 12" xfId="9486" xr:uid="{00000000-0005-0000-0000-0000BB260000}"/>
    <cellStyle name="Warning Text 19 4 13" xfId="9994" xr:uid="{00000000-0005-0000-0000-0000BC260000}"/>
    <cellStyle name="Warning Text 19 4 14" xfId="10466" xr:uid="{00000000-0005-0000-0000-0000BD260000}"/>
    <cellStyle name="Warning Text 19 4 15" xfId="10592" xr:uid="{00000000-0005-0000-0000-0000BE260000}"/>
    <cellStyle name="Warning Text 19 4 16" xfId="11353" xr:uid="{00000000-0005-0000-0000-0000BF260000}"/>
    <cellStyle name="Warning Text 19 4 17" xfId="11822" xr:uid="{00000000-0005-0000-0000-0000C0260000}"/>
    <cellStyle name="Warning Text 19 4 18" xfId="11454" xr:uid="{00000000-0005-0000-0000-0000C1260000}"/>
    <cellStyle name="Warning Text 19 4 19" xfId="12893" xr:uid="{00000000-0005-0000-0000-0000C2260000}"/>
    <cellStyle name="Warning Text 19 4 2" xfId="5105" xr:uid="{00000000-0005-0000-0000-0000C3260000}"/>
    <cellStyle name="Warning Text 19 4 3" xfId="5543" xr:uid="{00000000-0005-0000-0000-0000C4260000}"/>
    <cellStyle name="Warning Text 19 4 4" xfId="5981" xr:uid="{00000000-0005-0000-0000-0000C5260000}"/>
    <cellStyle name="Warning Text 19 4 5" xfId="6418" xr:uid="{00000000-0005-0000-0000-0000C6260000}"/>
    <cellStyle name="Warning Text 19 4 6" xfId="6855" xr:uid="{00000000-0005-0000-0000-0000C7260000}"/>
    <cellStyle name="Warning Text 19 4 7" xfId="7292" xr:uid="{00000000-0005-0000-0000-0000C8260000}"/>
    <cellStyle name="Warning Text 19 4 8" xfId="7729" xr:uid="{00000000-0005-0000-0000-0000C9260000}"/>
    <cellStyle name="Warning Text 19 4 9" xfId="8577" xr:uid="{00000000-0005-0000-0000-0000CA260000}"/>
    <cellStyle name="Warning Text 19 5" xfId="12393" xr:uid="{00000000-0005-0000-0000-0000CB260000}"/>
    <cellStyle name="Warning Text 19 6" xfId="12454" xr:uid="{00000000-0005-0000-0000-0000CC260000}"/>
    <cellStyle name="Warning Text 19 7" xfId="12522" xr:uid="{00000000-0005-0000-0000-0000CD260000}"/>
    <cellStyle name="Warning Text 2" xfId="794" xr:uid="{00000000-0005-0000-0000-0000CE260000}"/>
    <cellStyle name="Warning Text 2 2" xfId="4131" xr:uid="{00000000-0005-0000-0000-0000CF260000}"/>
    <cellStyle name="Warning Text 2 2 10" xfId="8064" xr:uid="{00000000-0005-0000-0000-0000D0260000}"/>
    <cellStyle name="Warning Text 2 2 11" xfId="9168" xr:uid="{00000000-0005-0000-0000-0000D1260000}"/>
    <cellStyle name="Warning Text 2 2 12" xfId="8884" xr:uid="{00000000-0005-0000-0000-0000D2260000}"/>
    <cellStyle name="Warning Text 2 2 13" xfId="9781" xr:uid="{00000000-0005-0000-0000-0000D3260000}"/>
    <cellStyle name="Warning Text 2 2 14" xfId="10253" xr:uid="{00000000-0005-0000-0000-0000D4260000}"/>
    <cellStyle name="Warning Text 2 2 15" xfId="10830" xr:uid="{00000000-0005-0000-0000-0000D5260000}"/>
    <cellStyle name="Warning Text 2 2 16" xfId="11140" xr:uid="{00000000-0005-0000-0000-0000D6260000}"/>
    <cellStyle name="Warning Text 2 2 17" xfId="11609" xr:uid="{00000000-0005-0000-0000-0000D7260000}"/>
    <cellStyle name="Warning Text 2 2 18" xfId="12043" xr:uid="{00000000-0005-0000-0000-0000D8260000}"/>
    <cellStyle name="Warning Text 2 2 19" xfId="12680" xr:uid="{00000000-0005-0000-0000-0000D9260000}"/>
    <cellStyle name="Warning Text 2 2 2" xfId="4892" xr:uid="{00000000-0005-0000-0000-0000DA260000}"/>
    <cellStyle name="Warning Text 2 2 3" xfId="5330" xr:uid="{00000000-0005-0000-0000-0000DB260000}"/>
    <cellStyle name="Warning Text 2 2 4" xfId="5768" xr:uid="{00000000-0005-0000-0000-0000DC260000}"/>
    <cellStyle name="Warning Text 2 2 5" xfId="6205" xr:uid="{00000000-0005-0000-0000-0000DD260000}"/>
    <cellStyle name="Warning Text 2 2 6" xfId="6642" xr:uid="{00000000-0005-0000-0000-0000DE260000}"/>
    <cellStyle name="Warning Text 2 2 7" xfId="7079" xr:uid="{00000000-0005-0000-0000-0000DF260000}"/>
    <cellStyle name="Warning Text 2 2 8" xfId="7516" xr:uid="{00000000-0005-0000-0000-0000E0260000}"/>
    <cellStyle name="Warning Text 2 2 9" xfId="8364" xr:uid="{00000000-0005-0000-0000-0000E1260000}"/>
    <cellStyle name="Warning Text 2 3" xfId="4560" xr:uid="{00000000-0005-0000-0000-0000E2260000}"/>
    <cellStyle name="Warning Text 2 3 10" xfId="7851" xr:uid="{00000000-0005-0000-0000-0000E3260000}"/>
    <cellStyle name="Warning Text 2 3 11" xfId="9383" xr:uid="{00000000-0005-0000-0000-0000E4260000}"/>
    <cellStyle name="Warning Text 2 3 12" xfId="9622" xr:uid="{00000000-0005-0000-0000-0000E5260000}"/>
    <cellStyle name="Warning Text 2 3 13" xfId="9996" xr:uid="{00000000-0005-0000-0000-0000E6260000}"/>
    <cellStyle name="Warning Text 2 3 14" xfId="10468" xr:uid="{00000000-0005-0000-0000-0000E7260000}"/>
    <cellStyle name="Warning Text 2 3 15" xfId="10923" xr:uid="{00000000-0005-0000-0000-0000E8260000}"/>
    <cellStyle name="Warning Text 2 3 16" xfId="11355" xr:uid="{00000000-0005-0000-0000-0000E9260000}"/>
    <cellStyle name="Warning Text 2 3 17" xfId="11824" xr:uid="{00000000-0005-0000-0000-0000EA260000}"/>
    <cellStyle name="Warning Text 2 3 18" xfId="12152" xr:uid="{00000000-0005-0000-0000-0000EB260000}"/>
    <cellStyle name="Warning Text 2 3 19" xfId="12895" xr:uid="{00000000-0005-0000-0000-0000EC260000}"/>
    <cellStyle name="Warning Text 2 3 2" xfId="5107" xr:uid="{00000000-0005-0000-0000-0000ED260000}"/>
    <cellStyle name="Warning Text 2 3 3" xfId="5545" xr:uid="{00000000-0005-0000-0000-0000EE260000}"/>
    <cellStyle name="Warning Text 2 3 4" xfId="5983" xr:uid="{00000000-0005-0000-0000-0000EF260000}"/>
    <cellStyle name="Warning Text 2 3 5" xfId="6420" xr:uid="{00000000-0005-0000-0000-0000F0260000}"/>
    <cellStyle name="Warning Text 2 3 6" xfId="6857" xr:uid="{00000000-0005-0000-0000-0000F1260000}"/>
    <cellStyle name="Warning Text 2 3 7" xfId="7294" xr:uid="{00000000-0005-0000-0000-0000F2260000}"/>
    <cellStyle name="Warning Text 2 3 8" xfId="7731" xr:uid="{00000000-0005-0000-0000-0000F3260000}"/>
    <cellStyle name="Warning Text 2 3 9" xfId="8579" xr:uid="{00000000-0005-0000-0000-0000F4260000}"/>
    <cellStyle name="Warning Text 2 4" xfId="12394" xr:uid="{00000000-0005-0000-0000-0000F5260000}"/>
    <cellStyle name="Warning Text 2 5" xfId="12455" xr:uid="{00000000-0005-0000-0000-0000F6260000}"/>
    <cellStyle name="Warning Text 2 6" xfId="12515" xr:uid="{00000000-0005-0000-0000-0000F7260000}"/>
    <cellStyle name="Warning Text 20" xfId="4132" xr:uid="{00000000-0005-0000-0000-0000F8260000}"/>
    <cellStyle name="Warning Text 20 2" xfId="4133" xr:uid="{00000000-0005-0000-0000-0000F9260000}"/>
    <cellStyle name="Warning Text 20 2 2" xfId="4347" xr:uid="{00000000-0005-0000-0000-0000FA260000}"/>
    <cellStyle name="Warning Text 20 2 2 10" xfId="8062" xr:uid="{00000000-0005-0000-0000-0000FB260000}"/>
    <cellStyle name="Warning Text 20 2 2 11" xfId="9170" xr:uid="{00000000-0005-0000-0000-0000FC260000}"/>
    <cellStyle name="Warning Text 20 2 2 12" xfId="8882" xr:uid="{00000000-0005-0000-0000-0000FD260000}"/>
    <cellStyle name="Warning Text 20 2 2 13" xfId="9783" xr:uid="{00000000-0005-0000-0000-0000FE260000}"/>
    <cellStyle name="Warning Text 20 2 2 14" xfId="10255" xr:uid="{00000000-0005-0000-0000-0000FF260000}"/>
    <cellStyle name="Warning Text 20 2 2 15" xfId="10792" xr:uid="{00000000-0005-0000-0000-000000270000}"/>
    <cellStyle name="Warning Text 20 2 2 16" xfId="11142" xr:uid="{00000000-0005-0000-0000-000001270000}"/>
    <cellStyle name="Warning Text 20 2 2 17" xfId="11611" xr:uid="{00000000-0005-0000-0000-000002270000}"/>
    <cellStyle name="Warning Text 20 2 2 18" xfId="11986" xr:uid="{00000000-0005-0000-0000-000003270000}"/>
    <cellStyle name="Warning Text 20 2 2 19" xfId="12682" xr:uid="{00000000-0005-0000-0000-000004270000}"/>
    <cellStyle name="Warning Text 20 2 2 2" xfId="4894" xr:uid="{00000000-0005-0000-0000-000005270000}"/>
    <cellStyle name="Warning Text 20 2 2 3" xfId="5332" xr:uid="{00000000-0005-0000-0000-000006270000}"/>
    <cellStyle name="Warning Text 20 2 2 4" xfId="5770" xr:uid="{00000000-0005-0000-0000-000007270000}"/>
    <cellStyle name="Warning Text 20 2 2 5" xfId="6207" xr:uid="{00000000-0005-0000-0000-000008270000}"/>
    <cellStyle name="Warning Text 20 2 2 6" xfId="6644" xr:uid="{00000000-0005-0000-0000-000009270000}"/>
    <cellStyle name="Warning Text 20 2 2 7" xfId="7081" xr:uid="{00000000-0005-0000-0000-00000A270000}"/>
    <cellStyle name="Warning Text 20 2 2 8" xfId="7518" xr:uid="{00000000-0005-0000-0000-00000B270000}"/>
    <cellStyle name="Warning Text 20 2 2 9" xfId="8366" xr:uid="{00000000-0005-0000-0000-00000C270000}"/>
    <cellStyle name="Warning Text 20 2 3" xfId="4562" xr:uid="{00000000-0005-0000-0000-00000D270000}"/>
    <cellStyle name="Warning Text 20 2 3 10" xfId="7849" xr:uid="{00000000-0005-0000-0000-00000E270000}"/>
    <cellStyle name="Warning Text 20 2 3 11" xfId="9385" xr:uid="{00000000-0005-0000-0000-00000F270000}"/>
    <cellStyle name="Warning Text 20 2 3 12" xfId="8804" xr:uid="{00000000-0005-0000-0000-000010270000}"/>
    <cellStyle name="Warning Text 20 2 3 13" xfId="9998" xr:uid="{00000000-0005-0000-0000-000011270000}"/>
    <cellStyle name="Warning Text 20 2 3 14" xfId="10470" xr:uid="{00000000-0005-0000-0000-000012270000}"/>
    <cellStyle name="Warning Text 20 2 3 15" xfId="10857" xr:uid="{00000000-0005-0000-0000-000013270000}"/>
    <cellStyle name="Warning Text 20 2 3 16" xfId="11357" xr:uid="{00000000-0005-0000-0000-000014270000}"/>
    <cellStyle name="Warning Text 20 2 3 17" xfId="11826" xr:uid="{00000000-0005-0000-0000-000015270000}"/>
    <cellStyle name="Warning Text 20 2 3 18" xfId="12063" xr:uid="{00000000-0005-0000-0000-000016270000}"/>
    <cellStyle name="Warning Text 20 2 3 19" xfId="12897" xr:uid="{00000000-0005-0000-0000-000017270000}"/>
    <cellStyle name="Warning Text 20 2 3 2" xfId="5109" xr:uid="{00000000-0005-0000-0000-000018270000}"/>
    <cellStyle name="Warning Text 20 2 3 3" xfId="5547" xr:uid="{00000000-0005-0000-0000-000019270000}"/>
    <cellStyle name="Warning Text 20 2 3 4" xfId="5985" xr:uid="{00000000-0005-0000-0000-00001A270000}"/>
    <cellStyle name="Warning Text 20 2 3 5" xfId="6422" xr:uid="{00000000-0005-0000-0000-00001B270000}"/>
    <cellStyle name="Warning Text 20 2 3 6" xfId="6859" xr:uid="{00000000-0005-0000-0000-00001C270000}"/>
    <cellStyle name="Warning Text 20 2 3 7" xfId="7296" xr:uid="{00000000-0005-0000-0000-00001D270000}"/>
    <cellStyle name="Warning Text 20 2 3 8" xfId="7733" xr:uid="{00000000-0005-0000-0000-00001E270000}"/>
    <cellStyle name="Warning Text 20 2 3 9" xfId="8581" xr:uid="{00000000-0005-0000-0000-00001F270000}"/>
    <cellStyle name="Warning Text 20 3" xfId="4346" xr:uid="{00000000-0005-0000-0000-000020270000}"/>
    <cellStyle name="Warning Text 20 3 10" xfId="8063" xr:uid="{00000000-0005-0000-0000-000021270000}"/>
    <cellStyle name="Warning Text 20 3 11" xfId="9169" xr:uid="{00000000-0005-0000-0000-000022270000}"/>
    <cellStyle name="Warning Text 20 3 12" xfId="8883" xr:uid="{00000000-0005-0000-0000-000023270000}"/>
    <cellStyle name="Warning Text 20 3 13" xfId="9782" xr:uid="{00000000-0005-0000-0000-000024270000}"/>
    <cellStyle name="Warning Text 20 3 14" xfId="10254" xr:uid="{00000000-0005-0000-0000-000025270000}"/>
    <cellStyle name="Warning Text 20 3 15" xfId="10873" xr:uid="{00000000-0005-0000-0000-000026270000}"/>
    <cellStyle name="Warning Text 20 3 16" xfId="11141" xr:uid="{00000000-0005-0000-0000-000027270000}"/>
    <cellStyle name="Warning Text 20 3 17" xfId="11610" xr:uid="{00000000-0005-0000-0000-000028270000}"/>
    <cellStyle name="Warning Text 20 3 18" xfId="12014" xr:uid="{00000000-0005-0000-0000-000029270000}"/>
    <cellStyle name="Warning Text 20 3 19" xfId="12681" xr:uid="{00000000-0005-0000-0000-00002A270000}"/>
    <cellStyle name="Warning Text 20 3 2" xfId="4893" xr:uid="{00000000-0005-0000-0000-00002B270000}"/>
    <cellStyle name="Warning Text 20 3 3" xfId="5331" xr:uid="{00000000-0005-0000-0000-00002C270000}"/>
    <cellStyle name="Warning Text 20 3 4" xfId="5769" xr:uid="{00000000-0005-0000-0000-00002D270000}"/>
    <cellStyle name="Warning Text 20 3 5" xfId="6206" xr:uid="{00000000-0005-0000-0000-00002E270000}"/>
    <cellStyle name="Warning Text 20 3 6" xfId="6643" xr:uid="{00000000-0005-0000-0000-00002F270000}"/>
    <cellStyle name="Warning Text 20 3 7" xfId="7080" xr:uid="{00000000-0005-0000-0000-000030270000}"/>
    <cellStyle name="Warning Text 20 3 8" xfId="7517" xr:uid="{00000000-0005-0000-0000-000031270000}"/>
    <cellStyle name="Warning Text 20 3 9" xfId="8365" xr:uid="{00000000-0005-0000-0000-000032270000}"/>
    <cellStyle name="Warning Text 20 4" xfId="4561" xr:uid="{00000000-0005-0000-0000-000033270000}"/>
    <cellStyle name="Warning Text 20 4 10" xfId="7850" xr:uid="{00000000-0005-0000-0000-000034270000}"/>
    <cellStyle name="Warning Text 20 4 11" xfId="9384" xr:uid="{00000000-0005-0000-0000-000035270000}"/>
    <cellStyle name="Warning Text 20 4 12" xfId="8720" xr:uid="{00000000-0005-0000-0000-000036270000}"/>
    <cellStyle name="Warning Text 20 4 13" xfId="9997" xr:uid="{00000000-0005-0000-0000-000037270000}"/>
    <cellStyle name="Warning Text 20 4 14" xfId="10469" xr:uid="{00000000-0005-0000-0000-000038270000}"/>
    <cellStyle name="Warning Text 20 4 15" xfId="10932" xr:uid="{00000000-0005-0000-0000-000039270000}"/>
    <cellStyle name="Warning Text 20 4 16" xfId="11356" xr:uid="{00000000-0005-0000-0000-00003A270000}"/>
    <cellStyle name="Warning Text 20 4 17" xfId="11825" xr:uid="{00000000-0005-0000-0000-00003B270000}"/>
    <cellStyle name="Warning Text 20 4 18" xfId="12093" xr:uid="{00000000-0005-0000-0000-00003C270000}"/>
    <cellStyle name="Warning Text 20 4 19" xfId="12896" xr:uid="{00000000-0005-0000-0000-00003D270000}"/>
    <cellStyle name="Warning Text 20 4 2" xfId="5108" xr:uid="{00000000-0005-0000-0000-00003E270000}"/>
    <cellStyle name="Warning Text 20 4 3" xfId="5546" xr:uid="{00000000-0005-0000-0000-00003F270000}"/>
    <cellStyle name="Warning Text 20 4 4" xfId="5984" xr:uid="{00000000-0005-0000-0000-000040270000}"/>
    <cellStyle name="Warning Text 20 4 5" xfId="6421" xr:uid="{00000000-0005-0000-0000-000041270000}"/>
    <cellStyle name="Warning Text 20 4 6" xfId="6858" xr:uid="{00000000-0005-0000-0000-000042270000}"/>
    <cellStyle name="Warning Text 20 4 7" xfId="7295" xr:uid="{00000000-0005-0000-0000-000043270000}"/>
    <cellStyle name="Warning Text 20 4 8" xfId="7732" xr:uid="{00000000-0005-0000-0000-000044270000}"/>
    <cellStyle name="Warning Text 20 4 9" xfId="8580" xr:uid="{00000000-0005-0000-0000-000045270000}"/>
    <cellStyle name="Warning Text 21" xfId="4134" xr:uid="{00000000-0005-0000-0000-000046270000}"/>
    <cellStyle name="Warning Text 21 2" xfId="4135" xr:uid="{00000000-0005-0000-0000-000047270000}"/>
    <cellStyle name="Warning Text 21 2 2" xfId="4349" xr:uid="{00000000-0005-0000-0000-000048270000}"/>
    <cellStyle name="Warning Text 21 2 2 10" xfId="8060" xr:uid="{00000000-0005-0000-0000-000049270000}"/>
    <cellStyle name="Warning Text 21 2 2 11" xfId="9172" xr:uid="{00000000-0005-0000-0000-00004A270000}"/>
    <cellStyle name="Warning Text 21 2 2 12" xfId="8880" xr:uid="{00000000-0005-0000-0000-00004B270000}"/>
    <cellStyle name="Warning Text 21 2 2 13" xfId="9785" xr:uid="{00000000-0005-0000-0000-00004C270000}"/>
    <cellStyle name="Warning Text 21 2 2 14" xfId="10257" xr:uid="{00000000-0005-0000-0000-00004D270000}"/>
    <cellStyle name="Warning Text 21 2 2 15" xfId="10716" xr:uid="{00000000-0005-0000-0000-00004E270000}"/>
    <cellStyle name="Warning Text 21 2 2 16" xfId="11144" xr:uid="{00000000-0005-0000-0000-00004F270000}"/>
    <cellStyle name="Warning Text 21 2 2 17" xfId="11613" xr:uid="{00000000-0005-0000-0000-000050270000}"/>
    <cellStyle name="Warning Text 21 2 2 18" xfId="11928" xr:uid="{00000000-0005-0000-0000-000051270000}"/>
    <cellStyle name="Warning Text 21 2 2 19" xfId="12684" xr:uid="{00000000-0005-0000-0000-000052270000}"/>
    <cellStyle name="Warning Text 21 2 2 2" xfId="4896" xr:uid="{00000000-0005-0000-0000-000053270000}"/>
    <cellStyle name="Warning Text 21 2 2 3" xfId="5334" xr:uid="{00000000-0005-0000-0000-000054270000}"/>
    <cellStyle name="Warning Text 21 2 2 4" xfId="5772" xr:uid="{00000000-0005-0000-0000-000055270000}"/>
    <cellStyle name="Warning Text 21 2 2 5" xfId="6209" xr:uid="{00000000-0005-0000-0000-000056270000}"/>
    <cellStyle name="Warning Text 21 2 2 6" xfId="6646" xr:uid="{00000000-0005-0000-0000-000057270000}"/>
    <cellStyle name="Warning Text 21 2 2 7" xfId="7083" xr:uid="{00000000-0005-0000-0000-000058270000}"/>
    <cellStyle name="Warning Text 21 2 2 8" xfId="7520" xr:uid="{00000000-0005-0000-0000-000059270000}"/>
    <cellStyle name="Warning Text 21 2 2 9" xfId="8368" xr:uid="{00000000-0005-0000-0000-00005A270000}"/>
    <cellStyle name="Warning Text 21 2 3" xfId="4564" xr:uid="{00000000-0005-0000-0000-00005B270000}"/>
    <cellStyle name="Warning Text 21 2 3 10" xfId="7847" xr:uid="{00000000-0005-0000-0000-00005C270000}"/>
    <cellStyle name="Warning Text 21 2 3 11" xfId="9387" xr:uid="{00000000-0005-0000-0000-00005D270000}"/>
    <cellStyle name="Warning Text 21 2 3 12" xfId="8803" xr:uid="{00000000-0005-0000-0000-00005E270000}"/>
    <cellStyle name="Warning Text 21 2 3 13" xfId="10000" xr:uid="{00000000-0005-0000-0000-00005F270000}"/>
    <cellStyle name="Warning Text 21 2 3 14" xfId="10472" xr:uid="{00000000-0005-0000-0000-000060270000}"/>
    <cellStyle name="Warning Text 21 2 3 15" xfId="10095" xr:uid="{00000000-0005-0000-0000-000061270000}"/>
    <cellStyle name="Warning Text 21 2 3 16" xfId="11359" xr:uid="{00000000-0005-0000-0000-000062270000}"/>
    <cellStyle name="Warning Text 21 2 3 17" xfId="11828" xr:uid="{00000000-0005-0000-0000-000063270000}"/>
    <cellStyle name="Warning Text 21 2 3 18" xfId="12005" xr:uid="{00000000-0005-0000-0000-000064270000}"/>
    <cellStyle name="Warning Text 21 2 3 19" xfId="12899" xr:uid="{00000000-0005-0000-0000-000065270000}"/>
    <cellStyle name="Warning Text 21 2 3 2" xfId="5111" xr:uid="{00000000-0005-0000-0000-000066270000}"/>
    <cellStyle name="Warning Text 21 2 3 3" xfId="5549" xr:uid="{00000000-0005-0000-0000-000067270000}"/>
    <cellStyle name="Warning Text 21 2 3 4" xfId="5987" xr:uid="{00000000-0005-0000-0000-000068270000}"/>
    <cellStyle name="Warning Text 21 2 3 5" xfId="6424" xr:uid="{00000000-0005-0000-0000-000069270000}"/>
    <cellStyle name="Warning Text 21 2 3 6" xfId="6861" xr:uid="{00000000-0005-0000-0000-00006A270000}"/>
    <cellStyle name="Warning Text 21 2 3 7" xfId="7298" xr:uid="{00000000-0005-0000-0000-00006B270000}"/>
    <cellStyle name="Warning Text 21 2 3 8" xfId="7735" xr:uid="{00000000-0005-0000-0000-00006C270000}"/>
    <cellStyle name="Warning Text 21 2 3 9" xfId="8583" xr:uid="{00000000-0005-0000-0000-00006D270000}"/>
    <cellStyle name="Warning Text 21 3" xfId="4348" xr:uid="{00000000-0005-0000-0000-00006E270000}"/>
    <cellStyle name="Warning Text 21 3 10" xfId="8061" xr:uid="{00000000-0005-0000-0000-00006F270000}"/>
    <cellStyle name="Warning Text 21 3 11" xfId="9171" xr:uid="{00000000-0005-0000-0000-000070270000}"/>
    <cellStyle name="Warning Text 21 3 12" xfId="8881" xr:uid="{00000000-0005-0000-0000-000071270000}"/>
    <cellStyle name="Warning Text 21 3 13" xfId="9784" xr:uid="{00000000-0005-0000-0000-000072270000}"/>
    <cellStyle name="Warning Text 21 3 14" xfId="10256" xr:uid="{00000000-0005-0000-0000-000073270000}"/>
    <cellStyle name="Warning Text 21 3 15" xfId="10754" xr:uid="{00000000-0005-0000-0000-000074270000}"/>
    <cellStyle name="Warning Text 21 3 16" xfId="11143" xr:uid="{00000000-0005-0000-0000-000075270000}"/>
    <cellStyle name="Warning Text 21 3 17" xfId="11612" xr:uid="{00000000-0005-0000-0000-000076270000}"/>
    <cellStyle name="Warning Text 21 3 18" xfId="11957" xr:uid="{00000000-0005-0000-0000-000077270000}"/>
    <cellStyle name="Warning Text 21 3 19" xfId="12683" xr:uid="{00000000-0005-0000-0000-000078270000}"/>
    <cellStyle name="Warning Text 21 3 2" xfId="4895" xr:uid="{00000000-0005-0000-0000-000079270000}"/>
    <cellStyle name="Warning Text 21 3 3" xfId="5333" xr:uid="{00000000-0005-0000-0000-00007A270000}"/>
    <cellStyle name="Warning Text 21 3 4" xfId="5771" xr:uid="{00000000-0005-0000-0000-00007B270000}"/>
    <cellStyle name="Warning Text 21 3 5" xfId="6208" xr:uid="{00000000-0005-0000-0000-00007C270000}"/>
    <cellStyle name="Warning Text 21 3 6" xfId="6645" xr:uid="{00000000-0005-0000-0000-00007D270000}"/>
    <cellStyle name="Warning Text 21 3 7" xfId="7082" xr:uid="{00000000-0005-0000-0000-00007E270000}"/>
    <cellStyle name="Warning Text 21 3 8" xfId="7519" xr:uid="{00000000-0005-0000-0000-00007F270000}"/>
    <cellStyle name="Warning Text 21 3 9" xfId="8367" xr:uid="{00000000-0005-0000-0000-000080270000}"/>
    <cellStyle name="Warning Text 21 4" xfId="4563" xr:uid="{00000000-0005-0000-0000-000081270000}"/>
    <cellStyle name="Warning Text 21 4 10" xfId="7848" xr:uid="{00000000-0005-0000-0000-000082270000}"/>
    <cellStyle name="Warning Text 21 4 11" xfId="9386" xr:uid="{00000000-0005-0000-0000-000083270000}"/>
    <cellStyle name="Warning Text 21 4 12" xfId="8717" xr:uid="{00000000-0005-0000-0000-000084270000}"/>
    <cellStyle name="Warning Text 21 4 13" xfId="9999" xr:uid="{00000000-0005-0000-0000-000085270000}"/>
    <cellStyle name="Warning Text 21 4 14" xfId="10471" xr:uid="{00000000-0005-0000-0000-000086270000}"/>
    <cellStyle name="Warning Text 21 4 15" xfId="10096" xr:uid="{00000000-0005-0000-0000-000087270000}"/>
    <cellStyle name="Warning Text 21 4 16" xfId="11358" xr:uid="{00000000-0005-0000-0000-000088270000}"/>
    <cellStyle name="Warning Text 21 4 17" xfId="11827" xr:uid="{00000000-0005-0000-0000-000089270000}"/>
    <cellStyle name="Warning Text 21 4 18" xfId="12034" xr:uid="{00000000-0005-0000-0000-00008A270000}"/>
    <cellStyle name="Warning Text 21 4 19" xfId="12898" xr:uid="{00000000-0005-0000-0000-00008B270000}"/>
    <cellStyle name="Warning Text 21 4 2" xfId="5110" xr:uid="{00000000-0005-0000-0000-00008C270000}"/>
    <cellStyle name="Warning Text 21 4 3" xfId="5548" xr:uid="{00000000-0005-0000-0000-00008D270000}"/>
    <cellStyle name="Warning Text 21 4 4" xfId="5986" xr:uid="{00000000-0005-0000-0000-00008E270000}"/>
    <cellStyle name="Warning Text 21 4 5" xfId="6423" xr:uid="{00000000-0005-0000-0000-00008F270000}"/>
    <cellStyle name="Warning Text 21 4 6" xfId="6860" xr:uid="{00000000-0005-0000-0000-000090270000}"/>
    <cellStyle name="Warning Text 21 4 7" xfId="7297" xr:uid="{00000000-0005-0000-0000-000091270000}"/>
    <cellStyle name="Warning Text 21 4 8" xfId="7734" xr:uid="{00000000-0005-0000-0000-000092270000}"/>
    <cellStyle name="Warning Text 21 4 9" xfId="8582" xr:uid="{00000000-0005-0000-0000-000093270000}"/>
    <cellStyle name="Warning Text 22" xfId="4136" xr:uid="{00000000-0005-0000-0000-000094270000}"/>
    <cellStyle name="Warning Text 22 2" xfId="4137" xr:uid="{00000000-0005-0000-0000-000095270000}"/>
    <cellStyle name="Warning Text 22 2 2" xfId="4351" xr:uid="{00000000-0005-0000-0000-000096270000}"/>
    <cellStyle name="Warning Text 22 2 2 10" xfId="8058" xr:uid="{00000000-0005-0000-0000-000097270000}"/>
    <cellStyle name="Warning Text 22 2 2 11" xfId="9174" xr:uid="{00000000-0005-0000-0000-000098270000}"/>
    <cellStyle name="Warning Text 22 2 2 12" xfId="8878" xr:uid="{00000000-0005-0000-0000-000099270000}"/>
    <cellStyle name="Warning Text 22 2 2 13" xfId="9787" xr:uid="{00000000-0005-0000-0000-00009A270000}"/>
    <cellStyle name="Warning Text 22 2 2 14" xfId="10259" xr:uid="{00000000-0005-0000-0000-00009B270000}"/>
    <cellStyle name="Warning Text 22 2 2 15" xfId="10638" xr:uid="{00000000-0005-0000-0000-00009C270000}"/>
    <cellStyle name="Warning Text 22 2 2 16" xfId="11146" xr:uid="{00000000-0005-0000-0000-00009D270000}"/>
    <cellStyle name="Warning Text 22 2 2 17" xfId="11615" xr:uid="{00000000-0005-0000-0000-00009E270000}"/>
    <cellStyle name="Warning Text 22 2 2 18" xfId="12291" xr:uid="{00000000-0005-0000-0000-00009F270000}"/>
    <cellStyle name="Warning Text 22 2 2 19" xfId="12686" xr:uid="{00000000-0005-0000-0000-0000A0270000}"/>
    <cellStyle name="Warning Text 22 2 2 2" xfId="4898" xr:uid="{00000000-0005-0000-0000-0000A1270000}"/>
    <cellStyle name="Warning Text 22 2 2 3" xfId="5336" xr:uid="{00000000-0005-0000-0000-0000A2270000}"/>
    <cellStyle name="Warning Text 22 2 2 4" xfId="5774" xr:uid="{00000000-0005-0000-0000-0000A3270000}"/>
    <cellStyle name="Warning Text 22 2 2 5" xfId="6211" xr:uid="{00000000-0005-0000-0000-0000A4270000}"/>
    <cellStyle name="Warning Text 22 2 2 6" xfId="6648" xr:uid="{00000000-0005-0000-0000-0000A5270000}"/>
    <cellStyle name="Warning Text 22 2 2 7" xfId="7085" xr:uid="{00000000-0005-0000-0000-0000A6270000}"/>
    <cellStyle name="Warning Text 22 2 2 8" xfId="7522" xr:uid="{00000000-0005-0000-0000-0000A7270000}"/>
    <cellStyle name="Warning Text 22 2 2 9" xfId="8370" xr:uid="{00000000-0005-0000-0000-0000A8270000}"/>
    <cellStyle name="Warning Text 22 2 3" xfId="4566" xr:uid="{00000000-0005-0000-0000-0000A9270000}"/>
    <cellStyle name="Warning Text 22 2 3 10" xfId="7845" xr:uid="{00000000-0005-0000-0000-0000AA270000}"/>
    <cellStyle name="Warning Text 22 2 3 11" xfId="9389" xr:uid="{00000000-0005-0000-0000-0000AB270000}"/>
    <cellStyle name="Warning Text 22 2 3 12" xfId="8801" xr:uid="{00000000-0005-0000-0000-0000AC270000}"/>
    <cellStyle name="Warning Text 22 2 3 13" xfId="10002" xr:uid="{00000000-0005-0000-0000-0000AD270000}"/>
    <cellStyle name="Warning Text 22 2 3 14" xfId="10474" xr:uid="{00000000-0005-0000-0000-0000AE270000}"/>
    <cellStyle name="Warning Text 22 2 3 15" xfId="10803" xr:uid="{00000000-0005-0000-0000-0000AF270000}"/>
    <cellStyle name="Warning Text 22 2 3 16" xfId="11361" xr:uid="{00000000-0005-0000-0000-0000B0270000}"/>
    <cellStyle name="Warning Text 22 2 3 17" xfId="11830" xr:uid="{00000000-0005-0000-0000-0000B1270000}"/>
    <cellStyle name="Warning Text 22 2 3 18" xfId="11948" xr:uid="{00000000-0005-0000-0000-0000B2270000}"/>
    <cellStyle name="Warning Text 22 2 3 19" xfId="12901" xr:uid="{00000000-0005-0000-0000-0000B3270000}"/>
    <cellStyle name="Warning Text 22 2 3 2" xfId="5113" xr:uid="{00000000-0005-0000-0000-0000B4270000}"/>
    <cellStyle name="Warning Text 22 2 3 3" xfId="5551" xr:uid="{00000000-0005-0000-0000-0000B5270000}"/>
    <cellStyle name="Warning Text 22 2 3 4" xfId="5989" xr:uid="{00000000-0005-0000-0000-0000B6270000}"/>
    <cellStyle name="Warning Text 22 2 3 5" xfId="6426" xr:uid="{00000000-0005-0000-0000-0000B7270000}"/>
    <cellStyle name="Warning Text 22 2 3 6" xfId="6863" xr:uid="{00000000-0005-0000-0000-0000B8270000}"/>
    <cellStyle name="Warning Text 22 2 3 7" xfId="7300" xr:uid="{00000000-0005-0000-0000-0000B9270000}"/>
    <cellStyle name="Warning Text 22 2 3 8" xfId="7737" xr:uid="{00000000-0005-0000-0000-0000BA270000}"/>
    <cellStyle name="Warning Text 22 2 3 9" xfId="8585" xr:uid="{00000000-0005-0000-0000-0000BB270000}"/>
    <cellStyle name="Warning Text 22 3" xfId="4350" xr:uid="{00000000-0005-0000-0000-0000BC270000}"/>
    <cellStyle name="Warning Text 22 3 10" xfId="8059" xr:uid="{00000000-0005-0000-0000-0000BD270000}"/>
    <cellStyle name="Warning Text 22 3 11" xfId="9173" xr:uid="{00000000-0005-0000-0000-0000BE270000}"/>
    <cellStyle name="Warning Text 22 3 12" xfId="8879" xr:uid="{00000000-0005-0000-0000-0000BF270000}"/>
    <cellStyle name="Warning Text 22 3 13" xfId="9786" xr:uid="{00000000-0005-0000-0000-0000C0270000}"/>
    <cellStyle name="Warning Text 22 3 14" xfId="10258" xr:uid="{00000000-0005-0000-0000-0000C1270000}"/>
    <cellStyle name="Warning Text 22 3 15" xfId="10677" xr:uid="{00000000-0005-0000-0000-0000C2270000}"/>
    <cellStyle name="Warning Text 22 3 16" xfId="11145" xr:uid="{00000000-0005-0000-0000-0000C3270000}"/>
    <cellStyle name="Warning Text 22 3 17" xfId="11614" xr:uid="{00000000-0005-0000-0000-0000C4270000}"/>
    <cellStyle name="Warning Text 22 3 18" xfId="12336" xr:uid="{00000000-0005-0000-0000-0000C5270000}"/>
    <cellStyle name="Warning Text 22 3 19" xfId="12685" xr:uid="{00000000-0005-0000-0000-0000C6270000}"/>
    <cellStyle name="Warning Text 22 3 2" xfId="4897" xr:uid="{00000000-0005-0000-0000-0000C7270000}"/>
    <cellStyle name="Warning Text 22 3 3" xfId="5335" xr:uid="{00000000-0005-0000-0000-0000C8270000}"/>
    <cellStyle name="Warning Text 22 3 4" xfId="5773" xr:uid="{00000000-0005-0000-0000-0000C9270000}"/>
    <cellStyle name="Warning Text 22 3 5" xfId="6210" xr:uid="{00000000-0005-0000-0000-0000CA270000}"/>
    <cellStyle name="Warning Text 22 3 6" xfId="6647" xr:uid="{00000000-0005-0000-0000-0000CB270000}"/>
    <cellStyle name="Warning Text 22 3 7" xfId="7084" xr:uid="{00000000-0005-0000-0000-0000CC270000}"/>
    <cellStyle name="Warning Text 22 3 8" xfId="7521" xr:uid="{00000000-0005-0000-0000-0000CD270000}"/>
    <cellStyle name="Warning Text 22 3 9" xfId="8369" xr:uid="{00000000-0005-0000-0000-0000CE270000}"/>
    <cellStyle name="Warning Text 22 4" xfId="4565" xr:uid="{00000000-0005-0000-0000-0000CF270000}"/>
    <cellStyle name="Warning Text 22 4 10" xfId="7846" xr:uid="{00000000-0005-0000-0000-0000D0270000}"/>
    <cellStyle name="Warning Text 22 4 11" xfId="9388" xr:uid="{00000000-0005-0000-0000-0000D1270000}"/>
    <cellStyle name="Warning Text 22 4 12" xfId="8802" xr:uid="{00000000-0005-0000-0000-0000D2270000}"/>
    <cellStyle name="Warning Text 22 4 13" xfId="10001" xr:uid="{00000000-0005-0000-0000-0000D3270000}"/>
    <cellStyle name="Warning Text 22 4 14" xfId="10473" xr:uid="{00000000-0005-0000-0000-0000D4270000}"/>
    <cellStyle name="Warning Text 22 4 15" xfId="10884" xr:uid="{00000000-0005-0000-0000-0000D5270000}"/>
    <cellStyle name="Warning Text 22 4 16" xfId="11360" xr:uid="{00000000-0005-0000-0000-0000D6270000}"/>
    <cellStyle name="Warning Text 22 4 17" xfId="11829" xr:uid="{00000000-0005-0000-0000-0000D7270000}"/>
    <cellStyle name="Warning Text 22 4 18" xfId="11977" xr:uid="{00000000-0005-0000-0000-0000D8270000}"/>
    <cellStyle name="Warning Text 22 4 19" xfId="12900" xr:uid="{00000000-0005-0000-0000-0000D9270000}"/>
    <cellStyle name="Warning Text 22 4 2" xfId="5112" xr:uid="{00000000-0005-0000-0000-0000DA270000}"/>
    <cellStyle name="Warning Text 22 4 3" xfId="5550" xr:uid="{00000000-0005-0000-0000-0000DB270000}"/>
    <cellStyle name="Warning Text 22 4 4" xfId="5988" xr:uid="{00000000-0005-0000-0000-0000DC270000}"/>
    <cellStyle name="Warning Text 22 4 5" xfId="6425" xr:uid="{00000000-0005-0000-0000-0000DD270000}"/>
    <cellStyle name="Warning Text 22 4 6" xfId="6862" xr:uid="{00000000-0005-0000-0000-0000DE270000}"/>
    <cellStyle name="Warning Text 22 4 7" xfId="7299" xr:uid="{00000000-0005-0000-0000-0000DF270000}"/>
    <cellStyle name="Warning Text 22 4 8" xfId="7736" xr:uid="{00000000-0005-0000-0000-0000E0270000}"/>
    <cellStyle name="Warning Text 22 4 9" xfId="8584" xr:uid="{00000000-0005-0000-0000-0000E1270000}"/>
    <cellStyle name="Warning Text 23" xfId="4138" xr:uid="{00000000-0005-0000-0000-0000E2270000}"/>
    <cellStyle name="Warning Text 23 2" xfId="4139" xr:uid="{00000000-0005-0000-0000-0000E3270000}"/>
    <cellStyle name="Warning Text 23 2 2" xfId="4353" xr:uid="{00000000-0005-0000-0000-0000E4270000}"/>
    <cellStyle name="Warning Text 23 2 2 10" xfId="8056" xr:uid="{00000000-0005-0000-0000-0000E5270000}"/>
    <cellStyle name="Warning Text 23 2 2 11" xfId="9176" xr:uid="{00000000-0005-0000-0000-0000E6270000}"/>
    <cellStyle name="Warning Text 23 2 2 12" xfId="8876" xr:uid="{00000000-0005-0000-0000-0000E7270000}"/>
    <cellStyle name="Warning Text 23 2 2 13" xfId="9789" xr:uid="{00000000-0005-0000-0000-0000E8270000}"/>
    <cellStyle name="Warning Text 23 2 2 14" xfId="10261" xr:uid="{00000000-0005-0000-0000-0000E9270000}"/>
    <cellStyle name="Warning Text 23 2 2 15" xfId="10559" xr:uid="{00000000-0005-0000-0000-0000EA270000}"/>
    <cellStyle name="Warning Text 23 2 2 16" xfId="11148" xr:uid="{00000000-0005-0000-0000-0000EB270000}"/>
    <cellStyle name="Warning Text 23 2 2 17" xfId="11617" xr:uid="{00000000-0005-0000-0000-0000EC270000}"/>
    <cellStyle name="Warning Text 23 2 2 18" xfId="12249" xr:uid="{00000000-0005-0000-0000-0000ED270000}"/>
    <cellStyle name="Warning Text 23 2 2 19" xfId="12688" xr:uid="{00000000-0005-0000-0000-0000EE270000}"/>
    <cellStyle name="Warning Text 23 2 2 2" xfId="4900" xr:uid="{00000000-0005-0000-0000-0000EF270000}"/>
    <cellStyle name="Warning Text 23 2 2 3" xfId="5338" xr:uid="{00000000-0005-0000-0000-0000F0270000}"/>
    <cellStyle name="Warning Text 23 2 2 4" xfId="5776" xr:uid="{00000000-0005-0000-0000-0000F1270000}"/>
    <cellStyle name="Warning Text 23 2 2 5" xfId="6213" xr:uid="{00000000-0005-0000-0000-0000F2270000}"/>
    <cellStyle name="Warning Text 23 2 2 6" xfId="6650" xr:uid="{00000000-0005-0000-0000-0000F3270000}"/>
    <cellStyle name="Warning Text 23 2 2 7" xfId="7087" xr:uid="{00000000-0005-0000-0000-0000F4270000}"/>
    <cellStyle name="Warning Text 23 2 2 8" xfId="7524" xr:uid="{00000000-0005-0000-0000-0000F5270000}"/>
    <cellStyle name="Warning Text 23 2 2 9" xfId="8372" xr:uid="{00000000-0005-0000-0000-0000F6270000}"/>
    <cellStyle name="Warning Text 23 2 3" xfId="4568" xr:uid="{00000000-0005-0000-0000-0000F7270000}"/>
    <cellStyle name="Warning Text 23 2 3 10" xfId="7843" xr:uid="{00000000-0005-0000-0000-0000F8270000}"/>
    <cellStyle name="Warning Text 23 2 3 11" xfId="9391" xr:uid="{00000000-0005-0000-0000-0000F9270000}"/>
    <cellStyle name="Warning Text 23 2 3 12" xfId="8799" xr:uid="{00000000-0005-0000-0000-0000FA270000}"/>
    <cellStyle name="Warning Text 23 2 3 13" xfId="10004" xr:uid="{00000000-0005-0000-0000-0000FB270000}"/>
    <cellStyle name="Warning Text 23 2 3 14" xfId="10476" xr:uid="{00000000-0005-0000-0000-0000FC270000}"/>
    <cellStyle name="Warning Text 23 2 3 15" xfId="10726" xr:uid="{00000000-0005-0000-0000-0000FD270000}"/>
    <cellStyle name="Warning Text 23 2 3 16" xfId="11363" xr:uid="{00000000-0005-0000-0000-0000FE270000}"/>
    <cellStyle name="Warning Text 23 2 3 17" xfId="11832" xr:uid="{00000000-0005-0000-0000-0000FF270000}"/>
    <cellStyle name="Warning Text 23 2 3 18" xfId="12327" xr:uid="{00000000-0005-0000-0000-000000280000}"/>
    <cellStyle name="Warning Text 23 2 3 19" xfId="12903" xr:uid="{00000000-0005-0000-0000-000001280000}"/>
    <cellStyle name="Warning Text 23 2 3 2" xfId="5115" xr:uid="{00000000-0005-0000-0000-000002280000}"/>
    <cellStyle name="Warning Text 23 2 3 3" xfId="5553" xr:uid="{00000000-0005-0000-0000-000003280000}"/>
    <cellStyle name="Warning Text 23 2 3 4" xfId="5991" xr:uid="{00000000-0005-0000-0000-000004280000}"/>
    <cellStyle name="Warning Text 23 2 3 5" xfId="6428" xr:uid="{00000000-0005-0000-0000-000005280000}"/>
    <cellStyle name="Warning Text 23 2 3 6" xfId="6865" xr:uid="{00000000-0005-0000-0000-000006280000}"/>
    <cellStyle name="Warning Text 23 2 3 7" xfId="7302" xr:uid="{00000000-0005-0000-0000-000007280000}"/>
    <cellStyle name="Warning Text 23 2 3 8" xfId="7739" xr:uid="{00000000-0005-0000-0000-000008280000}"/>
    <cellStyle name="Warning Text 23 2 3 9" xfId="8587" xr:uid="{00000000-0005-0000-0000-000009280000}"/>
    <cellStyle name="Warning Text 23 3" xfId="4352" xr:uid="{00000000-0005-0000-0000-00000A280000}"/>
    <cellStyle name="Warning Text 23 3 10" xfId="8057" xr:uid="{00000000-0005-0000-0000-00000B280000}"/>
    <cellStyle name="Warning Text 23 3 11" xfId="9175" xr:uid="{00000000-0005-0000-0000-00000C280000}"/>
    <cellStyle name="Warning Text 23 3 12" xfId="8877" xr:uid="{00000000-0005-0000-0000-00000D280000}"/>
    <cellStyle name="Warning Text 23 3 13" xfId="9788" xr:uid="{00000000-0005-0000-0000-00000E280000}"/>
    <cellStyle name="Warning Text 23 3 14" xfId="10260" xr:uid="{00000000-0005-0000-0000-00000F280000}"/>
    <cellStyle name="Warning Text 23 3 15" xfId="10599" xr:uid="{00000000-0005-0000-0000-000010280000}"/>
    <cellStyle name="Warning Text 23 3 16" xfId="11147" xr:uid="{00000000-0005-0000-0000-000011280000}"/>
    <cellStyle name="Warning Text 23 3 17" xfId="11616" xr:uid="{00000000-0005-0000-0000-000012280000}"/>
    <cellStyle name="Warning Text 23 3 18" xfId="12280" xr:uid="{00000000-0005-0000-0000-000013280000}"/>
    <cellStyle name="Warning Text 23 3 19" xfId="12687" xr:uid="{00000000-0005-0000-0000-000014280000}"/>
    <cellStyle name="Warning Text 23 3 2" xfId="4899" xr:uid="{00000000-0005-0000-0000-000015280000}"/>
    <cellStyle name="Warning Text 23 3 3" xfId="5337" xr:uid="{00000000-0005-0000-0000-000016280000}"/>
    <cellStyle name="Warning Text 23 3 4" xfId="5775" xr:uid="{00000000-0005-0000-0000-000017280000}"/>
    <cellStyle name="Warning Text 23 3 5" xfId="6212" xr:uid="{00000000-0005-0000-0000-000018280000}"/>
    <cellStyle name="Warning Text 23 3 6" xfId="6649" xr:uid="{00000000-0005-0000-0000-000019280000}"/>
    <cellStyle name="Warning Text 23 3 7" xfId="7086" xr:uid="{00000000-0005-0000-0000-00001A280000}"/>
    <cellStyle name="Warning Text 23 3 8" xfId="7523" xr:uid="{00000000-0005-0000-0000-00001B280000}"/>
    <cellStyle name="Warning Text 23 3 9" xfId="8371" xr:uid="{00000000-0005-0000-0000-00001C280000}"/>
    <cellStyle name="Warning Text 23 4" xfId="4567" xr:uid="{00000000-0005-0000-0000-00001D280000}"/>
    <cellStyle name="Warning Text 23 4 10" xfId="7844" xr:uid="{00000000-0005-0000-0000-00001E280000}"/>
    <cellStyle name="Warning Text 23 4 11" xfId="9390" xr:uid="{00000000-0005-0000-0000-00001F280000}"/>
    <cellStyle name="Warning Text 23 4 12" xfId="8800" xr:uid="{00000000-0005-0000-0000-000020280000}"/>
    <cellStyle name="Warning Text 23 4 13" xfId="10003" xr:uid="{00000000-0005-0000-0000-000021280000}"/>
    <cellStyle name="Warning Text 23 4 14" xfId="10475" xr:uid="{00000000-0005-0000-0000-000022280000}"/>
    <cellStyle name="Warning Text 23 4 15" xfId="10764" xr:uid="{00000000-0005-0000-0000-000023280000}"/>
    <cellStyle name="Warning Text 23 4 16" xfId="11362" xr:uid="{00000000-0005-0000-0000-000024280000}"/>
    <cellStyle name="Warning Text 23 4 17" xfId="11831" xr:uid="{00000000-0005-0000-0000-000025280000}"/>
    <cellStyle name="Warning Text 23 4 18" xfId="11919" xr:uid="{00000000-0005-0000-0000-000026280000}"/>
    <cellStyle name="Warning Text 23 4 19" xfId="12902" xr:uid="{00000000-0005-0000-0000-000027280000}"/>
    <cellStyle name="Warning Text 23 4 2" xfId="5114" xr:uid="{00000000-0005-0000-0000-000028280000}"/>
    <cellStyle name="Warning Text 23 4 3" xfId="5552" xr:uid="{00000000-0005-0000-0000-000029280000}"/>
    <cellStyle name="Warning Text 23 4 4" xfId="5990" xr:uid="{00000000-0005-0000-0000-00002A280000}"/>
    <cellStyle name="Warning Text 23 4 5" xfId="6427" xr:uid="{00000000-0005-0000-0000-00002B280000}"/>
    <cellStyle name="Warning Text 23 4 6" xfId="6864" xr:uid="{00000000-0005-0000-0000-00002C280000}"/>
    <cellStyle name="Warning Text 23 4 7" xfId="7301" xr:uid="{00000000-0005-0000-0000-00002D280000}"/>
    <cellStyle name="Warning Text 23 4 8" xfId="7738" xr:uid="{00000000-0005-0000-0000-00002E280000}"/>
    <cellStyle name="Warning Text 23 4 9" xfId="8586" xr:uid="{00000000-0005-0000-0000-00002F280000}"/>
    <cellStyle name="Warning Text 24" xfId="4140" xr:uid="{00000000-0005-0000-0000-000030280000}"/>
    <cellStyle name="Warning Text 24 2" xfId="4141" xr:uid="{00000000-0005-0000-0000-000031280000}"/>
    <cellStyle name="Warning Text 24 2 2" xfId="4355" xr:uid="{00000000-0005-0000-0000-000032280000}"/>
    <cellStyle name="Warning Text 24 2 2 10" xfId="8054" xr:uid="{00000000-0005-0000-0000-000033280000}"/>
    <cellStyle name="Warning Text 24 2 2 11" xfId="9178" xr:uid="{00000000-0005-0000-0000-000034280000}"/>
    <cellStyle name="Warning Text 24 2 2 12" xfId="8874" xr:uid="{00000000-0005-0000-0000-000035280000}"/>
    <cellStyle name="Warning Text 24 2 2 13" xfId="9791" xr:uid="{00000000-0005-0000-0000-000036280000}"/>
    <cellStyle name="Warning Text 24 2 2 14" xfId="10263" xr:uid="{00000000-0005-0000-0000-000037280000}"/>
    <cellStyle name="Warning Text 24 2 2 15" xfId="10939" xr:uid="{00000000-0005-0000-0000-000038280000}"/>
    <cellStyle name="Warning Text 24 2 2 16" xfId="11150" xr:uid="{00000000-0005-0000-0000-000039280000}"/>
    <cellStyle name="Warning Text 24 2 2 17" xfId="11619" xr:uid="{00000000-0005-0000-0000-00003A280000}"/>
    <cellStyle name="Warning Text 24 2 2 18" xfId="12212" xr:uid="{00000000-0005-0000-0000-00003B280000}"/>
    <cellStyle name="Warning Text 24 2 2 19" xfId="12690" xr:uid="{00000000-0005-0000-0000-00003C280000}"/>
    <cellStyle name="Warning Text 24 2 2 2" xfId="4902" xr:uid="{00000000-0005-0000-0000-00003D280000}"/>
    <cellStyle name="Warning Text 24 2 2 3" xfId="5340" xr:uid="{00000000-0005-0000-0000-00003E280000}"/>
    <cellStyle name="Warning Text 24 2 2 4" xfId="5778" xr:uid="{00000000-0005-0000-0000-00003F280000}"/>
    <cellStyle name="Warning Text 24 2 2 5" xfId="6215" xr:uid="{00000000-0005-0000-0000-000040280000}"/>
    <cellStyle name="Warning Text 24 2 2 6" xfId="6652" xr:uid="{00000000-0005-0000-0000-000041280000}"/>
    <cellStyle name="Warning Text 24 2 2 7" xfId="7089" xr:uid="{00000000-0005-0000-0000-000042280000}"/>
    <cellStyle name="Warning Text 24 2 2 8" xfId="7526" xr:uid="{00000000-0005-0000-0000-000043280000}"/>
    <cellStyle name="Warning Text 24 2 2 9" xfId="8374" xr:uid="{00000000-0005-0000-0000-000044280000}"/>
    <cellStyle name="Warning Text 24 2 3" xfId="4570" xr:uid="{00000000-0005-0000-0000-000045280000}"/>
    <cellStyle name="Warning Text 24 2 3 10" xfId="7841" xr:uid="{00000000-0005-0000-0000-000046280000}"/>
    <cellStyle name="Warning Text 24 2 3 11" xfId="9393" xr:uid="{00000000-0005-0000-0000-000047280000}"/>
    <cellStyle name="Warning Text 24 2 3 12" xfId="8797" xr:uid="{00000000-0005-0000-0000-000048280000}"/>
    <cellStyle name="Warning Text 24 2 3 13" xfId="10006" xr:uid="{00000000-0005-0000-0000-000049280000}"/>
    <cellStyle name="Warning Text 24 2 3 14" xfId="10478" xr:uid="{00000000-0005-0000-0000-00004A280000}"/>
    <cellStyle name="Warning Text 24 2 3 15" xfId="10648" xr:uid="{00000000-0005-0000-0000-00004B280000}"/>
    <cellStyle name="Warning Text 24 2 3 16" xfId="11365" xr:uid="{00000000-0005-0000-0000-00004C280000}"/>
    <cellStyle name="Warning Text 24 2 3 17" xfId="11834" xr:uid="{00000000-0005-0000-0000-00004D280000}"/>
    <cellStyle name="Warning Text 24 2 3 18" xfId="12271" xr:uid="{00000000-0005-0000-0000-00004E280000}"/>
    <cellStyle name="Warning Text 24 2 3 19" xfId="12905" xr:uid="{00000000-0005-0000-0000-00004F280000}"/>
    <cellStyle name="Warning Text 24 2 3 2" xfId="5117" xr:uid="{00000000-0005-0000-0000-000050280000}"/>
    <cellStyle name="Warning Text 24 2 3 3" xfId="5555" xr:uid="{00000000-0005-0000-0000-000051280000}"/>
    <cellStyle name="Warning Text 24 2 3 4" xfId="5993" xr:uid="{00000000-0005-0000-0000-000052280000}"/>
    <cellStyle name="Warning Text 24 2 3 5" xfId="6430" xr:uid="{00000000-0005-0000-0000-000053280000}"/>
    <cellStyle name="Warning Text 24 2 3 6" xfId="6867" xr:uid="{00000000-0005-0000-0000-000054280000}"/>
    <cellStyle name="Warning Text 24 2 3 7" xfId="7304" xr:uid="{00000000-0005-0000-0000-000055280000}"/>
    <cellStyle name="Warning Text 24 2 3 8" xfId="7741" xr:uid="{00000000-0005-0000-0000-000056280000}"/>
    <cellStyle name="Warning Text 24 2 3 9" xfId="8589" xr:uid="{00000000-0005-0000-0000-000057280000}"/>
    <cellStyle name="Warning Text 24 3" xfId="4354" xr:uid="{00000000-0005-0000-0000-000058280000}"/>
    <cellStyle name="Warning Text 24 3 10" xfId="8055" xr:uid="{00000000-0005-0000-0000-000059280000}"/>
    <cellStyle name="Warning Text 24 3 11" xfId="9177" xr:uid="{00000000-0005-0000-0000-00005A280000}"/>
    <cellStyle name="Warning Text 24 3 12" xfId="8875" xr:uid="{00000000-0005-0000-0000-00005B280000}"/>
    <cellStyle name="Warning Text 24 3 13" xfId="9790" xr:uid="{00000000-0005-0000-0000-00005C280000}"/>
    <cellStyle name="Warning Text 24 3 14" xfId="10262" xr:uid="{00000000-0005-0000-0000-00005D280000}"/>
    <cellStyle name="Warning Text 24 3 15" xfId="10916" xr:uid="{00000000-0005-0000-0000-00005E280000}"/>
    <cellStyle name="Warning Text 24 3 16" xfId="11149" xr:uid="{00000000-0005-0000-0000-00005F280000}"/>
    <cellStyle name="Warning Text 24 3 17" xfId="11618" xr:uid="{00000000-0005-0000-0000-000060280000}"/>
    <cellStyle name="Warning Text 24 3 18" xfId="12170" xr:uid="{00000000-0005-0000-0000-000061280000}"/>
    <cellStyle name="Warning Text 24 3 19" xfId="12689" xr:uid="{00000000-0005-0000-0000-000062280000}"/>
    <cellStyle name="Warning Text 24 3 2" xfId="4901" xr:uid="{00000000-0005-0000-0000-000063280000}"/>
    <cellStyle name="Warning Text 24 3 3" xfId="5339" xr:uid="{00000000-0005-0000-0000-000064280000}"/>
    <cellStyle name="Warning Text 24 3 4" xfId="5777" xr:uid="{00000000-0005-0000-0000-000065280000}"/>
    <cellStyle name="Warning Text 24 3 5" xfId="6214" xr:uid="{00000000-0005-0000-0000-000066280000}"/>
    <cellStyle name="Warning Text 24 3 6" xfId="6651" xr:uid="{00000000-0005-0000-0000-000067280000}"/>
    <cellStyle name="Warning Text 24 3 7" xfId="7088" xr:uid="{00000000-0005-0000-0000-000068280000}"/>
    <cellStyle name="Warning Text 24 3 8" xfId="7525" xr:uid="{00000000-0005-0000-0000-000069280000}"/>
    <cellStyle name="Warning Text 24 3 9" xfId="8373" xr:uid="{00000000-0005-0000-0000-00006A280000}"/>
    <cellStyle name="Warning Text 24 4" xfId="4569" xr:uid="{00000000-0005-0000-0000-00006B280000}"/>
    <cellStyle name="Warning Text 24 4 10" xfId="7842" xr:uid="{00000000-0005-0000-0000-00006C280000}"/>
    <cellStyle name="Warning Text 24 4 11" xfId="9392" xr:uid="{00000000-0005-0000-0000-00006D280000}"/>
    <cellStyle name="Warning Text 24 4 12" xfId="8798" xr:uid="{00000000-0005-0000-0000-00006E280000}"/>
    <cellStyle name="Warning Text 24 4 13" xfId="10005" xr:uid="{00000000-0005-0000-0000-00006F280000}"/>
    <cellStyle name="Warning Text 24 4 14" xfId="10477" xr:uid="{00000000-0005-0000-0000-000070280000}"/>
    <cellStyle name="Warning Text 24 4 15" xfId="10687" xr:uid="{00000000-0005-0000-0000-000071280000}"/>
    <cellStyle name="Warning Text 24 4 16" xfId="11364" xr:uid="{00000000-0005-0000-0000-000072280000}"/>
    <cellStyle name="Warning Text 24 4 17" xfId="11833" xr:uid="{00000000-0005-0000-0000-000073280000}"/>
    <cellStyle name="Warning Text 24 4 18" xfId="12284" xr:uid="{00000000-0005-0000-0000-000074280000}"/>
    <cellStyle name="Warning Text 24 4 19" xfId="12904" xr:uid="{00000000-0005-0000-0000-000075280000}"/>
    <cellStyle name="Warning Text 24 4 2" xfId="5116" xr:uid="{00000000-0005-0000-0000-000076280000}"/>
    <cellStyle name="Warning Text 24 4 3" xfId="5554" xr:uid="{00000000-0005-0000-0000-000077280000}"/>
    <cellStyle name="Warning Text 24 4 4" xfId="5992" xr:uid="{00000000-0005-0000-0000-000078280000}"/>
    <cellStyle name="Warning Text 24 4 5" xfId="6429" xr:uid="{00000000-0005-0000-0000-000079280000}"/>
    <cellStyle name="Warning Text 24 4 6" xfId="6866" xr:uid="{00000000-0005-0000-0000-00007A280000}"/>
    <cellStyle name="Warning Text 24 4 7" xfId="7303" xr:uid="{00000000-0005-0000-0000-00007B280000}"/>
    <cellStyle name="Warning Text 24 4 8" xfId="7740" xr:uid="{00000000-0005-0000-0000-00007C280000}"/>
    <cellStyle name="Warning Text 24 4 9" xfId="8588" xr:uid="{00000000-0005-0000-0000-00007D280000}"/>
    <cellStyle name="Warning Text 25" xfId="4142" xr:uid="{00000000-0005-0000-0000-00007E280000}"/>
    <cellStyle name="Warning Text 25 2" xfId="4143" xr:uid="{00000000-0005-0000-0000-00007F280000}"/>
    <cellStyle name="Warning Text 25 2 2" xfId="4357" xr:uid="{00000000-0005-0000-0000-000080280000}"/>
    <cellStyle name="Warning Text 25 2 2 10" xfId="8052" xr:uid="{00000000-0005-0000-0000-000081280000}"/>
    <cellStyle name="Warning Text 25 2 2 11" xfId="9180" xr:uid="{00000000-0005-0000-0000-000082280000}"/>
    <cellStyle name="Warning Text 25 2 2 12" xfId="8872" xr:uid="{00000000-0005-0000-0000-000083280000}"/>
    <cellStyle name="Warning Text 25 2 2 13" xfId="9793" xr:uid="{00000000-0005-0000-0000-000084280000}"/>
    <cellStyle name="Warning Text 25 2 2 14" xfId="10265" xr:uid="{00000000-0005-0000-0000-000085280000}"/>
    <cellStyle name="Warning Text 25 2 2 15" xfId="10895" xr:uid="{00000000-0005-0000-0000-000086280000}"/>
    <cellStyle name="Warning Text 25 2 2 16" xfId="11152" xr:uid="{00000000-0005-0000-0000-000087280000}"/>
    <cellStyle name="Warning Text 25 2 2 17" xfId="11621" xr:uid="{00000000-0005-0000-0000-000088280000}"/>
    <cellStyle name="Warning Text 25 2 2 18" xfId="12146" xr:uid="{00000000-0005-0000-0000-000089280000}"/>
    <cellStyle name="Warning Text 25 2 2 19" xfId="12692" xr:uid="{00000000-0005-0000-0000-00008A280000}"/>
    <cellStyle name="Warning Text 25 2 2 2" xfId="4904" xr:uid="{00000000-0005-0000-0000-00008B280000}"/>
    <cellStyle name="Warning Text 25 2 2 3" xfId="5342" xr:uid="{00000000-0005-0000-0000-00008C280000}"/>
    <cellStyle name="Warning Text 25 2 2 4" xfId="5780" xr:uid="{00000000-0005-0000-0000-00008D280000}"/>
    <cellStyle name="Warning Text 25 2 2 5" xfId="6217" xr:uid="{00000000-0005-0000-0000-00008E280000}"/>
    <cellStyle name="Warning Text 25 2 2 6" xfId="6654" xr:uid="{00000000-0005-0000-0000-00008F280000}"/>
    <cellStyle name="Warning Text 25 2 2 7" xfId="7091" xr:uid="{00000000-0005-0000-0000-000090280000}"/>
    <cellStyle name="Warning Text 25 2 2 8" xfId="7528" xr:uid="{00000000-0005-0000-0000-000091280000}"/>
    <cellStyle name="Warning Text 25 2 2 9" xfId="8376" xr:uid="{00000000-0005-0000-0000-000092280000}"/>
    <cellStyle name="Warning Text 25 2 3" xfId="4572" xr:uid="{00000000-0005-0000-0000-000093280000}"/>
    <cellStyle name="Warning Text 25 2 3 10" xfId="7839" xr:uid="{00000000-0005-0000-0000-000094280000}"/>
    <cellStyle name="Warning Text 25 2 3 11" xfId="9395" xr:uid="{00000000-0005-0000-0000-000095280000}"/>
    <cellStyle name="Warning Text 25 2 3 12" xfId="8795" xr:uid="{00000000-0005-0000-0000-000096280000}"/>
    <cellStyle name="Warning Text 25 2 3 13" xfId="10008" xr:uid="{00000000-0005-0000-0000-000097280000}"/>
    <cellStyle name="Warning Text 25 2 3 14" xfId="10480" xr:uid="{00000000-0005-0000-0000-000098280000}"/>
    <cellStyle name="Warning Text 25 2 3 15" xfId="10569" xr:uid="{00000000-0005-0000-0000-000099280000}"/>
    <cellStyle name="Warning Text 25 2 3 16" xfId="11367" xr:uid="{00000000-0005-0000-0000-00009A280000}"/>
    <cellStyle name="Warning Text 25 2 3 17" xfId="11836" xr:uid="{00000000-0005-0000-0000-00009B280000}"/>
    <cellStyle name="Warning Text 25 2 3 18" xfId="12221" xr:uid="{00000000-0005-0000-0000-00009C280000}"/>
    <cellStyle name="Warning Text 25 2 3 19" xfId="12907" xr:uid="{00000000-0005-0000-0000-00009D280000}"/>
    <cellStyle name="Warning Text 25 2 3 2" xfId="5119" xr:uid="{00000000-0005-0000-0000-00009E280000}"/>
    <cellStyle name="Warning Text 25 2 3 3" xfId="5557" xr:uid="{00000000-0005-0000-0000-00009F280000}"/>
    <cellStyle name="Warning Text 25 2 3 4" xfId="5995" xr:uid="{00000000-0005-0000-0000-0000A0280000}"/>
    <cellStyle name="Warning Text 25 2 3 5" xfId="6432" xr:uid="{00000000-0005-0000-0000-0000A1280000}"/>
    <cellStyle name="Warning Text 25 2 3 6" xfId="6869" xr:uid="{00000000-0005-0000-0000-0000A2280000}"/>
    <cellStyle name="Warning Text 25 2 3 7" xfId="7306" xr:uid="{00000000-0005-0000-0000-0000A3280000}"/>
    <cellStyle name="Warning Text 25 2 3 8" xfId="7743" xr:uid="{00000000-0005-0000-0000-0000A4280000}"/>
    <cellStyle name="Warning Text 25 2 3 9" xfId="8591" xr:uid="{00000000-0005-0000-0000-0000A5280000}"/>
    <cellStyle name="Warning Text 25 3" xfId="4356" xr:uid="{00000000-0005-0000-0000-0000A6280000}"/>
    <cellStyle name="Warning Text 25 3 10" xfId="8053" xr:uid="{00000000-0005-0000-0000-0000A7280000}"/>
    <cellStyle name="Warning Text 25 3 11" xfId="9179" xr:uid="{00000000-0005-0000-0000-0000A8280000}"/>
    <cellStyle name="Warning Text 25 3 12" xfId="8873" xr:uid="{00000000-0005-0000-0000-0000A9280000}"/>
    <cellStyle name="Warning Text 25 3 13" xfId="9792" xr:uid="{00000000-0005-0000-0000-0000AA280000}"/>
    <cellStyle name="Warning Text 25 3 14" xfId="10264" xr:uid="{00000000-0005-0000-0000-0000AB280000}"/>
    <cellStyle name="Warning Text 25 3 15" xfId="10850" xr:uid="{00000000-0005-0000-0000-0000AC280000}"/>
    <cellStyle name="Warning Text 25 3 16" xfId="11151" xr:uid="{00000000-0005-0000-0000-0000AD280000}"/>
    <cellStyle name="Warning Text 25 3 17" xfId="11620" xr:uid="{00000000-0005-0000-0000-0000AE280000}"/>
    <cellStyle name="Warning Text 25 3 18" xfId="12110" xr:uid="{00000000-0005-0000-0000-0000AF280000}"/>
    <cellStyle name="Warning Text 25 3 19" xfId="12691" xr:uid="{00000000-0005-0000-0000-0000B0280000}"/>
    <cellStyle name="Warning Text 25 3 2" xfId="4903" xr:uid="{00000000-0005-0000-0000-0000B1280000}"/>
    <cellStyle name="Warning Text 25 3 3" xfId="5341" xr:uid="{00000000-0005-0000-0000-0000B2280000}"/>
    <cellStyle name="Warning Text 25 3 4" xfId="5779" xr:uid="{00000000-0005-0000-0000-0000B3280000}"/>
    <cellStyle name="Warning Text 25 3 5" xfId="6216" xr:uid="{00000000-0005-0000-0000-0000B4280000}"/>
    <cellStyle name="Warning Text 25 3 6" xfId="6653" xr:uid="{00000000-0005-0000-0000-0000B5280000}"/>
    <cellStyle name="Warning Text 25 3 7" xfId="7090" xr:uid="{00000000-0005-0000-0000-0000B6280000}"/>
    <cellStyle name="Warning Text 25 3 8" xfId="7527" xr:uid="{00000000-0005-0000-0000-0000B7280000}"/>
    <cellStyle name="Warning Text 25 3 9" xfId="8375" xr:uid="{00000000-0005-0000-0000-0000B8280000}"/>
    <cellStyle name="Warning Text 25 4" xfId="4571" xr:uid="{00000000-0005-0000-0000-0000B9280000}"/>
    <cellStyle name="Warning Text 25 4 10" xfId="7840" xr:uid="{00000000-0005-0000-0000-0000BA280000}"/>
    <cellStyle name="Warning Text 25 4 11" xfId="9394" xr:uid="{00000000-0005-0000-0000-0000BB280000}"/>
    <cellStyle name="Warning Text 25 4 12" xfId="8796" xr:uid="{00000000-0005-0000-0000-0000BC280000}"/>
    <cellStyle name="Warning Text 25 4 13" xfId="10007" xr:uid="{00000000-0005-0000-0000-0000BD280000}"/>
    <cellStyle name="Warning Text 25 4 14" xfId="10479" xr:uid="{00000000-0005-0000-0000-0000BE280000}"/>
    <cellStyle name="Warning Text 25 4 15" xfId="10608" xr:uid="{00000000-0005-0000-0000-0000BF280000}"/>
    <cellStyle name="Warning Text 25 4 16" xfId="11366" xr:uid="{00000000-0005-0000-0000-0000C0280000}"/>
    <cellStyle name="Warning Text 25 4 17" xfId="11835" xr:uid="{00000000-0005-0000-0000-0000C1280000}"/>
    <cellStyle name="Warning Text 25 4 18" xfId="12240" xr:uid="{00000000-0005-0000-0000-0000C2280000}"/>
    <cellStyle name="Warning Text 25 4 19" xfId="12906" xr:uid="{00000000-0005-0000-0000-0000C3280000}"/>
    <cellStyle name="Warning Text 25 4 2" xfId="5118" xr:uid="{00000000-0005-0000-0000-0000C4280000}"/>
    <cellStyle name="Warning Text 25 4 3" xfId="5556" xr:uid="{00000000-0005-0000-0000-0000C5280000}"/>
    <cellStyle name="Warning Text 25 4 4" xfId="5994" xr:uid="{00000000-0005-0000-0000-0000C6280000}"/>
    <cellStyle name="Warning Text 25 4 5" xfId="6431" xr:uid="{00000000-0005-0000-0000-0000C7280000}"/>
    <cellStyle name="Warning Text 25 4 6" xfId="6868" xr:uid="{00000000-0005-0000-0000-0000C8280000}"/>
    <cellStyle name="Warning Text 25 4 7" xfId="7305" xr:uid="{00000000-0005-0000-0000-0000C9280000}"/>
    <cellStyle name="Warning Text 25 4 8" xfId="7742" xr:uid="{00000000-0005-0000-0000-0000CA280000}"/>
    <cellStyle name="Warning Text 25 4 9" xfId="8590" xr:uid="{00000000-0005-0000-0000-0000CB280000}"/>
    <cellStyle name="Warning Text 26" xfId="4144" xr:uid="{00000000-0005-0000-0000-0000CC280000}"/>
    <cellStyle name="Warning Text 26 2" xfId="4145" xr:uid="{00000000-0005-0000-0000-0000CD280000}"/>
    <cellStyle name="Warning Text 26 2 2" xfId="4359" xr:uid="{00000000-0005-0000-0000-0000CE280000}"/>
    <cellStyle name="Warning Text 26 2 2 10" xfId="8050" xr:uid="{00000000-0005-0000-0000-0000CF280000}"/>
    <cellStyle name="Warning Text 26 2 2 11" xfId="9182" xr:uid="{00000000-0005-0000-0000-0000D0280000}"/>
    <cellStyle name="Warning Text 26 2 2 12" xfId="8870" xr:uid="{00000000-0005-0000-0000-0000D1280000}"/>
    <cellStyle name="Warning Text 26 2 2 13" xfId="9795" xr:uid="{00000000-0005-0000-0000-0000D2280000}"/>
    <cellStyle name="Warning Text 26 2 2 14" xfId="10267" xr:uid="{00000000-0005-0000-0000-0000D3280000}"/>
    <cellStyle name="Warning Text 26 2 2 15" xfId="10775" xr:uid="{00000000-0005-0000-0000-0000D4280000}"/>
    <cellStyle name="Warning Text 26 2 2 16" xfId="11154" xr:uid="{00000000-0005-0000-0000-0000D5280000}"/>
    <cellStyle name="Warning Text 26 2 2 17" xfId="11623" xr:uid="{00000000-0005-0000-0000-0000D6280000}"/>
    <cellStyle name="Warning Text 26 2 2 18" xfId="12057" xr:uid="{00000000-0005-0000-0000-0000D7280000}"/>
    <cellStyle name="Warning Text 26 2 2 19" xfId="12694" xr:uid="{00000000-0005-0000-0000-0000D8280000}"/>
    <cellStyle name="Warning Text 26 2 2 2" xfId="4906" xr:uid="{00000000-0005-0000-0000-0000D9280000}"/>
    <cellStyle name="Warning Text 26 2 2 3" xfId="5344" xr:uid="{00000000-0005-0000-0000-0000DA280000}"/>
    <cellStyle name="Warning Text 26 2 2 4" xfId="5782" xr:uid="{00000000-0005-0000-0000-0000DB280000}"/>
    <cellStyle name="Warning Text 26 2 2 5" xfId="6219" xr:uid="{00000000-0005-0000-0000-0000DC280000}"/>
    <cellStyle name="Warning Text 26 2 2 6" xfId="6656" xr:uid="{00000000-0005-0000-0000-0000DD280000}"/>
    <cellStyle name="Warning Text 26 2 2 7" xfId="7093" xr:uid="{00000000-0005-0000-0000-0000DE280000}"/>
    <cellStyle name="Warning Text 26 2 2 8" xfId="7530" xr:uid="{00000000-0005-0000-0000-0000DF280000}"/>
    <cellStyle name="Warning Text 26 2 2 9" xfId="8378" xr:uid="{00000000-0005-0000-0000-0000E0280000}"/>
    <cellStyle name="Warning Text 26 2 3" xfId="4574" xr:uid="{00000000-0005-0000-0000-0000E1280000}"/>
    <cellStyle name="Warning Text 26 2 3 10" xfId="7837" xr:uid="{00000000-0005-0000-0000-0000E2280000}"/>
    <cellStyle name="Warning Text 26 2 3 11" xfId="9397" xr:uid="{00000000-0005-0000-0000-0000E3280000}"/>
    <cellStyle name="Warning Text 26 2 3 12" xfId="8793" xr:uid="{00000000-0005-0000-0000-0000E4280000}"/>
    <cellStyle name="Warning Text 26 2 3 13" xfId="10010" xr:uid="{00000000-0005-0000-0000-0000E5280000}"/>
    <cellStyle name="Warning Text 26 2 3 14" xfId="10482" xr:uid="{00000000-0005-0000-0000-0000E6280000}"/>
    <cellStyle name="Warning Text 26 2 3 15" xfId="10949" xr:uid="{00000000-0005-0000-0000-0000E7280000}"/>
    <cellStyle name="Warning Text 26 2 3 16" xfId="11369" xr:uid="{00000000-0005-0000-0000-0000E8280000}"/>
    <cellStyle name="Warning Text 26 2 3 17" xfId="11838" xr:uid="{00000000-0005-0000-0000-0000E9280000}"/>
    <cellStyle name="Warning Text 26 2 3 18" xfId="12119" xr:uid="{00000000-0005-0000-0000-0000EA280000}"/>
    <cellStyle name="Warning Text 26 2 3 19" xfId="12909" xr:uid="{00000000-0005-0000-0000-0000EB280000}"/>
    <cellStyle name="Warning Text 26 2 3 2" xfId="5121" xr:uid="{00000000-0005-0000-0000-0000EC280000}"/>
    <cellStyle name="Warning Text 26 2 3 3" xfId="5559" xr:uid="{00000000-0005-0000-0000-0000ED280000}"/>
    <cellStyle name="Warning Text 26 2 3 4" xfId="5997" xr:uid="{00000000-0005-0000-0000-0000EE280000}"/>
    <cellStyle name="Warning Text 26 2 3 5" xfId="6434" xr:uid="{00000000-0005-0000-0000-0000EF280000}"/>
    <cellStyle name="Warning Text 26 2 3 6" xfId="6871" xr:uid="{00000000-0005-0000-0000-0000F0280000}"/>
    <cellStyle name="Warning Text 26 2 3 7" xfId="7308" xr:uid="{00000000-0005-0000-0000-0000F1280000}"/>
    <cellStyle name="Warning Text 26 2 3 8" xfId="7745" xr:uid="{00000000-0005-0000-0000-0000F2280000}"/>
    <cellStyle name="Warning Text 26 2 3 9" xfId="8593" xr:uid="{00000000-0005-0000-0000-0000F3280000}"/>
    <cellStyle name="Warning Text 26 3" xfId="4358" xr:uid="{00000000-0005-0000-0000-0000F4280000}"/>
    <cellStyle name="Warning Text 26 3 10" xfId="8051" xr:uid="{00000000-0005-0000-0000-0000F5280000}"/>
    <cellStyle name="Warning Text 26 3 11" xfId="9181" xr:uid="{00000000-0005-0000-0000-0000F6280000}"/>
    <cellStyle name="Warning Text 26 3 12" xfId="8871" xr:uid="{00000000-0005-0000-0000-0000F7280000}"/>
    <cellStyle name="Warning Text 26 3 13" xfId="9794" xr:uid="{00000000-0005-0000-0000-0000F8280000}"/>
    <cellStyle name="Warning Text 26 3 14" xfId="10266" xr:uid="{00000000-0005-0000-0000-0000F9280000}"/>
    <cellStyle name="Warning Text 26 3 15" xfId="10814" xr:uid="{00000000-0005-0000-0000-0000FA280000}"/>
    <cellStyle name="Warning Text 26 3 16" xfId="11153" xr:uid="{00000000-0005-0000-0000-0000FB280000}"/>
    <cellStyle name="Warning Text 26 3 17" xfId="11622" xr:uid="{00000000-0005-0000-0000-0000FC280000}"/>
    <cellStyle name="Warning Text 26 3 18" xfId="12087" xr:uid="{00000000-0005-0000-0000-0000FD280000}"/>
    <cellStyle name="Warning Text 26 3 19" xfId="12693" xr:uid="{00000000-0005-0000-0000-0000FE280000}"/>
    <cellStyle name="Warning Text 26 3 2" xfId="4905" xr:uid="{00000000-0005-0000-0000-0000FF280000}"/>
    <cellStyle name="Warning Text 26 3 3" xfId="5343" xr:uid="{00000000-0005-0000-0000-000000290000}"/>
    <cellStyle name="Warning Text 26 3 4" xfId="5781" xr:uid="{00000000-0005-0000-0000-000001290000}"/>
    <cellStyle name="Warning Text 26 3 5" xfId="6218" xr:uid="{00000000-0005-0000-0000-000002290000}"/>
    <cellStyle name="Warning Text 26 3 6" xfId="6655" xr:uid="{00000000-0005-0000-0000-000003290000}"/>
    <cellStyle name="Warning Text 26 3 7" xfId="7092" xr:uid="{00000000-0005-0000-0000-000004290000}"/>
    <cellStyle name="Warning Text 26 3 8" xfId="7529" xr:uid="{00000000-0005-0000-0000-000005290000}"/>
    <cellStyle name="Warning Text 26 3 9" xfId="8377" xr:uid="{00000000-0005-0000-0000-000006290000}"/>
    <cellStyle name="Warning Text 26 4" xfId="4573" xr:uid="{00000000-0005-0000-0000-000007290000}"/>
    <cellStyle name="Warning Text 26 4 10" xfId="7838" xr:uid="{00000000-0005-0000-0000-000008290000}"/>
    <cellStyle name="Warning Text 26 4 11" xfId="9396" xr:uid="{00000000-0005-0000-0000-000009290000}"/>
    <cellStyle name="Warning Text 26 4 12" xfId="8794" xr:uid="{00000000-0005-0000-0000-00000A290000}"/>
    <cellStyle name="Warning Text 26 4 13" xfId="10009" xr:uid="{00000000-0005-0000-0000-00000B290000}"/>
    <cellStyle name="Warning Text 26 4 14" xfId="10481" xr:uid="{00000000-0005-0000-0000-00000C290000}"/>
    <cellStyle name="Warning Text 26 4 15" xfId="10981" xr:uid="{00000000-0005-0000-0000-00000D290000}"/>
    <cellStyle name="Warning Text 26 4 16" xfId="11368" xr:uid="{00000000-0005-0000-0000-00000E290000}"/>
    <cellStyle name="Warning Text 26 4 17" xfId="11837" xr:uid="{00000000-0005-0000-0000-00000F290000}"/>
    <cellStyle name="Warning Text 26 4 18" xfId="12203" xr:uid="{00000000-0005-0000-0000-000010290000}"/>
    <cellStyle name="Warning Text 26 4 19" xfId="12908" xr:uid="{00000000-0005-0000-0000-000011290000}"/>
    <cellStyle name="Warning Text 26 4 2" xfId="5120" xr:uid="{00000000-0005-0000-0000-000012290000}"/>
    <cellStyle name="Warning Text 26 4 3" xfId="5558" xr:uid="{00000000-0005-0000-0000-000013290000}"/>
    <cellStyle name="Warning Text 26 4 4" xfId="5996" xr:uid="{00000000-0005-0000-0000-000014290000}"/>
    <cellStyle name="Warning Text 26 4 5" xfId="6433" xr:uid="{00000000-0005-0000-0000-000015290000}"/>
    <cellStyle name="Warning Text 26 4 6" xfId="6870" xr:uid="{00000000-0005-0000-0000-000016290000}"/>
    <cellStyle name="Warning Text 26 4 7" xfId="7307" xr:uid="{00000000-0005-0000-0000-000017290000}"/>
    <cellStyle name="Warning Text 26 4 8" xfId="7744" xr:uid="{00000000-0005-0000-0000-000018290000}"/>
    <cellStyle name="Warning Text 26 4 9" xfId="8592" xr:uid="{00000000-0005-0000-0000-000019290000}"/>
    <cellStyle name="Warning Text 27" xfId="4146" xr:uid="{00000000-0005-0000-0000-00001A290000}"/>
    <cellStyle name="Warning Text 27 2" xfId="4147" xr:uid="{00000000-0005-0000-0000-00001B290000}"/>
    <cellStyle name="Warning Text 27 2 2" xfId="4361" xr:uid="{00000000-0005-0000-0000-00001C290000}"/>
    <cellStyle name="Warning Text 27 2 2 10" xfId="8048" xr:uid="{00000000-0005-0000-0000-00001D290000}"/>
    <cellStyle name="Warning Text 27 2 2 11" xfId="9184" xr:uid="{00000000-0005-0000-0000-00001E290000}"/>
    <cellStyle name="Warning Text 27 2 2 12" xfId="8868" xr:uid="{00000000-0005-0000-0000-00001F290000}"/>
    <cellStyle name="Warning Text 27 2 2 13" xfId="9797" xr:uid="{00000000-0005-0000-0000-000020290000}"/>
    <cellStyle name="Warning Text 27 2 2 14" xfId="10269" xr:uid="{00000000-0005-0000-0000-000021290000}"/>
    <cellStyle name="Warning Text 27 2 2 15" xfId="10698" xr:uid="{00000000-0005-0000-0000-000022290000}"/>
    <cellStyle name="Warning Text 27 2 2 16" xfId="11156" xr:uid="{00000000-0005-0000-0000-000023290000}"/>
    <cellStyle name="Warning Text 27 2 2 17" xfId="11625" xr:uid="{00000000-0005-0000-0000-000024290000}"/>
    <cellStyle name="Warning Text 27 2 2 18" xfId="11999" xr:uid="{00000000-0005-0000-0000-000025290000}"/>
    <cellStyle name="Warning Text 27 2 2 19" xfId="12696" xr:uid="{00000000-0005-0000-0000-000026290000}"/>
    <cellStyle name="Warning Text 27 2 2 2" xfId="4908" xr:uid="{00000000-0005-0000-0000-000027290000}"/>
    <cellStyle name="Warning Text 27 2 2 3" xfId="5346" xr:uid="{00000000-0005-0000-0000-000028290000}"/>
    <cellStyle name="Warning Text 27 2 2 4" xfId="5784" xr:uid="{00000000-0005-0000-0000-000029290000}"/>
    <cellStyle name="Warning Text 27 2 2 5" xfId="6221" xr:uid="{00000000-0005-0000-0000-00002A290000}"/>
    <cellStyle name="Warning Text 27 2 2 6" xfId="6658" xr:uid="{00000000-0005-0000-0000-00002B290000}"/>
    <cellStyle name="Warning Text 27 2 2 7" xfId="7095" xr:uid="{00000000-0005-0000-0000-00002C290000}"/>
    <cellStyle name="Warning Text 27 2 2 8" xfId="7532" xr:uid="{00000000-0005-0000-0000-00002D290000}"/>
    <cellStyle name="Warning Text 27 2 2 9" xfId="8380" xr:uid="{00000000-0005-0000-0000-00002E290000}"/>
    <cellStyle name="Warning Text 27 2 3" xfId="4576" xr:uid="{00000000-0005-0000-0000-00002F290000}"/>
    <cellStyle name="Warning Text 27 2 3 10" xfId="7835" xr:uid="{00000000-0005-0000-0000-000030290000}"/>
    <cellStyle name="Warning Text 27 2 3 11" xfId="9399" xr:uid="{00000000-0005-0000-0000-000031290000}"/>
    <cellStyle name="Warning Text 27 2 3 12" xfId="8791" xr:uid="{00000000-0005-0000-0000-000032290000}"/>
    <cellStyle name="Warning Text 27 2 3 13" xfId="10012" xr:uid="{00000000-0005-0000-0000-000033290000}"/>
    <cellStyle name="Warning Text 27 2 3 14" xfId="10484" xr:uid="{00000000-0005-0000-0000-000034290000}"/>
    <cellStyle name="Warning Text 27 2 3 15" xfId="10863" xr:uid="{00000000-0005-0000-0000-000035290000}"/>
    <cellStyle name="Warning Text 27 2 3 16" xfId="11371" xr:uid="{00000000-0005-0000-0000-000036290000}"/>
    <cellStyle name="Warning Text 27 2 3 17" xfId="11840" xr:uid="{00000000-0005-0000-0000-000037290000}"/>
    <cellStyle name="Warning Text 27 2 3 18" xfId="12078" xr:uid="{00000000-0005-0000-0000-000038290000}"/>
    <cellStyle name="Warning Text 27 2 3 19" xfId="12911" xr:uid="{00000000-0005-0000-0000-000039290000}"/>
    <cellStyle name="Warning Text 27 2 3 2" xfId="5123" xr:uid="{00000000-0005-0000-0000-00003A290000}"/>
    <cellStyle name="Warning Text 27 2 3 3" xfId="5561" xr:uid="{00000000-0005-0000-0000-00003B290000}"/>
    <cellStyle name="Warning Text 27 2 3 4" xfId="5999" xr:uid="{00000000-0005-0000-0000-00003C290000}"/>
    <cellStyle name="Warning Text 27 2 3 5" xfId="6436" xr:uid="{00000000-0005-0000-0000-00003D290000}"/>
    <cellStyle name="Warning Text 27 2 3 6" xfId="6873" xr:uid="{00000000-0005-0000-0000-00003E290000}"/>
    <cellStyle name="Warning Text 27 2 3 7" xfId="7310" xr:uid="{00000000-0005-0000-0000-00003F290000}"/>
    <cellStyle name="Warning Text 27 2 3 8" xfId="7747" xr:uid="{00000000-0005-0000-0000-000040290000}"/>
    <cellStyle name="Warning Text 27 2 3 9" xfId="8595" xr:uid="{00000000-0005-0000-0000-000041290000}"/>
    <cellStyle name="Warning Text 27 3" xfId="4360" xr:uid="{00000000-0005-0000-0000-000042290000}"/>
    <cellStyle name="Warning Text 27 3 10" xfId="8049" xr:uid="{00000000-0005-0000-0000-000043290000}"/>
    <cellStyle name="Warning Text 27 3 11" xfId="9183" xr:uid="{00000000-0005-0000-0000-000044290000}"/>
    <cellStyle name="Warning Text 27 3 12" xfId="8869" xr:uid="{00000000-0005-0000-0000-000045290000}"/>
    <cellStyle name="Warning Text 27 3 13" xfId="9796" xr:uid="{00000000-0005-0000-0000-000046290000}"/>
    <cellStyle name="Warning Text 27 3 14" xfId="10268" xr:uid="{00000000-0005-0000-0000-000047290000}"/>
    <cellStyle name="Warning Text 27 3 15" xfId="10737" xr:uid="{00000000-0005-0000-0000-000048290000}"/>
    <cellStyle name="Warning Text 27 3 16" xfId="11155" xr:uid="{00000000-0005-0000-0000-000049290000}"/>
    <cellStyle name="Warning Text 27 3 17" xfId="11624" xr:uid="{00000000-0005-0000-0000-00004A290000}"/>
    <cellStyle name="Warning Text 27 3 18" xfId="12028" xr:uid="{00000000-0005-0000-0000-00004B290000}"/>
    <cellStyle name="Warning Text 27 3 19" xfId="12695" xr:uid="{00000000-0005-0000-0000-00004C290000}"/>
    <cellStyle name="Warning Text 27 3 2" xfId="4907" xr:uid="{00000000-0005-0000-0000-00004D290000}"/>
    <cellStyle name="Warning Text 27 3 3" xfId="5345" xr:uid="{00000000-0005-0000-0000-00004E290000}"/>
    <cellStyle name="Warning Text 27 3 4" xfId="5783" xr:uid="{00000000-0005-0000-0000-00004F290000}"/>
    <cellStyle name="Warning Text 27 3 5" xfId="6220" xr:uid="{00000000-0005-0000-0000-000050290000}"/>
    <cellStyle name="Warning Text 27 3 6" xfId="6657" xr:uid="{00000000-0005-0000-0000-000051290000}"/>
    <cellStyle name="Warning Text 27 3 7" xfId="7094" xr:uid="{00000000-0005-0000-0000-000052290000}"/>
    <cellStyle name="Warning Text 27 3 8" xfId="7531" xr:uid="{00000000-0005-0000-0000-000053290000}"/>
    <cellStyle name="Warning Text 27 3 9" xfId="8379" xr:uid="{00000000-0005-0000-0000-000054290000}"/>
    <cellStyle name="Warning Text 27 4" xfId="4575" xr:uid="{00000000-0005-0000-0000-000055290000}"/>
    <cellStyle name="Warning Text 27 4 10" xfId="7836" xr:uid="{00000000-0005-0000-0000-000056290000}"/>
    <cellStyle name="Warning Text 27 4 11" xfId="9398" xr:uid="{00000000-0005-0000-0000-000057290000}"/>
    <cellStyle name="Warning Text 27 4 12" xfId="8792" xr:uid="{00000000-0005-0000-0000-000058290000}"/>
    <cellStyle name="Warning Text 27 4 13" xfId="10011" xr:uid="{00000000-0005-0000-0000-000059290000}"/>
    <cellStyle name="Warning Text 27 4 14" xfId="10483" xr:uid="{00000000-0005-0000-0000-00005A290000}"/>
    <cellStyle name="Warning Text 27 4 15" xfId="10840" xr:uid="{00000000-0005-0000-0000-00005B290000}"/>
    <cellStyle name="Warning Text 27 4 16" xfId="11370" xr:uid="{00000000-0005-0000-0000-00005C290000}"/>
    <cellStyle name="Warning Text 27 4 17" xfId="11839" xr:uid="{00000000-0005-0000-0000-00005D290000}"/>
    <cellStyle name="Warning Text 27 4 18" xfId="12137" xr:uid="{00000000-0005-0000-0000-00005E290000}"/>
    <cellStyle name="Warning Text 27 4 19" xfId="12910" xr:uid="{00000000-0005-0000-0000-00005F290000}"/>
    <cellStyle name="Warning Text 27 4 2" xfId="5122" xr:uid="{00000000-0005-0000-0000-000060290000}"/>
    <cellStyle name="Warning Text 27 4 3" xfId="5560" xr:uid="{00000000-0005-0000-0000-000061290000}"/>
    <cellStyle name="Warning Text 27 4 4" xfId="5998" xr:uid="{00000000-0005-0000-0000-000062290000}"/>
    <cellStyle name="Warning Text 27 4 5" xfId="6435" xr:uid="{00000000-0005-0000-0000-000063290000}"/>
    <cellStyle name="Warning Text 27 4 6" xfId="6872" xr:uid="{00000000-0005-0000-0000-000064290000}"/>
    <cellStyle name="Warning Text 27 4 7" xfId="7309" xr:uid="{00000000-0005-0000-0000-000065290000}"/>
    <cellStyle name="Warning Text 27 4 8" xfId="7746" xr:uid="{00000000-0005-0000-0000-000066290000}"/>
    <cellStyle name="Warning Text 27 4 9" xfId="8594" xr:uid="{00000000-0005-0000-0000-000067290000}"/>
    <cellStyle name="Warning Text 28" xfId="4148" xr:uid="{00000000-0005-0000-0000-000068290000}"/>
    <cellStyle name="Warning Text 28 2" xfId="4149" xr:uid="{00000000-0005-0000-0000-000069290000}"/>
    <cellStyle name="Warning Text 28 2 2" xfId="4363" xr:uid="{00000000-0005-0000-0000-00006A290000}"/>
    <cellStyle name="Warning Text 28 2 2 10" xfId="8046" xr:uid="{00000000-0005-0000-0000-00006B290000}"/>
    <cellStyle name="Warning Text 28 2 2 11" xfId="9186" xr:uid="{00000000-0005-0000-0000-00006C290000}"/>
    <cellStyle name="Warning Text 28 2 2 12" xfId="8866" xr:uid="{00000000-0005-0000-0000-00006D290000}"/>
    <cellStyle name="Warning Text 28 2 2 13" xfId="9799" xr:uid="{00000000-0005-0000-0000-00006E290000}"/>
    <cellStyle name="Warning Text 28 2 2 14" xfId="10271" xr:uid="{00000000-0005-0000-0000-00006F290000}"/>
    <cellStyle name="Warning Text 28 2 2 15" xfId="10619" xr:uid="{00000000-0005-0000-0000-000070290000}"/>
    <cellStyle name="Warning Text 28 2 2 16" xfId="11158" xr:uid="{00000000-0005-0000-0000-000071290000}"/>
    <cellStyle name="Warning Text 28 2 2 17" xfId="11627" xr:uid="{00000000-0005-0000-0000-000072290000}"/>
    <cellStyle name="Warning Text 28 2 2 18" xfId="11942" xr:uid="{00000000-0005-0000-0000-000073290000}"/>
    <cellStyle name="Warning Text 28 2 2 19" xfId="12698" xr:uid="{00000000-0005-0000-0000-000074290000}"/>
    <cellStyle name="Warning Text 28 2 2 2" xfId="4910" xr:uid="{00000000-0005-0000-0000-000075290000}"/>
    <cellStyle name="Warning Text 28 2 2 3" xfId="5348" xr:uid="{00000000-0005-0000-0000-000076290000}"/>
    <cellStyle name="Warning Text 28 2 2 4" xfId="5786" xr:uid="{00000000-0005-0000-0000-000077290000}"/>
    <cellStyle name="Warning Text 28 2 2 5" xfId="6223" xr:uid="{00000000-0005-0000-0000-000078290000}"/>
    <cellStyle name="Warning Text 28 2 2 6" xfId="6660" xr:uid="{00000000-0005-0000-0000-000079290000}"/>
    <cellStyle name="Warning Text 28 2 2 7" xfId="7097" xr:uid="{00000000-0005-0000-0000-00007A290000}"/>
    <cellStyle name="Warning Text 28 2 2 8" xfId="7534" xr:uid="{00000000-0005-0000-0000-00007B290000}"/>
    <cellStyle name="Warning Text 28 2 2 9" xfId="8382" xr:uid="{00000000-0005-0000-0000-00007C290000}"/>
    <cellStyle name="Warning Text 28 2 3" xfId="4578" xr:uid="{00000000-0005-0000-0000-00007D290000}"/>
    <cellStyle name="Warning Text 28 2 3 10" xfId="7833" xr:uid="{00000000-0005-0000-0000-00007E290000}"/>
    <cellStyle name="Warning Text 28 2 3 11" xfId="9401" xr:uid="{00000000-0005-0000-0000-00007F290000}"/>
    <cellStyle name="Warning Text 28 2 3 12" xfId="8789" xr:uid="{00000000-0005-0000-0000-000080290000}"/>
    <cellStyle name="Warning Text 28 2 3 13" xfId="10014" xr:uid="{00000000-0005-0000-0000-000081290000}"/>
    <cellStyle name="Warning Text 28 2 3 14" xfId="10486" xr:uid="{00000000-0005-0000-0000-000082290000}"/>
    <cellStyle name="Warning Text 28 2 3 15" xfId="10744" xr:uid="{00000000-0005-0000-0000-000083290000}"/>
    <cellStyle name="Warning Text 28 2 3 16" xfId="11373" xr:uid="{00000000-0005-0000-0000-000084290000}"/>
    <cellStyle name="Warning Text 28 2 3 17" xfId="11842" xr:uid="{00000000-0005-0000-0000-000085290000}"/>
    <cellStyle name="Warning Text 28 2 3 18" xfId="12019" xr:uid="{00000000-0005-0000-0000-000086290000}"/>
    <cellStyle name="Warning Text 28 2 3 19" xfId="12913" xr:uid="{00000000-0005-0000-0000-000087290000}"/>
    <cellStyle name="Warning Text 28 2 3 2" xfId="5125" xr:uid="{00000000-0005-0000-0000-000088290000}"/>
    <cellStyle name="Warning Text 28 2 3 3" xfId="5563" xr:uid="{00000000-0005-0000-0000-000089290000}"/>
    <cellStyle name="Warning Text 28 2 3 4" xfId="6001" xr:uid="{00000000-0005-0000-0000-00008A290000}"/>
    <cellStyle name="Warning Text 28 2 3 5" xfId="6438" xr:uid="{00000000-0005-0000-0000-00008B290000}"/>
    <cellStyle name="Warning Text 28 2 3 6" xfId="6875" xr:uid="{00000000-0005-0000-0000-00008C290000}"/>
    <cellStyle name="Warning Text 28 2 3 7" xfId="7312" xr:uid="{00000000-0005-0000-0000-00008D290000}"/>
    <cellStyle name="Warning Text 28 2 3 8" xfId="7749" xr:uid="{00000000-0005-0000-0000-00008E290000}"/>
    <cellStyle name="Warning Text 28 2 3 9" xfId="8597" xr:uid="{00000000-0005-0000-0000-00008F290000}"/>
    <cellStyle name="Warning Text 28 3" xfId="4362" xr:uid="{00000000-0005-0000-0000-000090290000}"/>
    <cellStyle name="Warning Text 28 3 10" xfId="8047" xr:uid="{00000000-0005-0000-0000-000091290000}"/>
    <cellStyle name="Warning Text 28 3 11" xfId="9185" xr:uid="{00000000-0005-0000-0000-000092290000}"/>
    <cellStyle name="Warning Text 28 3 12" xfId="8867" xr:uid="{00000000-0005-0000-0000-000093290000}"/>
    <cellStyle name="Warning Text 28 3 13" xfId="9798" xr:uid="{00000000-0005-0000-0000-000094290000}"/>
    <cellStyle name="Warning Text 28 3 14" xfId="10270" xr:uid="{00000000-0005-0000-0000-000095290000}"/>
    <cellStyle name="Warning Text 28 3 15" xfId="10659" xr:uid="{00000000-0005-0000-0000-000096290000}"/>
    <cellStyle name="Warning Text 28 3 16" xfId="11157" xr:uid="{00000000-0005-0000-0000-000097290000}"/>
    <cellStyle name="Warning Text 28 3 17" xfId="11626" xr:uid="{00000000-0005-0000-0000-000098290000}"/>
    <cellStyle name="Warning Text 28 3 18" xfId="11971" xr:uid="{00000000-0005-0000-0000-000099290000}"/>
    <cellStyle name="Warning Text 28 3 19" xfId="12697" xr:uid="{00000000-0005-0000-0000-00009A290000}"/>
    <cellStyle name="Warning Text 28 3 2" xfId="4909" xr:uid="{00000000-0005-0000-0000-00009B290000}"/>
    <cellStyle name="Warning Text 28 3 3" xfId="5347" xr:uid="{00000000-0005-0000-0000-00009C290000}"/>
    <cellStyle name="Warning Text 28 3 4" xfId="5785" xr:uid="{00000000-0005-0000-0000-00009D290000}"/>
    <cellStyle name="Warning Text 28 3 5" xfId="6222" xr:uid="{00000000-0005-0000-0000-00009E290000}"/>
    <cellStyle name="Warning Text 28 3 6" xfId="6659" xr:uid="{00000000-0005-0000-0000-00009F290000}"/>
    <cellStyle name="Warning Text 28 3 7" xfId="7096" xr:uid="{00000000-0005-0000-0000-0000A0290000}"/>
    <cellStyle name="Warning Text 28 3 8" xfId="7533" xr:uid="{00000000-0005-0000-0000-0000A1290000}"/>
    <cellStyle name="Warning Text 28 3 9" xfId="8381" xr:uid="{00000000-0005-0000-0000-0000A2290000}"/>
    <cellStyle name="Warning Text 28 4" xfId="4577" xr:uid="{00000000-0005-0000-0000-0000A3290000}"/>
    <cellStyle name="Warning Text 28 4 10" xfId="7834" xr:uid="{00000000-0005-0000-0000-0000A4290000}"/>
    <cellStyle name="Warning Text 28 4 11" xfId="9400" xr:uid="{00000000-0005-0000-0000-0000A5290000}"/>
    <cellStyle name="Warning Text 28 4 12" xfId="8790" xr:uid="{00000000-0005-0000-0000-0000A6290000}"/>
    <cellStyle name="Warning Text 28 4 13" xfId="10013" xr:uid="{00000000-0005-0000-0000-0000A7290000}"/>
    <cellStyle name="Warning Text 28 4 14" xfId="10485" xr:uid="{00000000-0005-0000-0000-0000A8290000}"/>
    <cellStyle name="Warning Text 28 4 15" xfId="10782" xr:uid="{00000000-0005-0000-0000-0000A9290000}"/>
    <cellStyle name="Warning Text 28 4 16" xfId="11372" xr:uid="{00000000-0005-0000-0000-0000AA290000}"/>
    <cellStyle name="Warning Text 28 4 17" xfId="11841" xr:uid="{00000000-0005-0000-0000-0000AB290000}"/>
    <cellStyle name="Warning Text 28 4 18" xfId="12048" xr:uid="{00000000-0005-0000-0000-0000AC290000}"/>
    <cellStyle name="Warning Text 28 4 19" xfId="12912" xr:uid="{00000000-0005-0000-0000-0000AD290000}"/>
    <cellStyle name="Warning Text 28 4 2" xfId="5124" xr:uid="{00000000-0005-0000-0000-0000AE290000}"/>
    <cellStyle name="Warning Text 28 4 3" xfId="5562" xr:uid="{00000000-0005-0000-0000-0000AF290000}"/>
    <cellStyle name="Warning Text 28 4 4" xfId="6000" xr:uid="{00000000-0005-0000-0000-0000B0290000}"/>
    <cellStyle name="Warning Text 28 4 5" xfId="6437" xr:uid="{00000000-0005-0000-0000-0000B1290000}"/>
    <cellStyle name="Warning Text 28 4 6" xfId="6874" xr:uid="{00000000-0005-0000-0000-0000B2290000}"/>
    <cellStyle name="Warning Text 28 4 7" xfId="7311" xr:uid="{00000000-0005-0000-0000-0000B3290000}"/>
    <cellStyle name="Warning Text 28 4 8" xfId="7748" xr:uid="{00000000-0005-0000-0000-0000B4290000}"/>
    <cellStyle name="Warning Text 28 4 9" xfId="8596" xr:uid="{00000000-0005-0000-0000-0000B5290000}"/>
    <cellStyle name="Warning Text 29" xfId="4150" xr:uid="{00000000-0005-0000-0000-0000B6290000}"/>
    <cellStyle name="Warning Text 29 2" xfId="4151" xr:uid="{00000000-0005-0000-0000-0000B7290000}"/>
    <cellStyle name="Warning Text 29 2 2" xfId="4365" xr:uid="{00000000-0005-0000-0000-0000B8290000}"/>
    <cellStyle name="Warning Text 29 2 2 10" xfId="8044" xr:uid="{00000000-0005-0000-0000-0000B9290000}"/>
    <cellStyle name="Warning Text 29 2 2 11" xfId="9188" xr:uid="{00000000-0005-0000-0000-0000BA290000}"/>
    <cellStyle name="Warning Text 29 2 2 12" xfId="8864" xr:uid="{00000000-0005-0000-0000-0000BB290000}"/>
    <cellStyle name="Warning Text 29 2 2 13" xfId="9801" xr:uid="{00000000-0005-0000-0000-0000BC290000}"/>
    <cellStyle name="Warning Text 29 2 2 14" xfId="10273" xr:uid="{00000000-0005-0000-0000-0000BD290000}"/>
    <cellStyle name="Warning Text 29 2 2 15" xfId="10972" xr:uid="{00000000-0005-0000-0000-0000BE290000}"/>
    <cellStyle name="Warning Text 29 2 2 16" xfId="11160" xr:uid="{00000000-0005-0000-0000-0000BF290000}"/>
    <cellStyle name="Warning Text 29 2 2 17" xfId="11629" xr:uid="{00000000-0005-0000-0000-0000C0290000}"/>
    <cellStyle name="Warning Text 29 2 2 18" xfId="12320" xr:uid="{00000000-0005-0000-0000-0000C1290000}"/>
    <cellStyle name="Warning Text 29 2 2 19" xfId="12700" xr:uid="{00000000-0005-0000-0000-0000C2290000}"/>
    <cellStyle name="Warning Text 29 2 2 2" xfId="4912" xr:uid="{00000000-0005-0000-0000-0000C3290000}"/>
    <cellStyle name="Warning Text 29 2 2 3" xfId="5350" xr:uid="{00000000-0005-0000-0000-0000C4290000}"/>
    <cellStyle name="Warning Text 29 2 2 4" xfId="5788" xr:uid="{00000000-0005-0000-0000-0000C5290000}"/>
    <cellStyle name="Warning Text 29 2 2 5" xfId="6225" xr:uid="{00000000-0005-0000-0000-0000C6290000}"/>
    <cellStyle name="Warning Text 29 2 2 6" xfId="6662" xr:uid="{00000000-0005-0000-0000-0000C7290000}"/>
    <cellStyle name="Warning Text 29 2 2 7" xfId="7099" xr:uid="{00000000-0005-0000-0000-0000C8290000}"/>
    <cellStyle name="Warning Text 29 2 2 8" xfId="7536" xr:uid="{00000000-0005-0000-0000-0000C9290000}"/>
    <cellStyle name="Warning Text 29 2 2 9" xfId="8384" xr:uid="{00000000-0005-0000-0000-0000CA290000}"/>
    <cellStyle name="Warning Text 29 2 3" xfId="4580" xr:uid="{00000000-0005-0000-0000-0000CB290000}"/>
    <cellStyle name="Warning Text 29 2 3 10" xfId="7813" xr:uid="{00000000-0005-0000-0000-0000CC290000}"/>
    <cellStyle name="Warning Text 29 2 3 11" xfId="9403" xr:uid="{00000000-0005-0000-0000-0000CD290000}"/>
    <cellStyle name="Warning Text 29 2 3 12" xfId="8787" xr:uid="{00000000-0005-0000-0000-0000CE290000}"/>
    <cellStyle name="Warning Text 29 2 3 13" xfId="10016" xr:uid="{00000000-0005-0000-0000-0000CF290000}"/>
    <cellStyle name="Warning Text 29 2 3 14" xfId="10488" xr:uid="{00000000-0005-0000-0000-0000D0290000}"/>
    <cellStyle name="Warning Text 29 2 3 15" xfId="10667" xr:uid="{00000000-0005-0000-0000-0000D1290000}"/>
    <cellStyle name="Warning Text 29 2 3 16" xfId="11375" xr:uid="{00000000-0005-0000-0000-0000D2290000}"/>
    <cellStyle name="Warning Text 29 2 3 17" xfId="11844" xr:uid="{00000000-0005-0000-0000-0000D3290000}"/>
    <cellStyle name="Warning Text 29 2 3 18" xfId="11962" xr:uid="{00000000-0005-0000-0000-0000D4290000}"/>
    <cellStyle name="Warning Text 29 2 3 19" xfId="12915" xr:uid="{00000000-0005-0000-0000-0000D5290000}"/>
    <cellStyle name="Warning Text 29 2 3 2" xfId="5127" xr:uid="{00000000-0005-0000-0000-0000D6290000}"/>
    <cellStyle name="Warning Text 29 2 3 3" xfId="5565" xr:uid="{00000000-0005-0000-0000-0000D7290000}"/>
    <cellStyle name="Warning Text 29 2 3 4" xfId="6003" xr:uid="{00000000-0005-0000-0000-0000D8290000}"/>
    <cellStyle name="Warning Text 29 2 3 5" xfId="6440" xr:uid="{00000000-0005-0000-0000-0000D9290000}"/>
    <cellStyle name="Warning Text 29 2 3 6" xfId="6877" xr:uid="{00000000-0005-0000-0000-0000DA290000}"/>
    <cellStyle name="Warning Text 29 2 3 7" xfId="7314" xr:uid="{00000000-0005-0000-0000-0000DB290000}"/>
    <cellStyle name="Warning Text 29 2 3 8" xfId="7751" xr:uid="{00000000-0005-0000-0000-0000DC290000}"/>
    <cellStyle name="Warning Text 29 2 3 9" xfId="8599" xr:uid="{00000000-0005-0000-0000-0000DD290000}"/>
    <cellStyle name="Warning Text 29 3" xfId="4364" xr:uid="{00000000-0005-0000-0000-0000DE290000}"/>
    <cellStyle name="Warning Text 29 3 10" xfId="8045" xr:uid="{00000000-0005-0000-0000-0000DF290000}"/>
    <cellStyle name="Warning Text 29 3 11" xfId="9187" xr:uid="{00000000-0005-0000-0000-0000E0290000}"/>
    <cellStyle name="Warning Text 29 3 12" xfId="8865" xr:uid="{00000000-0005-0000-0000-0000E1290000}"/>
    <cellStyle name="Warning Text 29 3 13" xfId="9800" xr:uid="{00000000-0005-0000-0000-0000E2290000}"/>
    <cellStyle name="Warning Text 29 3 14" xfId="10272" xr:uid="{00000000-0005-0000-0000-0000E3290000}"/>
    <cellStyle name="Warning Text 29 3 15" xfId="10580" xr:uid="{00000000-0005-0000-0000-0000E4290000}"/>
    <cellStyle name="Warning Text 29 3 16" xfId="11159" xr:uid="{00000000-0005-0000-0000-0000E5290000}"/>
    <cellStyle name="Warning Text 29 3 17" xfId="11628" xr:uid="{00000000-0005-0000-0000-0000E6290000}"/>
    <cellStyle name="Warning Text 29 3 18" xfId="11913" xr:uid="{00000000-0005-0000-0000-0000E7290000}"/>
    <cellStyle name="Warning Text 29 3 19" xfId="12699" xr:uid="{00000000-0005-0000-0000-0000E8290000}"/>
    <cellStyle name="Warning Text 29 3 2" xfId="4911" xr:uid="{00000000-0005-0000-0000-0000E9290000}"/>
    <cellStyle name="Warning Text 29 3 3" xfId="5349" xr:uid="{00000000-0005-0000-0000-0000EA290000}"/>
    <cellStyle name="Warning Text 29 3 4" xfId="5787" xr:uid="{00000000-0005-0000-0000-0000EB290000}"/>
    <cellStyle name="Warning Text 29 3 5" xfId="6224" xr:uid="{00000000-0005-0000-0000-0000EC290000}"/>
    <cellStyle name="Warning Text 29 3 6" xfId="6661" xr:uid="{00000000-0005-0000-0000-0000ED290000}"/>
    <cellStyle name="Warning Text 29 3 7" xfId="7098" xr:uid="{00000000-0005-0000-0000-0000EE290000}"/>
    <cellStyle name="Warning Text 29 3 8" xfId="7535" xr:uid="{00000000-0005-0000-0000-0000EF290000}"/>
    <cellStyle name="Warning Text 29 3 9" xfId="8383" xr:uid="{00000000-0005-0000-0000-0000F0290000}"/>
    <cellStyle name="Warning Text 29 4" xfId="4579" xr:uid="{00000000-0005-0000-0000-0000F1290000}"/>
    <cellStyle name="Warning Text 29 4 10" xfId="7832" xr:uid="{00000000-0005-0000-0000-0000F2290000}"/>
    <cellStyle name="Warning Text 29 4 11" xfId="9402" xr:uid="{00000000-0005-0000-0000-0000F3290000}"/>
    <cellStyle name="Warning Text 29 4 12" xfId="8788" xr:uid="{00000000-0005-0000-0000-0000F4290000}"/>
    <cellStyle name="Warning Text 29 4 13" xfId="10015" xr:uid="{00000000-0005-0000-0000-0000F5290000}"/>
    <cellStyle name="Warning Text 29 4 14" xfId="10487" xr:uid="{00000000-0005-0000-0000-0000F6290000}"/>
    <cellStyle name="Warning Text 29 4 15" xfId="10706" xr:uid="{00000000-0005-0000-0000-0000F7290000}"/>
    <cellStyle name="Warning Text 29 4 16" xfId="11374" xr:uid="{00000000-0005-0000-0000-0000F8290000}"/>
    <cellStyle name="Warning Text 29 4 17" xfId="11843" xr:uid="{00000000-0005-0000-0000-0000F9290000}"/>
    <cellStyle name="Warning Text 29 4 18" xfId="11990" xr:uid="{00000000-0005-0000-0000-0000FA290000}"/>
    <cellStyle name="Warning Text 29 4 19" xfId="12914" xr:uid="{00000000-0005-0000-0000-0000FB290000}"/>
    <cellStyle name="Warning Text 29 4 2" xfId="5126" xr:uid="{00000000-0005-0000-0000-0000FC290000}"/>
    <cellStyle name="Warning Text 29 4 3" xfId="5564" xr:uid="{00000000-0005-0000-0000-0000FD290000}"/>
    <cellStyle name="Warning Text 29 4 4" xfId="6002" xr:uid="{00000000-0005-0000-0000-0000FE290000}"/>
    <cellStyle name="Warning Text 29 4 5" xfId="6439" xr:uid="{00000000-0005-0000-0000-0000FF290000}"/>
    <cellStyle name="Warning Text 29 4 6" xfId="6876" xr:uid="{00000000-0005-0000-0000-0000002A0000}"/>
    <cellStyle name="Warning Text 29 4 7" xfId="7313" xr:uid="{00000000-0005-0000-0000-0000012A0000}"/>
    <cellStyle name="Warning Text 29 4 8" xfId="7750" xr:uid="{00000000-0005-0000-0000-0000022A0000}"/>
    <cellStyle name="Warning Text 29 4 9" xfId="8598" xr:uid="{00000000-0005-0000-0000-0000032A0000}"/>
    <cellStyle name="Warning Text 3" xfId="795" xr:uid="{00000000-0005-0000-0000-0000042A0000}"/>
    <cellStyle name="Warning Text 3 2" xfId="4152" xr:uid="{00000000-0005-0000-0000-0000052A0000}"/>
    <cellStyle name="Warning Text 3 2 2" xfId="4367" xr:uid="{00000000-0005-0000-0000-0000062A0000}"/>
    <cellStyle name="Warning Text 3 2 2 10" xfId="8042" xr:uid="{00000000-0005-0000-0000-0000072A0000}"/>
    <cellStyle name="Warning Text 3 2 2 11" xfId="9190" xr:uid="{00000000-0005-0000-0000-0000082A0000}"/>
    <cellStyle name="Warning Text 3 2 2 12" xfId="8862" xr:uid="{00000000-0005-0000-0000-0000092A0000}"/>
    <cellStyle name="Warning Text 3 2 2 13" xfId="9803" xr:uid="{00000000-0005-0000-0000-00000A2A0000}"/>
    <cellStyle name="Warning Text 3 2 2 14" xfId="10275" xr:uid="{00000000-0005-0000-0000-00000B2A0000}"/>
    <cellStyle name="Warning Text 3 2 2 15" xfId="10829" xr:uid="{00000000-0005-0000-0000-00000C2A0000}"/>
    <cellStyle name="Warning Text 3 2 2 16" xfId="11162" xr:uid="{00000000-0005-0000-0000-00000D2A0000}"/>
    <cellStyle name="Warning Text 3 2 2 17" xfId="11631" xr:uid="{00000000-0005-0000-0000-00000E2A0000}"/>
    <cellStyle name="Warning Text 3 2 2 18" xfId="12264" xr:uid="{00000000-0005-0000-0000-00000F2A0000}"/>
    <cellStyle name="Warning Text 3 2 2 19" xfId="12702" xr:uid="{00000000-0005-0000-0000-0000102A0000}"/>
    <cellStyle name="Warning Text 3 2 2 2" xfId="4914" xr:uid="{00000000-0005-0000-0000-0000112A0000}"/>
    <cellStyle name="Warning Text 3 2 2 3" xfId="5352" xr:uid="{00000000-0005-0000-0000-0000122A0000}"/>
    <cellStyle name="Warning Text 3 2 2 4" xfId="5790" xr:uid="{00000000-0005-0000-0000-0000132A0000}"/>
    <cellStyle name="Warning Text 3 2 2 5" xfId="6227" xr:uid="{00000000-0005-0000-0000-0000142A0000}"/>
    <cellStyle name="Warning Text 3 2 2 6" xfId="6664" xr:uid="{00000000-0005-0000-0000-0000152A0000}"/>
    <cellStyle name="Warning Text 3 2 2 7" xfId="7101" xr:uid="{00000000-0005-0000-0000-0000162A0000}"/>
    <cellStyle name="Warning Text 3 2 2 8" xfId="7538" xr:uid="{00000000-0005-0000-0000-0000172A0000}"/>
    <cellStyle name="Warning Text 3 2 2 9" xfId="8386" xr:uid="{00000000-0005-0000-0000-0000182A0000}"/>
    <cellStyle name="Warning Text 3 2 3" xfId="4582" xr:uid="{00000000-0005-0000-0000-0000192A0000}"/>
    <cellStyle name="Warning Text 3 2 3 10" xfId="8673" xr:uid="{00000000-0005-0000-0000-00001A2A0000}"/>
    <cellStyle name="Warning Text 3 2 3 11" xfId="9405" xr:uid="{00000000-0005-0000-0000-00001B2A0000}"/>
    <cellStyle name="Warning Text 3 2 3 12" xfId="8785" xr:uid="{00000000-0005-0000-0000-00001C2A0000}"/>
    <cellStyle name="Warning Text 3 2 3 13" xfId="10018" xr:uid="{00000000-0005-0000-0000-00001D2A0000}"/>
    <cellStyle name="Warning Text 3 2 3 14" xfId="10490" xr:uid="{00000000-0005-0000-0000-00001E2A0000}"/>
    <cellStyle name="Warning Text 3 2 3 15" xfId="10589" xr:uid="{00000000-0005-0000-0000-00001F2A0000}"/>
    <cellStyle name="Warning Text 3 2 3 16" xfId="11377" xr:uid="{00000000-0005-0000-0000-0000202A0000}"/>
    <cellStyle name="Warning Text 3 2 3 17" xfId="11846" xr:uid="{00000000-0005-0000-0000-0000212A0000}"/>
    <cellStyle name="Warning Text 3 2 3 18" xfId="11904" xr:uid="{00000000-0005-0000-0000-0000222A0000}"/>
    <cellStyle name="Warning Text 3 2 3 19" xfId="12917" xr:uid="{00000000-0005-0000-0000-0000232A0000}"/>
    <cellStyle name="Warning Text 3 2 3 2" xfId="5129" xr:uid="{00000000-0005-0000-0000-0000242A0000}"/>
    <cellStyle name="Warning Text 3 2 3 3" xfId="5567" xr:uid="{00000000-0005-0000-0000-0000252A0000}"/>
    <cellStyle name="Warning Text 3 2 3 4" xfId="6005" xr:uid="{00000000-0005-0000-0000-0000262A0000}"/>
    <cellStyle name="Warning Text 3 2 3 5" xfId="6442" xr:uid="{00000000-0005-0000-0000-0000272A0000}"/>
    <cellStyle name="Warning Text 3 2 3 6" xfId="6879" xr:uid="{00000000-0005-0000-0000-0000282A0000}"/>
    <cellStyle name="Warning Text 3 2 3 7" xfId="7316" xr:uid="{00000000-0005-0000-0000-0000292A0000}"/>
    <cellStyle name="Warning Text 3 2 3 8" xfId="7753" xr:uid="{00000000-0005-0000-0000-00002A2A0000}"/>
    <cellStyle name="Warning Text 3 2 3 9" xfId="8601" xr:uid="{00000000-0005-0000-0000-00002B2A0000}"/>
    <cellStyle name="Warning Text 3 3" xfId="4366" xr:uid="{00000000-0005-0000-0000-00002C2A0000}"/>
    <cellStyle name="Warning Text 3 3 10" xfId="8043" xr:uid="{00000000-0005-0000-0000-00002D2A0000}"/>
    <cellStyle name="Warning Text 3 3 11" xfId="9189" xr:uid="{00000000-0005-0000-0000-00002E2A0000}"/>
    <cellStyle name="Warning Text 3 3 12" xfId="8863" xr:uid="{00000000-0005-0000-0000-00002F2A0000}"/>
    <cellStyle name="Warning Text 3 3 13" xfId="9802" xr:uid="{00000000-0005-0000-0000-0000302A0000}"/>
    <cellStyle name="Warning Text 3 3 14" xfId="10274" xr:uid="{00000000-0005-0000-0000-0000312A0000}"/>
    <cellStyle name="Warning Text 3 3 15" xfId="10960" xr:uid="{00000000-0005-0000-0000-0000322A0000}"/>
    <cellStyle name="Warning Text 3 3 16" xfId="11161" xr:uid="{00000000-0005-0000-0000-0000332A0000}"/>
    <cellStyle name="Warning Text 3 3 17" xfId="11630" xr:uid="{00000000-0005-0000-0000-0000342A0000}"/>
    <cellStyle name="Warning Text 3 3 18" xfId="12309" xr:uid="{00000000-0005-0000-0000-0000352A0000}"/>
    <cellStyle name="Warning Text 3 3 19" xfId="12701" xr:uid="{00000000-0005-0000-0000-0000362A0000}"/>
    <cellStyle name="Warning Text 3 3 2" xfId="4913" xr:uid="{00000000-0005-0000-0000-0000372A0000}"/>
    <cellStyle name="Warning Text 3 3 3" xfId="5351" xr:uid="{00000000-0005-0000-0000-0000382A0000}"/>
    <cellStyle name="Warning Text 3 3 4" xfId="5789" xr:uid="{00000000-0005-0000-0000-0000392A0000}"/>
    <cellStyle name="Warning Text 3 3 5" xfId="6226" xr:uid="{00000000-0005-0000-0000-00003A2A0000}"/>
    <cellStyle name="Warning Text 3 3 6" xfId="6663" xr:uid="{00000000-0005-0000-0000-00003B2A0000}"/>
    <cellStyle name="Warning Text 3 3 7" xfId="7100" xr:uid="{00000000-0005-0000-0000-00003C2A0000}"/>
    <cellStyle name="Warning Text 3 3 8" xfId="7537" xr:uid="{00000000-0005-0000-0000-00003D2A0000}"/>
    <cellStyle name="Warning Text 3 3 9" xfId="8385" xr:uid="{00000000-0005-0000-0000-00003E2A0000}"/>
    <cellStyle name="Warning Text 3 4" xfId="4581" xr:uid="{00000000-0005-0000-0000-00003F2A0000}"/>
    <cellStyle name="Warning Text 3 4 10" xfId="8705" xr:uid="{00000000-0005-0000-0000-0000402A0000}"/>
    <cellStyle name="Warning Text 3 4 11" xfId="9404" xr:uid="{00000000-0005-0000-0000-0000412A0000}"/>
    <cellStyle name="Warning Text 3 4 12" xfId="8786" xr:uid="{00000000-0005-0000-0000-0000422A0000}"/>
    <cellStyle name="Warning Text 3 4 13" xfId="10017" xr:uid="{00000000-0005-0000-0000-0000432A0000}"/>
    <cellStyle name="Warning Text 3 4 14" xfId="10489" xr:uid="{00000000-0005-0000-0000-0000442A0000}"/>
    <cellStyle name="Warning Text 3 4 15" xfId="10628" xr:uid="{00000000-0005-0000-0000-0000452A0000}"/>
    <cellStyle name="Warning Text 3 4 16" xfId="11376" xr:uid="{00000000-0005-0000-0000-0000462A0000}"/>
    <cellStyle name="Warning Text 3 4 17" xfId="11845" xr:uid="{00000000-0005-0000-0000-0000472A0000}"/>
    <cellStyle name="Warning Text 3 4 18" xfId="11933" xr:uid="{00000000-0005-0000-0000-0000482A0000}"/>
    <cellStyle name="Warning Text 3 4 19" xfId="12916" xr:uid="{00000000-0005-0000-0000-0000492A0000}"/>
    <cellStyle name="Warning Text 3 4 2" xfId="5128" xr:uid="{00000000-0005-0000-0000-00004A2A0000}"/>
    <cellStyle name="Warning Text 3 4 3" xfId="5566" xr:uid="{00000000-0005-0000-0000-00004B2A0000}"/>
    <cellStyle name="Warning Text 3 4 4" xfId="6004" xr:uid="{00000000-0005-0000-0000-00004C2A0000}"/>
    <cellStyle name="Warning Text 3 4 5" xfId="6441" xr:uid="{00000000-0005-0000-0000-00004D2A0000}"/>
    <cellStyle name="Warning Text 3 4 6" xfId="6878" xr:uid="{00000000-0005-0000-0000-00004E2A0000}"/>
    <cellStyle name="Warning Text 3 4 7" xfId="7315" xr:uid="{00000000-0005-0000-0000-00004F2A0000}"/>
    <cellStyle name="Warning Text 3 4 8" xfId="7752" xr:uid="{00000000-0005-0000-0000-0000502A0000}"/>
    <cellStyle name="Warning Text 3 4 9" xfId="8600" xr:uid="{00000000-0005-0000-0000-0000512A0000}"/>
    <cellStyle name="Warning Text 3 5" xfId="12395" xr:uid="{00000000-0005-0000-0000-0000522A0000}"/>
    <cellStyle name="Warning Text 3 6" xfId="12456" xr:uid="{00000000-0005-0000-0000-0000532A0000}"/>
    <cellStyle name="Warning Text 3 7" xfId="12504" xr:uid="{00000000-0005-0000-0000-0000542A0000}"/>
    <cellStyle name="Warning Text 30" xfId="4153" xr:uid="{00000000-0005-0000-0000-0000552A0000}"/>
    <cellStyle name="Warning Text 30 2" xfId="4154" xr:uid="{00000000-0005-0000-0000-0000562A0000}"/>
    <cellStyle name="Warning Text 30 2 2" xfId="4369" xr:uid="{00000000-0005-0000-0000-0000572A0000}"/>
    <cellStyle name="Warning Text 30 2 2 10" xfId="8040" xr:uid="{00000000-0005-0000-0000-0000582A0000}"/>
    <cellStyle name="Warning Text 30 2 2 11" xfId="9192" xr:uid="{00000000-0005-0000-0000-0000592A0000}"/>
    <cellStyle name="Warning Text 30 2 2 12" xfId="8860" xr:uid="{00000000-0005-0000-0000-00005A2A0000}"/>
    <cellStyle name="Warning Text 30 2 2 13" xfId="9805" xr:uid="{00000000-0005-0000-0000-00005B2A0000}"/>
    <cellStyle name="Warning Text 30 2 2 14" xfId="10277" xr:uid="{00000000-0005-0000-0000-00005C2A0000}"/>
    <cellStyle name="Warning Text 30 2 2 15" xfId="10793" xr:uid="{00000000-0005-0000-0000-00005D2A0000}"/>
    <cellStyle name="Warning Text 30 2 2 16" xfId="11164" xr:uid="{00000000-0005-0000-0000-00005E2A0000}"/>
    <cellStyle name="Warning Text 30 2 2 17" xfId="11633" xr:uid="{00000000-0005-0000-0000-00005F2A0000}"/>
    <cellStyle name="Warning Text 30 2 2 18" xfId="12178" xr:uid="{00000000-0005-0000-0000-0000602A0000}"/>
    <cellStyle name="Warning Text 30 2 2 19" xfId="12704" xr:uid="{00000000-0005-0000-0000-0000612A0000}"/>
    <cellStyle name="Warning Text 30 2 2 2" xfId="4916" xr:uid="{00000000-0005-0000-0000-0000622A0000}"/>
    <cellStyle name="Warning Text 30 2 2 3" xfId="5354" xr:uid="{00000000-0005-0000-0000-0000632A0000}"/>
    <cellStyle name="Warning Text 30 2 2 4" xfId="5792" xr:uid="{00000000-0005-0000-0000-0000642A0000}"/>
    <cellStyle name="Warning Text 30 2 2 5" xfId="6229" xr:uid="{00000000-0005-0000-0000-0000652A0000}"/>
    <cellStyle name="Warning Text 30 2 2 6" xfId="6666" xr:uid="{00000000-0005-0000-0000-0000662A0000}"/>
    <cellStyle name="Warning Text 30 2 2 7" xfId="7103" xr:uid="{00000000-0005-0000-0000-0000672A0000}"/>
    <cellStyle name="Warning Text 30 2 2 8" xfId="7540" xr:uid="{00000000-0005-0000-0000-0000682A0000}"/>
    <cellStyle name="Warning Text 30 2 2 9" xfId="8388" xr:uid="{00000000-0005-0000-0000-0000692A0000}"/>
    <cellStyle name="Warning Text 30 2 3" xfId="4584" xr:uid="{00000000-0005-0000-0000-00006A2A0000}"/>
    <cellStyle name="Warning Text 30 2 3 10" xfId="8660" xr:uid="{00000000-0005-0000-0000-00006B2A0000}"/>
    <cellStyle name="Warning Text 30 2 3 11" xfId="9407" xr:uid="{00000000-0005-0000-0000-00006C2A0000}"/>
    <cellStyle name="Warning Text 30 2 3 12" xfId="8783" xr:uid="{00000000-0005-0000-0000-00006D2A0000}"/>
    <cellStyle name="Warning Text 30 2 3 13" xfId="10020" xr:uid="{00000000-0005-0000-0000-00006E2A0000}"/>
    <cellStyle name="Warning Text 30 2 3 14" xfId="10492" xr:uid="{00000000-0005-0000-0000-00006F2A0000}"/>
    <cellStyle name="Warning Text 30 2 3 15" xfId="10926" xr:uid="{00000000-0005-0000-0000-0000702A0000}"/>
    <cellStyle name="Warning Text 30 2 3 16" xfId="11379" xr:uid="{00000000-0005-0000-0000-0000712A0000}"/>
    <cellStyle name="Warning Text 30 2 3 17" xfId="11848" xr:uid="{00000000-0005-0000-0000-0000722A0000}"/>
    <cellStyle name="Warning Text 30 2 3 18" xfId="12302" xr:uid="{00000000-0005-0000-0000-0000732A0000}"/>
    <cellStyle name="Warning Text 30 2 3 19" xfId="12919" xr:uid="{00000000-0005-0000-0000-0000742A0000}"/>
    <cellStyle name="Warning Text 30 2 3 2" xfId="5131" xr:uid="{00000000-0005-0000-0000-0000752A0000}"/>
    <cellStyle name="Warning Text 30 2 3 3" xfId="5569" xr:uid="{00000000-0005-0000-0000-0000762A0000}"/>
    <cellStyle name="Warning Text 30 2 3 4" xfId="6007" xr:uid="{00000000-0005-0000-0000-0000772A0000}"/>
    <cellStyle name="Warning Text 30 2 3 5" xfId="6444" xr:uid="{00000000-0005-0000-0000-0000782A0000}"/>
    <cellStyle name="Warning Text 30 2 3 6" xfId="6881" xr:uid="{00000000-0005-0000-0000-0000792A0000}"/>
    <cellStyle name="Warning Text 30 2 3 7" xfId="7318" xr:uid="{00000000-0005-0000-0000-00007A2A0000}"/>
    <cellStyle name="Warning Text 30 2 3 8" xfId="7755" xr:uid="{00000000-0005-0000-0000-00007B2A0000}"/>
    <cellStyle name="Warning Text 30 2 3 9" xfId="8603" xr:uid="{00000000-0005-0000-0000-00007C2A0000}"/>
    <cellStyle name="Warning Text 30 3" xfId="4368" xr:uid="{00000000-0005-0000-0000-00007D2A0000}"/>
    <cellStyle name="Warning Text 30 3 10" xfId="8041" xr:uid="{00000000-0005-0000-0000-00007E2A0000}"/>
    <cellStyle name="Warning Text 30 3 11" xfId="9191" xr:uid="{00000000-0005-0000-0000-00007F2A0000}"/>
    <cellStyle name="Warning Text 30 3 12" xfId="8861" xr:uid="{00000000-0005-0000-0000-0000802A0000}"/>
    <cellStyle name="Warning Text 30 3 13" xfId="9804" xr:uid="{00000000-0005-0000-0000-0000812A0000}"/>
    <cellStyle name="Warning Text 30 3 14" xfId="10276" xr:uid="{00000000-0005-0000-0000-0000822A0000}"/>
    <cellStyle name="Warning Text 30 3 15" xfId="10874" xr:uid="{00000000-0005-0000-0000-0000832A0000}"/>
    <cellStyle name="Warning Text 30 3 16" xfId="11163" xr:uid="{00000000-0005-0000-0000-0000842A0000}"/>
    <cellStyle name="Warning Text 30 3 17" xfId="11632" xr:uid="{00000000-0005-0000-0000-0000852A0000}"/>
    <cellStyle name="Warning Text 30 3 18" xfId="12234" xr:uid="{00000000-0005-0000-0000-0000862A0000}"/>
    <cellStyle name="Warning Text 30 3 19" xfId="12703" xr:uid="{00000000-0005-0000-0000-0000872A0000}"/>
    <cellStyle name="Warning Text 30 3 2" xfId="4915" xr:uid="{00000000-0005-0000-0000-0000882A0000}"/>
    <cellStyle name="Warning Text 30 3 3" xfId="5353" xr:uid="{00000000-0005-0000-0000-0000892A0000}"/>
    <cellStyle name="Warning Text 30 3 4" xfId="5791" xr:uid="{00000000-0005-0000-0000-00008A2A0000}"/>
    <cellStyle name="Warning Text 30 3 5" xfId="6228" xr:uid="{00000000-0005-0000-0000-00008B2A0000}"/>
    <cellStyle name="Warning Text 30 3 6" xfId="6665" xr:uid="{00000000-0005-0000-0000-00008C2A0000}"/>
    <cellStyle name="Warning Text 30 3 7" xfId="7102" xr:uid="{00000000-0005-0000-0000-00008D2A0000}"/>
    <cellStyle name="Warning Text 30 3 8" xfId="7539" xr:uid="{00000000-0005-0000-0000-00008E2A0000}"/>
    <cellStyle name="Warning Text 30 3 9" xfId="8387" xr:uid="{00000000-0005-0000-0000-00008F2A0000}"/>
    <cellStyle name="Warning Text 30 4" xfId="4583" xr:uid="{00000000-0005-0000-0000-0000902A0000}"/>
    <cellStyle name="Warning Text 30 4 10" xfId="8700" xr:uid="{00000000-0005-0000-0000-0000912A0000}"/>
    <cellStyle name="Warning Text 30 4 11" xfId="9406" xr:uid="{00000000-0005-0000-0000-0000922A0000}"/>
    <cellStyle name="Warning Text 30 4 12" xfId="8784" xr:uid="{00000000-0005-0000-0000-0000932A0000}"/>
    <cellStyle name="Warning Text 30 4 13" xfId="10019" xr:uid="{00000000-0005-0000-0000-0000942A0000}"/>
    <cellStyle name="Warning Text 30 4 14" xfId="10491" xr:uid="{00000000-0005-0000-0000-0000952A0000}"/>
    <cellStyle name="Warning Text 30 4 15" xfId="10549" xr:uid="{00000000-0005-0000-0000-0000962A0000}"/>
    <cellStyle name="Warning Text 30 4 16" xfId="11378" xr:uid="{00000000-0005-0000-0000-0000972A0000}"/>
    <cellStyle name="Warning Text 30 4 17" xfId="11847" xr:uid="{00000000-0005-0000-0000-0000982A0000}"/>
    <cellStyle name="Warning Text 30 4 18" xfId="12311" xr:uid="{00000000-0005-0000-0000-0000992A0000}"/>
    <cellStyle name="Warning Text 30 4 19" xfId="12918" xr:uid="{00000000-0005-0000-0000-00009A2A0000}"/>
    <cellStyle name="Warning Text 30 4 2" xfId="5130" xr:uid="{00000000-0005-0000-0000-00009B2A0000}"/>
    <cellStyle name="Warning Text 30 4 3" xfId="5568" xr:uid="{00000000-0005-0000-0000-00009C2A0000}"/>
    <cellStyle name="Warning Text 30 4 4" xfId="6006" xr:uid="{00000000-0005-0000-0000-00009D2A0000}"/>
    <cellStyle name="Warning Text 30 4 5" xfId="6443" xr:uid="{00000000-0005-0000-0000-00009E2A0000}"/>
    <cellStyle name="Warning Text 30 4 6" xfId="6880" xr:uid="{00000000-0005-0000-0000-00009F2A0000}"/>
    <cellStyle name="Warning Text 30 4 7" xfId="7317" xr:uid="{00000000-0005-0000-0000-0000A02A0000}"/>
    <cellStyle name="Warning Text 30 4 8" xfId="7754" xr:uid="{00000000-0005-0000-0000-0000A12A0000}"/>
    <cellStyle name="Warning Text 30 4 9" xfId="8602" xr:uid="{00000000-0005-0000-0000-0000A22A0000}"/>
    <cellStyle name="Warning Text 31" xfId="4155" xr:uid="{00000000-0005-0000-0000-0000A32A0000}"/>
    <cellStyle name="Warning Text 31 2" xfId="4156" xr:uid="{00000000-0005-0000-0000-0000A42A0000}"/>
    <cellStyle name="Warning Text 31 2 2" xfId="4371" xr:uid="{00000000-0005-0000-0000-0000A52A0000}"/>
    <cellStyle name="Warning Text 31 2 2 10" xfId="8038" xr:uid="{00000000-0005-0000-0000-0000A62A0000}"/>
    <cellStyle name="Warning Text 31 2 2 11" xfId="9194" xr:uid="{00000000-0005-0000-0000-0000A72A0000}"/>
    <cellStyle name="Warning Text 31 2 2 12" xfId="8858" xr:uid="{00000000-0005-0000-0000-0000A82A0000}"/>
    <cellStyle name="Warning Text 31 2 2 13" xfId="9807" xr:uid="{00000000-0005-0000-0000-0000A92A0000}"/>
    <cellStyle name="Warning Text 31 2 2 14" xfId="10279" xr:uid="{00000000-0005-0000-0000-0000AA2A0000}"/>
    <cellStyle name="Warning Text 31 2 2 15" xfId="10717" xr:uid="{00000000-0005-0000-0000-0000AB2A0000}"/>
    <cellStyle name="Warning Text 31 2 2 16" xfId="11166" xr:uid="{00000000-0005-0000-0000-0000AC2A0000}"/>
    <cellStyle name="Warning Text 31 2 2 17" xfId="11635" xr:uid="{00000000-0005-0000-0000-0000AD2A0000}"/>
    <cellStyle name="Warning Text 31 2 2 18" xfId="12127" xr:uid="{00000000-0005-0000-0000-0000AE2A0000}"/>
    <cellStyle name="Warning Text 31 2 2 19" xfId="12706" xr:uid="{00000000-0005-0000-0000-0000AF2A0000}"/>
    <cellStyle name="Warning Text 31 2 2 2" xfId="4918" xr:uid="{00000000-0005-0000-0000-0000B02A0000}"/>
    <cellStyle name="Warning Text 31 2 2 3" xfId="5356" xr:uid="{00000000-0005-0000-0000-0000B12A0000}"/>
    <cellStyle name="Warning Text 31 2 2 4" xfId="5794" xr:uid="{00000000-0005-0000-0000-0000B22A0000}"/>
    <cellStyle name="Warning Text 31 2 2 5" xfId="6231" xr:uid="{00000000-0005-0000-0000-0000B32A0000}"/>
    <cellStyle name="Warning Text 31 2 2 6" xfId="6668" xr:uid="{00000000-0005-0000-0000-0000B42A0000}"/>
    <cellStyle name="Warning Text 31 2 2 7" xfId="7105" xr:uid="{00000000-0005-0000-0000-0000B52A0000}"/>
    <cellStyle name="Warning Text 31 2 2 8" xfId="7542" xr:uid="{00000000-0005-0000-0000-0000B62A0000}"/>
    <cellStyle name="Warning Text 31 2 2 9" xfId="8390" xr:uid="{00000000-0005-0000-0000-0000B72A0000}"/>
    <cellStyle name="Warning Text 31 2 3" xfId="4586" xr:uid="{00000000-0005-0000-0000-0000B82A0000}"/>
    <cellStyle name="Warning Text 31 2 3 10" xfId="8665" xr:uid="{00000000-0005-0000-0000-0000B92A0000}"/>
    <cellStyle name="Warning Text 31 2 3 11" xfId="9409" xr:uid="{00000000-0005-0000-0000-0000BA2A0000}"/>
    <cellStyle name="Warning Text 31 2 3 12" xfId="8781" xr:uid="{00000000-0005-0000-0000-0000BB2A0000}"/>
    <cellStyle name="Warning Text 31 2 3 13" xfId="10022" xr:uid="{00000000-0005-0000-0000-0000BC2A0000}"/>
    <cellStyle name="Warning Text 31 2 3 14" xfId="10494" xr:uid="{00000000-0005-0000-0000-0000BD2A0000}"/>
    <cellStyle name="Warning Text 31 2 3 15" xfId="10860" xr:uid="{00000000-0005-0000-0000-0000BE2A0000}"/>
    <cellStyle name="Warning Text 31 2 3 16" xfId="11381" xr:uid="{00000000-0005-0000-0000-0000BF2A0000}"/>
    <cellStyle name="Warning Text 31 2 3 17" xfId="11850" xr:uid="{00000000-0005-0000-0000-0000C02A0000}"/>
    <cellStyle name="Warning Text 31 2 3 18" xfId="12225" xr:uid="{00000000-0005-0000-0000-0000C12A0000}"/>
    <cellStyle name="Warning Text 31 2 3 19" xfId="12921" xr:uid="{00000000-0005-0000-0000-0000C22A0000}"/>
    <cellStyle name="Warning Text 31 2 3 2" xfId="5133" xr:uid="{00000000-0005-0000-0000-0000C32A0000}"/>
    <cellStyle name="Warning Text 31 2 3 3" xfId="5571" xr:uid="{00000000-0005-0000-0000-0000C42A0000}"/>
    <cellStyle name="Warning Text 31 2 3 4" xfId="6009" xr:uid="{00000000-0005-0000-0000-0000C52A0000}"/>
    <cellStyle name="Warning Text 31 2 3 5" xfId="6446" xr:uid="{00000000-0005-0000-0000-0000C62A0000}"/>
    <cellStyle name="Warning Text 31 2 3 6" xfId="6883" xr:uid="{00000000-0005-0000-0000-0000C72A0000}"/>
    <cellStyle name="Warning Text 31 2 3 7" xfId="7320" xr:uid="{00000000-0005-0000-0000-0000C82A0000}"/>
    <cellStyle name="Warning Text 31 2 3 8" xfId="7757" xr:uid="{00000000-0005-0000-0000-0000C92A0000}"/>
    <cellStyle name="Warning Text 31 2 3 9" xfId="8605" xr:uid="{00000000-0005-0000-0000-0000CA2A0000}"/>
    <cellStyle name="Warning Text 31 3" xfId="4370" xr:uid="{00000000-0005-0000-0000-0000CB2A0000}"/>
    <cellStyle name="Warning Text 31 3 10" xfId="8039" xr:uid="{00000000-0005-0000-0000-0000CC2A0000}"/>
    <cellStyle name="Warning Text 31 3 11" xfId="9193" xr:uid="{00000000-0005-0000-0000-0000CD2A0000}"/>
    <cellStyle name="Warning Text 31 3 12" xfId="8859" xr:uid="{00000000-0005-0000-0000-0000CE2A0000}"/>
    <cellStyle name="Warning Text 31 3 13" xfId="9806" xr:uid="{00000000-0005-0000-0000-0000CF2A0000}"/>
    <cellStyle name="Warning Text 31 3 14" xfId="10278" xr:uid="{00000000-0005-0000-0000-0000D02A0000}"/>
    <cellStyle name="Warning Text 31 3 15" xfId="10755" xr:uid="{00000000-0005-0000-0000-0000D12A0000}"/>
    <cellStyle name="Warning Text 31 3 16" xfId="11165" xr:uid="{00000000-0005-0000-0000-0000D22A0000}"/>
    <cellStyle name="Warning Text 31 3 17" xfId="11634" xr:uid="{00000000-0005-0000-0000-0000D32A0000}"/>
    <cellStyle name="Warning Text 31 3 18" xfId="12196" xr:uid="{00000000-0005-0000-0000-0000D42A0000}"/>
    <cellStyle name="Warning Text 31 3 19" xfId="12705" xr:uid="{00000000-0005-0000-0000-0000D52A0000}"/>
    <cellStyle name="Warning Text 31 3 2" xfId="4917" xr:uid="{00000000-0005-0000-0000-0000D62A0000}"/>
    <cellStyle name="Warning Text 31 3 3" xfId="5355" xr:uid="{00000000-0005-0000-0000-0000D72A0000}"/>
    <cellStyle name="Warning Text 31 3 4" xfId="5793" xr:uid="{00000000-0005-0000-0000-0000D82A0000}"/>
    <cellStyle name="Warning Text 31 3 5" xfId="6230" xr:uid="{00000000-0005-0000-0000-0000D92A0000}"/>
    <cellStyle name="Warning Text 31 3 6" xfId="6667" xr:uid="{00000000-0005-0000-0000-0000DA2A0000}"/>
    <cellStyle name="Warning Text 31 3 7" xfId="7104" xr:uid="{00000000-0005-0000-0000-0000DB2A0000}"/>
    <cellStyle name="Warning Text 31 3 8" xfId="7541" xr:uid="{00000000-0005-0000-0000-0000DC2A0000}"/>
    <cellStyle name="Warning Text 31 3 9" xfId="8389" xr:uid="{00000000-0005-0000-0000-0000DD2A0000}"/>
    <cellStyle name="Warning Text 31 4" xfId="4585" xr:uid="{00000000-0005-0000-0000-0000DE2A0000}"/>
    <cellStyle name="Warning Text 31 4 10" xfId="8692" xr:uid="{00000000-0005-0000-0000-0000DF2A0000}"/>
    <cellStyle name="Warning Text 31 4 11" xfId="9408" xr:uid="{00000000-0005-0000-0000-0000E02A0000}"/>
    <cellStyle name="Warning Text 31 4 12" xfId="8782" xr:uid="{00000000-0005-0000-0000-0000E12A0000}"/>
    <cellStyle name="Warning Text 31 4 13" xfId="10021" xr:uid="{00000000-0005-0000-0000-0000E22A0000}"/>
    <cellStyle name="Warning Text 31 4 14" xfId="10493" xr:uid="{00000000-0005-0000-0000-0000E32A0000}"/>
    <cellStyle name="Warning Text 31 4 15" xfId="10929" xr:uid="{00000000-0005-0000-0000-0000E42A0000}"/>
    <cellStyle name="Warning Text 31 4 16" xfId="11380" xr:uid="{00000000-0005-0000-0000-0000E52A0000}"/>
    <cellStyle name="Warning Text 31 4 17" xfId="11849" xr:uid="{00000000-0005-0000-0000-0000E62A0000}"/>
    <cellStyle name="Warning Text 31 4 18" xfId="12255" xr:uid="{00000000-0005-0000-0000-0000E72A0000}"/>
    <cellStyle name="Warning Text 31 4 19" xfId="12920" xr:uid="{00000000-0005-0000-0000-0000E82A0000}"/>
    <cellStyle name="Warning Text 31 4 2" xfId="5132" xr:uid="{00000000-0005-0000-0000-0000E92A0000}"/>
    <cellStyle name="Warning Text 31 4 3" xfId="5570" xr:uid="{00000000-0005-0000-0000-0000EA2A0000}"/>
    <cellStyle name="Warning Text 31 4 4" xfId="6008" xr:uid="{00000000-0005-0000-0000-0000EB2A0000}"/>
    <cellStyle name="Warning Text 31 4 5" xfId="6445" xr:uid="{00000000-0005-0000-0000-0000EC2A0000}"/>
    <cellStyle name="Warning Text 31 4 6" xfId="6882" xr:uid="{00000000-0005-0000-0000-0000ED2A0000}"/>
    <cellStyle name="Warning Text 31 4 7" xfId="7319" xr:uid="{00000000-0005-0000-0000-0000EE2A0000}"/>
    <cellStyle name="Warning Text 31 4 8" xfId="7756" xr:uid="{00000000-0005-0000-0000-0000EF2A0000}"/>
    <cellStyle name="Warning Text 31 4 9" xfId="8604" xr:uid="{00000000-0005-0000-0000-0000F02A0000}"/>
    <cellStyle name="Warning Text 32" xfId="4157" xr:uid="{00000000-0005-0000-0000-0000F12A0000}"/>
    <cellStyle name="Warning Text 32 2" xfId="4158" xr:uid="{00000000-0005-0000-0000-0000F22A0000}"/>
    <cellStyle name="Warning Text 32 2 2" xfId="4373" xr:uid="{00000000-0005-0000-0000-0000F32A0000}"/>
    <cellStyle name="Warning Text 32 2 2 10" xfId="8036" xr:uid="{00000000-0005-0000-0000-0000F42A0000}"/>
    <cellStyle name="Warning Text 32 2 2 11" xfId="9196" xr:uid="{00000000-0005-0000-0000-0000F52A0000}"/>
    <cellStyle name="Warning Text 32 2 2 12" xfId="8856" xr:uid="{00000000-0005-0000-0000-0000F62A0000}"/>
    <cellStyle name="Warning Text 32 2 2 13" xfId="9809" xr:uid="{00000000-0005-0000-0000-0000F72A0000}"/>
    <cellStyle name="Warning Text 32 2 2 14" xfId="10281" xr:uid="{00000000-0005-0000-0000-0000F82A0000}"/>
    <cellStyle name="Warning Text 32 2 2 15" xfId="10639" xr:uid="{00000000-0005-0000-0000-0000F92A0000}"/>
    <cellStyle name="Warning Text 32 2 2 16" xfId="11168" xr:uid="{00000000-0005-0000-0000-0000FA2A0000}"/>
    <cellStyle name="Warning Text 32 2 2 17" xfId="11637" xr:uid="{00000000-0005-0000-0000-0000FB2A0000}"/>
    <cellStyle name="Warning Text 32 2 2 18" xfId="11459" xr:uid="{00000000-0005-0000-0000-0000FC2A0000}"/>
    <cellStyle name="Warning Text 32 2 2 19" xfId="12708" xr:uid="{00000000-0005-0000-0000-0000FD2A0000}"/>
    <cellStyle name="Warning Text 32 2 2 2" xfId="4920" xr:uid="{00000000-0005-0000-0000-0000FE2A0000}"/>
    <cellStyle name="Warning Text 32 2 2 3" xfId="5358" xr:uid="{00000000-0005-0000-0000-0000FF2A0000}"/>
    <cellStyle name="Warning Text 32 2 2 4" xfId="5796" xr:uid="{00000000-0005-0000-0000-0000002B0000}"/>
    <cellStyle name="Warning Text 32 2 2 5" xfId="6233" xr:uid="{00000000-0005-0000-0000-0000012B0000}"/>
    <cellStyle name="Warning Text 32 2 2 6" xfId="6670" xr:uid="{00000000-0005-0000-0000-0000022B0000}"/>
    <cellStyle name="Warning Text 32 2 2 7" xfId="7107" xr:uid="{00000000-0005-0000-0000-0000032B0000}"/>
    <cellStyle name="Warning Text 32 2 2 8" xfId="7544" xr:uid="{00000000-0005-0000-0000-0000042B0000}"/>
    <cellStyle name="Warning Text 32 2 2 9" xfId="8392" xr:uid="{00000000-0005-0000-0000-0000052B0000}"/>
    <cellStyle name="Warning Text 32 2 3" xfId="4588" xr:uid="{00000000-0005-0000-0000-0000062B0000}"/>
    <cellStyle name="Warning Text 32 2 3 10" xfId="8704" xr:uid="{00000000-0005-0000-0000-0000072B0000}"/>
    <cellStyle name="Warning Text 32 2 3 11" xfId="9411" xr:uid="{00000000-0005-0000-0000-0000082B0000}"/>
    <cellStyle name="Warning Text 32 2 3 12" xfId="8779" xr:uid="{00000000-0005-0000-0000-0000092B0000}"/>
    <cellStyle name="Warning Text 32 2 3 13" xfId="10024" xr:uid="{00000000-0005-0000-0000-00000A2B0000}"/>
    <cellStyle name="Warning Text 32 2 3 14" xfId="10496" xr:uid="{00000000-0005-0000-0000-00000B2B0000}"/>
    <cellStyle name="Warning Text 32 2 3 15" xfId="10804" xr:uid="{00000000-0005-0000-0000-00000C2B0000}"/>
    <cellStyle name="Warning Text 32 2 3 16" xfId="11383" xr:uid="{00000000-0005-0000-0000-00000D2B0000}"/>
    <cellStyle name="Warning Text 32 2 3 17" xfId="11852" xr:uid="{00000000-0005-0000-0000-00000E2B0000}"/>
    <cellStyle name="Warning Text 32 2 3 18" xfId="12187" xr:uid="{00000000-0005-0000-0000-00000F2B0000}"/>
    <cellStyle name="Warning Text 32 2 3 19" xfId="12923" xr:uid="{00000000-0005-0000-0000-0000102B0000}"/>
    <cellStyle name="Warning Text 32 2 3 2" xfId="5135" xr:uid="{00000000-0005-0000-0000-0000112B0000}"/>
    <cellStyle name="Warning Text 32 2 3 3" xfId="5573" xr:uid="{00000000-0005-0000-0000-0000122B0000}"/>
    <cellStyle name="Warning Text 32 2 3 4" xfId="6011" xr:uid="{00000000-0005-0000-0000-0000132B0000}"/>
    <cellStyle name="Warning Text 32 2 3 5" xfId="6448" xr:uid="{00000000-0005-0000-0000-0000142B0000}"/>
    <cellStyle name="Warning Text 32 2 3 6" xfId="6885" xr:uid="{00000000-0005-0000-0000-0000152B0000}"/>
    <cellStyle name="Warning Text 32 2 3 7" xfId="7322" xr:uid="{00000000-0005-0000-0000-0000162B0000}"/>
    <cellStyle name="Warning Text 32 2 3 8" xfId="7759" xr:uid="{00000000-0005-0000-0000-0000172B0000}"/>
    <cellStyle name="Warning Text 32 2 3 9" xfId="8607" xr:uid="{00000000-0005-0000-0000-0000182B0000}"/>
    <cellStyle name="Warning Text 32 3" xfId="4372" xr:uid="{00000000-0005-0000-0000-0000192B0000}"/>
    <cellStyle name="Warning Text 32 3 10" xfId="8037" xr:uid="{00000000-0005-0000-0000-00001A2B0000}"/>
    <cellStyle name="Warning Text 32 3 11" xfId="9195" xr:uid="{00000000-0005-0000-0000-00001B2B0000}"/>
    <cellStyle name="Warning Text 32 3 12" xfId="8857" xr:uid="{00000000-0005-0000-0000-00001C2B0000}"/>
    <cellStyle name="Warning Text 32 3 13" xfId="9808" xr:uid="{00000000-0005-0000-0000-00001D2B0000}"/>
    <cellStyle name="Warning Text 32 3 14" xfId="10280" xr:uid="{00000000-0005-0000-0000-00001E2B0000}"/>
    <cellStyle name="Warning Text 32 3 15" xfId="10678" xr:uid="{00000000-0005-0000-0000-00001F2B0000}"/>
    <cellStyle name="Warning Text 32 3 16" xfId="11167" xr:uid="{00000000-0005-0000-0000-0000202B0000}"/>
    <cellStyle name="Warning Text 32 3 17" xfId="11636" xr:uid="{00000000-0005-0000-0000-0000212B0000}"/>
    <cellStyle name="Warning Text 32 3 18" xfId="11460" xr:uid="{00000000-0005-0000-0000-0000222B0000}"/>
    <cellStyle name="Warning Text 32 3 19" xfId="12707" xr:uid="{00000000-0005-0000-0000-0000232B0000}"/>
    <cellStyle name="Warning Text 32 3 2" xfId="4919" xr:uid="{00000000-0005-0000-0000-0000242B0000}"/>
    <cellStyle name="Warning Text 32 3 3" xfId="5357" xr:uid="{00000000-0005-0000-0000-0000252B0000}"/>
    <cellStyle name="Warning Text 32 3 4" xfId="5795" xr:uid="{00000000-0005-0000-0000-0000262B0000}"/>
    <cellStyle name="Warning Text 32 3 5" xfId="6232" xr:uid="{00000000-0005-0000-0000-0000272B0000}"/>
    <cellStyle name="Warning Text 32 3 6" xfId="6669" xr:uid="{00000000-0005-0000-0000-0000282B0000}"/>
    <cellStyle name="Warning Text 32 3 7" xfId="7106" xr:uid="{00000000-0005-0000-0000-0000292B0000}"/>
    <cellStyle name="Warning Text 32 3 8" xfId="7543" xr:uid="{00000000-0005-0000-0000-00002A2B0000}"/>
    <cellStyle name="Warning Text 32 3 9" xfId="8391" xr:uid="{00000000-0005-0000-0000-00002B2B0000}"/>
    <cellStyle name="Warning Text 32 4" xfId="4587" xr:uid="{00000000-0005-0000-0000-00002C2B0000}"/>
    <cellStyle name="Warning Text 32 4 10" xfId="8687" xr:uid="{00000000-0005-0000-0000-00002D2B0000}"/>
    <cellStyle name="Warning Text 32 4 11" xfId="9410" xr:uid="{00000000-0005-0000-0000-00002E2B0000}"/>
    <cellStyle name="Warning Text 32 4 12" xfId="8780" xr:uid="{00000000-0005-0000-0000-00002F2B0000}"/>
    <cellStyle name="Warning Text 32 4 13" xfId="10023" xr:uid="{00000000-0005-0000-0000-0000302B0000}"/>
    <cellStyle name="Warning Text 32 4 14" xfId="10495" xr:uid="{00000000-0005-0000-0000-0000312B0000}"/>
    <cellStyle name="Warning Text 32 4 15" xfId="10885" xr:uid="{00000000-0005-0000-0000-0000322B0000}"/>
    <cellStyle name="Warning Text 32 4 16" xfId="11382" xr:uid="{00000000-0005-0000-0000-0000332B0000}"/>
    <cellStyle name="Warning Text 32 4 17" xfId="11851" xr:uid="{00000000-0005-0000-0000-0000342B0000}"/>
    <cellStyle name="Warning Text 32 4 18" xfId="12186" xr:uid="{00000000-0005-0000-0000-0000352B0000}"/>
    <cellStyle name="Warning Text 32 4 19" xfId="12922" xr:uid="{00000000-0005-0000-0000-0000362B0000}"/>
    <cellStyle name="Warning Text 32 4 2" xfId="5134" xr:uid="{00000000-0005-0000-0000-0000372B0000}"/>
    <cellStyle name="Warning Text 32 4 3" xfId="5572" xr:uid="{00000000-0005-0000-0000-0000382B0000}"/>
    <cellStyle name="Warning Text 32 4 4" xfId="6010" xr:uid="{00000000-0005-0000-0000-0000392B0000}"/>
    <cellStyle name="Warning Text 32 4 5" xfId="6447" xr:uid="{00000000-0005-0000-0000-00003A2B0000}"/>
    <cellStyle name="Warning Text 32 4 6" xfId="6884" xr:uid="{00000000-0005-0000-0000-00003B2B0000}"/>
    <cellStyle name="Warning Text 32 4 7" xfId="7321" xr:uid="{00000000-0005-0000-0000-00003C2B0000}"/>
    <cellStyle name="Warning Text 32 4 8" xfId="7758" xr:uid="{00000000-0005-0000-0000-00003D2B0000}"/>
    <cellStyle name="Warning Text 32 4 9" xfId="8606" xr:uid="{00000000-0005-0000-0000-00003E2B0000}"/>
    <cellStyle name="Warning Text 33" xfId="4159" xr:uid="{00000000-0005-0000-0000-00003F2B0000}"/>
    <cellStyle name="Warning Text 33 2" xfId="4160" xr:uid="{00000000-0005-0000-0000-0000402B0000}"/>
    <cellStyle name="Warning Text 33 2 2" xfId="4375" xr:uid="{00000000-0005-0000-0000-0000412B0000}"/>
    <cellStyle name="Warning Text 33 2 2 10" xfId="8034" xr:uid="{00000000-0005-0000-0000-0000422B0000}"/>
    <cellStyle name="Warning Text 33 2 2 11" xfId="9198" xr:uid="{00000000-0005-0000-0000-0000432B0000}"/>
    <cellStyle name="Warning Text 33 2 2 12" xfId="8854" xr:uid="{00000000-0005-0000-0000-0000442B0000}"/>
    <cellStyle name="Warning Text 33 2 2 13" xfId="9811" xr:uid="{00000000-0005-0000-0000-0000452B0000}"/>
    <cellStyle name="Warning Text 33 2 2 14" xfId="10283" xr:uid="{00000000-0005-0000-0000-0000462B0000}"/>
    <cellStyle name="Warning Text 33 2 2 15" xfId="10560" xr:uid="{00000000-0005-0000-0000-0000472B0000}"/>
    <cellStyle name="Warning Text 33 2 2 16" xfId="11170" xr:uid="{00000000-0005-0000-0000-0000482B0000}"/>
    <cellStyle name="Warning Text 33 2 2 17" xfId="11639" xr:uid="{00000000-0005-0000-0000-0000492B0000}"/>
    <cellStyle name="Warning Text 33 2 2 18" xfId="12099" xr:uid="{00000000-0005-0000-0000-00004A2B0000}"/>
    <cellStyle name="Warning Text 33 2 2 19" xfId="12710" xr:uid="{00000000-0005-0000-0000-00004B2B0000}"/>
    <cellStyle name="Warning Text 33 2 2 2" xfId="4922" xr:uid="{00000000-0005-0000-0000-00004C2B0000}"/>
    <cellStyle name="Warning Text 33 2 2 3" xfId="5360" xr:uid="{00000000-0005-0000-0000-00004D2B0000}"/>
    <cellStyle name="Warning Text 33 2 2 4" xfId="5798" xr:uid="{00000000-0005-0000-0000-00004E2B0000}"/>
    <cellStyle name="Warning Text 33 2 2 5" xfId="6235" xr:uid="{00000000-0005-0000-0000-00004F2B0000}"/>
    <cellStyle name="Warning Text 33 2 2 6" xfId="6672" xr:uid="{00000000-0005-0000-0000-0000502B0000}"/>
    <cellStyle name="Warning Text 33 2 2 7" xfId="7109" xr:uid="{00000000-0005-0000-0000-0000512B0000}"/>
    <cellStyle name="Warning Text 33 2 2 8" xfId="7546" xr:uid="{00000000-0005-0000-0000-0000522B0000}"/>
    <cellStyle name="Warning Text 33 2 2 9" xfId="8394" xr:uid="{00000000-0005-0000-0000-0000532B0000}"/>
    <cellStyle name="Warning Text 33 2 3" xfId="4590" xr:uid="{00000000-0005-0000-0000-0000542B0000}"/>
    <cellStyle name="Warning Text 33 2 3 10" xfId="8699" xr:uid="{00000000-0005-0000-0000-0000552B0000}"/>
    <cellStyle name="Warning Text 33 2 3 11" xfId="9413" xr:uid="{00000000-0005-0000-0000-0000562B0000}"/>
    <cellStyle name="Warning Text 33 2 3 12" xfId="8777" xr:uid="{00000000-0005-0000-0000-0000572B0000}"/>
    <cellStyle name="Warning Text 33 2 3 13" xfId="10026" xr:uid="{00000000-0005-0000-0000-0000582B0000}"/>
    <cellStyle name="Warning Text 33 2 3 14" xfId="10498" xr:uid="{00000000-0005-0000-0000-0000592B0000}"/>
    <cellStyle name="Warning Text 33 2 3 15" xfId="10727" xr:uid="{00000000-0005-0000-0000-00005A2B0000}"/>
    <cellStyle name="Warning Text 33 2 3 16" xfId="11385" xr:uid="{00000000-0005-0000-0000-00005B2B0000}"/>
    <cellStyle name="Warning Text 33 2 3 17" xfId="11854" xr:uid="{00000000-0005-0000-0000-00005C2B0000}"/>
    <cellStyle name="Warning Text 33 2 3 18" xfId="12153" xr:uid="{00000000-0005-0000-0000-00005D2B0000}"/>
    <cellStyle name="Warning Text 33 2 3 19" xfId="12925" xr:uid="{00000000-0005-0000-0000-00005E2B0000}"/>
    <cellStyle name="Warning Text 33 2 3 2" xfId="5137" xr:uid="{00000000-0005-0000-0000-00005F2B0000}"/>
    <cellStyle name="Warning Text 33 2 3 3" xfId="5575" xr:uid="{00000000-0005-0000-0000-0000602B0000}"/>
    <cellStyle name="Warning Text 33 2 3 4" xfId="6013" xr:uid="{00000000-0005-0000-0000-0000612B0000}"/>
    <cellStyle name="Warning Text 33 2 3 5" xfId="6450" xr:uid="{00000000-0005-0000-0000-0000622B0000}"/>
    <cellStyle name="Warning Text 33 2 3 6" xfId="6887" xr:uid="{00000000-0005-0000-0000-0000632B0000}"/>
    <cellStyle name="Warning Text 33 2 3 7" xfId="7324" xr:uid="{00000000-0005-0000-0000-0000642B0000}"/>
    <cellStyle name="Warning Text 33 2 3 8" xfId="7761" xr:uid="{00000000-0005-0000-0000-0000652B0000}"/>
    <cellStyle name="Warning Text 33 2 3 9" xfId="8609" xr:uid="{00000000-0005-0000-0000-0000662B0000}"/>
    <cellStyle name="Warning Text 33 3" xfId="4374" xr:uid="{00000000-0005-0000-0000-0000672B0000}"/>
    <cellStyle name="Warning Text 33 3 10" xfId="8035" xr:uid="{00000000-0005-0000-0000-0000682B0000}"/>
    <cellStyle name="Warning Text 33 3 11" xfId="9197" xr:uid="{00000000-0005-0000-0000-0000692B0000}"/>
    <cellStyle name="Warning Text 33 3 12" xfId="8855" xr:uid="{00000000-0005-0000-0000-00006A2B0000}"/>
    <cellStyle name="Warning Text 33 3 13" xfId="9810" xr:uid="{00000000-0005-0000-0000-00006B2B0000}"/>
    <cellStyle name="Warning Text 33 3 14" xfId="10282" xr:uid="{00000000-0005-0000-0000-00006C2B0000}"/>
    <cellStyle name="Warning Text 33 3 15" xfId="10600" xr:uid="{00000000-0005-0000-0000-00006D2B0000}"/>
    <cellStyle name="Warning Text 33 3 16" xfId="11169" xr:uid="{00000000-0005-0000-0000-00006E2B0000}"/>
    <cellStyle name="Warning Text 33 3 17" xfId="11638" xr:uid="{00000000-0005-0000-0000-00006F2B0000}"/>
    <cellStyle name="Warning Text 33 3 18" xfId="12158" xr:uid="{00000000-0005-0000-0000-0000702B0000}"/>
    <cellStyle name="Warning Text 33 3 19" xfId="12709" xr:uid="{00000000-0005-0000-0000-0000712B0000}"/>
    <cellStyle name="Warning Text 33 3 2" xfId="4921" xr:uid="{00000000-0005-0000-0000-0000722B0000}"/>
    <cellStyle name="Warning Text 33 3 3" xfId="5359" xr:uid="{00000000-0005-0000-0000-0000732B0000}"/>
    <cellStyle name="Warning Text 33 3 4" xfId="5797" xr:uid="{00000000-0005-0000-0000-0000742B0000}"/>
    <cellStyle name="Warning Text 33 3 5" xfId="6234" xr:uid="{00000000-0005-0000-0000-0000752B0000}"/>
    <cellStyle name="Warning Text 33 3 6" xfId="6671" xr:uid="{00000000-0005-0000-0000-0000762B0000}"/>
    <cellStyle name="Warning Text 33 3 7" xfId="7108" xr:uid="{00000000-0005-0000-0000-0000772B0000}"/>
    <cellStyle name="Warning Text 33 3 8" xfId="7545" xr:uid="{00000000-0005-0000-0000-0000782B0000}"/>
    <cellStyle name="Warning Text 33 3 9" xfId="8393" xr:uid="{00000000-0005-0000-0000-0000792B0000}"/>
    <cellStyle name="Warning Text 33 4" xfId="4589" xr:uid="{00000000-0005-0000-0000-00007A2B0000}"/>
    <cellStyle name="Warning Text 33 4 10" xfId="8674" xr:uid="{00000000-0005-0000-0000-00007B2B0000}"/>
    <cellStyle name="Warning Text 33 4 11" xfId="9412" xr:uid="{00000000-0005-0000-0000-00007C2B0000}"/>
    <cellStyle name="Warning Text 33 4 12" xfId="8778" xr:uid="{00000000-0005-0000-0000-00007D2B0000}"/>
    <cellStyle name="Warning Text 33 4 13" xfId="10025" xr:uid="{00000000-0005-0000-0000-00007E2B0000}"/>
    <cellStyle name="Warning Text 33 4 14" xfId="10497" xr:uid="{00000000-0005-0000-0000-00007F2B0000}"/>
    <cellStyle name="Warning Text 33 4 15" xfId="10765" xr:uid="{00000000-0005-0000-0000-0000802B0000}"/>
    <cellStyle name="Warning Text 33 4 16" xfId="11384" xr:uid="{00000000-0005-0000-0000-0000812B0000}"/>
    <cellStyle name="Warning Text 33 4 17" xfId="11853" xr:uid="{00000000-0005-0000-0000-0000822B0000}"/>
    <cellStyle name="Warning Text 33 4 18" xfId="12135" xr:uid="{00000000-0005-0000-0000-0000832B0000}"/>
    <cellStyle name="Warning Text 33 4 19" xfId="12924" xr:uid="{00000000-0005-0000-0000-0000842B0000}"/>
    <cellStyle name="Warning Text 33 4 2" xfId="5136" xr:uid="{00000000-0005-0000-0000-0000852B0000}"/>
    <cellStyle name="Warning Text 33 4 3" xfId="5574" xr:uid="{00000000-0005-0000-0000-0000862B0000}"/>
    <cellStyle name="Warning Text 33 4 4" xfId="6012" xr:uid="{00000000-0005-0000-0000-0000872B0000}"/>
    <cellStyle name="Warning Text 33 4 5" xfId="6449" xr:uid="{00000000-0005-0000-0000-0000882B0000}"/>
    <cellStyle name="Warning Text 33 4 6" xfId="6886" xr:uid="{00000000-0005-0000-0000-0000892B0000}"/>
    <cellStyle name="Warning Text 33 4 7" xfId="7323" xr:uid="{00000000-0005-0000-0000-00008A2B0000}"/>
    <cellStyle name="Warning Text 33 4 8" xfId="7760" xr:uid="{00000000-0005-0000-0000-00008B2B0000}"/>
    <cellStyle name="Warning Text 33 4 9" xfId="8608" xr:uid="{00000000-0005-0000-0000-00008C2B0000}"/>
    <cellStyle name="Warning Text 34" xfId="4161" xr:uid="{00000000-0005-0000-0000-00008D2B0000}"/>
    <cellStyle name="Warning Text 34 2" xfId="4162" xr:uid="{00000000-0005-0000-0000-00008E2B0000}"/>
    <cellStyle name="Warning Text 34 2 2" xfId="4377" xr:uid="{00000000-0005-0000-0000-00008F2B0000}"/>
    <cellStyle name="Warning Text 34 2 2 10" xfId="8032" xr:uid="{00000000-0005-0000-0000-0000902B0000}"/>
    <cellStyle name="Warning Text 34 2 2 11" xfId="9200" xr:uid="{00000000-0005-0000-0000-0000912B0000}"/>
    <cellStyle name="Warning Text 34 2 2 12" xfId="8852" xr:uid="{00000000-0005-0000-0000-0000922B0000}"/>
    <cellStyle name="Warning Text 34 2 2 13" xfId="9813" xr:uid="{00000000-0005-0000-0000-0000932B0000}"/>
    <cellStyle name="Warning Text 34 2 2 14" xfId="10285" xr:uid="{00000000-0005-0000-0000-0000942B0000}"/>
    <cellStyle name="Warning Text 34 2 2 15" xfId="10940" xr:uid="{00000000-0005-0000-0000-0000952B0000}"/>
    <cellStyle name="Warning Text 34 2 2 16" xfId="11172" xr:uid="{00000000-0005-0000-0000-0000962B0000}"/>
    <cellStyle name="Warning Text 34 2 2 17" xfId="11641" xr:uid="{00000000-0005-0000-0000-0000972B0000}"/>
    <cellStyle name="Warning Text 34 2 2 18" xfId="12040" xr:uid="{00000000-0005-0000-0000-0000982B0000}"/>
    <cellStyle name="Warning Text 34 2 2 19" xfId="12712" xr:uid="{00000000-0005-0000-0000-0000992B0000}"/>
    <cellStyle name="Warning Text 34 2 2 2" xfId="4924" xr:uid="{00000000-0005-0000-0000-00009A2B0000}"/>
    <cellStyle name="Warning Text 34 2 2 3" xfId="5362" xr:uid="{00000000-0005-0000-0000-00009B2B0000}"/>
    <cellStyle name="Warning Text 34 2 2 4" xfId="5800" xr:uid="{00000000-0005-0000-0000-00009C2B0000}"/>
    <cellStyle name="Warning Text 34 2 2 5" xfId="6237" xr:uid="{00000000-0005-0000-0000-00009D2B0000}"/>
    <cellStyle name="Warning Text 34 2 2 6" xfId="6674" xr:uid="{00000000-0005-0000-0000-00009E2B0000}"/>
    <cellStyle name="Warning Text 34 2 2 7" xfId="7111" xr:uid="{00000000-0005-0000-0000-00009F2B0000}"/>
    <cellStyle name="Warning Text 34 2 2 8" xfId="7548" xr:uid="{00000000-0005-0000-0000-0000A02B0000}"/>
    <cellStyle name="Warning Text 34 2 2 9" xfId="8396" xr:uid="{00000000-0005-0000-0000-0000A12B0000}"/>
    <cellStyle name="Warning Text 34 2 3" xfId="4592" xr:uid="{00000000-0005-0000-0000-0000A22B0000}"/>
    <cellStyle name="Warning Text 34 2 3 10" xfId="8691" xr:uid="{00000000-0005-0000-0000-0000A32B0000}"/>
    <cellStyle name="Warning Text 34 2 3 11" xfId="9415" xr:uid="{00000000-0005-0000-0000-0000A42B0000}"/>
    <cellStyle name="Warning Text 34 2 3 12" xfId="8775" xr:uid="{00000000-0005-0000-0000-0000A52B0000}"/>
    <cellStyle name="Warning Text 34 2 3 13" xfId="10028" xr:uid="{00000000-0005-0000-0000-0000A62B0000}"/>
    <cellStyle name="Warning Text 34 2 3 14" xfId="10500" xr:uid="{00000000-0005-0000-0000-0000A72B0000}"/>
    <cellStyle name="Warning Text 34 2 3 15" xfId="10649" xr:uid="{00000000-0005-0000-0000-0000A82B0000}"/>
    <cellStyle name="Warning Text 34 2 3 16" xfId="11387" xr:uid="{00000000-0005-0000-0000-0000A92B0000}"/>
    <cellStyle name="Warning Text 34 2 3 17" xfId="11856" xr:uid="{00000000-0005-0000-0000-0000AA2B0000}"/>
    <cellStyle name="Warning Text 34 2 3 18" xfId="12064" xr:uid="{00000000-0005-0000-0000-0000AB2B0000}"/>
    <cellStyle name="Warning Text 34 2 3 19" xfId="12927" xr:uid="{00000000-0005-0000-0000-0000AC2B0000}"/>
    <cellStyle name="Warning Text 34 2 3 2" xfId="5139" xr:uid="{00000000-0005-0000-0000-0000AD2B0000}"/>
    <cellStyle name="Warning Text 34 2 3 3" xfId="5577" xr:uid="{00000000-0005-0000-0000-0000AE2B0000}"/>
    <cellStyle name="Warning Text 34 2 3 4" xfId="6015" xr:uid="{00000000-0005-0000-0000-0000AF2B0000}"/>
    <cellStyle name="Warning Text 34 2 3 5" xfId="6452" xr:uid="{00000000-0005-0000-0000-0000B02B0000}"/>
    <cellStyle name="Warning Text 34 2 3 6" xfId="6889" xr:uid="{00000000-0005-0000-0000-0000B12B0000}"/>
    <cellStyle name="Warning Text 34 2 3 7" xfId="7326" xr:uid="{00000000-0005-0000-0000-0000B22B0000}"/>
    <cellStyle name="Warning Text 34 2 3 8" xfId="7763" xr:uid="{00000000-0005-0000-0000-0000B32B0000}"/>
    <cellStyle name="Warning Text 34 2 3 9" xfId="8611" xr:uid="{00000000-0005-0000-0000-0000B42B0000}"/>
    <cellStyle name="Warning Text 34 3" xfId="4376" xr:uid="{00000000-0005-0000-0000-0000B52B0000}"/>
    <cellStyle name="Warning Text 34 3 10" xfId="8033" xr:uid="{00000000-0005-0000-0000-0000B62B0000}"/>
    <cellStyle name="Warning Text 34 3 11" xfId="9199" xr:uid="{00000000-0005-0000-0000-0000B72B0000}"/>
    <cellStyle name="Warning Text 34 3 12" xfId="8853" xr:uid="{00000000-0005-0000-0000-0000B82B0000}"/>
    <cellStyle name="Warning Text 34 3 13" xfId="9812" xr:uid="{00000000-0005-0000-0000-0000B92B0000}"/>
    <cellStyle name="Warning Text 34 3 14" xfId="10284" xr:uid="{00000000-0005-0000-0000-0000BA2B0000}"/>
    <cellStyle name="Warning Text 34 3 15" xfId="10915" xr:uid="{00000000-0005-0000-0000-0000BB2B0000}"/>
    <cellStyle name="Warning Text 34 3 16" xfId="11171" xr:uid="{00000000-0005-0000-0000-0000BC2B0000}"/>
    <cellStyle name="Warning Text 34 3 17" xfId="11640" xr:uid="{00000000-0005-0000-0000-0000BD2B0000}"/>
    <cellStyle name="Warning Text 34 3 18" xfId="12069" xr:uid="{00000000-0005-0000-0000-0000BE2B0000}"/>
    <cellStyle name="Warning Text 34 3 19" xfId="12711" xr:uid="{00000000-0005-0000-0000-0000BF2B0000}"/>
    <cellStyle name="Warning Text 34 3 2" xfId="4923" xr:uid="{00000000-0005-0000-0000-0000C02B0000}"/>
    <cellStyle name="Warning Text 34 3 3" xfId="5361" xr:uid="{00000000-0005-0000-0000-0000C12B0000}"/>
    <cellStyle name="Warning Text 34 3 4" xfId="5799" xr:uid="{00000000-0005-0000-0000-0000C22B0000}"/>
    <cellStyle name="Warning Text 34 3 5" xfId="6236" xr:uid="{00000000-0005-0000-0000-0000C32B0000}"/>
    <cellStyle name="Warning Text 34 3 6" xfId="6673" xr:uid="{00000000-0005-0000-0000-0000C42B0000}"/>
    <cellStyle name="Warning Text 34 3 7" xfId="7110" xr:uid="{00000000-0005-0000-0000-0000C52B0000}"/>
    <cellStyle name="Warning Text 34 3 8" xfId="7547" xr:uid="{00000000-0005-0000-0000-0000C62B0000}"/>
    <cellStyle name="Warning Text 34 3 9" xfId="8395" xr:uid="{00000000-0005-0000-0000-0000C72B0000}"/>
    <cellStyle name="Warning Text 34 4" xfId="4591" xr:uid="{00000000-0005-0000-0000-0000C82B0000}"/>
    <cellStyle name="Warning Text 34 4 10" xfId="8661" xr:uid="{00000000-0005-0000-0000-0000C92B0000}"/>
    <cellStyle name="Warning Text 34 4 11" xfId="9414" xr:uid="{00000000-0005-0000-0000-0000CA2B0000}"/>
    <cellStyle name="Warning Text 34 4 12" xfId="8776" xr:uid="{00000000-0005-0000-0000-0000CB2B0000}"/>
    <cellStyle name="Warning Text 34 4 13" xfId="10027" xr:uid="{00000000-0005-0000-0000-0000CC2B0000}"/>
    <cellStyle name="Warning Text 34 4 14" xfId="10499" xr:uid="{00000000-0005-0000-0000-0000CD2B0000}"/>
    <cellStyle name="Warning Text 34 4 15" xfId="10688" xr:uid="{00000000-0005-0000-0000-0000CE2B0000}"/>
    <cellStyle name="Warning Text 34 4 16" xfId="11386" xr:uid="{00000000-0005-0000-0000-0000CF2B0000}"/>
    <cellStyle name="Warning Text 34 4 17" xfId="11855" xr:uid="{00000000-0005-0000-0000-0000D02B0000}"/>
    <cellStyle name="Warning Text 34 4 18" xfId="12094" xr:uid="{00000000-0005-0000-0000-0000D12B0000}"/>
    <cellStyle name="Warning Text 34 4 19" xfId="12926" xr:uid="{00000000-0005-0000-0000-0000D22B0000}"/>
    <cellStyle name="Warning Text 34 4 2" xfId="5138" xr:uid="{00000000-0005-0000-0000-0000D32B0000}"/>
    <cellStyle name="Warning Text 34 4 3" xfId="5576" xr:uid="{00000000-0005-0000-0000-0000D42B0000}"/>
    <cellStyle name="Warning Text 34 4 4" xfId="6014" xr:uid="{00000000-0005-0000-0000-0000D52B0000}"/>
    <cellStyle name="Warning Text 34 4 5" xfId="6451" xr:uid="{00000000-0005-0000-0000-0000D62B0000}"/>
    <cellStyle name="Warning Text 34 4 6" xfId="6888" xr:uid="{00000000-0005-0000-0000-0000D72B0000}"/>
    <cellStyle name="Warning Text 34 4 7" xfId="7325" xr:uid="{00000000-0005-0000-0000-0000D82B0000}"/>
    <cellStyle name="Warning Text 34 4 8" xfId="7762" xr:uid="{00000000-0005-0000-0000-0000D92B0000}"/>
    <cellStyle name="Warning Text 34 4 9" xfId="8610" xr:uid="{00000000-0005-0000-0000-0000DA2B0000}"/>
    <cellStyle name="Warning Text 35" xfId="4163" xr:uid="{00000000-0005-0000-0000-0000DB2B0000}"/>
    <cellStyle name="Warning Text 35 2" xfId="4164" xr:uid="{00000000-0005-0000-0000-0000DC2B0000}"/>
    <cellStyle name="Warning Text 35 2 2" xfId="4379" xr:uid="{00000000-0005-0000-0000-0000DD2B0000}"/>
    <cellStyle name="Warning Text 35 2 2 10" xfId="8031" xr:uid="{00000000-0005-0000-0000-0000DE2B0000}"/>
    <cellStyle name="Warning Text 35 2 2 11" xfId="9202" xr:uid="{00000000-0005-0000-0000-0000DF2B0000}"/>
    <cellStyle name="Warning Text 35 2 2 12" xfId="8850" xr:uid="{00000000-0005-0000-0000-0000E02B0000}"/>
    <cellStyle name="Warning Text 35 2 2 13" xfId="9815" xr:uid="{00000000-0005-0000-0000-0000E12B0000}"/>
    <cellStyle name="Warning Text 35 2 2 14" xfId="10287" xr:uid="{00000000-0005-0000-0000-0000E22B0000}"/>
    <cellStyle name="Warning Text 35 2 2 15" xfId="10104" xr:uid="{00000000-0005-0000-0000-0000E32B0000}"/>
    <cellStyle name="Warning Text 35 2 2 16" xfId="11174" xr:uid="{00000000-0005-0000-0000-0000E42B0000}"/>
    <cellStyle name="Warning Text 35 2 2 17" xfId="11643" xr:uid="{00000000-0005-0000-0000-0000E52B0000}"/>
    <cellStyle name="Warning Text 35 2 2 18" xfId="11983" xr:uid="{00000000-0005-0000-0000-0000E62B0000}"/>
    <cellStyle name="Warning Text 35 2 2 19" xfId="12714" xr:uid="{00000000-0005-0000-0000-0000E72B0000}"/>
    <cellStyle name="Warning Text 35 2 2 2" xfId="4926" xr:uid="{00000000-0005-0000-0000-0000E82B0000}"/>
    <cellStyle name="Warning Text 35 2 2 3" xfId="5364" xr:uid="{00000000-0005-0000-0000-0000E92B0000}"/>
    <cellStyle name="Warning Text 35 2 2 4" xfId="5802" xr:uid="{00000000-0005-0000-0000-0000EA2B0000}"/>
    <cellStyle name="Warning Text 35 2 2 5" xfId="6239" xr:uid="{00000000-0005-0000-0000-0000EB2B0000}"/>
    <cellStyle name="Warning Text 35 2 2 6" xfId="6676" xr:uid="{00000000-0005-0000-0000-0000EC2B0000}"/>
    <cellStyle name="Warning Text 35 2 2 7" xfId="7113" xr:uid="{00000000-0005-0000-0000-0000ED2B0000}"/>
    <cellStyle name="Warning Text 35 2 2 8" xfId="7550" xr:uid="{00000000-0005-0000-0000-0000EE2B0000}"/>
    <cellStyle name="Warning Text 35 2 2 9" xfId="8398" xr:uid="{00000000-0005-0000-0000-0000EF2B0000}"/>
    <cellStyle name="Warning Text 35 2 3" xfId="4594" xr:uid="{00000000-0005-0000-0000-0000F02B0000}"/>
    <cellStyle name="Warning Text 35 2 3 10" xfId="8686" xr:uid="{00000000-0005-0000-0000-0000F12B0000}"/>
    <cellStyle name="Warning Text 35 2 3 11" xfId="9417" xr:uid="{00000000-0005-0000-0000-0000F22B0000}"/>
    <cellStyle name="Warning Text 35 2 3 12" xfId="8773" xr:uid="{00000000-0005-0000-0000-0000F32B0000}"/>
    <cellStyle name="Warning Text 35 2 3 13" xfId="10030" xr:uid="{00000000-0005-0000-0000-0000F42B0000}"/>
    <cellStyle name="Warning Text 35 2 3 14" xfId="10502" xr:uid="{00000000-0005-0000-0000-0000F52B0000}"/>
    <cellStyle name="Warning Text 35 2 3 15" xfId="10570" xr:uid="{00000000-0005-0000-0000-0000F62B0000}"/>
    <cellStyle name="Warning Text 35 2 3 16" xfId="11389" xr:uid="{00000000-0005-0000-0000-0000F72B0000}"/>
    <cellStyle name="Warning Text 35 2 3 17" xfId="11858" xr:uid="{00000000-0005-0000-0000-0000F82B0000}"/>
    <cellStyle name="Warning Text 35 2 3 18" xfId="12006" xr:uid="{00000000-0005-0000-0000-0000F92B0000}"/>
    <cellStyle name="Warning Text 35 2 3 19" xfId="12929" xr:uid="{00000000-0005-0000-0000-0000FA2B0000}"/>
    <cellStyle name="Warning Text 35 2 3 2" xfId="5141" xr:uid="{00000000-0005-0000-0000-0000FB2B0000}"/>
    <cellStyle name="Warning Text 35 2 3 3" xfId="5579" xr:uid="{00000000-0005-0000-0000-0000FC2B0000}"/>
    <cellStyle name="Warning Text 35 2 3 4" xfId="6017" xr:uid="{00000000-0005-0000-0000-0000FD2B0000}"/>
    <cellStyle name="Warning Text 35 2 3 5" xfId="6454" xr:uid="{00000000-0005-0000-0000-0000FE2B0000}"/>
    <cellStyle name="Warning Text 35 2 3 6" xfId="6891" xr:uid="{00000000-0005-0000-0000-0000FF2B0000}"/>
    <cellStyle name="Warning Text 35 2 3 7" xfId="7328" xr:uid="{00000000-0005-0000-0000-0000002C0000}"/>
    <cellStyle name="Warning Text 35 2 3 8" xfId="7765" xr:uid="{00000000-0005-0000-0000-0000012C0000}"/>
    <cellStyle name="Warning Text 35 2 3 9" xfId="8613" xr:uid="{00000000-0005-0000-0000-0000022C0000}"/>
    <cellStyle name="Warning Text 35 3" xfId="4378" xr:uid="{00000000-0005-0000-0000-0000032C0000}"/>
    <cellStyle name="Warning Text 35 3 10" xfId="7812" xr:uid="{00000000-0005-0000-0000-0000042C0000}"/>
    <cellStyle name="Warning Text 35 3 11" xfId="9201" xr:uid="{00000000-0005-0000-0000-0000052C0000}"/>
    <cellStyle name="Warning Text 35 3 12" xfId="8851" xr:uid="{00000000-0005-0000-0000-0000062C0000}"/>
    <cellStyle name="Warning Text 35 3 13" xfId="9814" xr:uid="{00000000-0005-0000-0000-0000072C0000}"/>
    <cellStyle name="Warning Text 35 3 14" xfId="10286" xr:uid="{00000000-0005-0000-0000-0000082C0000}"/>
    <cellStyle name="Warning Text 35 3 15" xfId="10849" xr:uid="{00000000-0005-0000-0000-0000092C0000}"/>
    <cellStyle name="Warning Text 35 3 16" xfId="11173" xr:uid="{00000000-0005-0000-0000-00000A2C0000}"/>
    <cellStyle name="Warning Text 35 3 17" xfId="11642" xr:uid="{00000000-0005-0000-0000-00000B2C0000}"/>
    <cellStyle name="Warning Text 35 3 18" xfId="12011" xr:uid="{00000000-0005-0000-0000-00000C2C0000}"/>
    <cellStyle name="Warning Text 35 3 19" xfId="12713" xr:uid="{00000000-0005-0000-0000-00000D2C0000}"/>
    <cellStyle name="Warning Text 35 3 2" xfId="4925" xr:uid="{00000000-0005-0000-0000-00000E2C0000}"/>
    <cellStyle name="Warning Text 35 3 3" xfId="5363" xr:uid="{00000000-0005-0000-0000-00000F2C0000}"/>
    <cellStyle name="Warning Text 35 3 4" xfId="5801" xr:uid="{00000000-0005-0000-0000-0000102C0000}"/>
    <cellStyle name="Warning Text 35 3 5" xfId="6238" xr:uid="{00000000-0005-0000-0000-0000112C0000}"/>
    <cellStyle name="Warning Text 35 3 6" xfId="6675" xr:uid="{00000000-0005-0000-0000-0000122C0000}"/>
    <cellStyle name="Warning Text 35 3 7" xfId="7112" xr:uid="{00000000-0005-0000-0000-0000132C0000}"/>
    <cellStyle name="Warning Text 35 3 8" xfId="7549" xr:uid="{00000000-0005-0000-0000-0000142C0000}"/>
    <cellStyle name="Warning Text 35 3 9" xfId="8397" xr:uid="{00000000-0005-0000-0000-0000152C0000}"/>
    <cellStyle name="Warning Text 35 4" xfId="4593" xr:uid="{00000000-0005-0000-0000-0000162C0000}"/>
    <cellStyle name="Warning Text 35 4 10" xfId="8666" xr:uid="{00000000-0005-0000-0000-0000172C0000}"/>
    <cellStyle name="Warning Text 35 4 11" xfId="9416" xr:uid="{00000000-0005-0000-0000-0000182C0000}"/>
    <cellStyle name="Warning Text 35 4 12" xfId="8774" xr:uid="{00000000-0005-0000-0000-0000192C0000}"/>
    <cellStyle name="Warning Text 35 4 13" xfId="10029" xr:uid="{00000000-0005-0000-0000-00001A2C0000}"/>
    <cellStyle name="Warning Text 35 4 14" xfId="10501" xr:uid="{00000000-0005-0000-0000-00001B2C0000}"/>
    <cellStyle name="Warning Text 35 4 15" xfId="10609" xr:uid="{00000000-0005-0000-0000-00001C2C0000}"/>
    <cellStyle name="Warning Text 35 4 16" xfId="11388" xr:uid="{00000000-0005-0000-0000-00001D2C0000}"/>
    <cellStyle name="Warning Text 35 4 17" xfId="11857" xr:uid="{00000000-0005-0000-0000-00001E2C0000}"/>
    <cellStyle name="Warning Text 35 4 18" xfId="12035" xr:uid="{00000000-0005-0000-0000-00001F2C0000}"/>
    <cellStyle name="Warning Text 35 4 19" xfId="12928" xr:uid="{00000000-0005-0000-0000-0000202C0000}"/>
    <cellStyle name="Warning Text 35 4 2" xfId="5140" xr:uid="{00000000-0005-0000-0000-0000212C0000}"/>
    <cellStyle name="Warning Text 35 4 3" xfId="5578" xr:uid="{00000000-0005-0000-0000-0000222C0000}"/>
    <cellStyle name="Warning Text 35 4 4" xfId="6016" xr:uid="{00000000-0005-0000-0000-0000232C0000}"/>
    <cellStyle name="Warning Text 35 4 5" xfId="6453" xr:uid="{00000000-0005-0000-0000-0000242C0000}"/>
    <cellStyle name="Warning Text 35 4 6" xfId="6890" xr:uid="{00000000-0005-0000-0000-0000252C0000}"/>
    <cellStyle name="Warning Text 35 4 7" xfId="7327" xr:uid="{00000000-0005-0000-0000-0000262C0000}"/>
    <cellStyle name="Warning Text 35 4 8" xfId="7764" xr:uid="{00000000-0005-0000-0000-0000272C0000}"/>
    <cellStyle name="Warning Text 35 4 9" xfId="8612" xr:uid="{00000000-0005-0000-0000-0000282C0000}"/>
    <cellStyle name="Warning Text 36" xfId="4165" xr:uid="{00000000-0005-0000-0000-0000292C0000}"/>
    <cellStyle name="Warning Text 36 2" xfId="4166" xr:uid="{00000000-0005-0000-0000-00002A2C0000}"/>
    <cellStyle name="Warning Text 36 2 2" xfId="4381" xr:uid="{00000000-0005-0000-0000-00002B2C0000}"/>
    <cellStyle name="Warning Text 36 2 2 10" xfId="8029" xr:uid="{00000000-0005-0000-0000-00002C2C0000}"/>
    <cellStyle name="Warning Text 36 2 2 11" xfId="9204" xr:uid="{00000000-0005-0000-0000-00002D2C0000}"/>
    <cellStyle name="Warning Text 36 2 2 12" xfId="8848" xr:uid="{00000000-0005-0000-0000-00002E2C0000}"/>
    <cellStyle name="Warning Text 36 2 2 13" xfId="9817" xr:uid="{00000000-0005-0000-0000-00002F2C0000}"/>
    <cellStyle name="Warning Text 36 2 2 14" xfId="10289" xr:uid="{00000000-0005-0000-0000-0000302C0000}"/>
    <cellStyle name="Warning Text 36 2 2 15" xfId="10892" xr:uid="{00000000-0005-0000-0000-0000312C0000}"/>
    <cellStyle name="Warning Text 36 2 2 16" xfId="11176" xr:uid="{00000000-0005-0000-0000-0000322C0000}"/>
    <cellStyle name="Warning Text 36 2 2 17" xfId="11645" xr:uid="{00000000-0005-0000-0000-0000332C0000}"/>
    <cellStyle name="Warning Text 36 2 2 18" xfId="11925" xr:uid="{00000000-0005-0000-0000-0000342C0000}"/>
    <cellStyle name="Warning Text 36 2 2 19" xfId="12716" xr:uid="{00000000-0005-0000-0000-0000352C0000}"/>
    <cellStyle name="Warning Text 36 2 2 2" xfId="4928" xr:uid="{00000000-0005-0000-0000-0000362C0000}"/>
    <cellStyle name="Warning Text 36 2 2 3" xfId="5366" xr:uid="{00000000-0005-0000-0000-0000372C0000}"/>
    <cellStyle name="Warning Text 36 2 2 4" xfId="5804" xr:uid="{00000000-0005-0000-0000-0000382C0000}"/>
    <cellStyle name="Warning Text 36 2 2 5" xfId="6241" xr:uid="{00000000-0005-0000-0000-0000392C0000}"/>
    <cellStyle name="Warning Text 36 2 2 6" xfId="6678" xr:uid="{00000000-0005-0000-0000-00003A2C0000}"/>
    <cellStyle name="Warning Text 36 2 2 7" xfId="7115" xr:uid="{00000000-0005-0000-0000-00003B2C0000}"/>
    <cellStyle name="Warning Text 36 2 2 8" xfId="7552" xr:uid="{00000000-0005-0000-0000-00003C2C0000}"/>
    <cellStyle name="Warning Text 36 2 2 9" xfId="8400" xr:uid="{00000000-0005-0000-0000-00003D2C0000}"/>
    <cellStyle name="Warning Text 36 2 3" xfId="4596" xr:uid="{00000000-0005-0000-0000-00003E2C0000}"/>
    <cellStyle name="Warning Text 36 2 3 10" xfId="8675" xr:uid="{00000000-0005-0000-0000-00003F2C0000}"/>
    <cellStyle name="Warning Text 36 2 3 11" xfId="9419" xr:uid="{00000000-0005-0000-0000-0000402C0000}"/>
    <cellStyle name="Warning Text 36 2 3 12" xfId="8771" xr:uid="{00000000-0005-0000-0000-0000412C0000}"/>
    <cellStyle name="Warning Text 36 2 3 13" xfId="10032" xr:uid="{00000000-0005-0000-0000-0000422C0000}"/>
    <cellStyle name="Warning Text 36 2 3 14" xfId="10504" xr:uid="{00000000-0005-0000-0000-0000432C0000}"/>
    <cellStyle name="Warning Text 36 2 3 15" xfId="10950" xr:uid="{00000000-0005-0000-0000-0000442C0000}"/>
    <cellStyle name="Warning Text 36 2 3 16" xfId="11391" xr:uid="{00000000-0005-0000-0000-0000452C0000}"/>
    <cellStyle name="Warning Text 36 2 3 17" xfId="11860" xr:uid="{00000000-0005-0000-0000-0000462C0000}"/>
    <cellStyle name="Warning Text 36 2 3 18" xfId="11949" xr:uid="{00000000-0005-0000-0000-0000472C0000}"/>
    <cellStyle name="Warning Text 36 2 3 19" xfId="12931" xr:uid="{00000000-0005-0000-0000-0000482C0000}"/>
    <cellStyle name="Warning Text 36 2 3 2" xfId="5143" xr:uid="{00000000-0005-0000-0000-0000492C0000}"/>
    <cellStyle name="Warning Text 36 2 3 3" xfId="5581" xr:uid="{00000000-0005-0000-0000-00004A2C0000}"/>
    <cellStyle name="Warning Text 36 2 3 4" xfId="6019" xr:uid="{00000000-0005-0000-0000-00004B2C0000}"/>
    <cellStyle name="Warning Text 36 2 3 5" xfId="6456" xr:uid="{00000000-0005-0000-0000-00004C2C0000}"/>
    <cellStyle name="Warning Text 36 2 3 6" xfId="6893" xr:uid="{00000000-0005-0000-0000-00004D2C0000}"/>
    <cellStyle name="Warning Text 36 2 3 7" xfId="7330" xr:uid="{00000000-0005-0000-0000-00004E2C0000}"/>
    <cellStyle name="Warning Text 36 2 3 8" xfId="7767" xr:uid="{00000000-0005-0000-0000-00004F2C0000}"/>
    <cellStyle name="Warning Text 36 2 3 9" xfId="8615" xr:uid="{00000000-0005-0000-0000-0000502C0000}"/>
    <cellStyle name="Warning Text 36 3" xfId="4380" xr:uid="{00000000-0005-0000-0000-0000512C0000}"/>
    <cellStyle name="Warning Text 36 3 10" xfId="8030" xr:uid="{00000000-0005-0000-0000-0000522C0000}"/>
    <cellStyle name="Warning Text 36 3 11" xfId="9203" xr:uid="{00000000-0005-0000-0000-0000532C0000}"/>
    <cellStyle name="Warning Text 36 3 12" xfId="8849" xr:uid="{00000000-0005-0000-0000-0000542C0000}"/>
    <cellStyle name="Warning Text 36 3 13" xfId="9816" xr:uid="{00000000-0005-0000-0000-0000552C0000}"/>
    <cellStyle name="Warning Text 36 3 14" xfId="10288" xr:uid="{00000000-0005-0000-0000-0000562C0000}"/>
    <cellStyle name="Warning Text 36 3 15" xfId="10103" xr:uid="{00000000-0005-0000-0000-0000572C0000}"/>
    <cellStyle name="Warning Text 36 3 16" xfId="11175" xr:uid="{00000000-0005-0000-0000-0000582C0000}"/>
    <cellStyle name="Warning Text 36 3 17" xfId="11644" xr:uid="{00000000-0005-0000-0000-0000592C0000}"/>
    <cellStyle name="Warning Text 36 3 18" xfId="11954" xr:uid="{00000000-0005-0000-0000-00005A2C0000}"/>
    <cellStyle name="Warning Text 36 3 19" xfId="12715" xr:uid="{00000000-0005-0000-0000-00005B2C0000}"/>
    <cellStyle name="Warning Text 36 3 2" xfId="4927" xr:uid="{00000000-0005-0000-0000-00005C2C0000}"/>
    <cellStyle name="Warning Text 36 3 3" xfId="5365" xr:uid="{00000000-0005-0000-0000-00005D2C0000}"/>
    <cellStyle name="Warning Text 36 3 4" xfId="5803" xr:uid="{00000000-0005-0000-0000-00005E2C0000}"/>
    <cellStyle name="Warning Text 36 3 5" xfId="6240" xr:uid="{00000000-0005-0000-0000-00005F2C0000}"/>
    <cellStyle name="Warning Text 36 3 6" xfId="6677" xr:uid="{00000000-0005-0000-0000-0000602C0000}"/>
    <cellStyle name="Warning Text 36 3 7" xfId="7114" xr:uid="{00000000-0005-0000-0000-0000612C0000}"/>
    <cellStyle name="Warning Text 36 3 8" xfId="7551" xr:uid="{00000000-0005-0000-0000-0000622C0000}"/>
    <cellStyle name="Warning Text 36 3 9" xfId="8399" xr:uid="{00000000-0005-0000-0000-0000632C0000}"/>
    <cellStyle name="Warning Text 36 4" xfId="4595" xr:uid="{00000000-0005-0000-0000-0000642C0000}"/>
    <cellStyle name="Warning Text 36 4 10" xfId="8703" xr:uid="{00000000-0005-0000-0000-0000652C0000}"/>
    <cellStyle name="Warning Text 36 4 11" xfId="9418" xr:uid="{00000000-0005-0000-0000-0000662C0000}"/>
    <cellStyle name="Warning Text 36 4 12" xfId="8772" xr:uid="{00000000-0005-0000-0000-0000672C0000}"/>
    <cellStyle name="Warning Text 36 4 13" xfId="10031" xr:uid="{00000000-0005-0000-0000-0000682C0000}"/>
    <cellStyle name="Warning Text 36 4 14" xfId="10503" xr:uid="{00000000-0005-0000-0000-0000692C0000}"/>
    <cellStyle name="Warning Text 36 4 15" xfId="10908" xr:uid="{00000000-0005-0000-0000-00006A2C0000}"/>
    <cellStyle name="Warning Text 36 4 16" xfId="11390" xr:uid="{00000000-0005-0000-0000-00006B2C0000}"/>
    <cellStyle name="Warning Text 36 4 17" xfId="11859" xr:uid="{00000000-0005-0000-0000-00006C2C0000}"/>
    <cellStyle name="Warning Text 36 4 18" xfId="11978" xr:uid="{00000000-0005-0000-0000-00006D2C0000}"/>
    <cellStyle name="Warning Text 36 4 19" xfId="12930" xr:uid="{00000000-0005-0000-0000-00006E2C0000}"/>
    <cellStyle name="Warning Text 36 4 2" xfId="5142" xr:uid="{00000000-0005-0000-0000-00006F2C0000}"/>
    <cellStyle name="Warning Text 36 4 3" xfId="5580" xr:uid="{00000000-0005-0000-0000-0000702C0000}"/>
    <cellStyle name="Warning Text 36 4 4" xfId="6018" xr:uid="{00000000-0005-0000-0000-0000712C0000}"/>
    <cellStyle name="Warning Text 36 4 5" xfId="6455" xr:uid="{00000000-0005-0000-0000-0000722C0000}"/>
    <cellStyle name="Warning Text 36 4 6" xfId="6892" xr:uid="{00000000-0005-0000-0000-0000732C0000}"/>
    <cellStyle name="Warning Text 36 4 7" xfId="7329" xr:uid="{00000000-0005-0000-0000-0000742C0000}"/>
    <cellStyle name="Warning Text 36 4 8" xfId="7766" xr:uid="{00000000-0005-0000-0000-0000752C0000}"/>
    <cellStyle name="Warning Text 36 4 9" xfId="8614" xr:uid="{00000000-0005-0000-0000-0000762C0000}"/>
    <cellStyle name="Warning Text 37" xfId="4167" xr:uid="{00000000-0005-0000-0000-0000772C0000}"/>
    <cellStyle name="Warning Text 37 2" xfId="4168" xr:uid="{00000000-0005-0000-0000-0000782C0000}"/>
    <cellStyle name="Warning Text 37 2 2" xfId="4383" xr:uid="{00000000-0005-0000-0000-0000792C0000}"/>
    <cellStyle name="Warning Text 37 2 2 10" xfId="8027" xr:uid="{00000000-0005-0000-0000-00007A2C0000}"/>
    <cellStyle name="Warning Text 37 2 2 11" xfId="9206" xr:uid="{00000000-0005-0000-0000-00007B2C0000}"/>
    <cellStyle name="Warning Text 37 2 2 12" xfId="8846" xr:uid="{00000000-0005-0000-0000-00007C2C0000}"/>
    <cellStyle name="Warning Text 37 2 2 13" xfId="9819" xr:uid="{00000000-0005-0000-0000-00007D2C0000}"/>
    <cellStyle name="Warning Text 37 2 2 14" xfId="10291" xr:uid="{00000000-0005-0000-0000-00007E2C0000}"/>
    <cellStyle name="Warning Text 37 2 2 15" xfId="10772" xr:uid="{00000000-0005-0000-0000-00007F2C0000}"/>
    <cellStyle name="Warning Text 37 2 2 16" xfId="11178" xr:uid="{00000000-0005-0000-0000-0000802C0000}"/>
    <cellStyle name="Warning Text 37 2 2 17" xfId="11647" xr:uid="{00000000-0005-0000-0000-0000812C0000}"/>
    <cellStyle name="Warning Text 37 2 2 18" xfId="12297" xr:uid="{00000000-0005-0000-0000-0000822C0000}"/>
    <cellStyle name="Warning Text 37 2 2 19" xfId="12718" xr:uid="{00000000-0005-0000-0000-0000832C0000}"/>
    <cellStyle name="Warning Text 37 2 2 2" xfId="4930" xr:uid="{00000000-0005-0000-0000-0000842C0000}"/>
    <cellStyle name="Warning Text 37 2 2 3" xfId="5368" xr:uid="{00000000-0005-0000-0000-0000852C0000}"/>
    <cellStyle name="Warning Text 37 2 2 4" xfId="5806" xr:uid="{00000000-0005-0000-0000-0000862C0000}"/>
    <cellStyle name="Warning Text 37 2 2 5" xfId="6243" xr:uid="{00000000-0005-0000-0000-0000872C0000}"/>
    <cellStyle name="Warning Text 37 2 2 6" xfId="6680" xr:uid="{00000000-0005-0000-0000-0000882C0000}"/>
    <cellStyle name="Warning Text 37 2 2 7" xfId="7117" xr:uid="{00000000-0005-0000-0000-0000892C0000}"/>
    <cellStyle name="Warning Text 37 2 2 8" xfId="7554" xr:uid="{00000000-0005-0000-0000-00008A2C0000}"/>
    <cellStyle name="Warning Text 37 2 2 9" xfId="8402" xr:uid="{00000000-0005-0000-0000-00008B2C0000}"/>
    <cellStyle name="Warning Text 37 2 3" xfId="4598" xr:uid="{00000000-0005-0000-0000-00008C2C0000}"/>
    <cellStyle name="Warning Text 37 2 3 10" xfId="8662" xr:uid="{00000000-0005-0000-0000-00008D2C0000}"/>
    <cellStyle name="Warning Text 37 2 3 11" xfId="9421" xr:uid="{00000000-0005-0000-0000-00008E2C0000}"/>
    <cellStyle name="Warning Text 37 2 3 12" xfId="8769" xr:uid="{00000000-0005-0000-0000-00008F2C0000}"/>
    <cellStyle name="Warning Text 37 2 3 13" xfId="10034" xr:uid="{00000000-0005-0000-0000-0000902C0000}"/>
    <cellStyle name="Warning Text 37 2 3 14" xfId="10506" xr:uid="{00000000-0005-0000-0000-0000912C0000}"/>
    <cellStyle name="Warning Text 37 2 3 15" xfId="10864" xr:uid="{00000000-0005-0000-0000-0000922C0000}"/>
    <cellStyle name="Warning Text 37 2 3 16" xfId="11393" xr:uid="{00000000-0005-0000-0000-0000932C0000}"/>
    <cellStyle name="Warning Text 37 2 3 17" xfId="11862" xr:uid="{00000000-0005-0000-0000-0000942C0000}"/>
    <cellStyle name="Warning Text 37 2 3 18" xfId="12328" xr:uid="{00000000-0005-0000-0000-0000952C0000}"/>
    <cellStyle name="Warning Text 37 2 3 19" xfId="12933" xr:uid="{00000000-0005-0000-0000-0000962C0000}"/>
    <cellStyle name="Warning Text 37 2 3 2" xfId="5145" xr:uid="{00000000-0005-0000-0000-0000972C0000}"/>
    <cellStyle name="Warning Text 37 2 3 3" xfId="5583" xr:uid="{00000000-0005-0000-0000-0000982C0000}"/>
    <cellStyle name="Warning Text 37 2 3 4" xfId="6021" xr:uid="{00000000-0005-0000-0000-0000992C0000}"/>
    <cellStyle name="Warning Text 37 2 3 5" xfId="6458" xr:uid="{00000000-0005-0000-0000-00009A2C0000}"/>
    <cellStyle name="Warning Text 37 2 3 6" xfId="6895" xr:uid="{00000000-0005-0000-0000-00009B2C0000}"/>
    <cellStyle name="Warning Text 37 2 3 7" xfId="7332" xr:uid="{00000000-0005-0000-0000-00009C2C0000}"/>
    <cellStyle name="Warning Text 37 2 3 8" xfId="7769" xr:uid="{00000000-0005-0000-0000-00009D2C0000}"/>
    <cellStyle name="Warning Text 37 2 3 9" xfId="8617" xr:uid="{00000000-0005-0000-0000-00009E2C0000}"/>
    <cellStyle name="Warning Text 37 3" xfId="4382" xr:uid="{00000000-0005-0000-0000-00009F2C0000}"/>
    <cellStyle name="Warning Text 37 3 10" xfId="8028" xr:uid="{00000000-0005-0000-0000-0000A02C0000}"/>
    <cellStyle name="Warning Text 37 3 11" xfId="9205" xr:uid="{00000000-0005-0000-0000-0000A12C0000}"/>
    <cellStyle name="Warning Text 37 3 12" xfId="8847" xr:uid="{00000000-0005-0000-0000-0000A22C0000}"/>
    <cellStyle name="Warning Text 37 3 13" xfId="9818" xr:uid="{00000000-0005-0000-0000-0000A32C0000}"/>
    <cellStyle name="Warning Text 37 3 14" xfId="10290" xr:uid="{00000000-0005-0000-0000-0000A42C0000}"/>
    <cellStyle name="Warning Text 37 3 15" xfId="10811" xr:uid="{00000000-0005-0000-0000-0000A52C0000}"/>
    <cellStyle name="Warning Text 37 3 16" xfId="11177" xr:uid="{00000000-0005-0000-0000-0000A62C0000}"/>
    <cellStyle name="Warning Text 37 3 17" xfId="11646" xr:uid="{00000000-0005-0000-0000-0000A72C0000}"/>
    <cellStyle name="Warning Text 37 3 18" xfId="12333" xr:uid="{00000000-0005-0000-0000-0000A82C0000}"/>
    <cellStyle name="Warning Text 37 3 19" xfId="12717" xr:uid="{00000000-0005-0000-0000-0000A92C0000}"/>
    <cellStyle name="Warning Text 37 3 2" xfId="4929" xr:uid="{00000000-0005-0000-0000-0000AA2C0000}"/>
    <cellStyle name="Warning Text 37 3 3" xfId="5367" xr:uid="{00000000-0005-0000-0000-0000AB2C0000}"/>
    <cellStyle name="Warning Text 37 3 4" xfId="5805" xr:uid="{00000000-0005-0000-0000-0000AC2C0000}"/>
    <cellStyle name="Warning Text 37 3 5" xfId="6242" xr:uid="{00000000-0005-0000-0000-0000AD2C0000}"/>
    <cellStyle name="Warning Text 37 3 6" xfId="6679" xr:uid="{00000000-0005-0000-0000-0000AE2C0000}"/>
    <cellStyle name="Warning Text 37 3 7" xfId="7116" xr:uid="{00000000-0005-0000-0000-0000AF2C0000}"/>
    <cellStyle name="Warning Text 37 3 8" xfId="7553" xr:uid="{00000000-0005-0000-0000-0000B02C0000}"/>
    <cellStyle name="Warning Text 37 3 9" xfId="8401" xr:uid="{00000000-0005-0000-0000-0000B12C0000}"/>
    <cellStyle name="Warning Text 37 4" xfId="4597" xr:uid="{00000000-0005-0000-0000-0000B22C0000}"/>
    <cellStyle name="Warning Text 37 4 10" xfId="8698" xr:uid="{00000000-0005-0000-0000-0000B32C0000}"/>
    <cellStyle name="Warning Text 37 4 11" xfId="9420" xr:uid="{00000000-0005-0000-0000-0000B42C0000}"/>
    <cellStyle name="Warning Text 37 4 12" xfId="8770" xr:uid="{00000000-0005-0000-0000-0000B52C0000}"/>
    <cellStyle name="Warning Text 37 4 13" xfId="10033" xr:uid="{00000000-0005-0000-0000-0000B62C0000}"/>
    <cellStyle name="Warning Text 37 4 14" xfId="10505" xr:uid="{00000000-0005-0000-0000-0000B72C0000}"/>
    <cellStyle name="Warning Text 37 4 15" xfId="10839" xr:uid="{00000000-0005-0000-0000-0000B82C0000}"/>
    <cellStyle name="Warning Text 37 4 16" xfId="11392" xr:uid="{00000000-0005-0000-0000-0000B92C0000}"/>
    <cellStyle name="Warning Text 37 4 17" xfId="11861" xr:uid="{00000000-0005-0000-0000-0000BA2C0000}"/>
    <cellStyle name="Warning Text 37 4 18" xfId="11920" xr:uid="{00000000-0005-0000-0000-0000BB2C0000}"/>
    <cellStyle name="Warning Text 37 4 19" xfId="12932" xr:uid="{00000000-0005-0000-0000-0000BC2C0000}"/>
    <cellStyle name="Warning Text 37 4 2" xfId="5144" xr:uid="{00000000-0005-0000-0000-0000BD2C0000}"/>
    <cellStyle name="Warning Text 37 4 3" xfId="5582" xr:uid="{00000000-0005-0000-0000-0000BE2C0000}"/>
    <cellStyle name="Warning Text 37 4 4" xfId="6020" xr:uid="{00000000-0005-0000-0000-0000BF2C0000}"/>
    <cellStyle name="Warning Text 37 4 5" xfId="6457" xr:uid="{00000000-0005-0000-0000-0000C02C0000}"/>
    <cellStyle name="Warning Text 37 4 6" xfId="6894" xr:uid="{00000000-0005-0000-0000-0000C12C0000}"/>
    <cellStyle name="Warning Text 37 4 7" xfId="7331" xr:uid="{00000000-0005-0000-0000-0000C22C0000}"/>
    <cellStyle name="Warning Text 37 4 8" xfId="7768" xr:uid="{00000000-0005-0000-0000-0000C32C0000}"/>
    <cellStyle name="Warning Text 37 4 9" xfId="8616" xr:uid="{00000000-0005-0000-0000-0000C42C0000}"/>
    <cellStyle name="Warning Text 38" xfId="4169" xr:uid="{00000000-0005-0000-0000-0000C52C0000}"/>
    <cellStyle name="Warning Text 38 2" xfId="4170" xr:uid="{00000000-0005-0000-0000-0000C62C0000}"/>
    <cellStyle name="Warning Text 38 2 2" xfId="4385" xr:uid="{00000000-0005-0000-0000-0000C72C0000}"/>
    <cellStyle name="Warning Text 38 2 2 10" xfId="8025" xr:uid="{00000000-0005-0000-0000-0000C82C0000}"/>
    <cellStyle name="Warning Text 38 2 2 11" xfId="9208" xr:uid="{00000000-0005-0000-0000-0000C92C0000}"/>
    <cellStyle name="Warning Text 38 2 2 12" xfId="9587" xr:uid="{00000000-0005-0000-0000-0000CA2C0000}"/>
    <cellStyle name="Warning Text 38 2 2 13" xfId="9821" xr:uid="{00000000-0005-0000-0000-0000CB2C0000}"/>
    <cellStyle name="Warning Text 38 2 2 14" xfId="10293" xr:uid="{00000000-0005-0000-0000-0000CC2C0000}"/>
    <cellStyle name="Warning Text 38 2 2 15" xfId="10695" xr:uid="{00000000-0005-0000-0000-0000CD2C0000}"/>
    <cellStyle name="Warning Text 38 2 2 16" xfId="11180" xr:uid="{00000000-0005-0000-0000-0000CE2C0000}"/>
    <cellStyle name="Warning Text 38 2 2 17" xfId="11649" xr:uid="{00000000-0005-0000-0000-0000CF2C0000}"/>
    <cellStyle name="Warning Text 38 2 2 18" xfId="12246" xr:uid="{00000000-0005-0000-0000-0000D02C0000}"/>
    <cellStyle name="Warning Text 38 2 2 19" xfId="12720" xr:uid="{00000000-0005-0000-0000-0000D12C0000}"/>
    <cellStyle name="Warning Text 38 2 2 2" xfId="4932" xr:uid="{00000000-0005-0000-0000-0000D22C0000}"/>
    <cellStyle name="Warning Text 38 2 2 3" xfId="5370" xr:uid="{00000000-0005-0000-0000-0000D32C0000}"/>
    <cellStyle name="Warning Text 38 2 2 4" xfId="5808" xr:uid="{00000000-0005-0000-0000-0000D42C0000}"/>
    <cellStyle name="Warning Text 38 2 2 5" xfId="6245" xr:uid="{00000000-0005-0000-0000-0000D52C0000}"/>
    <cellStyle name="Warning Text 38 2 2 6" xfId="6682" xr:uid="{00000000-0005-0000-0000-0000D62C0000}"/>
    <cellStyle name="Warning Text 38 2 2 7" xfId="7119" xr:uid="{00000000-0005-0000-0000-0000D72C0000}"/>
    <cellStyle name="Warning Text 38 2 2 8" xfId="7556" xr:uid="{00000000-0005-0000-0000-0000D82C0000}"/>
    <cellStyle name="Warning Text 38 2 2 9" xfId="8404" xr:uid="{00000000-0005-0000-0000-0000D92C0000}"/>
    <cellStyle name="Warning Text 38 2 3" xfId="4600" xr:uid="{00000000-0005-0000-0000-0000DA2C0000}"/>
    <cellStyle name="Warning Text 38 2 3 10" xfId="8667" xr:uid="{00000000-0005-0000-0000-0000DB2C0000}"/>
    <cellStyle name="Warning Text 38 2 3 11" xfId="9423" xr:uid="{00000000-0005-0000-0000-0000DC2C0000}"/>
    <cellStyle name="Warning Text 38 2 3 12" xfId="8767" xr:uid="{00000000-0005-0000-0000-0000DD2C0000}"/>
    <cellStyle name="Warning Text 38 2 3 13" xfId="10036" xr:uid="{00000000-0005-0000-0000-0000DE2C0000}"/>
    <cellStyle name="Warning Text 38 2 3 14" xfId="10508" xr:uid="{00000000-0005-0000-0000-0000DF2C0000}"/>
    <cellStyle name="Warning Text 38 2 3 15" xfId="10745" xr:uid="{00000000-0005-0000-0000-0000E02C0000}"/>
    <cellStyle name="Warning Text 38 2 3 16" xfId="11395" xr:uid="{00000000-0005-0000-0000-0000E12C0000}"/>
    <cellStyle name="Warning Text 38 2 3 17" xfId="11864" xr:uid="{00000000-0005-0000-0000-0000E22C0000}"/>
    <cellStyle name="Warning Text 38 2 3 18" xfId="12272" xr:uid="{00000000-0005-0000-0000-0000E32C0000}"/>
    <cellStyle name="Warning Text 38 2 3 19" xfId="12935" xr:uid="{00000000-0005-0000-0000-0000E42C0000}"/>
    <cellStyle name="Warning Text 38 2 3 2" xfId="5147" xr:uid="{00000000-0005-0000-0000-0000E52C0000}"/>
    <cellStyle name="Warning Text 38 2 3 3" xfId="5585" xr:uid="{00000000-0005-0000-0000-0000E62C0000}"/>
    <cellStyle name="Warning Text 38 2 3 4" xfId="6023" xr:uid="{00000000-0005-0000-0000-0000E72C0000}"/>
    <cellStyle name="Warning Text 38 2 3 5" xfId="6460" xr:uid="{00000000-0005-0000-0000-0000E82C0000}"/>
    <cellStyle name="Warning Text 38 2 3 6" xfId="6897" xr:uid="{00000000-0005-0000-0000-0000E92C0000}"/>
    <cellStyle name="Warning Text 38 2 3 7" xfId="7334" xr:uid="{00000000-0005-0000-0000-0000EA2C0000}"/>
    <cellStyle name="Warning Text 38 2 3 8" xfId="7771" xr:uid="{00000000-0005-0000-0000-0000EB2C0000}"/>
    <cellStyle name="Warning Text 38 2 3 9" xfId="8619" xr:uid="{00000000-0005-0000-0000-0000EC2C0000}"/>
    <cellStyle name="Warning Text 38 3" xfId="4384" xr:uid="{00000000-0005-0000-0000-0000ED2C0000}"/>
    <cellStyle name="Warning Text 38 3 10" xfId="8026" xr:uid="{00000000-0005-0000-0000-0000EE2C0000}"/>
    <cellStyle name="Warning Text 38 3 11" xfId="9207" xr:uid="{00000000-0005-0000-0000-0000EF2C0000}"/>
    <cellStyle name="Warning Text 38 3 12" xfId="8719" xr:uid="{00000000-0005-0000-0000-0000F02C0000}"/>
    <cellStyle name="Warning Text 38 3 13" xfId="9820" xr:uid="{00000000-0005-0000-0000-0000F12C0000}"/>
    <cellStyle name="Warning Text 38 3 14" xfId="10292" xr:uid="{00000000-0005-0000-0000-0000F22C0000}"/>
    <cellStyle name="Warning Text 38 3 15" xfId="10734" xr:uid="{00000000-0005-0000-0000-0000F32C0000}"/>
    <cellStyle name="Warning Text 38 3 16" xfId="11179" xr:uid="{00000000-0005-0000-0000-0000F42C0000}"/>
    <cellStyle name="Warning Text 38 3 17" xfId="11648" xr:uid="{00000000-0005-0000-0000-0000F52C0000}"/>
    <cellStyle name="Warning Text 38 3 18" xfId="12277" xr:uid="{00000000-0005-0000-0000-0000F62C0000}"/>
    <cellStyle name="Warning Text 38 3 19" xfId="12719" xr:uid="{00000000-0005-0000-0000-0000F72C0000}"/>
    <cellStyle name="Warning Text 38 3 2" xfId="4931" xr:uid="{00000000-0005-0000-0000-0000F82C0000}"/>
    <cellStyle name="Warning Text 38 3 3" xfId="5369" xr:uid="{00000000-0005-0000-0000-0000F92C0000}"/>
    <cellStyle name="Warning Text 38 3 4" xfId="5807" xr:uid="{00000000-0005-0000-0000-0000FA2C0000}"/>
    <cellStyle name="Warning Text 38 3 5" xfId="6244" xr:uid="{00000000-0005-0000-0000-0000FB2C0000}"/>
    <cellStyle name="Warning Text 38 3 6" xfId="6681" xr:uid="{00000000-0005-0000-0000-0000FC2C0000}"/>
    <cellStyle name="Warning Text 38 3 7" xfId="7118" xr:uid="{00000000-0005-0000-0000-0000FD2C0000}"/>
    <cellStyle name="Warning Text 38 3 8" xfId="7555" xr:uid="{00000000-0005-0000-0000-0000FE2C0000}"/>
    <cellStyle name="Warning Text 38 3 9" xfId="8403" xr:uid="{00000000-0005-0000-0000-0000FF2C0000}"/>
    <cellStyle name="Warning Text 38 4" xfId="4599" xr:uid="{00000000-0005-0000-0000-0000002D0000}"/>
    <cellStyle name="Warning Text 38 4 10" xfId="8690" xr:uid="{00000000-0005-0000-0000-0000012D0000}"/>
    <cellStyle name="Warning Text 38 4 11" xfId="9422" xr:uid="{00000000-0005-0000-0000-0000022D0000}"/>
    <cellStyle name="Warning Text 38 4 12" xfId="8768" xr:uid="{00000000-0005-0000-0000-0000032D0000}"/>
    <cellStyle name="Warning Text 38 4 13" xfId="10035" xr:uid="{00000000-0005-0000-0000-0000042D0000}"/>
    <cellStyle name="Warning Text 38 4 14" xfId="10507" xr:uid="{00000000-0005-0000-0000-0000052D0000}"/>
    <cellStyle name="Warning Text 38 4 15" xfId="10783" xr:uid="{00000000-0005-0000-0000-0000062D0000}"/>
    <cellStyle name="Warning Text 38 4 16" xfId="11394" xr:uid="{00000000-0005-0000-0000-0000072D0000}"/>
    <cellStyle name="Warning Text 38 4 17" xfId="11863" xr:uid="{00000000-0005-0000-0000-0000082D0000}"/>
    <cellStyle name="Warning Text 38 4 18" xfId="12307" xr:uid="{00000000-0005-0000-0000-0000092D0000}"/>
    <cellStyle name="Warning Text 38 4 19" xfId="12934" xr:uid="{00000000-0005-0000-0000-00000A2D0000}"/>
    <cellStyle name="Warning Text 38 4 2" xfId="5146" xr:uid="{00000000-0005-0000-0000-00000B2D0000}"/>
    <cellStyle name="Warning Text 38 4 3" xfId="5584" xr:uid="{00000000-0005-0000-0000-00000C2D0000}"/>
    <cellStyle name="Warning Text 38 4 4" xfId="6022" xr:uid="{00000000-0005-0000-0000-00000D2D0000}"/>
    <cellStyle name="Warning Text 38 4 5" xfId="6459" xr:uid="{00000000-0005-0000-0000-00000E2D0000}"/>
    <cellStyle name="Warning Text 38 4 6" xfId="6896" xr:uid="{00000000-0005-0000-0000-00000F2D0000}"/>
    <cellStyle name="Warning Text 38 4 7" xfId="7333" xr:uid="{00000000-0005-0000-0000-0000102D0000}"/>
    <cellStyle name="Warning Text 38 4 8" xfId="7770" xr:uid="{00000000-0005-0000-0000-0000112D0000}"/>
    <cellStyle name="Warning Text 38 4 9" xfId="8618" xr:uid="{00000000-0005-0000-0000-0000122D0000}"/>
    <cellStyle name="Warning Text 39" xfId="4171" xr:uid="{00000000-0005-0000-0000-0000132D0000}"/>
    <cellStyle name="Warning Text 39 2" xfId="4172" xr:uid="{00000000-0005-0000-0000-0000142D0000}"/>
    <cellStyle name="Warning Text 39 2 2" xfId="4387" xr:uid="{00000000-0005-0000-0000-0000152D0000}"/>
    <cellStyle name="Warning Text 39 2 2 10" xfId="8023" xr:uid="{00000000-0005-0000-0000-0000162D0000}"/>
    <cellStyle name="Warning Text 39 2 2 11" xfId="9210" xr:uid="{00000000-0005-0000-0000-0000172D0000}"/>
    <cellStyle name="Warning Text 39 2 2 12" xfId="9567" xr:uid="{00000000-0005-0000-0000-0000182D0000}"/>
    <cellStyle name="Warning Text 39 2 2 13" xfId="9823" xr:uid="{00000000-0005-0000-0000-0000192D0000}"/>
    <cellStyle name="Warning Text 39 2 2 14" xfId="10295" xr:uid="{00000000-0005-0000-0000-00001A2D0000}"/>
    <cellStyle name="Warning Text 39 2 2 15" xfId="10616" xr:uid="{00000000-0005-0000-0000-00001B2D0000}"/>
    <cellStyle name="Warning Text 39 2 2 16" xfId="11182" xr:uid="{00000000-0005-0000-0000-00001C2D0000}"/>
    <cellStyle name="Warning Text 39 2 2 17" xfId="11651" xr:uid="{00000000-0005-0000-0000-00001D2D0000}"/>
    <cellStyle name="Warning Text 39 2 2 18" xfId="12209" xr:uid="{00000000-0005-0000-0000-00001E2D0000}"/>
    <cellStyle name="Warning Text 39 2 2 19" xfId="12722" xr:uid="{00000000-0005-0000-0000-00001F2D0000}"/>
    <cellStyle name="Warning Text 39 2 2 2" xfId="4934" xr:uid="{00000000-0005-0000-0000-0000202D0000}"/>
    <cellStyle name="Warning Text 39 2 2 3" xfId="5372" xr:uid="{00000000-0005-0000-0000-0000212D0000}"/>
    <cellStyle name="Warning Text 39 2 2 4" xfId="5810" xr:uid="{00000000-0005-0000-0000-0000222D0000}"/>
    <cellStyle name="Warning Text 39 2 2 5" xfId="6247" xr:uid="{00000000-0005-0000-0000-0000232D0000}"/>
    <cellStyle name="Warning Text 39 2 2 6" xfId="6684" xr:uid="{00000000-0005-0000-0000-0000242D0000}"/>
    <cellStyle name="Warning Text 39 2 2 7" xfId="7121" xr:uid="{00000000-0005-0000-0000-0000252D0000}"/>
    <cellStyle name="Warning Text 39 2 2 8" xfId="7558" xr:uid="{00000000-0005-0000-0000-0000262D0000}"/>
    <cellStyle name="Warning Text 39 2 2 9" xfId="8406" xr:uid="{00000000-0005-0000-0000-0000272D0000}"/>
    <cellStyle name="Warning Text 39 2 3" xfId="4602" xr:uid="{00000000-0005-0000-0000-0000282D0000}"/>
    <cellStyle name="Warning Text 39 2 3 10" xfId="8702" xr:uid="{00000000-0005-0000-0000-0000292D0000}"/>
    <cellStyle name="Warning Text 39 2 3 11" xfId="9425" xr:uid="{00000000-0005-0000-0000-00002A2D0000}"/>
    <cellStyle name="Warning Text 39 2 3 12" xfId="8765" xr:uid="{00000000-0005-0000-0000-00002B2D0000}"/>
    <cellStyle name="Warning Text 39 2 3 13" xfId="10038" xr:uid="{00000000-0005-0000-0000-00002C2D0000}"/>
    <cellStyle name="Warning Text 39 2 3 14" xfId="10510" xr:uid="{00000000-0005-0000-0000-00002D2D0000}"/>
    <cellStyle name="Warning Text 39 2 3 15" xfId="10668" xr:uid="{00000000-0005-0000-0000-00002E2D0000}"/>
    <cellStyle name="Warning Text 39 2 3 16" xfId="11397" xr:uid="{00000000-0005-0000-0000-00002F2D0000}"/>
    <cellStyle name="Warning Text 39 2 3 17" xfId="11866" xr:uid="{00000000-0005-0000-0000-0000302D0000}"/>
    <cellStyle name="Warning Text 39 2 3 18" xfId="12223" xr:uid="{00000000-0005-0000-0000-0000312D0000}"/>
    <cellStyle name="Warning Text 39 2 3 19" xfId="12937" xr:uid="{00000000-0005-0000-0000-0000322D0000}"/>
    <cellStyle name="Warning Text 39 2 3 2" xfId="5149" xr:uid="{00000000-0005-0000-0000-0000332D0000}"/>
    <cellStyle name="Warning Text 39 2 3 3" xfId="5587" xr:uid="{00000000-0005-0000-0000-0000342D0000}"/>
    <cellStyle name="Warning Text 39 2 3 4" xfId="6025" xr:uid="{00000000-0005-0000-0000-0000352D0000}"/>
    <cellStyle name="Warning Text 39 2 3 5" xfId="6462" xr:uid="{00000000-0005-0000-0000-0000362D0000}"/>
    <cellStyle name="Warning Text 39 2 3 6" xfId="6899" xr:uid="{00000000-0005-0000-0000-0000372D0000}"/>
    <cellStyle name="Warning Text 39 2 3 7" xfId="7336" xr:uid="{00000000-0005-0000-0000-0000382D0000}"/>
    <cellStyle name="Warning Text 39 2 3 8" xfId="7773" xr:uid="{00000000-0005-0000-0000-0000392D0000}"/>
    <cellStyle name="Warning Text 39 2 3 9" xfId="8621" xr:uid="{00000000-0005-0000-0000-00003A2D0000}"/>
    <cellStyle name="Warning Text 39 3" xfId="4386" xr:uid="{00000000-0005-0000-0000-00003B2D0000}"/>
    <cellStyle name="Warning Text 39 3 10" xfId="8024" xr:uid="{00000000-0005-0000-0000-00003C2D0000}"/>
    <cellStyle name="Warning Text 39 3 11" xfId="9209" xr:uid="{00000000-0005-0000-0000-00003D2D0000}"/>
    <cellStyle name="Warning Text 39 3 12" xfId="9578" xr:uid="{00000000-0005-0000-0000-00003E2D0000}"/>
    <cellStyle name="Warning Text 39 3 13" xfId="9822" xr:uid="{00000000-0005-0000-0000-00003F2D0000}"/>
    <cellStyle name="Warning Text 39 3 14" xfId="10294" xr:uid="{00000000-0005-0000-0000-0000402D0000}"/>
    <cellStyle name="Warning Text 39 3 15" xfId="10656" xr:uid="{00000000-0005-0000-0000-0000412D0000}"/>
    <cellStyle name="Warning Text 39 3 16" xfId="11181" xr:uid="{00000000-0005-0000-0000-0000422D0000}"/>
    <cellStyle name="Warning Text 39 3 17" xfId="11650" xr:uid="{00000000-0005-0000-0000-0000432D0000}"/>
    <cellStyle name="Warning Text 39 3 18" xfId="12218" xr:uid="{00000000-0005-0000-0000-0000442D0000}"/>
    <cellStyle name="Warning Text 39 3 19" xfId="12721" xr:uid="{00000000-0005-0000-0000-0000452D0000}"/>
    <cellStyle name="Warning Text 39 3 2" xfId="4933" xr:uid="{00000000-0005-0000-0000-0000462D0000}"/>
    <cellStyle name="Warning Text 39 3 3" xfId="5371" xr:uid="{00000000-0005-0000-0000-0000472D0000}"/>
    <cellStyle name="Warning Text 39 3 4" xfId="5809" xr:uid="{00000000-0005-0000-0000-0000482D0000}"/>
    <cellStyle name="Warning Text 39 3 5" xfId="6246" xr:uid="{00000000-0005-0000-0000-0000492D0000}"/>
    <cellStyle name="Warning Text 39 3 6" xfId="6683" xr:uid="{00000000-0005-0000-0000-00004A2D0000}"/>
    <cellStyle name="Warning Text 39 3 7" xfId="7120" xr:uid="{00000000-0005-0000-0000-00004B2D0000}"/>
    <cellStyle name="Warning Text 39 3 8" xfId="7557" xr:uid="{00000000-0005-0000-0000-00004C2D0000}"/>
    <cellStyle name="Warning Text 39 3 9" xfId="8405" xr:uid="{00000000-0005-0000-0000-00004D2D0000}"/>
    <cellStyle name="Warning Text 39 4" xfId="4601" xr:uid="{00000000-0005-0000-0000-00004E2D0000}"/>
    <cellStyle name="Warning Text 39 4 10" xfId="8685" xr:uid="{00000000-0005-0000-0000-00004F2D0000}"/>
    <cellStyle name="Warning Text 39 4 11" xfId="9424" xr:uid="{00000000-0005-0000-0000-0000502D0000}"/>
    <cellStyle name="Warning Text 39 4 12" xfId="8766" xr:uid="{00000000-0005-0000-0000-0000512D0000}"/>
    <cellStyle name="Warning Text 39 4 13" xfId="10037" xr:uid="{00000000-0005-0000-0000-0000522D0000}"/>
    <cellStyle name="Warning Text 39 4 14" xfId="10509" xr:uid="{00000000-0005-0000-0000-0000532D0000}"/>
    <cellStyle name="Warning Text 39 4 15" xfId="10707" xr:uid="{00000000-0005-0000-0000-0000542D0000}"/>
    <cellStyle name="Warning Text 39 4 16" xfId="11396" xr:uid="{00000000-0005-0000-0000-0000552D0000}"/>
    <cellStyle name="Warning Text 39 4 17" xfId="11865" xr:uid="{00000000-0005-0000-0000-0000562D0000}"/>
    <cellStyle name="Warning Text 39 4 18" xfId="12241" xr:uid="{00000000-0005-0000-0000-0000572D0000}"/>
    <cellStyle name="Warning Text 39 4 19" xfId="12936" xr:uid="{00000000-0005-0000-0000-0000582D0000}"/>
    <cellStyle name="Warning Text 39 4 2" xfId="5148" xr:uid="{00000000-0005-0000-0000-0000592D0000}"/>
    <cellStyle name="Warning Text 39 4 3" xfId="5586" xr:uid="{00000000-0005-0000-0000-00005A2D0000}"/>
    <cellStyle name="Warning Text 39 4 4" xfId="6024" xr:uid="{00000000-0005-0000-0000-00005B2D0000}"/>
    <cellStyle name="Warning Text 39 4 5" xfId="6461" xr:uid="{00000000-0005-0000-0000-00005C2D0000}"/>
    <cellStyle name="Warning Text 39 4 6" xfId="6898" xr:uid="{00000000-0005-0000-0000-00005D2D0000}"/>
    <cellStyle name="Warning Text 39 4 7" xfId="7335" xr:uid="{00000000-0005-0000-0000-00005E2D0000}"/>
    <cellStyle name="Warning Text 39 4 8" xfId="7772" xr:uid="{00000000-0005-0000-0000-00005F2D0000}"/>
    <cellStyle name="Warning Text 39 4 9" xfId="8620" xr:uid="{00000000-0005-0000-0000-0000602D0000}"/>
    <cellStyle name="Warning Text 4" xfId="796" xr:uid="{00000000-0005-0000-0000-0000612D0000}"/>
    <cellStyle name="Warning Text 4 2" xfId="4173" xr:uid="{00000000-0005-0000-0000-0000622D0000}"/>
    <cellStyle name="Warning Text 4 2 2" xfId="4389" xr:uid="{00000000-0005-0000-0000-0000632D0000}"/>
    <cellStyle name="Warning Text 4 2 2 10" xfId="8021" xr:uid="{00000000-0005-0000-0000-0000642D0000}"/>
    <cellStyle name="Warning Text 4 2 2 11" xfId="9212" xr:uid="{00000000-0005-0000-0000-0000652D0000}"/>
    <cellStyle name="Warning Text 4 2 2 12" xfId="9547" xr:uid="{00000000-0005-0000-0000-0000662D0000}"/>
    <cellStyle name="Warning Text 4 2 2 13" xfId="9825" xr:uid="{00000000-0005-0000-0000-0000672D0000}"/>
    <cellStyle name="Warning Text 4 2 2 14" xfId="10297" xr:uid="{00000000-0005-0000-0000-0000682D0000}"/>
    <cellStyle name="Warning Text 4 2 2 15" xfId="10976" xr:uid="{00000000-0005-0000-0000-0000692D0000}"/>
    <cellStyle name="Warning Text 4 2 2 16" xfId="11184" xr:uid="{00000000-0005-0000-0000-00006A2D0000}"/>
    <cellStyle name="Warning Text 4 2 2 17" xfId="11653" xr:uid="{00000000-0005-0000-0000-00006B2D0000}"/>
    <cellStyle name="Warning Text 4 2 2 18" xfId="12143" xr:uid="{00000000-0005-0000-0000-00006C2D0000}"/>
    <cellStyle name="Warning Text 4 2 2 19" xfId="12724" xr:uid="{00000000-0005-0000-0000-00006D2D0000}"/>
    <cellStyle name="Warning Text 4 2 2 2" xfId="4936" xr:uid="{00000000-0005-0000-0000-00006E2D0000}"/>
    <cellStyle name="Warning Text 4 2 2 3" xfId="5374" xr:uid="{00000000-0005-0000-0000-00006F2D0000}"/>
    <cellStyle name="Warning Text 4 2 2 4" xfId="5812" xr:uid="{00000000-0005-0000-0000-0000702D0000}"/>
    <cellStyle name="Warning Text 4 2 2 5" xfId="6249" xr:uid="{00000000-0005-0000-0000-0000712D0000}"/>
    <cellStyle name="Warning Text 4 2 2 6" xfId="6686" xr:uid="{00000000-0005-0000-0000-0000722D0000}"/>
    <cellStyle name="Warning Text 4 2 2 7" xfId="7123" xr:uid="{00000000-0005-0000-0000-0000732D0000}"/>
    <cellStyle name="Warning Text 4 2 2 8" xfId="7560" xr:uid="{00000000-0005-0000-0000-0000742D0000}"/>
    <cellStyle name="Warning Text 4 2 2 9" xfId="8408" xr:uid="{00000000-0005-0000-0000-0000752D0000}"/>
    <cellStyle name="Warning Text 4 2 3" xfId="4604" xr:uid="{00000000-0005-0000-0000-0000762D0000}"/>
    <cellStyle name="Warning Text 4 2 3 10" xfId="8697" xr:uid="{00000000-0005-0000-0000-0000772D0000}"/>
    <cellStyle name="Warning Text 4 2 3 11" xfId="9427" xr:uid="{00000000-0005-0000-0000-0000782D0000}"/>
    <cellStyle name="Warning Text 4 2 3 12" xfId="8763" xr:uid="{00000000-0005-0000-0000-0000792D0000}"/>
    <cellStyle name="Warning Text 4 2 3 13" xfId="10040" xr:uid="{00000000-0005-0000-0000-00007A2D0000}"/>
    <cellStyle name="Warning Text 4 2 3 14" xfId="10512" xr:uid="{00000000-0005-0000-0000-00007B2D0000}"/>
    <cellStyle name="Warning Text 4 2 3 15" xfId="10590" xr:uid="{00000000-0005-0000-0000-00007C2D0000}"/>
    <cellStyle name="Warning Text 4 2 3 16" xfId="11399" xr:uid="{00000000-0005-0000-0000-00007D2D0000}"/>
    <cellStyle name="Warning Text 4 2 3 17" xfId="11868" xr:uid="{00000000-0005-0000-0000-00007E2D0000}"/>
    <cellStyle name="Warning Text 4 2 3 18" xfId="12118" xr:uid="{00000000-0005-0000-0000-00007F2D0000}"/>
    <cellStyle name="Warning Text 4 2 3 19" xfId="12939" xr:uid="{00000000-0005-0000-0000-0000802D0000}"/>
    <cellStyle name="Warning Text 4 2 3 2" xfId="5151" xr:uid="{00000000-0005-0000-0000-0000812D0000}"/>
    <cellStyle name="Warning Text 4 2 3 3" xfId="5589" xr:uid="{00000000-0005-0000-0000-0000822D0000}"/>
    <cellStyle name="Warning Text 4 2 3 4" xfId="6027" xr:uid="{00000000-0005-0000-0000-0000832D0000}"/>
    <cellStyle name="Warning Text 4 2 3 5" xfId="6464" xr:uid="{00000000-0005-0000-0000-0000842D0000}"/>
    <cellStyle name="Warning Text 4 2 3 6" xfId="6901" xr:uid="{00000000-0005-0000-0000-0000852D0000}"/>
    <cellStyle name="Warning Text 4 2 3 7" xfId="7338" xr:uid="{00000000-0005-0000-0000-0000862D0000}"/>
    <cellStyle name="Warning Text 4 2 3 8" xfId="7775" xr:uid="{00000000-0005-0000-0000-0000872D0000}"/>
    <cellStyle name="Warning Text 4 2 3 9" xfId="8623" xr:uid="{00000000-0005-0000-0000-0000882D0000}"/>
    <cellStyle name="Warning Text 4 3" xfId="4388" xr:uid="{00000000-0005-0000-0000-0000892D0000}"/>
    <cellStyle name="Warning Text 4 3 10" xfId="8022" xr:uid="{00000000-0005-0000-0000-00008A2D0000}"/>
    <cellStyle name="Warning Text 4 3 11" xfId="9211" xr:uid="{00000000-0005-0000-0000-00008B2D0000}"/>
    <cellStyle name="Warning Text 4 3 12" xfId="9557" xr:uid="{00000000-0005-0000-0000-00008C2D0000}"/>
    <cellStyle name="Warning Text 4 3 13" xfId="9824" xr:uid="{00000000-0005-0000-0000-00008D2D0000}"/>
    <cellStyle name="Warning Text 4 3 14" xfId="10296" xr:uid="{00000000-0005-0000-0000-00008E2D0000}"/>
    <cellStyle name="Warning Text 4 3 15" xfId="10577" xr:uid="{00000000-0005-0000-0000-00008F2D0000}"/>
    <cellStyle name="Warning Text 4 3 16" xfId="11183" xr:uid="{00000000-0005-0000-0000-0000902D0000}"/>
    <cellStyle name="Warning Text 4 3 17" xfId="11652" xr:uid="{00000000-0005-0000-0000-0000912D0000}"/>
    <cellStyle name="Warning Text 4 3 18" xfId="12113" xr:uid="{00000000-0005-0000-0000-0000922D0000}"/>
    <cellStyle name="Warning Text 4 3 19" xfId="12723" xr:uid="{00000000-0005-0000-0000-0000932D0000}"/>
    <cellStyle name="Warning Text 4 3 2" xfId="4935" xr:uid="{00000000-0005-0000-0000-0000942D0000}"/>
    <cellStyle name="Warning Text 4 3 3" xfId="5373" xr:uid="{00000000-0005-0000-0000-0000952D0000}"/>
    <cellStyle name="Warning Text 4 3 4" xfId="5811" xr:uid="{00000000-0005-0000-0000-0000962D0000}"/>
    <cellStyle name="Warning Text 4 3 5" xfId="6248" xr:uid="{00000000-0005-0000-0000-0000972D0000}"/>
    <cellStyle name="Warning Text 4 3 6" xfId="6685" xr:uid="{00000000-0005-0000-0000-0000982D0000}"/>
    <cellStyle name="Warning Text 4 3 7" xfId="7122" xr:uid="{00000000-0005-0000-0000-0000992D0000}"/>
    <cellStyle name="Warning Text 4 3 8" xfId="7559" xr:uid="{00000000-0005-0000-0000-00009A2D0000}"/>
    <cellStyle name="Warning Text 4 3 9" xfId="8407" xr:uid="{00000000-0005-0000-0000-00009B2D0000}"/>
    <cellStyle name="Warning Text 4 4" xfId="4603" xr:uid="{00000000-0005-0000-0000-00009C2D0000}"/>
    <cellStyle name="Warning Text 4 4 10" xfId="8676" xr:uid="{00000000-0005-0000-0000-00009D2D0000}"/>
    <cellStyle name="Warning Text 4 4 11" xfId="9426" xr:uid="{00000000-0005-0000-0000-00009E2D0000}"/>
    <cellStyle name="Warning Text 4 4 12" xfId="8764" xr:uid="{00000000-0005-0000-0000-00009F2D0000}"/>
    <cellStyle name="Warning Text 4 4 13" xfId="10039" xr:uid="{00000000-0005-0000-0000-0000A02D0000}"/>
    <cellStyle name="Warning Text 4 4 14" xfId="10511" xr:uid="{00000000-0005-0000-0000-0000A12D0000}"/>
    <cellStyle name="Warning Text 4 4 15" xfId="10629" xr:uid="{00000000-0005-0000-0000-0000A22D0000}"/>
    <cellStyle name="Warning Text 4 4 16" xfId="11398" xr:uid="{00000000-0005-0000-0000-0000A32D0000}"/>
    <cellStyle name="Warning Text 4 4 17" xfId="11867" xr:uid="{00000000-0005-0000-0000-0000A42D0000}"/>
    <cellStyle name="Warning Text 4 4 18" xfId="12204" xr:uid="{00000000-0005-0000-0000-0000A52D0000}"/>
    <cellStyle name="Warning Text 4 4 19" xfId="12938" xr:uid="{00000000-0005-0000-0000-0000A62D0000}"/>
    <cellStyle name="Warning Text 4 4 2" xfId="5150" xr:uid="{00000000-0005-0000-0000-0000A72D0000}"/>
    <cellStyle name="Warning Text 4 4 3" xfId="5588" xr:uid="{00000000-0005-0000-0000-0000A82D0000}"/>
    <cellStyle name="Warning Text 4 4 4" xfId="6026" xr:uid="{00000000-0005-0000-0000-0000A92D0000}"/>
    <cellStyle name="Warning Text 4 4 5" xfId="6463" xr:uid="{00000000-0005-0000-0000-0000AA2D0000}"/>
    <cellStyle name="Warning Text 4 4 6" xfId="6900" xr:uid="{00000000-0005-0000-0000-0000AB2D0000}"/>
    <cellStyle name="Warning Text 4 4 7" xfId="7337" xr:uid="{00000000-0005-0000-0000-0000AC2D0000}"/>
    <cellStyle name="Warning Text 4 4 8" xfId="7774" xr:uid="{00000000-0005-0000-0000-0000AD2D0000}"/>
    <cellStyle name="Warning Text 4 4 9" xfId="8622" xr:uid="{00000000-0005-0000-0000-0000AE2D0000}"/>
    <cellStyle name="Warning Text 4 5" xfId="12396" xr:uid="{00000000-0005-0000-0000-0000AF2D0000}"/>
    <cellStyle name="Warning Text 4 6" xfId="12457" xr:uid="{00000000-0005-0000-0000-0000B02D0000}"/>
    <cellStyle name="Warning Text 4 7" xfId="12463" xr:uid="{00000000-0005-0000-0000-0000B12D0000}"/>
    <cellStyle name="Warning Text 40" xfId="4174" xr:uid="{00000000-0005-0000-0000-0000B22D0000}"/>
    <cellStyle name="Warning Text 40 2" xfId="4175" xr:uid="{00000000-0005-0000-0000-0000B32D0000}"/>
    <cellStyle name="Warning Text 40 2 2" xfId="4391" xr:uid="{00000000-0005-0000-0000-0000B42D0000}"/>
    <cellStyle name="Warning Text 40 2 2 10" xfId="8019" xr:uid="{00000000-0005-0000-0000-0000B52D0000}"/>
    <cellStyle name="Warning Text 40 2 2 11" xfId="9214" xr:uid="{00000000-0005-0000-0000-0000B62D0000}"/>
    <cellStyle name="Warning Text 40 2 2 12" xfId="9531" xr:uid="{00000000-0005-0000-0000-0000B72D0000}"/>
    <cellStyle name="Warning Text 40 2 2 13" xfId="9827" xr:uid="{00000000-0005-0000-0000-0000B82D0000}"/>
    <cellStyle name="Warning Text 40 2 2 14" xfId="10299" xr:uid="{00000000-0005-0000-0000-0000B92D0000}"/>
    <cellStyle name="Warning Text 40 2 2 15" xfId="10832" xr:uid="{00000000-0005-0000-0000-0000BA2D0000}"/>
    <cellStyle name="Warning Text 40 2 2 16" xfId="11186" xr:uid="{00000000-0005-0000-0000-0000BB2D0000}"/>
    <cellStyle name="Warning Text 40 2 2 17" xfId="11655" xr:uid="{00000000-0005-0000-0000-0000BC2D0000}"/>
    <cellStyle name="Warning Text 40 2 2 18" xfId="12054" xr:uid="{00000000-0005-0000-0000-0000BD2D0000}"/>
    <cellStyle name="Warning Text 40 2 2 19" xfId="12726" xr:uid="{00000000-0005-0000-0000-0000BE2D0000}"/>
    <cellStyle name="Warning Text 40 2 2 2" xfId="4938" xr:uid="{00000000-0005-0000-0000-0000BF2D0000}"/>
    <cellStyle name="Warning Text 40 2 2 3" xfId="5376" xr:uid="{00000000-0005-0000-0000-0000C02D0000}"/>
    <cellStyle name="Warning Text 40 2 2 4" xfId="5814" xr:uid="{00000000-0005-0000-0000-0000C12D0000}"/>
    <cellStyle name="Warning Text 40 2 2 5" xfId="6251" xr:uid="{00000000-0005-0000-0000-0000C22D0000}"/>
    <cellStyle name="Warning Text 40 2 2 6" xfId="6688" xr:uid="{00000000-0005-0000-0000-0000C32D0000}"/>
    <cellStyle name="Warning Text 40 2 2 7" xfId="7125" xr:uid="{00000000-0005-0000-0000-0000C42D0000}"/>
    <cellStyle name="Warning Text 40 2 2 8" xfId="7562" xr:uid="{00000000-0005-0000-0000-0000C52D0000}"/>
    <cellStyle name="Warning Text 40 2 2 9" xfId="8410" xr:uid="{00000000-0005-0000-0000-0000C62D0000}"/>
    <cellStyle name="Warning Text 40 2 3" xfId="4606" xr:uid="{00000000-0005-0000-0000-0000C72D0000}"/>
    <cellStyle name="Warning Text 40 2 3 10" xfId="8689" xr:uid="{00000000-0005-0000-0000-0000C82D0000}"/>
    <cellStyle name="Warning Text 40 2 3 11" xfId="9429" xr:uid="{00000000-0005-0000-0000-0000C92D0000}"/>
    <cellStyle name="Warning Text 40 2 3 12" xfId="8761" xr:uid="{00000000-0005-0000-0000-0000CA2D0000}"/>
    <cellStyle name="Warning Text 40 2 3 13" xfId="10042" xr:uid="{00000000-0005-0000-0000-0000CB2D0000}"/>
    <cellStyle name="Warning Text 40 2 3 14" xfId="10514" xr:uid="{00000000-0005-0000-0000-0000CC2D0000}"/>
    <cellStyle name="Warning Text 40 2 3 15" xfId="10925" xr:uid="{00000000-0005-0000-0000-0000CD2D0000}"/>
    <cellStyle name="Warning Text 40 2 3 16" xfId="11401" xr:uid="{00000000-0005-0000-0000-0000CE2D0000}"/>
    <cellStyle name="Warning Text 40 2 3 17" xfId="11870" xr:uid="{00000000-0005-0000-0000-0000CF2D0000}"/>
    <cellStyle name="Warning Text 40 2 3 18" xfId="12079" xr:uid="{00000000-0005-0000-0000-0000D02D0000}"/>
    <cellStyle name="Warning Text 40 2 3 19" xfId="12941" xr:uid="{00000000-0005-0000-0000-0000D12D0000}"/>
    <cellStyle name="Warning Text 40 2 3 2" xfId="5153" xr:uid="{00000000-0005-0000-0000-0000D22D0000}"/>
    <cellStyle name="Warning Text 40 2 3 3" xfId="5591" xr:uid="{00000000-0005-0000-0000-0000D32D0000}"/>
    <cellStyle name="Warning Text 40 2 3 4" xfId="6029" xr:uid="{00000000-0005-0000-0000-0000D42D0000}"/>
    <cellStyle name="Warning Text 40 2 3 5" xfId="6466" xr:uid="{00000000-0005-0000-0000-0000D52D0000}"/>
    <cellStyle name="Warning Text 40 2 3 6" xfId="6903" xr:uid="{00000000-0005-0000-0000-0000D62D0000}"/>
    <cellStyle name="Warning Text 40 2 3 7" xfId="7340" xr:uid="{00000000-0005-0000-0000-0000D72D0000}"/>
    <cellStyle name="Warning Text 40 2 3 8" xfId="7777" xr:uid="{00000000-0005-0000-0000-0000D82D0000}"/>
    <cellStyle name="Warning Text 40 2 3 9" xfId="8625" xr:uid="{00000000-0005-0000-0000-0000D92D0000}"/>
    <cellStyle name="Warning Text 40 3" xfId="4390" xr:uid="{00000000-0005-0000-0000-0000DA2D0000}"/>
    <cellStyle name="Warning Text 40 3 10" xfId="8020" xr:uid="{00000000-0005-0000-0000-0000DB2D0000}"/>
    <cellStyle name="Warning Text 40 3 11" xfId="9213" xr:uid="{00000000-0005-0000-0000-0000DC2D0000}"/>
    <cellStyle name="Warning Text 40 3 12" xfId="9539" xr:uid="{00000000-0005-0000-0000-0000DD2D0000}"/>
    <cellStyle name="Warning Text 40 3 13" xfId="9826" xr:uid="{00000000-0005-0000-0000-0000DE2D0000}"/>
    <cellStyle name="Warning Text 40 3 14" xfId="10298" xr:uid="{00000000-0005-0000-0000-0000DF2D0000}"/>
    <cellStyle name="Warning Text 40 3 15" xfId="10957" xr:uid="{00000000-0005-0000-0000-0000E02D0000}"/>
    <cellStyle name="Warning Text 40 3 16" xfId="11185" xr:uid="{00000000-0005-0000-0000-0000E12D0000}"/>
    <cellStyle name="Warning Text 40 3 17" xfId="11654" xr:uid="{00000000-0005-0000-0000-0000E22D0000}"/>
    <cellStyle name="Warning Text 40 3 18" xfId="12084" xr:uid="{00000000-0005-0000-0000-0000E32D0000}"/>
    <cellStyle name="Warning Text 40 3 19" xfId="12725" xr:uid="{00000000-0005-0000-0000-0000E42D0000}"/>
    <cellStyle name="Warning Text 40 3 2" xfId="4937" xr:uid="{00000000-0005-0000-0000-0000E52D0000}"/>
    <cellStyle name="Warning Text 40 3 3" xfId="5375" xr:uid="{00000000-0005-0000-0000-0000E62D0000}"/>
    <cellStyle name="Warning Text 40 3 4" xfId="5813" xr:uid="{00000000-0005-0000-0000-0000E72D0000}"/>
    <cellStyle name="Warning Text 40 3 5" xfId="6250" xr:uid="{00000000-0005-0000-0000-0000E82D0000}"/>
    <cellStyle name="Warning Text 40 3 6" xfId="6687" xr:uid="{00000000-0005-0000-0000-0000E92D0000}"/>
    <cellStyle name="Warning Text 40 3 7" xfId="7124" xr:uid="{00000000-0005-0000-0000-0000EA2D0000}"/>
    <cellStyle name="Warning Text 40 3 8" xfId="7561" xr:uid="{00000000-0005-0000-0000-0000EB2D0000}"/>
    <cellStyle name="Warning Text 40 3 9" xfId="8409" xr:uid="{00000000-0005-0000-0000-0000EC2D0000}"/>
    <cellStyle name="Warning Text 40 4" xfId="4605" xr:uid="{00000000-0005-0000-0000-0000ED2D0000}"/>
    <cellStyle name="Warning Text 40 4 10" xfId="8663" xr:uid="{00000000-0005-0000-0000-0000EE2D0000}"/>
    <cellStyle name="Warning Text 40 4 11" xfId="9428" xr:uid="{00000000-0005-0000-0000-0000EF2D0000}"/>
    <cellStyle name="Warning Text 40 4 12" xfId="8762" xr:uid="{00000000-0005-0000-0000-0000F02D0000}"/>
    <cellStyle name="Warning Text 40 4 13" xfId="10041" xr:uid="{00000000-0005-0000-0000-0000F12D0000}"/>
    <cellStyle name="Warning Text 40 4 14" xfId="10513" xr:uid="{00000000-0005-0000-0000-0000F22D0000}"/>
    <cellStyle name="Warning Text 40 4 15" xfId="10550" xr:uid="{00000000-0005-0000-0000-0000F32D0000}"/>
    <cellStyle name="Warning Text 40 4 16" xfId="11400" xr:uid="{00000000-0005-0000-0000-0000F42D0000}"/>
    <cellStyle name="Warning Text 40 4 17" xfId="11869" xr:uid="{00000000-0005-0000-0000-0000F52D0000}"/>
    <cellStyle name="Warning Text 40 4 18" xfId="12138" xr:uid="{00000000-0005-0000-0000-0000F62D0000}"/>
    <cellStyle name="Warning Text 40 4 19" xfId="12940" xr:uid="{00000000-0005-0000-0000-0000F72D0000}"/>
    <cellStyle name="Warning Text 40 4 2" xfId="5152" xr:uid="{00000000-0005-0000-0000-0000F82D0000}"/>
    <cellStyle name="Warning Text 40 4 3" xfId="5590" xr:uid="{00000000-0005-0000-0000-0000F92D0000}"/>
    <cellStyle name="Warning Text 40 4 4" xfId="6028" xr:uid="{00000000-0005-0000-0000-0000FA2D0000}"/>
    <cellStyle name="Warning Text 40 4 5" xfId="6465" xr:uid="{00000000-0005-0000-0000-0000FB2D0000}"/>
    <cellStyle name="Warning Text 40 4 6" xfId="6902" xr:uid="{00000000-0005-0000-0000-0000FC2D0000}"/>
    <cellStyle name="Warning Text 40 4 7" xfId="7339" xr:uid="{00000000-0005-0000-0000-0000FD2D0000}"/>
    <cellStyle name="Warning Text 40 4 8" xfId="7776" xr:uid="{00000000-0005-0000-0000-0000FE2D0000}"/>
    <cellStyle name="Warning Text 40 4 9" xfId="8624" xr:uid="{00000000-0005-0000-0000-0000FF2D0000}"/>
    <cellStyle name="Warning Text 41" xfId="4176" xr:uid="{00000000-0005-0000-0000-0000002E0000}"/>
    <cellStyle name="Warning Text 41 2" xfId="4177" xr:uid="{00000000-0005-0000-0000-0000012E0000}"/>
    <cellStyle name="Warning Text 41 2 2" xfId="4393" xr:uid="{00000000-0005-0000-0000-0000022E0000}"/>
    <cellStyle name="Warning Text 41 2 2 10" xfId="8017" xr:uid="{00000000-0005-0000-0000-0000032E0000}"/>
    <cellStyle name="Warning Text 41 2 2 11" xfId="9216" xr:uid="{00000000-0005-0000-0000-0000042E0000}"/>
    <cellStyle name="Warning Text 41 2 2 12" xfId="9581" xr:uid="{00000000-0005-0000-0000-0000052E0000}"/>
    <cellStyle name="Warning Text 41 2 2 13" xfId="9829" xr:uid="{00000000-0005-0000-0000-0000062E0000}"/>
    <cellStyle name="Warning Text 41 2 2 14" xfId="10301" xr:uid="{00000000-0005-0000-0000-0000072E0000}"/>
    <cellStyle name="Warning Text 41 2 2 15" xfId="10790" xr:uid="{00000000-0005-0000-0000-0000082E0000}"/>
    <cellStyle name="Warning Text 41 2 2 16" xfId="11188" xr:uid="{00000000-0005-0000-0000-0000092E0000}"/>
    <cellStyle name="Warning Text 41 2 2 17" xfId="11657" xr:uid="{00000000-0005-0000-0000-00000A2E0000}"/>
    <cellStyle name="Warning Text 41 2 2 18" xfId="11996" xr:uid="{00000000-0005-0000-0000-00000B2E0000}"/>
    <cellStyle name="Warning Text 41 2 2 19" xfId="12728" xr:uid="{00000000-0005-0000-0000-00000C2E0000}"/>
    <cellStyle name="Warning Text 41 2 2 2" xfId="4940" xr:uid="{00000000-0005-0000-0000-00000D2E0000}"/>
    <cellStyle name="Warning Text 41 2 2 3" xfId="5378" xr:uid="{00000000-0005-0000-0000-00000E2E0000}"/>
    <cellStyle name="Warning Text 41 2 2 4" xfId="5816" xr:uid="{00000000-0005-0000-0000-00000F2E0000}"/>
    <cellStyle name="Warning Text 41 2 2 5" xfId="6253" xr:uid="{00000000-0005-0000-0000-0000102E0000}"/>
    <cellStyle name="Warning Text 41 2 2 6" xfId="6690" xr:uid="{00000000-0005-0000-0000-0000112E0000}"/>
    <cellStyle name="Warning Text 41 2 2 7" xfId="7127" xr:uid="{00000000-0005-0000-0000-0000122E0000}"/>
    <cellStyle name="Warning Text 41 2 2 8" xfId="7564" xr:uid="{00000000-0005-0000-0000-0000132E0000}"/>
    <cellStyle name="Warning Text 41 2 2 9" xfId="8412" xr:uid="{00000000-0005-0000-0000-0000142E0000}"/>
    <cellStyle name="Warning Text 41 2 3" xfId="4608" xr:uid="{00000000-0005-0000-0000-0000152E0000}"/>
    <cellStyle name="Warning Text 41 2 3 10" xfId="8684" xr:uid="{00000000-0005-0000-0000-0000162E0000}"/>
    <cellStyle name="Warning Text 41 2 3 11" xfId="9431" xr:uid="{00000000-0005-0000-0000-0000172E0000}"/>
    <cellStyle name="Warning Text 41 2 3 12" xfId="8759" xr:uid="{00000000-0005-0000-0000-0000182E0000}"/>
    <cellStyle name="Warning Text 41 2 3 13" xfId="10044" xr:uid="{00000000-0005-0000-0000-0000192E0000}"/>
    <cellStyle name="Warning Text 41 2 3 14" xfId="10516" xr:uid="{00000000-0005-0000-0000-00001A2E0000}"/>
    <cellStyle name="Warning Text 41 2 3 15" xfId="10859" xr:uid="{00000000-0005-0000-0000-00001B2E0000}"/>
    <cellStyle name="Warning Text 41 2 3 16" xfId="11403" xr:uid="{00000000-0005-0000-0000-00001C2E0000}"/>
    <cellStyle name="Warning Text 41 2 3 17" xfId="11872" xr:uid="{00000000-0005-0000-0000-00001D2E0000}"/>
    <cellStyle name="Warning Text 41 2 3 18" xfId="12020" xr:uid="{00000000-0005-0000-0000-00001E2E0000}"/>
    <cellStyle name="Warning Text 41 2 3 19" xfId="12943" xr:uid="{00000000-0005-0000-0000-00001F2E0000}"/>
    <cellStyle name="Warning Text 41 2 3 2" xfId="5155" xr:uid="{00000000-0005-0000-0000-0000202E0000}"/>
    <cellStyle name="Warning Text 41 2 3 3" xfId="5593" xr:uid="{00000000-0005-0000-0000-0000212E0000}"/>
    <cellStyle name="Warning Text 41 2 3 4" xfId="6031" xr:uid="{00000000-0005-0000-0000-0000222E0000}"/>
    <cellStyle name="Warning Text 41 2 3 5" xfId="6468" xr:uid="{00000000-0005-0000-0000-0000232E0000}"/>
    <cellStyle name="Warning Text 41 2 3 6" xfId="6905" xr:uid="{00000000-0005-0000-0000-0000242E0000}"/>
    <cellStyle name="Warning Text 41 2 3 7" xfId="7342" xr:uid="{00000000-0005-0000-0000-0000252E0000}"/>
    <cellStyle name="Warning Text 41 2 3 8" xfId="7779" xr:uid="{00000000-0005-0000-0000-0000262E0000}"/>
    <cellStyle name="Warning Text 41 2 3 9" xfId="8627" xr:uid="{00000000-0005-0000-0000-0000272E0000}"/>
    <cellStyle name="Warning Text 41 3" xfId="4392" xr:uid="{00000000-0005-0000-0000-0000282E0000}"/>
    <cellStyle name="Warning Text 41 3 10" xfId="8018" xr:uid="{00000000-0005-0000-0000-0000292E0000}"/>
    <cellStyle name="Warning Text 41 3 11" xfId="9215" xr:uid="{00000000-0005-0000-0000-00002A2E0000}"/>
    <cellStyle name="Warning Text 41 3 12" xfId="9613" xr:uid="{00000000-0005-0000-0000-00002B2E0000}"/>
    <cellStyle name="Warning Text 41 3 13" xfId="9828" xr:uid="{00000000-0005-0000-0000-00002C2E0000}"/>
    <cellStyle name="Warning Text 41 3 14" xfId="10300" xr:uid="{00000000-0005-0000-0000-00002D2E0000}"/>
    <cellStyle name="Warning Text 41 3 15" xfId="10871" xr:uid="{00000000-0005-0000-0000-00002E2E0000}"/>
    <cellStyle name="Warning Text 41 3 16" xfId="11187" xr:uid="{00000000-0005-0000-0000-00002F2E0000}"/>
    <cellStyle name="Warning Text 41 3 17" xfId="11656" xr:uid="{00000000-0005-0000-0000-0000302E0000}"/>
    <cellStyle name="Warning Text 41 3 18" xfId="12025" xr:uid="{00000000-0005-0000-0000-0000312E0000}"/>
    <cellStyle name="Warning Text 41 3 19" xfId="12727" xr:uid="{00000000-0005-0000-0000-0000322E0000}"/>
    <cellStyle name="Warning Text 41 3 2" xfId="4939" xr:uid="{00000000-0005-0000-0000-0000332E0000}"/>
    <cellStyle name="Warning Text 41 3 3" xfId="5377" xr:uid="{00000000-0005-0000-0000-0000342E0000}"/>
    <cellStyle name="Warning Text 41 3 4" xfId="5815" xr:uid="{00000000-0005-0000-0000-0000352E0000}"/>
    <cellStyle name="Warning Text 41 3 5" xfId="6252" xr:uid="{00000000-0005-0000-0000-0000362E0000}"/>
    <cellStyle name="Warning Text 41 3 6" xfId="6689" xr:uid="{00000000-0005-0000-0000-0000372E0000}"/>
    <cellStyle name="Warning Text 41 3 7" xfId="7126" xr:uid="{00000000-0005-0000-0000-0000382E0000}"/>
    <cellStyle name="Warning Text 41 3 8" xfId="7563" xr:uid="{00000000-0005-0000-0000-0000392E0000}"/>
    <cellStyle name="Warning Text 41 3 9" xfId="8411" xr:uid="{00000000-0005-0000-0000-00003A2E0000}"/>
    <cellStyle name="Warning Text 41 4" xfId="4607" xr:uid="{00000000-0005-0000-0000-00003B2E0000}"/>
    <cellStyle name="Warning Text 41 4 10" xfId="8668" xr:uid="{00000000-0005-0000-0000-00003C2E0000}"/>
    <cellStyle name="Warning Text 41 4 11" xfId="9430" xr:uid="{00000000-0005-0000-0000-00003D2E0000}"/>
    <cellStyle name="Warning Text 41 4 12" xfId="8760" xr:uid="{00000000-0005-0000-0000-00003E2E0000}"/>
    <cellStyle name="Warning Text 41 4 13" xfId="10043" xr:uid="{00000000-0005-0000-0000-00003F2E0000}"/>
    <cellStyle name="Warning Text 41 4 14" xfId="10515" xr:uid="{00000000-0005-0000-0000-0000402E0000}"/>
    <cellStyle name="Warning Text 41 4 15" xfId="10930" xr:uid="{00000000-0005-0000-0000-0000412E0000}"/>
    <cellStyle name="Warning Text 41 4 16" xfId="11402" xr:uid="{00000000-0005-0000-0000-0000422E0000}"/>
    <cellStyle name="Warning Text 41 4 17" xfId="11871" xr:uid="{00000000-0005-0000-0000-0000432E0000}"/>
    <cellStyle name="Warning Text 41 4 18" xfId="12049" xr:uid="{00000000-0005-0000-0000-0000442E0000}"/>
    <cellStyle name="Warning Text 41 4 19" xfId="12942" xr:uid="{00000000-0005-0000-0000-0000452E0000}"/>
    <cellStyle name="Warning Text 41 4 2" xfId="5154" xr:uid="{00000000-0005-0000-0000-0000462E0000}"/>
    <cellStyle name="Warning Text 41 4 3" xfId="5592" xr:uid="{00000000-0005-0000-0000-0000472E0000}"/>
    <cellStyle name="Warning Text 41 4 4" xfId="6030" xr:uid="{00000000-0005-0000-0000-0000482E0000}"/>
    <cellStyle name="Warning Text 41 4 5" xfId="6467" xr:uid="{00000000-0005-0000-0000-0000492E0000}"/>
    <cellStyle name="Warning Text 41 4 6" xfId="6904" xr:uid="{00000000-0005-0000-0000-00004A2E0000}"/>
    <cellStyle name="Warning Text 41 4 7" xfId="7341" xr:uid="{00000000-0005-0000-0000-00004B2E0000}"/>
    <cellStyle name="Warning Text 41 4 8" xfId="7778" xr:uid="{00000000-0005-0000-0000-00004C2E0000}"/>
    <cellStyle name="Warning Text 41 4 9" xfId="8626" xr:uid="{00000000-0005-0000-0000-00004D2E0000}"/>
    <cellStyle name="Warning Text 42" xfId="4178" xr:uid="{00000000-0005-0000-0000-00004E2E0000}"/>
    <cellStyle name="Warning Text 42 2" xfId="4179" xr:uid="{00000000-0005-0000-0000-00004F2E0000}"/>
    <cellStyle name="Warning Text 42 2 2" xfId="4395" xr:uid="{00000000-0005-0000-0000-0000502E0000}"/>
    <cellStyle name="Warning Text 42 2 2 10" xfId="8015" xr:uid="{00000000-0005-0000-0000-0000512E0000}"/>
    <cellStyle name="Warning Text 42 2 2 11" xfId="9218" xr:uid="{00000000-0005-0000-0000-0000522E0000}"/>
    <cellStyle name="Warning Text 42 2 2 12" xfId="9561" xr:uid="{00000000-0005-0000-0000-0000532E0000}"/>
    <cellStyle name="Warning Text 42 2 2 13" xfId="9831" xr:uid="{00000000-0005-0000-0000-0000542E0000}"/>
    <cellStyle name="Warning Text 42 2 2 14" xfId="10303" xr:uid="{00000000-0005-0000-0000-0000552E0000}"/>
    <cellStyle name="Warning Text 42 2 2 15" xfId="10714" xr:uid="{00000000-0005-0000-0000-0000562E0000}"/>
    <cellStyle name="Warning Text 42 2 2 16" xfId="11190" xr:uid="{00000000-0005-0000-0000-0000572E0000}"/>
    <cellStyle name="Warning Text 42 2 2 17" xfId="11659" xr:uid="{00000000-0005-0000-0000-0000582E0000}"/>
    <cellStyle name="Warning Text 42 2 2 18" xfId="11939" xr:uid="{00000000-0005-0000-0000-0000592E0000}"/>
    <cellStyle name="Warning Text 42 2 2 19" xfId="12730" xr:uid="{00000000-0005-0000-0000-00005A2E0000}"/>
    <cellStyle name="Warning Text 42 2 2 2" xfId="4942" xr:uid="{00000000-0005-0000-0000-00005B2E0000}"/>
    <cellStyle name="Warning Text 42 2 2 3" xfId="5380" xr:uid="{00000000-0005-0000-0000-00005C2E0000}"/>
    <cellStyle name="Warning Text 42 2 2 4" xfId="5818" xr:uid="{00000000-0005-0000-0000-00005D2E0000}"/>
    <cellStyle name="Warning Text 42 2 2 5" xfId="6255" xr:uid="{00000000-0005-0000-0000-00005E2E0000}"/>
    <cellStyle name="Warning Text 42 2 2 6" xfId="6692" xr:uid="{00000000-0005-0000-0000-00005F2E0000}"/>
    <cellStyle name="Warning Text 42 2 2 7" xfId="7129" xr:uid="{00000000-0005-0000-0000-0000602E0000}"/>
    <cellStyle name="Warning Text 42 2 2 8" xfId="7566" xr:uid="{00000000-0005-0000-0000-0000612E0000}"/>
    <cellStyle name="Warning Text 42 2 2 9" xfId="8414" xr:uid="{00000000-0005-0000-0000-0000622E0000}"/>
    <cellStyle name="Warning Text 42 2 3" xfId="4610" xr:uid="{00000000-0005-0000-0000-0000632E0000}"/>
    <cellStyle name="Warning Text 42 2 3 10" xfId="8679" xr:uid="{00000000-0005-0000-0000-0000642E0000}"/>
    <cellStyle name="Warning Text 42 2 3 11" xfId="9433" xr:uid="{00000000-0005-0000-0000-0000652E0000}"/>
    <cellStyle name="Warning Text 42 2 3 12" xfId="8757" xr:uid="{00000000-0005-0000-0000-0000662E0000}"/>
    <cellStyle name="Warning Text 42 2 3 13" xfId="10046" xr:uid="{00000000-0005-0000-0000-0000672E0000}"/>
    <cellStyle name="Warning Text 42 2 3 14" xfId="10518" xr:uid="{00000000-0005-0000-0000-0000682E0000}"/>
    <cellStyle name="Warning Text 42 2 3 15" xfId="10093" xr:uid="{00000000-0005-0000-0000-0000692E0000}"/>
    <cellStyle name="Warning Text 42 2 3 16" xfId="11405" xr:uid="{00000000-0005-0000-0000-00006A2E0000}"/>
    <cellStyle name="Warning Text 42 2 3 17" xfId="11874" xr:uid="{00000000-0005-0000-0000-00006B2E0000}"/>
    <cellStyle name="Warning Text 42 2 3 18" xfId="11963" xr:uid="{00000000-0005-0000-0000-00006C2E0000}"/>
    <cellStyle name="Warning Text 42 2 3 19" xfId="12945" xr:uid="{00000000-0005-0000-0000-00006D2E0000}"/>
    <cellStyle name="Warning Text 42 2 3 2" xfId="5157" xr:uid="{00000000-0005-0000-0000-00006E2E0000}"/>
    <cellStyle name="Warning Text 42 2 3 3" xfId="5595" xr:uid="{00000000-0005-0000-0000-00006F2E0000}"/>
    <cellStyle name="Warning Text 42 2 3 4" xfId="6033" xr:uid="{00000000-0005-0000-0000-0000702E0000}"/>
    <cellStyle name="Warning Text 42 2 3 5" xfId="6470" xr:uid="{00000000-0005-0000-0000-0000712E0000}"/>
    <cellStyle name="Warning Text 42 2 3 6" xfId="6907" xr:uid="{00000000-0005-0000-0000-0000722E0000}"/>
    <cellStyle name="Warning Text 42 2 3 7" xfId="7344" xr:uid="{00000000-0005-0000-0000-0000732E0000}"/>
    <cellStyle name="Warning Text 42 2 3 8" xfId="7781" xr:uid="{00000000-0005-0000-0000-0000742E0000}"/>
    <cellStyle name="Warning Text 42 2 3 9" xfId="8629" xr:uid="{00000000-0005-0000-0000-0000752E0000}"/>
    <cellStyle name="Warning Text 42 3" xfId="4394" xr:uid="{00000000-0005-0000-0000-0000762E0000}"/>
    <cellStyle name="Warning Text 42 3 10" xfId="8016" xr:uid="{00000000-0005-0000-0000-0000772E0000}"/>
    <cellStyle name="Warning Text 42 3 11" xfId="9217" xr:uid="{00000000-0005-0000-0000-0000782E0000}"/>
    <cellStyle name="Warning Text 42 3 12" xfId="9572" xr:uid="{00000000-0005-0000-0000-0000792E0000}"/>
    <cellStyle name="Warning Text 42 3 13" xfId="9830" xr:uid="{00000000-0005-0000-0000-00007A2E0000}"/>
    <cellStyle name="Warning Text 42 3 14" xfId="10302" xr:uid="{00000000-0005-0000-0000-00007B2E0000}"/>
    <cellStyle name="Warning Text 42 3 15" xfId="10752" xr:uid="{00000000-0005-0000-0000-00007C2E0000}"/>
    <cellStyle name="Warning Text 42 3 16" xfId="11189" xr:uid="{00000000-0005-0000-0000-00007D2E0000}"/>
    <cellStyle name="Warning Text 42 3 17" xfId="11658" xr:uid="{00000000-0005-0000-0000-00007E2E0000}"/>
    <cellStyle name="Warning Text 42 3 18" xfId="11968" xr:uid="{00000000-0005-0000-0000-00007F2E0000}"/>
    <cellStyle name="Warning Text 42 3 19" xfId="12729" xr:uid="{00000000-0005-0000-0000-0000802E0000}"/>
    <cellStyle name="Warning Text 42 3 2" xfId="4941" xr:uid="{00000000-0005-0000-0000-0000812E0000}"/>
    <cellStyle name="Warning Text 42 3 3" xfId="5379" xr:uid="{00000000-0005-0000-0000-0000822E0000}"/>
    <cellStyle name="Warning Text 42 3 4" xfId="5817" xr:uid="{00000000-0005-0000-0000-0000832E0000}"/>
    <cellStyle name="Warning Text 42 3 5" xfId="6254" xr:uid="{00000000-0005-0000-0000-0000842E0000}"/>
    <cellStyle name="Warning Text 42 3 6" xfId="6691" xr:uid="{00000000-0005-0000-0000-0000852E0000}"/>
    <cellStyle name="Warning Text 42 3 7" xfId="7128" xr:uid="{00000000-0005-0000-0000-0000862E0000}"/>
    <cellStyle name="Warning Text 42 3 8" xfId="7565" xr:uid="{00000000-0005-0000-0000-0000872E0000}"/>
    <cellStyle name="Warning Text 42 3 9" xfId="8413" xr:uid="{00000000-0005-0000-0000-0000882E0000}"/>
    <cellStyle name="Warning Text 42 4" xfId="4609" xr:uid="{00000000-0005-0000-0000-0000892E0000}"/>
    <cellStyle name="Warning Text 42 4 10" xfId="7827" xr:uid="{00000000-0005-0000-0000-00008A2E0000}"/>
    <cellStyle name="Warning Text 42 4 11" xfId="9432" xr:uid="{00000000-0005-0000-0000-00008B2E0000}"/>
    <cellStyle name="Warning Text 42 4 12" xfId="8758" xr:uid="{00000000-0005-0000-0000-00008C2E0000}"/>
    <cellStyle name="Warning Text 42 4 13" xfId="10045" xr:uid="{00000000-0005-0000-0000-00008D2E0000}"/>
    <cellStyle name="Warning Text 42 4 14" xfId="10517" xr:uid="{00000000-0005-0000-0000-00008E2E0000}"/>
    <cellStyle name="Warning Text 42 4 15" xfId="10094" xr:uid="{00000000-0005-0000-0000-00008F2E0000}"/>
    <cellStyle name="Warning Text 42 4 16" xfId="11404" xr:uid="{00000000-0005-0000-0000-0000902E0000}"/>
    <cellStyle name="Warning Text 42 4 17" xfId="11873" xr:uid="{00000000-0005-0000-0000-0000912E0000}"/>
    <cellStyle name="Warning Text 42 4 18" xfId="11991" xr:uid="{00000000-0005-0000-0000-0000922E0000}"/>
    <cellStyle name="Warning Text 42 4 19" xfId="12944" xr:uid="{00000000-0005-0000-0000-0000932E0000}"/>
    <cellStyle name="Warning Text 42 4 2" xfId="5156" xr:uid="{00000000-0005-0000-0000-0000942E0000}"/>
    <cellStyle name="Warning Text 42 4 3" xfId="5594" xr:uid="{00000000-0005-0000-0000-0000952E0000}"/>
    <cellStyle name="Warning Text 42 4 4" xfId="6032" xr:uid="{00000000-0005-0000-0000-0000962E0000}"/>
    <cellStyle name="Warning Text 42 4 5" xfId="6469" xr:uid="{00000000-0005-0000-0000-0000972E0000}"/>
    <cellStyle name="Warning Text 42 4 6" xfId="6906" xr:uid="{00000000-0005-0000-0000-0000982E0000}"/>
    <cellStyle name="Warning Text 42 4 7" xfId="7343" xr:uid="{00000000-0005-0000-0000-0000992E0000}"/>
    <cellStyle name="Warning Text 42 4 8" xfId="7780" xr:uid="{00000000-0005-0000-0000-00009A2E0000}"/>
    <cellStyle name="Warning Text 42 4 9" xfId="8628" xr:uid="{00000000-0005-0000-0000-00009B2E0000}"/>
    <cellStyle name="Warning Text 43" xfId="4180" xr:uid="{00000000-0005-0000-0000-00009C2E0000}"/>
    <cellStyle name="Warning Text 43 2" xfId="4181" xr:uid="{00000000-0005-0000-0000-00009D2E0000}"/>
    <cellStyle name="Warning Text 43 2 2" xfId="4397" xr:uid="{00000000-0005-0000-0000-00009E2E0000}"/>
    <cellStyle name="Warning Text 43 2 2 10" xfId="8013" xr:uid="{00000000-0005-0000-0000-00009F2E0000}"/>
    <cellStyle name="Warning Text 43 2 2 11" xfId="9220" xr:uid="{00000000-0005-0000-0000-0000A02E0000}"/>
    <cellStyle name="Warning Text 43 2 2 12" xfId="9541" xr:uid="{00000000-0005-0000-0000-0000A12E0000}"/>
    <cellStyle name="Warning Text 43 2 2 13" xfId="9833" xr:uid="{00000000-0005-0000-0000-0000A22E0000}"/>
    <cellStyle name="Warning Text 43 2 2 14" xfId="10305" xr:uid="{00000000-0005-0000-0000-0000A32E0000}"/>
    <cellStyle name="Warning Text 43 2 2 15" xfId="10636" xr:uid="{00000000-0005-0000-0000-0000A42E0000}"/>
    <cellStyle name="Warning Text 43 2 2 16" xfId="11192" xr:uid="{00000000-0005-0000-0000-0000A52E0000}"/>
    <cellStyle name="Warning Text 43 2 2 17" xfId="11661" xr:uid="{00000000-0005-0000-0000-0000A62E0000}"/>
    <cellStyle name="Warning Text 43 2 2 18" xfId="12317" xr:uid="{00000000-0005-0000-0000-0000A72E0000}"/>
    <cellStyle name="Warning Text 43 2 2 19" xfId="12732" xr:uid="{00000000-0005-0000-0000-0000A82E0000}"/>
    <cellStyle name="Warning Text 43 2 2 2" xfId="4944" xr:uid="{00000000-0005-0000-0000-0000A92E0000}"/>
    <cellStyle name="Warning Text 43 2 2 3" xfId="5382" xr:uid="{00000000-0005-0000-0000-0000AA2E0000}"/>
    <cellStyle name="Warning Text 43 2 2 4" xfId="5820" xr:uid="{00000000-0005-0000-0000-0000AB2E0000}"/>
    <cellStyle name="Warning Text 43 2 2 5" xfId="6257" xr:uid="{00000000-0005-0000-0000-0000AC2E0000}"/>
    <cellStyle name="Warning Text 43 2 2 6" xfId="6694" xr:uid="{00000000-0005-0000-0000-0000AD2E0000}"/>
    <cellStyle name="Warning Text 43 2 2 7" xfId="7131" xr:uid="{00000000-0005-0000-0000-0000AE2E0000}"/>
    <cellStyle name="Warning Text 43 2 2 8" xfId="7568" xr:uid="{00000000-0005-0000-0000-0000AF2E0000}"/>
    <cellStyle name="Warning Text 43 2 2 9" xfId="8416" xr:uid="{00000000-0005-0000-0000-0000B02E0000}"/>
    <cellStyle name="Warning Text 43 2 3" xfId="4612" xr:uid="{00000000-0005-0000-0000-0000B12E0000}"/>
    <cellStyle name="Warning Text 43 2 3 10" xfId="8708" xr:uid="{00000000-0005-0000-0000-0000B22E0000}"/>
    <cellStyle name="Warning Text 43 2 3 11" xfId="9435" xr:uid="{00000000-0005-0000-0000-0000B32E0000}"/>
    <cellStyle name="Warning Text 43 2 3 12" xfId="8755" xr:uid="{00000000-0005-0000-0000-0000B42E0000}"/>
    <cellStyle name="Warning Text 43 2 3 13" xfId="10048" xr:uid="{00000000-0005-0000-0000-0000B52E0000}"/>
    <cellStyle name="Warning Text 43 2 3 14" xfId="10520" xr:uid="{00000000-0005-0000-0000-0000B62E0000}"/>
    <cellStyle name="Warning Text 43 2 3 15" xfId="10882" xr:uid="{00000000-0005-0000-0000-0000B72E0000}"/>
    <cellStyle name="Warning Text 43 2 3 16" xfId="11407" xr:uid="{00000000-0005-0000-0000-0000B82E0000}"/>
    <cellStyle name="Warning Text 43 2 3 17" xfId="11876" xr:uid="{00000000-0005-0000-0000-0000B92E0000}"/>
    <cellStyle name="Warning Text 43 2 3 18" xfId="11905" xr:uid="{00000000-0005-0000-0000-0000BA2E0000}"/>
    <cellStyle name="Warning Text 43 2 3 19" xfId="12947" xr:uid="{00000000-0005-0000-0000-0000BB2E0000}"/>
    <cellStyle name="Warning Text 43 2 3 2" xfId="5159" xr:uid="{00000000-0005-0000-0000-0000BC2E0000}"/>
    <cellStyle name="Warning Text 43 2 3 3" xfId="5597" xr:uid="{00000000-0005-0000-0000-0000BD2E0000}"/>
    <cellStyle name="Warning Text 43 2 3 4" xfId="6035" xr:uid="{00000000-0005-0000-0000-0000BE2E0000}"/>
    <cellStyle name="Warning Text 43 2 3 5" xfId="6472" xr:uid="{00000000-0005-0000-0000-0000BF2E0000}"/>
    <cellStyle name="Warning Text 43 2 3 6" xfId="6909" xr:uid="{00000000-0005-0000-0000-0000C02E0000}"/>
    <cellStyle name="Warning Text 43 2 3 7" xfId="7346" xr:uid="{00000000-0005-0000-0000-0000C12E0000}"/>
    <cellStyle name="Warning Text 43 2 3 8" xfId="7783" xr:uid="{00000000-0005-0000-0000-0000C22E0000}"/>
    <cellStyle name="Warning Text 43 2 3 9" xfId="8631" xr:uid="{00000000-0005-0000-0000-0000C32E0000}"/>
    <cellStyle name="Warning Text 43 3" xfId="4396" xr:uid="{00000000-0005-0000-0000-0000C42E0000}"/>
    <cellStyle name="Warning Text 43 3 10" xfId="8014" xr:uid="{00000000-0005-0000-0000-0000C52E0000}"/>
    <cellStyle name="Warning Text 43 3 11" xfId="9219" xr:uid="{00000000-0005-0000-0000-0000C62E0000}"/>
    <cellStyle name="Warning Text 43 3 12" xfId="9551" xr:uid="{00000000-0005-0000-0000-0000C72E0000}"/>
    <cellStyle name="Warning Text 43 3 13" xfId="9832" xr:uid="{00000000-0005-0000-0000-0000C82E0000}"/>
    <cellStyle name="Warning Text 43 3 14" xfId="10304" xr:uid="{00000000-0005-0000-0000-0000C92E0000}"/>
    <cellStyle name="Warning Text 43 3 15" xfId="10675" xr:uid="{00000000-0005-0000-0000-0000CA2E0000}"/>
    <cellStyle name="Warning Text 43 3 16" xfId="11191" xr:uid="{00000000-0005-0000-0000-0000CB2E0000}"/>
    <cellStyle name="Warning Text 43 3 17" xfId="11660" xr:uid="{00000000-0005-0000-0000-0000CC2E0000}"/>
    <cellStyle name="Warning Text 43 3 18" xfId="11910" xr:uid="{00000000-0005-0000-0000-0000CD2E0000}"/>
    <cellStyle name="Warning Text 43 3 19" xfId="12731" xr:uid="{00000000-0005-0000-0000-0000CE2E0000}"/>
    <cellStyle name="Warning Text 43 3 2" xfId="4943" xr:uid="{00000000-0005-0000-0000-0000CF2E0000}"/>
    <cellStyle name="Warning Text 43 3 3" xfId="5381" xr:uid="{00000000-0005-0000-0000-0000D02E0000}"/>
    <cellStyle name="Warning Text 43 3 4" xfId="5819" xr:uid="{00000000-0005-0000-0000-0000D12E0000}"/>
    <cellStyle name="Warning Text 43 3 5" xfId="6256" xr:uid="{00000000-0005-0000-0000-0000D22E0000}"/>
    <cellStyle name="Warning Text 43 3 6" xfId="6693" xr:uid="{00000000-0005-0000-0000-0000D32E0000}"/>
    <cellStyle name="Warning Text 43 3 7" xfId="7130" xr:uid="{00000000-0005-0000-0000-0000D42E0000}"/>
    <cellStyle name="Warning Text 43 3 8" xfId="7567" xr:uid="{00000000-0005-0000-0000-0000D52E0000}"/>
    <cellStyle name="Warning Text 43 3 9" xfId="8415" xr:uid="{00000000-0005-0000-0000-0000D62E0000}"/>
    <cellStyle name="Warning Text 43 4" xfId="4611" xr:uid="{00000000-0005-0000-0000-0000D72E0000}"/>
    <cellStyle name="Warning Text 43 4 10" xfId="8693" xr:uid="{00000000-0005-0000-0000-0000D82E0000}"/>
    <cellStyle name="Warning Text 43 4 11" xfId="9434" xr:uid="{00000000-0005-0000-0000-0000D92E0000}"/>
    <cellStyle name="Warning Text 43 4 12" xfId="8756" xr:uid="{00000000-0005-0000-0000-0000DA2E0000}"/>
    <cellStyle name="Warning Text 43 4 13" xfId="10047" xr:uid="{00000000-0005-0000-0000-0000DB2E0000}"/>
    <cellStyle name="Warning Text 43 4 14" xfId="10519" xr:uid="{00000000-0005-0000-0000-0000DC2E0000}"/>
    <cellStyle name="Warning Text 43 4 15" xfId="10076" xr:uid="{00000000-0005-0000-0000-0000DD2E0000}"/>
    <cellStyle name="Warning Text 43 4 16" xfId="11406" xr:uid="{00000000-0005-0000-0000-0000DE2E0000}"/>
    <cellStyle name="Warning Text 43 4 17" xfId="11875" xr:uid="{00000000-0005-0000-0000-0000DF2E0000}"/>
    <cellStyle name="Warning Text 43 4 18" xfId="11934" xr:uid="{00000000-0005-0000-0000-0000E02E0000}"/>
    <cellStyle name="Warning Text 43 4 19" xfId="12946" xr:uid="{00000000-0005-0000-0000-0000E12E0000}"/>
    <cellStyle name="Warning Text 43 4 2" xfId="5158" xr:uid="{00000000-0005-0000-0000-0000E22E0000}"/>
    <cellStyle name="Warning Text 43 4 3" xfId="5596" xr:uid="{00000000-0005-0000-0000-0000E32E0000}"/>
    <cellStyle name="Warning Text 43 4 4" xfId="6034" xr:uid="{00000000-0005-0000-0000-0000E42E0000}"/>
    <cellStyle name="Warning Text 43 4 5" xfId="6471" xr:uid="{00000000-0005-0000-0000-0000E52E0000}"/>
    <cellStyle name="Warning Text 43 4 6" xfId="6908" xr:uid="{00000000-0005-0000-0000-0000E62E0000}"/>
    <cellStyle name="Warning Text 43 4 7" xfId="7345" xr:uid="{00000000-0005-0000-0000-0000E72E0000}"/>
    <cellStyle name="Warning Text 43 4 8" xfId="7782" xr:uid="{00000000-0005-0000-0000-0000E82E0000}"/>
    <cellStyle name="Warning Text 43 4 9" xfId="8630" xr:uid="{00000000-0005-0000-0000-0000E92E0000}"/>
    <cellStyle name="Warning Text 44" xfId="4182" xr:uid="{00000000-0005-0000-0000-0000EA2E0000}"/>
    <cellStyle name="Warning Text 44 2" xfId="4183" xr:uid="{00000000-0005-0000-0000-0000EB2E0000}"/>
    <cellStyle name="Warning Text 44 2 2" xfId="4399" xr:uid="{00000000-0005-0000-0000-0000EC2E0000}"/>
    <cellStyle name="Warning Text 44 2 2 10" xfId="8011" xr:uid="{00000000-0005-0000-0000-0000ED2E0000}"/>
    <cellStyle name="Warning Text 44 2 2 11" xfId="9222" xr:uid="{00000000-0005-0000-0000-0000EE2E0000}"/>
    <cellStyle name="Warning Text 44 2 2 12" xfId="9525" xr:uid="{00000000-0005-0000-0000-0000EF2E0000}"/>
    <cellStyle name="Warning Text 44 2 2 13" xfId="9835" xr:uid="{00000000-0005-0000-0000-0000F02E0000}"/>
    <cellStyle name="Warning Text 44 2 2 14" xfId="10307" xr:uid="{00000000-0005-0000-0000-0000F12E0000}"/>
    <cellStyle name="Warning Text 44 2 2 15" xfId="10557" xr:uid="{00000000-0005-0000-0000-0000F22E0000}"/>
    <cellStyle name="Warning Text 44 2 2 16" xfId="11194" xr:uid="{00000000-0005-0000-0000-0000F32E0000}"/>
    <cellStyle name="Warning Text 44 2 2 17" xfId="11663" xr:uid="{00000000-0005-0000-0000-0000F42E0000}"/>
    <cellStyle name="Warning Text 44 2 2 18" xfId="12261" xr:uid="{00000000-0005-0000-0000-0000F52E0000}"/>
    <cellStyle name="Warning Text 44 2 2 19" xfId="12734" xr:uid="{00000000-0005-0000-0000-0000F62E0000}"/>
    <cellStyle name="Warning Text 44 2 2 2" xfId="4946" xr:uid="{00000000-0005-0000-0000-0000F72E0000}"/>
    <cellStyle name="Warning Text 44 2 2 3" xfId="5384" xr:uid="{00000000-0005-0000-0000-0000F82E0000}"/>
    <cellStyle name="Warning Text 44 2 2 4" xfId="5822" xr:uid="{00000000-0005-0000-0000-0000F92E0000}"/>
    <cellStyle name="Warning Text 44 2 2 5" xfId="6259" xr:uid="{00000000-0005-0000-0000-0000FA2E0000}"/>
    <cellStyle name="Warning Text 44 2 2 6" xfId="6696" xr:uid="{00000000-0005-0000-0000-0000FB2E0000}"/>
    <cellStyle name="Warning Text 44 2 2 7" xfId="7133" xr:uid="{00000000-0005-0000-0000-0000FC2E0000}"/>
    <cellStyle name="Warning Text 44 2 2 8" xfId="7570" xr:uid="{00000000-0005-0000-0000-0000FD2E0000}"/>
    <cellStyle name="Warning Text 44 2 2 9" xfId="8418" xr:uid="{00000000-0005-0000-0000-0000FE2E0000}"/>
    <cellStyle name="Warning Text 44 2 3" xfId="4614" xr:uid="{00000000-0005-0000-0000-0000FF2E0000}"/>
    <cellStyle name="Warning Text 44 2 3 10" xfId="8672" xr:uid="{00000000-0005-0000-0000-0000002F0000}"/>
    <cellStyle name="Warning Text 44 2 3 11" xfId="9437" xr:uid="{00000000-0005-0000-0000-0000012F0000}"/>
    <cellStyle name="Warning Text 44 2 3 12" xfId="8753" xr:uid="{00000000-0005-0000-0000-0000022F0000}"/>
    <cellStyle name="Warning Text 44 2 3 13" xfId="10050" xr:uid="{00000000-0005-0000-0000-0000032F0000}"/>
    <cellStyle name="Warning Text 44 2 3 14" xfId="10522" xr:uid="{00000000-0005-0000-0000-0000042F0000}"/>
    <cellStyle name="Warning Text 44 2 3 15" xfId="10762" xr:uid="{00000000-0005-0000-0000-0000052F0000}"/>
    <cellStyle name="Warning Text 44 2 3 16" xfId="11409" xr:uid="{00000000-0005-0000-0000-0000062F0000}"/>
    <cellStyle name="Warning Text 44 2 3 17" xfId="11878" xr:uid="{00000000-0005-0000-0000-0000072F0000}"/>
    <cellStyle name="Warning Text 44 2 3 18" xfId="12298" xr:uid="{00000000-0005-0000-0000-0000082F0000}"/>
    <cellStyle name="Warning Text 44 2 3 19" xfId="12949" xr:uid="{00000000-0005-0000-0000-0000092F0000}"/>
    <cellStyle name="Warning Text 44 2 3 2" xfId="5161" xr:uid="{00000000-0005-0000-0000-00000A2F0000}"/>
    <cellStyle name="Warning Text 44 2 3 3" xfId="5599" xr:uid="{00000000-0005-0000-0000-00000B2F0000}"/>
    <cellStyle name="Warning Text 44 2 3 4" xfId="6037" xr:uid="{00000000-0005-0000-0000-00000C2F0000}"/>
    <cellStyle name="Warning Text 44 2 3 5" xfId="6474" xr:uid="{00000000-0005-0000-0000-00000D2F0000}"/>
    <cellStyle name="Warning Text 44 2 3 6" xfId="6911" xr:uid="{00000000-0005-0000-0000-00000E2F0000}"/>
    <cellStyle name="Warning Text 44 2 3 7" xfId="7348" xr:uid="{00000000-0005-0000-0000-00000F2F0000}"/>
    <cellStyle name="Warning Text 44 2 3 8" xfId="7785" xr:uid="{00000000-0005-0000-0000-0000102F0000}"/>
    <cellStyle name="Warning Text 44 2 3 9" xfId="8633" xr:uid="{00000000-0005-0000-0000-0000112F0000}"/>
    <cellStyle name="Warning Text 44 3" xfId="4398" xr:uid="{00000000-0005-0000-0000-0000122F0000}"/>
    <cellStyle name="Warning Text 44 3 10" xfId="8012" xr:uid="{00000000-0005-0000-0000-0000132F0000}"/>
    <cellStyle name="Warning Text 44 3 11" xfId="9221" xr:uid="{00000000-0005-0000-0000-0000142F0000}"/>
    <cellStyle name="Warning Text 44 3 12" xfId="9533" xr:uid="{00000000-0005-0000-0000-0000152F0000}"/>
    <cellStyle name="Warning Text 44 3 13" xfId="9834" xr:uid="{00000000-0005-0000-0000-0000162F0000}"/>
    <cellStyle name="Warning Text 44 3 14" xfId="10306" xr:uid="{00000000-0005-0000-0000-0000172F0000}"/>
    <cellStyle name="Warning Text 44 3 15" xfId="10597" xr:uid="{00000000-0005-0000-0000-0000182F0000}"/>
    <cellStyle name="Warning Text 44 3 16" xfId="11193" xr:uid="{00000000-0005-0000-0000-0000192F0000}"/>
    <cellStyle name="Warning Text 44 3 17" xfId="11662" xr:uid="{00000000-0005-0000-0000-00001A2F0000}"/>
    <cellStyle name="Warning Text 44 3 18" xfId="12287" xr:uid="{00000000-0005-0000-0000-00001B2F0000}"/>
    <cellStyle name="Warning Text 44 3 19" xfId="12733" xr:uid="{00000000-0005-0000-0000-00001C2F0000}"/>
    <cellStyle name="Warning Text 44 3 2" xfId="4945" xr:uid="{00000000-0005-0000-0000-00001D2F0000}"/>
    <cellStyle name="Warning Text 44 3 3" xfId="5383" xr:uid="{00000000-0005-0000-0000-00001E2F0000}"/>
    <cellStyle name="Warning Text 44 3 4" xfId="5821" xr:uid="{00000000-0005-0000-0000-00001F2F0000}"/>
    <cellStyle name="Warning Text 44 3 5" xfId="6258" xr:uid="{00000000-0005-0000-0000-0000202F0000}"/>
    <cellStyle name="Warning Text 44 3 6" xfId="6695" xr:uid="{00000000-0005-0000-0000-0000212F0000}"/>
    <cellStyle name="Warning Text 44 3 7" xfId="7132" xr:uid="{00000000-0005-0000-0000-0000222F0000}"/>
    <cellStyle name="Warning Text 44 3 8" xfId="7569" xr:uid="{00000000-0005-0000-0000-0000232F0000}"/>
    <cellStyle name="Warning Text 44 3 9" xfId="8417" xr:uid="{00000000-0005-0000-0000-0000242F0000}"/>
    <cellStyle name="Warning Text 44 4" xfId="4613" xr:uid="{00000000-0005-0000-0000-0000252F0000}"/>
    <cellStyle name="Warning Text 44 4 10" xfId="8659" xr:uid="{00000000-0005-0000-0000-0000262F0000}"/>
    <cellStyle name="Warning Text 44 4 11" xfId="9436" xr:uid="{00000000-0005-0000-0000-0000272F0000}"/>
    <cellStyle name="Warning Text 44 4 12" xfId="8754" xr:uid="{00000000-0005-0000-0000-0000282F0000}"/>
    <cellStyle name="Warning Text 44 4 13" xfId="10049" xr:uid="{00000000-0005-0000-0000-0000292F0000}"/>
    <cellStyle name="Warning Text 44 4 14" xfId="10521" xr:uid="{00000000-0005-0000-0000-00002A2F0000}"/>
    <cellStyle name="Warning Text 44 4 15" xfId="10801" xr:uid="{00000000-0005-0000-0000-00002B2F0000}"/>
    <cellStyle name="Warning Text 44 4 16" xfId="11408" xr:uid="{00000000-0005-0000-0000-00002C2F0000}"/>
    <cellStyle name="Warning Text 44 4 17" xfId="11877" xr:uid="{00000000-0005-0000-0000-00002D2F0000}"/>
    <cellStyle name="Warning Text 44 4 18" xfId="12312" xr:uid="{00000000-0005-0000-0000-00002E2F0000}"/>
    <cellStyle name="Warning Text 44 4 19" xfId="12948" xr:uid="{00000000-0005-0000-0000-00002F2F0000}"/>
    <cellStyle name="Warning Text 44 4 2" xfId="5160" xr:uid="{00000000-0005-0000-0000-0000302F0000}"/>
    <cellStyle name="Warning Text 44 4 3" xfId="5598" xr:uid="{00000000-0005-0000-0000-0000312F0000}"/>
    <cellStyle name="Warning Text 44 4 4" xfId="6036" xr:uid="{00000000-0005-0000-0000-0000322F0000}"/>
    <cellStyle name="Warning Text 44 4 5" xfId="6473" xr:uid="{00000000-0005-0000-0000-0000332F0000}"/>
    <cellStyle name="Warning Text 44 4 6" xfId="6910" xr:uid="{00000000-0005-0000-0000-0000342F0000}"/>
    <cellStyle name="Warning Text 44 4 7" xfId="7347" xr:uid="{00000000-0005-0000-0000-0000352F0000}"/>
    <cellStyle name="Warning Text 44 4 8" xfId="7784" xr:uid="{00000000-0005-0000-0000-0000362F0000}"/>
    <cellStyle name="Warning Text 44 4 9" xfId="8632" xr:uid="{00000000-0005-0000-0000-0000372F0000}"/>
    <cellStyle name="Warning Text 45" xfId="4184" xr:uid="{00000000-0005-0000-0000-0000382F0000}"/>
    <cellStyle name="Warning Text 45 2" xfId="4185" xr:uid="{00000000-0005-0000-0000-0000392F0000}"/>
    <cellStyle name="Warning Text 45 2 2" xfId="4401" xr:uid="{00000000-0005-0000-0000-00003A2F0000}"/>
    <cellStyle name="Warning Text 45 2 2 10" xfId="8009" xr:uid="{00000000-0005-0000-0000-00003B2F0000}"/>
    <cellStyle name="Warning Text 45 2 2 11" xfId="9224" xr:uid="{00000000-0005-0000-0000-00003C2F0000}"/>
    <cellStyle name="Warning Text 45 2 2 12" xfId="9618" xr:uid="{00000000-0005-0000-0000-00003D2F0000}"/>
    <cellStyle name="Warning Text 45 2 2 13" xfId="9837" xr:uid="{00000000-0005-0000-0000-00003E2F0000}"/>
    <cellStyle name="Warning Text 45 2 2 14" xfId="10309" xr:uid="{00000000-0005-0000-0000-00003F2F0000}"/>
    <cellStyle name="Warning Text 45 2 2 15" xfId="10937" xr:uid="{00000000-0005-0000-0000-0000402F0000}"/>
    <cellStyle name="Warning Text 45 2 2 16" xfId="11196" xr:uid="{00000000-0005-0000-0000-0000412F0000}"/>
    <cellStyle name="Warning Text 45 2 2 17" xfId="11665" xr:uid="{00000000-0005-0000-0000-0000422F0000}"/>
    <cellStyle name="Warning Text 45 2 2 18" xfId="12180" xr:uid="{00000000-0005-0000-0000-0000432F0000}"/>
    <cellStyle name="Warning Text 45 2 2 19" xfId="12736" xr:uid="{00000000-0005-0000-0000-0000442F0000}"/>
    <cellStyle name="Warning Text 45 2 2 2" xfId="4948" xr:uid="{00000000-0005-0000-0000-0000452F0000}"/>
    <cellStyle name="Warning Text 45 2 2 3" xfId="5386" xr:uid="{00000000-0005-0000-0000-0000462F0000}"/>
    <cellStyle name="Warning Text 45 2 2 4" xfId="5824" xr:uid="{00000000-0005-0000-0000-0000472F0000}"/>
    <cellStyle name="Warning Text 45 2 2 5" xfId="6261" xr:uid="{00000000-0005-0000-0000-0000482F0000}"/>
    <cellStyle name="Warning Text 45 2 2 6" xfId="6698" xr:uid="{00000000-0005-0000-0000-0000492F0000}"/>
    <cellStyle name="Warning Text 45 2 2 7" xfId="7135" xr:uid="{00000000-0005-0000-0000-00004A2F0000}"/>
    <cellStyle name="Warning Text 45 2 2 8" xfId="7572" xr:uid="{00000000-0005-0000-0000-00004B2F0000}"/>
    <cellStyle name="Warning Text 45 2 2 9" xfId="8420" xr:uid="{00000000-0005-0000-0000-00004C2F0000}"/>
    <cellStyle name="Warning Text 45 2 3" xfId="4616" xr:uid="{00000000-0005-0000-0000-00004D2F0000}"/>
    <cellStyle name="Warning Text 45 2 3 10" xfId="8701" xr:uid="{00000000-0005-0000-0000-00004E2F0000}"/>
    <cellStyle name="Warning Text 45 2 3 11" xfId="9439" xr:uid="{00000000-0005-0000-0000-00004F2F0000}"/>
    <cellStyle name="Warning Text 45 2 3 12" xfId="8751" xr:uid="{00000000-0005-0000-0000-0000502F0000}"/>
    <cellStyle name="Warning Text 45 2 3 13" xfId="10052" xr:uid="{00000000-0005-0000-0000-0000512F0000}"/>
    <cellStyle name="Warning Text 45 2 3 14" xfId="10524" xr:uid="{00000000-0005-0000-0000-0000522F0000}"/>
    <cellStyle name="Warning Text 45 2 3 15" xfId="10685" xr:uid="{00000000-0005-0000-0000-0000532F0000}"/>
    <cellStyle name="Warning Text 45 2 3 16" xfId="11411" xr:uid="{00000000-0005-0000-0000-0000542F0000}"/>
    <cellStyle name="Warning Text 45 2 3 17" xfId="11880" xr:uid="{00000000-0005-0000-0000-0000552F0000}"/>
    <cellStyle name="Warning Text 45 2 3 18" xfId="12226" xr:uid="{00000000-0005-0000-0000-0000562F0000}"/>
    <cellStyle name="Warning Text 45 2 3 19" xfId="12951" xr:uid="{00000000-0005-0000-0000-0000572F0000}"/>
    <cellStyle name="Warning Text 45 2 3 2" xfId="5163" xr:uid="{00000000-0005-0000-0000-0000582F0000}"/>
    <cellStyle name="Warning Text 45 2 3 3" xfId="5601" xr:uid="{00000000-0005-0000-0000-0000592F0000}"/>
    <cellStyle name="Warning Text 45 2 3 4" xfId="6039" xr:uid="{00000000-0005-0000-0000-00005A2F0000}"/>
    <cellStyle name="Warning Text 45 2 3 5" xfId="6476" xr:uid="{00000000-0005-0000-0000-00005B2F0000}"/>
    <cellStyle name="Warning Text 45 2 3 6" xfId="6913" xr:uid="{00000000-0005-0000-0000-00005C2F0000}"/>
    <cellStyle name="Warning Text 45 2 3 7" xfId="7350" xr:uid="{00000000-0005-0000-0000-00005D2F0000}"/>
    <cellStyle name="Warning Text 45 2 3 8" xfId="7787" xr:uid="{00000000-0005-0000-0000-00005E2F0000}"/>
    <cellStyle name="Warning Text 45 2 3 9" xfId="8635" xr:uid="{00000000-0005-0000-0000-00005F2F0000}"/>
    <cellStyle name="Warning Text 45 3" xfId="4400" xr:uid="{00000000-0005-0000-0000-0000602F0000}"/>
    <cellStyle name="Warning Text 45 3 10" xfId="8010" xr:uid="{00000000-0005-0000-0000-0000612F0000}"/>
    <cellStyle name="Warning Text 45 3 11" xfId="9223" xr:uid="{00000000-0005-0000-0000-0000622F0000}"/>
    <cellStyle name="Warning Text 45 3 12" xfId="9596" xr:uid="{00000000-0005-0000-0000-0000632F0000}"/>
    <cellStyle name="Warning Text 45 3 13" xfId="9836" xr:uid="{00000000-0005-0000-0000-0000642F0000}"/>
    <cellStyle name="Warning Text 45 3 14" xfId="10308" xr:uid="{00000000-0005-0000-0000-0000652F0000}"/>
    <cellStyle name="Warning Text 45 3 15" xfId="10918" xr:uid="{00000000-0005-0000-0000-0000662F0000}"/>
    <cellStyle name="Warning Text 45 3 16" xfId="11195" xr:uid="{00000000-0005-0000-0000-0000672F0000}"/>
    <cellStyle name="Warning Text 45 3 17" xfId="11664" xr:uid="{00000000-0005-0000-0000-0000682F0000}"/>
    <cellStyle name="Warning Text 45 3 18" xfId="12231" xr:uid="{00000000-0005-0000-0000-0000692F0000}"/>
    <cellStyle name="Warning Text 45 3 19" xfId="12735" xr:uid="{00000000-0005-0000-0000-00006A2F0000}"/>
    <cellStyle name="Warning Text 45 3 2" xfId="4947" xr:uid="{00000000-0005-0000-0000-00006B2F0000}"/>
    <cellStyle name="Warning Text 45 3 3" xfId="5385" xr:uid="{00000000-0005-0000-0000-00006C2F0000}"/>
    <cellStyle name="Warning Text 45 3 4" xfId="5823" xr:uid="{00000000-0005-0000-0000-00006D2F0000}"/>
    <cellStyle name="Warning Text 45 3 5" xfId="6260" xr:uid="{00000000-0005-0000-0000-00006E2F0000}"/>
    <cellStyle name="Warning Text 45 3 6" xfId="6697" xr:uid="{00000000-0005-0000-0000-00006F2F0000}"/>
    <cellStyle name="Warning Text 45 3 7" xfId="7134" xr:uid="{00000000-0005-0000-0000-0000702F0000}"/>
    <cellStyle name="Warning Text 45 3 8" xfId="7571" xr:uid="{00000000-0005-0000-0000-0000712F0000}"/>
    <cellStyle name="Warning Text 45 3 9" xfId="8419" xr:uid="{00000000-0005-0000-0000-0000722F0000}"/>
    <cellStyle name="Warning Text 45 4" xfId="4615" xr:uid="{00000000-0005-0000-0000-0000732F0000}"/>
    <cellStyle name="Warning Text 45 4 10" xfId="8680" xr:uid="{00000000-0005-0000-0000-0000742F0000}"/>
    <cellStyle name="Warning Text 45 4 11" xfId="9438" xr:uid="{00000000-0005-0000-0000-0000752F0000}"/>
    <cellStyle name="Warning Text 45 4 12" xfId="8752" xr:uid="{00000000-0005-0000-0000-0000762F0000}"/>
    <cellStyle name="Warning Text 45 4 13" xfId="10051" xr:uid="{00000000-0005-0000-0000-0000772F0000}"/>
    <cellStyle name="Warning Text 45 4 14" xfId="10523" xr:uid="{00000000-0005-0000-0000-0000782F0000}"/>
    <cellStyle name="Warning Text 45 4 15" xfId="10724" xr:uid="{00000000-0005-0000-0000-0000792F0000}"/>
    <cellStyle name="Warning Text 45 4 16" xfId="11410" xr:uid="{00000000-0005-0000-0000-00007A2F0000}"/>
    <cellStyle name="Warning Text 45 4 17" xfId="11879" xr:uid="{00000000-0005-0000-0000-00007B2F0000}"/>
    <cellStyle name="Warning Text 45 4 18" xfId="12256" xr:uid="{00000000-0005-0000-0000-00007C2F0000}"/>
    <cellStyle name="Warning Text 45 4 19" xfId="12950" xr:uid="{00000000-0005-0000-0000-00007D2F0000}"/>
    <cellStyle name="Warning Text 45 4 2" xfId="5162" xr:uid="{00000000-0005-0000-0000-00007E2F0000}"/>
    <cellStyle name="Warning Text 45 4 3" xfId="5600" xr:uid="{00000000-0005-0000-0000-00007F2F0000}"/>
    <cellStyle name="Warning Text 45 4 4" xfId="6038" xr:uid="{00000000-0005-0000-0000-0000802F0000}"/>
    <cellStyle name="Warning Text 45 4 5" xfId="6475" xr:uid="{00000000-0005-0000-0000-0000812F0000}"/>
    <cellStyle name="Warning Text 45 4 6" xfId="6912" xr:uid="{00000000-0005-0000-0000-0000822F0000}"/>
    <cellStyle name="Warning Text 45 4 7" xfId="7349" xr:uid="{00000000-0005-0000-0000-0000832F0000}"/>
    <cellStyle name="Warning Text 45 4 8" xfId="7786" xr:uid="{00000000-0005-0000-0000-0000842F0000}"/>
    <cellStyle name="Warning Text 45 4 9" xfId="8634" xr:uid="{00000000-0005-0000-0000-0000852F0000}"/>
    <cellStyle name="Warning Text 46" xfId="4186" xr:uid="{00000000-0005-0000-0000-0000862F0000}"/>
    <cellStyle name="Warning Text 46 2" xfId="4187" xr:uid="{00000000-0005-0000-0000-0000872F0000}"/>
    <cellStyle name="Warning Text 46 2 2" xfId="4403" xr:uid="{00000000-0005-0000-0000-0000882F0000}"/>
    <cellStyle name="Warning Text 46 2 2 10" xfId="8007" xr:uid="{00000000-0005-0000-0000-0000892F0000}"/>
    <cellStyle name="Warning Text 46 2 2 11" xfId="9226" xr:uid="{00000000-0005-0000-0000-00008A2F0000}"/>
    <cellStyle name="Warning Text 46 2 2 12" xfId="9577" xr:uid="{00000000-0005-0000-0000-00008B2F0000}"/>
    <cellStyle name="Warning Text 46 2 2 13" xfId="9839" xr:uid="{00000000-0005-0000-0000-00008C2F0000}"/>
    <cellStyle name="Warning Text 46 2 2 14" xfId="10311" xr:uid="{00000000-0005-0000-0000-00008D2F0000}"/>
    <cellStyle name="Warning Text 46 2 2 15" xfId="10893" xr:uid="{00000000-0005-0000-0000-00008E2F0000}"/>
    <cellStyle name="Warning Text 46 2 2 16" xfId="11198" xr:uid="{00000000-0005-0000-0000-00008F2F0000}"/>
    <cellStyle name="Warning Text 46 2 2 17" xfId="11667" xr:uid="{00000000-0005-0000-0000-0000902F0000}"/>
    <cellStyle name="Warning Text 46 2 2 18" xfId="12130" xr:uid="{00000000-0005-0000-0000-0000912F0000}"/>
    <cellStyle name="Warning Text 46 2 2 19" xfId="12738" xr:uid="{00000000-0005-0000-0000-0000922F0000}"/>
    <cellStyle name="Warning Text 46 2 2 2" xfId="4950" xr:uid="{00000000-0005-0000-0000-0000932F0000}"/>
    <cellStyle name="Warning Text 46 2 2 3" xfId="5388" xr:uid="{00000000-0005-0000-0000-0000942F0000}"/>
    <cellStyle name="Warning Text 46 2 2 4" xfId="5826" xr:uid="{00000000-0005-0000-0000-0000952F0000}"/>
    <cellStyle name="Warning Text 46 2 2 5" xfId="6263" xr:uid="{00000000-0005-0000-0000-0000962F0000}"/>
    <cellStyle name="Warning Text 46 2 2 6" xfId="6700" xr:uid="{00000000-0005-0000-0000-0000972F0000}"/>
    <cellStyle name="Warning Text 46 2 2 7" xfId="7137" xr:uid="{00000000-0005-0000-0000-0000982F0000}"/>
    <cellStyle name="Warning Text 46 2 2 8" xfId="7574" xr:uid="{00000000-0005-0000-0000-0000992F0000}"/>
    <cellStyle name="Warning Text 46 2 2 9" xfId="8422" xr:uid="{00000000-0005-0000-0000-00009A2F0000}"/>
    <cellStyle name="Warning Text 46 2 3" xfId="4618" xr:uid="{00000000-0005-0000-0000-00009B2F0000}"/>
    <cellStyle name="Warning Text 46 2 3 10" xfId="8695" xr:uid="{00000000-0005-0000-0000-00009C2F0000}"/>
    <cellStyle name="Warning Text 46 2 3 11" xfId="9441" xr:uid="{00000000-0005-0000-0000-00009D2F0000}"/>
    <cellStyle name="Warning Text 46 2 3 12" xfId="8749" xr:uid="{00000000-0005-0000-0000-00009E2F0000}"/>
    <cellStyle name="Warning Text 46 2 3 13" xfId="10054" xr:uid="{00000000-0005-0000-0000-00009F2F0000}"/>
    <cellStyle name="Warning Text 46 2 3 14" xfId="10526" xr:uid="{00000000-0005-0000-0000-0000A02F0000}"/>
    <cellStyle name="Warning Text 46 2 3 15" xfId="10607" xr:uid="{00000000-0005-0000-0000-0000A12F0000}"/>
    <cellStyle name="Warning Text 46 2 3 16" xfId="11413" xr:uid="{00000000-0005-0000-0000-0000A22F0000}"/>
    <cellStyle name="Warning Text 46 2 3 17" xfId="11882" xr:uid="{00000000-0005-0000-0000-0000A32F0000}"/>
    <cellStyle name="Warning Text 46 2 3 18" xfId="12188" xr:uid="{00000000-0005-0000-0000-0000A42F0000}"/>
    <cellStyle name="Warning Text 46 2 3 19" xfId="12953" xr:uid="{00000000-0005-0000-0000-0000A52F0000}"/>
    <cellStyle name="Warning Text 46 2 3 2" xfId="5165" xr:uid="{00000000-0005-0000-0000-0000A62F0000}"/>
    <cellStyle name="Warning Text 46 2 3 3" xfId="5603" xr:uid="{00000000-0005-0000-0000-0000A72F0000}"/>
    <cellStyle name="Warning Text 46 2 3 4" xfId="6041" xr:uid="{00000000-0005-0000-0000-0000A82F0000}"/>
    <cellStyle name="Warning Text 46 2 3 5" xfId="6478" xr:uid="{00000000-0005-0000-0000-0000A92F0000}"/>
    <cellStyle name="Warning Text 46 2 3 6" xfId="6915" xr:uid="{00000000-0005-0000-0000-0000AA2F0000}"/>
    <cellStyle name="Warning Text 46 2 3 7" xfId="7352" xr:uid="{00000000-0005-0000-0000-0000AB2F0000}"/>
    <cellStyle name="Warning Text 46 2 3 8" xfId="7789" xr:uid="{00000000-0005-0000-0000-0000AC2F0000}"/>
    <cellStyle name="Warning Text 46 2 3 9" xfId="8637" xr:uid="{00000000-0005-0000-0000-0000AD2F0000}"/>
    <cellStyle name="Warning Text 46 3" xfId="4402" xr:uid="{00000000-0005-0000-0000-0000AE2F0000}"/>
    <cellStyle name="Warning Text 46 3 10" xfId="8008" xr:uid="{00000000-0005-0000-0000-0000AF2F0000}"/>
    <cellStyle name="Warning Text 46 3 11" xfId="9225" xr:uid="{00000000-0005-0000-0000-0000B02F0000}"/>
    <cellStyle name="Warning Text 46 3 12" xfId="9586" xr:uid="{00000000-0005-0000-0000-0000B12F0000}"/>
    <cellStyle name="Warning Text 46 3 13" xfId="9838" xr:uid="{00000000-0005-0000-0000-0000B22F0000}"/>
    <cellStyle name="Warning Text 46 3 14" xfId="10310" xr:uid="{00000000-0005-0000-0000-0000B32F0000}"/>
    <cellStyle name="Warning Text 46 3 15" xfId="10852" xr:uid="{00000000-0005-0000-0000-0000B42F0000}"/>
    <cellStyle name="Warning Text 46 3 16" xfId="11197" xr:uid="{00000000-0005-0000-0000-0000B52F0000}"/>
    <cellStyle name="Warning Text 46 3 17" xfId="11666" xr:uid="{00000000-0005-0000-0000-0000B62F0000}"/>
    <cellStyle name="Warning Text 46 3 18" xfId="12193" xr:uid="{00000000-0005-0000-0000-0000B72F0000}"/>
    <cellStyle name="Warning Text 46 3 19" xfId="12737" xr:uid="{00000000-0005-0000-0000-0000B82F0000}"/>
    <cellStyle name="Warning Text 46 3 2" xfId="4949" xr:uid="{00000000-0005-0000-0000-0000B92F0000}"/>
    <cellStyle name="Warning Text 46 3 3" xfId="5387" xr:uid="{00000000-0005-0000-0000-0000BA2F0000}"/>
    <cellStyle name="Warning Text 46 3 4" xfId="5825" xr:uid="{00000000-0005-0000-0000-0000BB2F0000}"/>
    <cellStyle name="Warning Text 46 3 5" xfId="6262" xr:uid="{00000000-0005-0000-0000-0000BC2F0000}"/>
    <cellStyle name="Warning Text 46 3 6" xfId="6699" xr:uid="{00000000-0005-0000-0000-0000BD2F0000}"/>
    <cellStyle name="Warning Text 46 3 7" xfId="7136" xr:uid="{00000000-0005-0000-0000-0000BE2F0000}"/>
    <cellStyle name="Warning Text 46 3 8" xfId="7573" xr:uid="{00000000-0005-0000-0000-0000BF2F0000}"/>
    <cellStyle name="Warning Text 46 3 9" xfId="8421" xr:uid="{00000000-0005-0000-0000-0000C02F0000}"/>
    <cellStyle name="Warning Text 46 4" xfId="4617" xr:uid="{00000000-0005-0000-0000-0000C12F0000}"/>
    <cellStyle name="Warning Text 46 4 10" xfId="8677" xr:uid="{00000000-0005-0000-0000-0000C22F0000}"/>
    <cellStyle name="Warning Text 46 4 11" xfId="9440" xr:uid="{00000000-0005-0000-0000-0000C32F0000}"/>
    <cellStyle name="Warning Text 46 4 12" xfId="8750" xr:uid="{00000000-0005-0000-0000-0000C42F0000}"/>
    <cellStyle name="Warning Text 46 4 13" xfId="10053" xr:uid="{00000000-0005-0000-0000-0000C52F0000}"/>
    <cellStyle name="Warning Text 46 4 14" xfId="10525" xr:uid="{00000000-0005-0000-0000-0000C62F0000}"/>
    <cellStyle name="Warning Text 46 4 15" xfId="10646" xr:uid="{00000000-0005-0000-0000-0000C72F0000}"/>
    <cellStyle name="Warning Text 46 4 16" xfId="11412" xr:uid="{00000000-0005-0000-0000-0000C82F0000}"/>
    <cellStyle name="Warning Text 46 4 17" xfId="11881" xr:uid="{00000000-0005-0000-0000-0000C92F0000}"/>
    <cellStyle name="Warning Text 46 4 18" xfId="12185" xr:uid="{00000000-0005-0000-0000-0000CA2F0000}"/>
    <cellStyle name="Warning Text 46 4 19" xfId="12952" xr:uid="{00000000-0005-0000-0000-0000CB2F0000}"/>
    <cellStyle name="Warning Text 46 4 2" xfId="5164" xr:uid="{00000000-0005-0000-0000-0000CC2F0000}"/>
    <cellStyle name="Warning Text 46 4 3" xfId="5602" xr:uid="{00000000-0005-0000-0000-0000CD2F0000}"/>
    <cellStyle name="Warning Text 46 4 4" xfId="6040" xr:uid="{00000000-0005-0000-0000-0000CE2F0000}"/>
    <cellStyle name="Warning Text 46 4 5" xfId="6477" xr:uid="{00000000-0005-0000-0000-0000CF2F0000}"/>
    <cellStyle name="Warning Text 46 4 6" xfId="6914" xr:uid="{00000000-0005-0000-0000-0000D02F0000}"/>
    <cellStyle name="Warning Text 46 4 7" xfId="7351" xr:uid="{00000000-0005-0000-0000-0000D12F0000}"/>
    <cellStyle name="Warning Text 46 4 8" xfId="7788" xr:uid="{00000000-0005-0000-0000-0000D22F0000}"/>
    <cellStyle name="Warning Text 46 4 9" xfId="8636" xr:uid="{00000000-0005-0000-0000-0000D32F0000}"/>
    <cellStyle name="Warning Text 47" xfId="4188" xr:uid="{00000000-0005-0000-0000-0000D42F0000}"/>
    <cellStyle name="Warning Text 47 2" xfId="4189" xr:uid="{00000000-0005-0000-0000-0000D52F0000}"/>
    <cellStyle name="Warning Text 47 2 2" xfId="4405" xr:uid="{00000000-0005-0000-0000-0000D62F0000}"/>
    <cellStyle name="Warning Text 47 2 2 10" xfId="8005" xr:uid="{00000000-0005-0000-0000-0000D72F0000}"/>
    <cellStyle name="Warning Text 47 2 2 11" xfId="9228" xr:uid="{00000000-0005-0000-0000-0000D82F0000}"/>
    <cellStyle name="Warning Text 47 2 2 12" xfId="9556" xr:uid="{00000000-0005-0000-0000-0000D92F0000}"/>
    <cellStyle name="Warning Text 47 2 2 13" xfId="9841" xr:uid="{00000000-0005-0000-0000-0000DA2F0000}"/>
    <cellStyle name="Warning Text 47 2 2 14" xfId="10313" xr:uid="{00000000-0005-0000-0000-0000DB2F0000}"/>
    <cellStyle name="Warning Text 47 2 2 15" xfId="10773" xr:uid="{00000000-0005-0000-0000-0000DC2F0000}"/>
    <cellStyle name="Warning Text 47 2 2 16" xfId="11200" xr:uid="{00000000-0005-0000-0000-0000DD2F0000}"/>
    <cellStyle name="Warning Text 47 2 2 17" xfId="11669" xr:uid="{00000000-0005-0000-0000-0000DE2F0000}"/>
    <cellStyle name="Warning Text 47 2 2 18" xfId="12100" xr:uid="{00000000-0005-0000-0000-0000DF2F0000}"/>
    <cellStyle name="Warning Text 47 2 2 19" xfId="12740" xr:uid="{00000000-0005-0000-0000-0000E02F0000}"/>
    <cellStyle name="Warning Text 47 2 2 2" xfId="4952" xr:uid="{00000000-0005-0000-0000-0000E12F0000}"/>
    <cellStyle name="Warning Text 47 2 2 3" xfId="5390" xr:uid="{00000000-0005-0000-0000-0000E22F0000}"/>
    <cellStyle name="Warning Text 47 2 2 4" xfId="5828" xr:uid="{00000000-0005-0000-0000-0000E32F0000}"/>
    <cellStyle name="Warning Text 47 2 2 5" xfId="6265" xr:uid="{00000000-0005-0000-0000-0000E42F0000}"/>
    <cellStyle name="Warning Text 47 2 2 6" xfId="6702" xr:uid="{00000000-0005-0000-0000-0000E52F0000}"/>
    <cellStyle name="Warning Text 47 2 2 7" xfId="7139" xr:uid="{00000000-0005-0000-0000-0000E62F0000}"/>
    <cellStyle name="Warning Text 47 2 2 8" xfId="7576" xr:uid="{00000000-0005-0000-0000-0000E72F0000}"/>
    <cellStyle name="Warning Text 47 2 2 9" xfId="8424" xr:uid="{00000000-0005-0000-0000-0000E82F0000}"/>
    <cellStyle name="Warning Text 47 2 3" xfId="4620" xr:uid="{00000000-0005-0000-0000-0000E92F0000}"/>
    <cellStyle name="Warning Text 47 2 3 10" xfId="8688" xr:uid="{00000000-0005-0000-0000-0000EA2F0000}"/>
    <cellStyle name="Warning Text 47 2 3 11" xfId="9443" xr:uid="{00000000-0005-0000-0000-0000EB2F0000}"/>
    <cellStyle name="Warning Text 47 2 3 12" xfId="8747" xr:uid="{00000000-0005-0000-0000-0000EC2F0000}"/>
    <cellStyle name="Warning Text 47 2 3 13" xfId="10056" xr:uid="{00000000-0005-0000-0000-0000ED2F0000}"/>
    <cellStyle name="Warning Text 47 2 3 14" xfId="10528" xr:uid="{00000000-0005-0000-0000-0000EE2F0000}"/>
    <cellStyle name="Warning Text 47 2 3 15" xfId="10979" xr:uid="{00000000-0005-0000-0000-0000EF2F0000}"/>
    <cellStyle name="Warning Text 47 2 3 16" xfId="11415" xr:uid="{00000000-0005-0000-0000-0000F02F0000}"/>
    <cellStyle name="Warning Text 47 2 3 17" xfId="11884" xr:uid="{00000000-0005-0000-0000-0000F12F0000}"/>
    <cellStyle name="Warning Text 47 2 3 18" xfId="11452" xr:uid="{00000000-0005-0000-0000-0000F22F0000}"/>
    <cellStyle name="Warning Text 47 2 3 19" xfId="12955" xr:uid="{00000000-0005-0000-0000-0000F32F0000}"/>
    <cellStyle name="Warning Text 47 2 3 2" xfId="5167" xr:uid="{00000000-0005-0000-0000-0000F42F0000}"/>
    <cellStyle name="Warning Text 47 2 3 3" xfId="5605" xr:uid="{00000000-0005-0000-0000-0000F52F0000}"/>
    <cellStyle name="Warning Text 47 2 3 4" xfId="6043" xr:uid="{00000000-0005-0000-0000-0000F62F0000}"/>
    <cellStyle name="Warning Text 47 2 3 5" xfId="6480" xr:uid="{00000000-0005-0000-0000-0000F72F0000}"/>
    <cellStyle name="Warning Text 47 2 3 6" xfId="6917" xr:uid="{00000000-0005-0000-0000-0000F82F0000}"/>
    <cellStyle name="Warning Text 47 2 3 7" xfId="7354" xr:uid="{00000000-0005-0000-0000-0000F92F0000}"/>
    <cellStyle name="Warning Text 47 2 3 8" xfId="7791" xr:uid="{00000000-0005-0000-0000-0000FA2F0000}"/>
    <cellStyle name="Warning Text 47 2 3 9" xfId="8639" xr:uid="{00000000-0005-0000-0000-0000FB2F0000}"/>
    <cellStyle name="Warning Text 47 3" xfId="4404" xr:uid="{00000000-0005-0000-0000-0000FC2F0000}"/>
    <cellStyle name="Warning Text 47 3 10" xfId="8006" xr:uid="{00000000-0005-0000-0000-0000FD2F0000}"/>
    <cellStyle name="Warning Text 47 3 11" xfId="9227" xr:uid="{00000000-0005-0000-0000-0000FE2F0000}"/>
    <cellStyle name="Warning Text 47 3 12" xfId="9566" xr:uid="{00000000-0005-0000-0000-0000FF2F0000}"/>
    <cellStyle name="Warning Text 47 3 13" xfId="9840" xr:uid="{00000000-0005-0000-0000-000000300000}"/>
    <cellStyle name="Warning Text 47 3 14" xfId="10312" xr:uid="{00000000-0005-0000-0000-000001300000}"/>
    <cellStyle name="Warning Text 47 3 15" xfId="10812" xr:uid="{00000000-0005-0000-0000-000002300000}"/>
    <cellStyle name="Warning Text 47 3 16" xfId="11199" xr:uid="{00000000-0005-0000-0000-000003300000}"/>
    <cellStyle name="Warning Text 47 3 17" xfId="11668" xr:uid="{00000000-0005-0000-0000-000004300000}"/>
    <cellStyle name="Warning Text 47 3 18" xfId="12159" xr:uid="{00000000-0005-0000-0000-000005300000}"/>
    <cellStyle name="Warning Text 47 3 19" xfId="12739" xr:uid="{00000000-0005-0000-0000-000006300000}"/>
    <cellStyle name="Warning Text 47 3 2" xfId="4951" xr:uid="{00000000-0005-0000-0000-000007300000}"/>
    <cellStyle name="Warning Text 47 3 3" xfId="5389" xr:uid="{00000000-0005-0000-0000-000008300000}"/>
    <cellStyle name="Warning Text 47 3 4" xfId="5827" xr:uid="{00000000-0005-0000-0000-000009300000}"/>
    <cellStyle name="Warning Text 47 3 5" xfId="6264" xr:uid="{00000000-0005-0000-0000-00000A300000}"/>
    <cellStyle name="Warning Text 47 3 6" xfId="6701" xr:uid="{00000000-0005-0000-0000-00000B300000}"/>
    <cellStyle name="Warning Text 47 3 7" xfId="7138" xr:uid="{00000000-0005-0000-0000-00000C300000}"/>
    <cellStyle name="Warning Text 47 3 8" xfId="7575" xr:uid="{00000000-0005-0000-0000-00000D300000}"/>
    <cellStyle name="Warning Text 47 3 9" xfId="8423" xr:uid="{00000000-0005-0000-0000-00000E300000}"/>
    <cellStyle name="Warning Text 47 4" xfId="4619" xr:uid="{00000000-0005-0000-0000-00000F300000}"/>
    <cellStyle name="Warning Text 47 4 10" xfId="8664" xr:uid="{00000000-0005-0000-0000-000010300000}"/>
    <cellStyle name="Warning Text 47 4 11" xfId="9442" xr:uid="{00000000-0005-0000-0000-000011300000}"/>
    <cellStyle name="Warning Text 47 4 12" xfId="8748" xr:uid="{00000000-0005-0000-0000-000012300000}"/>
    <cellStyle name="Warning Text 47 4 13" xfId="10055" xr:uid="{00000000-0005-0000-0000-000013300000}"/>
    <cellStyle name="Warning Text 47 4 14" xfId="10527" xr:uid="{00000000-0005-0000-0000-000014300000}"/>
    <cellStyle name="Warning Text 47 4 15" xfId="10568" xr:uid="{00000000-0005-0000-0000-000015300000}"/>
    <cellStyle name="Warning Text 47 4 16" xfId="11414" xr:uid="{00000000-0005-0000-0000-000016300000}"/>
    <cellStyle name="Warning Text 47 4 17" xfId="11883" xr:uid="{00000000-0005-0000-0000-000017300000}"/>
    <cellStyle name="Warning Text 47 4 18" xfId="12106" xr:uid="{00000000-0005-0000-0000-000018300000}"/>
    <cellStyle name="Warning Text 47 4 19" xfId="12954" xr:uid="{00000000-0005-0000-0000-000019300000}"/>
    <cellStyle name="Warning Text 47 4 2" xfId="5166" xr:uid="{00000000-0005-0000-0000-00001A300000}"/>
    <cellStyle name="Warning Text 47 4 3" xfId="5604" xr:uid="{00000000-0005-0000-0000-00001B300000}"/>
    <cellStyle name="Warning Text 47 4 4" xfId="6042" xr:uid="{00000000-0005-0000-0000-00001C300000}"/>
    <cellStyle name="Warning Text 47 4 5" xfId="6479" xr:uid="{00000000-0005-0000-0000-00001D300000}"/>
    <cellStyle name="Warning Text 47 4 6" xfId="6916" xr:uid="{00000000-0005-0000-0000-00001E300000}"/>
    <cellStyle name="Warning Text 47 4 7" xfId="7353" xr:uid="{00000000-0005-0000-0000-00001F300000}"/>
    <cellStyle name="Warning Text 47 4 8" xfId="7790" xr:uid="{00000000-0005-0000-0000-000020300000}"/>
    <cellStyle name="Warning Text 47 4 9" xfId="8638" xr:uid="{00000000-0005-0000-0000-000021300000}"/>
    <cellStyle name="Warning Text 48" xfId="4190" xr:uid="{00000000-0005-0000-0000-000022300000}"/>
    <cellStyle name="Warning Text 48 2" xfId="4191" xr:uid="{00000000-0005-0000-0000-000023300000}"/>
    <cellStyle name="Warning Text 48 2 2" xfId="4407" xr:uid="{00000000-0005-0000-0000-000024300000}"/>
    <cellStyle name="Warning Text 48 2 2 10" xfId="8003" xr:uid="{00000000-0005-0000-0000-000025300000}"/>
    <cellStyle name="Warning Text 48 2 2 11" xfId="9230" xr:uid="{00000000-0005-0000-0000-000026300000}"/>
    <cellStyle name="Warning Text 48 2 2 12" xfId="9538" xr:uid="{00000000-0005-0000-0000-000027300000}"/>
    <cellStyle name="Warning Text 48 2 2 13" xfId="9843" xr:uid="{00000000-0005-0000-0000-000028300000}"/>
    <cellStyle name="Warning Text 48 2 2 14" xfId="10315" xr:uid="{00000000-0005-0000-0000-000029300000}"/>
    <cellStyle name="Warning Text 48 2 2 15" xfId="10696" xr:uid="{00000000-0005-0000-0000-00002A300000}"/>
    <cellStyle name="Warning Text 48 2 2 16" xfId="11202" xr:uid="{00000000-0005-0000-0000-00002B300000}"/>
    <cellStyle name="Warning Text 48 2 2 17" xfId="11671" xr:uid="{00000000-0005-0000-0000-00002C300000}"/>
    <cellStyle name="Warning Text 48 2 2 18" xfId="12041" xr:uid="{00000000-0005-0000-0000-00002D300000}"/>
    <cellStyle name="Warning Text 48 2 2 19" xfId="12742" xr:uid="{00000000-0005-0000-0000-00002E300000}"/>
    <cellStyle name="Warning Text 48 2 2 2" xfId="4954" xr:uid="{00000000-0005-0000-0000-00002F300000}"/>
    <cellStyle name="Warning Text 48 2 2 3" xfId="5392" xr:uid="{00000000-0005-0000-0000-000030300000}"/>
    <cellStyle name="Warning Text 48 2 2 4" xfId="5830" xr:uid="{00000000-0005-0000-0000-000031300000}"/>
    <cellStyle name="Warning Text 48 2 2 5" xfId="6267" xr:uid="{00000000-0005-0000-0000-000032300000}"/>
    <cellStyle name="Warning Text 48 2 2 6" xfId="6704" xr:uid="{00000000-0005-0000-0000-000033300000}"/>
    <cellStyle name="Warning Text 48 2 2 7" xfId="7141" xr:uid="{00000000-0005-0000-0000-000034300000}"/>
    <cellStyle name="Warning Text 48 2 2 8" xfId="7578" xr:uid="{00000000-0005-0000-0000-000035300000}"/>
    <cellStyle name="Warning Text 48 2 2 9" xfId="8426" xr:uid="{00000000-0005-0000-0000-000036300000}"/>
    <cellStyle name="Warning Text 48 2 3" xfId="4622" xr:uid="{00000000-0005-0000-0000-000037300000}"/>
    <cellStyle name="Warning Text 48 2 3 10" xfId="8682" xr:uid="{00000000-0005-0000-0000-000038300000}"/>
    <cellStyle name="Warning Text 48 2 3 11" xfId="9445" xr:uid="{00000000-0005-0000-0000-000039300000}"/>
    <cellStyle name="Warning Text 48 2 3 12" xfId="8745" xr:uid="{00000000-0005-0000-0000-00003A300000}"/>
    <cellStyle name="Warning Text 48 2 3 13" xfId="10058" xr:uid="{00000000-0005-0000-0000-00003B300000}"/>
    <cellStyle name="Warning Text 48 2 3 14" xfId="10530" xr:uid="{00000000-0005-0000-0000-00003C300000}"/>
    <cellStyle name="Warning Text 48 2 3 15" xfId="10841" xr:uid="{00000000-0005-0000-0000-00003D300000}"/>
    <cellStyle name="Warning Text 48 2 3 16" xfId="11417" xr:uid="{00000000-0005-0000-0000-00003E300000}"/>
    <cellStyle name="Warning Text 48 2 3 17" xfId="11886" xr:uid="{00000000-0005-0000-0000-00003F300000}"/>
    <cellStyle name="Warning Text 48 2 3 18" xfId="12151" xr:uid="{00000000-0005-0000-0000-000040300000}"/>
    <cellStyle name="Warning Text 48 2 3 19" xfId="12957" xr:uid="{00000000-0005-0000-0000-000041300000}"/>
    <cellStyle name="Warning Text 48 2 3 2" xfId="5169" xr:uid="{00000000-0005-0000-0000-000042300000}"/>
    <cellStyle name="Warning Text 48 2 3 3" xfId="5607" xr:uid="{00000000-0005-0000-0000-000043300000}"/>
    <cellStyle name="Warning Text 48 2 3 4" xfId="6045" xr:uid="{00000000-0005-0000-0000-000044300000}"/>
    <cellStyle name="Warning Text 48 2 3 5" xfId="6482" xr:uid="{00000000-0005-0000-0000-000045300000}"/>
    <cellStyle name="Warning Text 48 2 3 6" xfId="6919" xr:uid="{00000000-0005-0000-0000-000046300000}"/>
    <cellStyle name="Warning Text 48 2 3 7" xfId="7356" xr:uid="{00000000-0005-0000-0000-000047300000}"/>
    <cellStyle name="Warning Text 48 2 3 8" xfId="7793" xr:uid="{00000000-0005-0000-0000-000048300000}"/>
    <cellStyle name="Warning Text 48 2 3 9" xfId="8641" xr:uid="{00000000-0005-0000-0000-000049300000}"/>
    <cellStyle name="Warning Text 48 3" xfId="4406" xr:uid="{00000000-0005-0000-0000-00004A300000}"/>
    <cellStyle name="Warning Text 48 3 10" xfId="8004" xr:uid="{00000000-0005-0000-0000-00004B300000}"/>
    <cellStyle name="Warning Text 48 3 11" xfId="9229" xr:uid="{00000000-0005-0000-0000-00004C300000}"/>
    <cellStyle name="Warning Text 48 3 12" xfId="9546" xr:uid="{00000000-0005-0000-0000-00004D300000}"/>
    <cellStyle name="Warning Text 48 3 13" xfId="9842" xr:uid="{00000000-0005-0000-0000-00004E300000}"/>
    <cellStyle name="Warning Text 48 3 14" xfId="10314" xr:uid="{00000000-0005-0000-0000-00004F300000}"/>
    <cellStyle name="Warning Text 48 3 15" xfId="10735" xr:uid="{00000000-0005-0000-0000-000050300000}"/>
    <cellStyle name="Warning Text 48 3 16" xfId="11201" xr:uid="{00000000-0005-0000-0000-000051300000}"/>
    <cellStyle name="Warning Text 48 3 17" xfId="11670" xr:uid="{00000000-0005-0000-0000-000052300000}"/>
    <cellStyle name="Warning Text 48 3 18" xfId="12070" xr:uid="{00000000-0005-0000-0000-000053300000}"/>
    <cellStyle name="Warning Text 48 3 19" xfId="12741" xr:uid="{00000000-0005-0000-0000-000054300000}"/>
    <cellStyle name="Warning Text 48 3 2" xfId="4953" xr:uid="{00000000-0005-0000-0000-000055300000}"/>
    <cellStyle name="Warning Text 48 3 3" xfId="5391" xr:uid="{00000000-0005-0000-0000-000056300000}"/>
    <cellStyle name="Warning Text 48 3 4" xfId="5829" xr:uid="{00000000-0005-0000-0000-000057300000}"/>
    <cellStyle name="Warning Text 48 3 5" xfId="6266" xr:uid="{00000000-0005-0000-0000-000058300000}"/>
    <cellStyle name="Warning Text 48 3 6" xfId="6703" xr:uid="{00000000-0005-0000-0000-000059300000}"/>
    <cellStyle name="Warning Text 48 3 7" xfId="7140" xr:uid="{00000000-0005-0000-0000-00005A300000}"/>
    <cellStyle name="Warning Text 48 3 8" xfId="7577" xr:uid="{00000000-0005-0000-0000-00005B300000}"/>
    <cellStyle name="Warning Text 48 3 9" xfId="8425" xr:uid="{00000000-0005-0000-0000-00005C300000}"/>
    <cellStyle name="Warning Text 48 4" xfId="4621" xr:uid="{00000000-0005-0000-0000-00005D300000}"/>
    <cellStyle name="Warning Text 48 4 10" xfId="8670" xr:uid="{00000000-0005-0000-0000-00005E300000}"/>
    <cellStyle name="Warning Text 48 4 11" xfId="9444" xr:uid="{00000000-0005-0000-0000-00005F300000}"/>
    <cellStyle name="Warning Text 48 4 12" xfId="8746" xr:uid="{00000000-0005-0000-0000-000060300000}"/>
    <cellStyle name="Warning Text 48 4 13" xfId="10057" xr:uid="{00000000-0005-0000-0000-000061300000}"/>
    <cellStyle name="Warning Text 48 4 14" xfId="10529" xr:uid="{00000000-0005-0000-0000-000062300000}"/>
    <cellStyle name="Warning Text 48 4 15" xfId="10948" xr:uid="{00000000-0005-0000-0000-000063300000}"/>
    <cellStyle name="Warning Text 48 4 16" xfId="11416" xr:uid="{00000000-0005-0000-0000-000064300000}"/>
    <cellStyle name="Warning Text 48 4 17" xfId="11885" xr:uid="{00000000-0005-0000-0000-000065300000}"/>
    <cellStyle name="Warning Text 48 4 18" xfId="11451" xr:uid="{00000000-0005-0000-0000-000066300000}"/>
    <cellStyle name="Warning Text 48 4 19" xfId="12956" xr:uid="{00000000-0005-0000-0000-000067300000}"/>
    <cellStyle name="Warning Text 48 4 2" xfId="5168" xr:uid="{00000000-0005-0000-0000-000068300000}"/>
    <cellStyle name="Warning Text 48 4 3" xfId="5606" xr:uid="{00000000-0005-0000-0000-000069300000}"/>
    <cellStyle name="Warning Text 48 4 4" xfId="6044" xr:uid="{00000000-0005-0000-0000-00006A300000}"/>
    <cellStyle name="Warning Text 48 4 5" xfId="6481" xr:uid="{00000000-0005-0000-0000-00006B300000}"/>
    <cellStyle name="Warning Text 48 4 6" xfId="6918" xr:uid="{00000000-0005-0000-0000-00006C300000}"/>
    <cellStyle name="Warning Text 48 4 7" xfId="7355" xr:uid="{00000000-0005-0000-0000-00006D300000}"/>
    <cellStyle name="Warning Text 48 4 8" xfId="7792" xr:uid="{00000000-0005-0000-0000-00006E300000}"/>
    <cellStyle name="Warning Text 48 4 9" xfId="8640" xr:uid="{00000000-0005-0000-0000-00006F300000}"/>
    <cellStyle name="Warning Text 49" xfId="4192" xr:uid="{00000000-0005-0000-0000-000070300000}"/>
    <cellStyle name="Warning Text 49 2" xfId="4193" xr:uid="{00000000-0005-0000-0000-000071300000}"/>
    <cellStyle name="Warning Text 49 2 2" xfId="4409" xr:uid="{00000000-0005-0000-0000-000072300000}"/>
    <cellStyle name="Warning Text 49 2 2 10" xfId="8001" xr:uid="{00000000-0005-0000-0000-000073300000}"/>
    <cellStyle name="Warning Text 49 2 2 11" xfId="9232" xr:uid="{00000000-0005-0000-0000-000074300000}"/>
    <cellStyle name="Warning Text 49 2 2 12" xfId="9591" xr:uid="{00000000-0005-0000-0000-000075300000}"/>
    <cellStyle name="Warning Text 49 2 2 13" xfId="9845" xr:uid="{00000000-0005-0000-0000-000076300000}"/>
    <cellStyle name="Warning Text 49 2 2 14" xfId="10317" xr:uid="{00000000-0005-0000-0000-000077300000}"/>
    <cellStyle name="Warning Text 49 2 2 15" xfId="10617" xr:uid="{00000000-0005-0000-0000-000078300000}"/>
    <cellStyle name="Warning Text 49 2 2 16" xfId="11204" xr:uid="{00000000-0005-0000-0000-000079300000}"/>
    <cellStyle name="Warning Text 49 2 2 17" xfId="11673" xr:uid="{00000000-0005-0000-0000-00007A300000}"/>
    <cellStyle name="Warning Text 49 2 2 18" xfId="11984" xr:uid="{00000000-0005-0000-0000-00007B300000}"/>
    <cellStyle name="Warning Text 49 2 2 19" xfId="12744" xr:uid="{00000000-0005-0000-0000-00007C300000}"/>
    <cellStyle name="Warning Text 49 2 2 2" xfId="4956" xr:uid="{00000000-0005-0000-0000-00007D300000}"/>
    <cellStyle name="Warning Text 49 2 2 3" xfId="5394" xr:uid="{00000000-0005-0000-0000-00007E300000}"/>
    <cellStyle name="Warning Text 49 2 2 4" xfId="5832" xr:uid="{00000000-0005-0000-0000-00007F300000}"/>
    <cellStyle name="Warning Text 49 2 2 5" xfId="6269" xr:uid="{00000000-0005-0000-0000-000080300000}"/>
    <cellStyle name="Warning Text 49 2 2 6" xfId="6706" xr:uid="{00000000-0005-0000-0000-000081300000}"/>
    <cellStyle name="Warning Text 49 2 2 7" xfId="7143" xr:uid="{00000000-0005-0000-0000-000082300000}"/>
    <cellStyle name="Warning Text 49 2 2 8" xfId="7580" xr:uid="{00000000-0005-0000-0000-000083300000}"/>
    <cellStyle name="Warning Text 49 2 2 9" xfId="8428" xr:uid="{00000000-0005-0000-0000-000084300000}"/>
    <cellStyle name="Warning Text 49 2 3" xfId="4624" xr:uid="{00000000-0005-0000-0000-000085300000}"/>
    <cellStyle name="Warning Text 49 2 3 10" xfId="8678" xr:uid="{00000000-0005-0000-0000-000086300000}"/>
    <cellStyle name="Warning Text 49 2 3 11" xfId="9447" xr:uid="{00000000-0005-0000-0000-000087300000}"/>
    <cellStyle name="Warning Text 49 2 3 12" xfId="8743" xr:uid="{00000000-0005-0000-0000-000088300000}"/>
    <cellStyle name="Warning Text 49 2 3 13" xfId="10060" xr:uid="{00000000-0005-0000-0000-000089300000}"/>
    <cellStyle name="Warning Text 49 2 3 14" xfId="10532" xr:uid="{00000000-0005-0000-0000-00008A300000}"/>
    <cellStyle name="Warning Text 49 2 3 15" xfId="10781" xr:uid="{00000000-0005-0000-0000-00008B300000}"/>
    <cellStyle name="Warning Text 49 2 3 16" xfId="11419" xr:uid="{00000000-0005-0000-0000-00008C300000}"/>
    <cellStyle name="Warning Text 49 2 3 17" xfId="11888" xr:uid="{00000000-0005-0000-0000-00008D300000}"/>
    <cellStyle name="Warning Text 49 2 3 18" xfId="12062" xr:uid="{00000000-0005-0000-0000-00008E300000}"/>
    <cellStyle name="Warning Text 49 2 3 19" xfId="12959" xr:uid="{00000000-0005-0000-0000-00008F300000}"/>
    <cellStyle name="Warning Text 49 2 3 2" xfId="5171" xr:uid="{00000000-0005-0000-0000-000090300000}"/>
    <cellStyle name="Warning Text 49 2 3 3" xfId="5609" xr:uid="{00000000-0005-0000-0000-000091300000}"/>
    <cellStyle name="Warning Text 49 2 3 4" xfId="6047" xr:uid="{00000000-0005-0000-0000-000092300000}"/>
    <cellStyle name="Warning Text 49 2 3 5" xfId="6484" xr:uid="{00000000-0005-0000-0000-000093300000}"/>
    <cellStyle name="Warning Text 49 2 3 6" xfId="6921" xr:uid="{00000000-0005-0000-0000-000094300000}"/>
    <cellStyle name="Warning Text 49 2 3 7" xfId="7358" xr:uid="{00000000-0005-0000-0000-000095300000}"/>
    <cellStyle name="Warning Text 49 2 3 8" xfId="7795" xr:uid="{00000000-0005-0000-0000-000096300000}"/>
    <cellStyle name="Warning Text 49 2 3 9" xfId="8643" xr:uid="{00000000-0005-0000-0000-000097300000}"/>
    <cellStyle name="Warning Text 49 3" xfId="4408" xr:uid="{00000000-0005-0000-0000-000098300000}"/>
    <cellStyle name="Warning Text 49 3 10" xfId="8002" xr:uid="{00000000-0005-0000-0000-000099300000}"/>
    <cellStyle name="Warning Text 49 3 11" xfId="9231" xr:uid="{00000000-0005-0000-0000-00009A300000}"/>
    <cellStyle name="Warning Text 49 3 12" xfId="9530" xr:uid="{00000000-0005-0000-0000-00009B300000}"/>
    <cellStyle name="Warning Text 49 3 13" xfId="9844" xr:uid="{00000000-0005-0000-0000-00009C300000}"/>
    <cellStyle name="Warning Text 49 3 14" xfId="10316" xr:uid="{00000000-0005-0000-0000-00009D300000}"/>
    <cellStyle name="Warning Text 49 3 15" xfId="10657" xr:uid="{00000000-0005-0000-0000-00009E300000}"/>
    <cellStyle name="Warning Text 49 3 16" xfId="11203" xr:uid="{00000000-0005-0000-0000-00009F300000}"/>
    <cellStyle name="Warning Text 49 3 17" xfId="11672" xr:uid="{00000000-0005-0000-0000-0000A0300000}"/>
    <cellStyle name="Warning Text 49 3 18" xfId="12012" xr:uid="{00000000-0005-0000-0000-0000A1300000}"/>
    <cellStyle name="Warning Text 49 3 19" xfId="12743" xr:uid="{00000000-0005-0000-0000-0000A2300000}"/>
    <cellStyle name="Warning Text 49 3 2" xfId="4955" xr:uid="{00000000-0005-0000-0000-0000A3300000}"/>
    <cellStyle name="Warning Text 49 3 3" xfId="5393" xr:uid="{00000000-0005-0000-0000-0000A4300000}"/>
    <cellStyle name="Warning Text 49 3 4" xfId="5831" xr:uid="{00000000-0005-0000-0000-0000A5300000}"/>
    <cellStyle name="Warning Text 49 3 5" xfId="6268" xr:uid="{00000000-0005-0000-0000-0000A6300000}"/>
    <cellStyle name="Warning Text 49 3 6" xfId="6705" xr:uid="{00000000-0005-0000-0000-0000A7300000}"/>
    <cellStyle name="Warning Text 49 3 7" xfId="7142" xr:uid="{00000000-0005-0000-0000-0000A8300000}"/>
    <cellStyle name="Warning Text 49 3 8" xfId="7579" xr:uid="{00000000-0005-0000-0000-0000A9300000}"/>
    <cellStyle name="Warning Text 49 3 9" xfId="8427" xr:uid="{00000000-0005-0000-0000-0000AA300000}"/>
    <cellStyle name="Warning Text 49 4" xfId="4623" xr:uid="{00000000-0005-0000-0000-0000AB300000}"/>
    <cellStyle name="Warning Text 49 4 10" xfId="8696" xr:uid="{00000000-0005-0000-0000-0000AC300000}"/>
    <cellStyle name="Warning Text 49 4 11" xfId="9446" xr:uid="{00000000-0005-0000-0000-0000AD300000}"/>
    <cellStyle name="Warning Text 49 4 12" xfId="8744" xr:uid="{00000000-0005-0000-0000-0000AE300000}"/>
    <cellStyle name="Warning Text 49 4 13" xfId="10059" xr:uid="{00000000-0005-0000-0000-0000AF300000}"/>
    <cellStyle name="Warning Text 49 4 14" xfId="10531" xr:uid="{00000000-0005-0000-0000-0000B0300000}"/>
    <cellStyle name="Warning Text 49 4 15" xfId="10862" xr:uid="{00000000-0005-0000-0000-0000B1300000}"/>
    <cellStyle name="Warning Text 49 4 16" xfId="11418" xr:uid="{00000000-0005-0000-0000-0000B2300000}"/>
    <cellStyle name="Warning Text 49 4 17" xfId="11887" xr:uid="{00000000-0005-0000-0000-0000B3300000}"/>
    <cellStyle name="Warning Text 49 4 18" xfId="12092" xr:uid="{00000000-0005-0000-0000-0000B4300000}"/>
    <cellStyle name="Warning Text 49 4 19" xfId="12958" xr:uid="{00000000-0005-0000-0000-0000B5300000}"/>
    <cellStyle name="Warning Text 49 4 2" xfId="5170" xr:uid="{00000000-0005-0000-0000-0000B6300000}"/>
    <cellStyle name="Warning Text 49 4 3" xfId="5608" xr:uid="{00000000-0005-0000-0000-0000B7300000}"/>
    <cellStyle name="Warning Text 49 4 4" xfId="6046" xr:uid="{00000000-0005-0000-0000-0000B8300000}"/>
    <cellStyle name="Warning Text 49 4 5" xfId="6483" xr:uid="{00000000-0005-0000-0000-0000B9300000}"/>
    <cellStyle name="Warning Text 49 4 6" xfId="6920" xr:uid="{00000000-0005-0000-0000-0000BA300000}"/>
    <cellStyle name="Warning Text 49 4 7" xfId="7357" xr:uid="{00000000-0005-0000-0000-0000BB300000}"/>
    <cellStyle name="Warning Text 49 4 8" xfId="7794" xr:uid="{00000000-0005-0000-0000-0000BC300000}"/>
    <cellStyle name="Warning Text 49 4 9" xfId="8642" xr:uid="{00000000-0005-0000-0000-0000BD300000}"/>
    <cellStyle name="Warning Text 5" xfId="797" xr:uid="{00000000-0005-0000-0000-0000BE300000}"/>
    <cellStyle name="Warning Text 5 2" xfId="4194" xr:uid="{00000000-0005-0000-0000-0000BF300000}"/>
    <cellStyle name="Warning Text 5 2 2" xfId="4411" xr:uid="{00000000-0005-0000-0000-0000C0300000}"/>
    <cellStyle name="Warning Text 5 2 2 10" xfId="7999" xr:uid="{00000000-0005-0000-0000-0000C1300000}"/>
    <cellStyle name="Warning Text 5 2 2 11" xfId="9234" xr:uid="{00000000-0005-0000-0000-0000C2300000}"/>
    <cellStyle name="Warning Text 5 2 2 12" xfId="9590" xr:uid="{00000000-0005-0000-0000-0000C3300000}"/>
    <cellStyle name="Warning Text 5 2 2 13" xfId="9847" xr:uid="{00000000-0005-0000-0000-0000C4300000}"/>
    <cellStyle name="Warning Text 5 2 2 14" xfId="10319" xr:uid="{00000000-0005-0000-0000-0000C5300000}"/>
    <cellStyle name="Warning Text 5 2 2 15" xfId="10970" xr:uid="{00000000-0005-0000-0000-0000C6300000}"/>
    <cellStyle name="Warning Text 5 2 2 16" xfId="11206" xr:uid="{00000000-0005-0000-0000-0000C7300000}"/>
    <cellStyle name="Warning Text 5 2 2 17" xfId="11675" xr:uid="{00000000-0005-0000-0000-0000C8300000}"/>
    <cellStyle name="Warning Text 5 2 2 18" xfId="11926" xr:uid="{00000000-0005-0000-0000-0000C9300000}"/>
    <cellStyle name="Warning Text 5 2 2 19" xfId="12746" xr:uid="{00000000-0005-0000-0000-0000CA300000}"/>
    <cellStyle name="Warning Text 5 2 2 2" xfId="4958" xr:uid="{00000000-0005-0000-0000-0000CB300000}"/>
    <cellStyle name="Warning Text 5 2 2 3" xfId="5396" xr:uid="{00000000-0005-0000-0000-0000CC300000}"/>
    <cellStyle name="Warning Text 5 2 2 4" xfId="5834" xr:uid="{00000000-0005-0000-0000-0000CD300000}"/>
    <cellStyle name="Warning Text 5 2 2 5" xfId="6271" xr:uid="{00000000-0005-0000-0000-0000CE300000}"/>
    <cellStyle name="Warning Text 5 2 2 6" xfId="6708" xr:uid="{00000000-0005-0000-0000-0000CF300000}"/>
    <cellStyle name="Warning Text 5 2 2 7" xfId="7145" xr:uid="{00000000-0005-0000-0000-0000D0300000}"/>
    <cellStyle name="Warning Text 5 2 2 8" xfId="7582" xr:uid="{00000000-0005-0000-0000-0000D1300000}"/>
    <cellStyle name="Warning Text 5 2 2 9" xfId="8430" xr:uid="{00000000-0005-0000-0000-0000D2300000}"/>
    <cellStyle name="Warning Text 5 2 3" xfId="4626" xr:uid="{00000000-0005-0000-0000-0000D3300000}"/>
    <cellStyle name="Warning Text 5 2 3 10" xfId="8669" xr:uid="{00000000-0005-0000-0000-0000D4300000}"/>
    <cellStyle name="Warning Text 5 2 3 11" xfId="9449" xr:uid="{00000000-0005-0000-0000-0000D5300000}"/>
    <cellStyle name="Warning Text 5 2 3 12" xfId="8741" xr:uid="{00000000-0005-0000-0000-0000D6300000}"/>
    <cellStyle name="Warning Text 5 2 3 13" xfId="10062" xr:uid="{00000000-0005-0000-0000-0000D7300000}"/>
    <cellStyle name="Warning Text 5 2 3 14" xfId="10534" xr:uid="{00000000-0005-0000-0000-0000D8300000}"/>
    <cellStyle name="Warning Text 5 2 3 15" xfId="10705" xr:uid="{00000000-0005-0000-0000-0000D9300000}"/>
    <cellStyle name="Warning Text 5 2 3 16" xfId="11421" xr:uid="{00000000-0005-0000-0000-0000DA300000}"/>
    <cellStyle name="Warning Text 5 2 3 17" xfId="11890" xr:uid="{00000000-0005-0000-0000-0000DB300000}"/>
    <cellStyle name="Warning Text 5 2 3 18" xfId="12004" xr:uid="{00000000-0005-0000-0000-0000DC300000}"/>
    <cellStyle name="Warning Text 5 2 3 19" xfId="12961" xr:uid="{00000000-0005-0000-0000-0000DD300000}"/>
    <cellStyle name="Warning Text 5 2 3 2" xfId="5173" xr:uid="{00000000-0005-0000-0000-0000DE300000}"/>
    <cellStyle name="Warning Text 5 2 3 3" xfId="5611" xr:uid="{00000000-0005-0000-0000-0000DF300000}"/>
    <cellStyle name="Warning Text 5 2 3 4" xfId="6049" xr:uid="{00000000-0005-0000-0000-0000E0300000}"/>
    <cellStyle name="Warning Text 5 2 3 5" xfId="6486" xr:uid="{00000000-0005-0000-0000-0000E1300000}"/>
    <cellStyle name="Warning Text 5 2 3 6" xfId="6923" xr:uid="{00000000-0005-0000-0000-0000E2300000}"/>
    <cellStyle name="Warning Text 5 2 3 7" xfId="7360" xr:uid="{00000000-0005-0000-0000-0000E3300000}"/>
    <cellStyle name="Warning Text 5 2 3 8" xfId="7797" xr:uid="{00000000-0005-0000-0000-0000E4300000}"/>
    <cellStyle name="Warning Text 5 2 3 9" xfId="8645" xr:uid="{00000000-0005-0000-0000-0000E5300000}"/>
    <cellStyle name="Warning Text 5 3" xfId="4410" xr:uid="{00000000-0005-0000-0000-0000E6300000}"/>
    <cellStyle name="Warning Text 5 3 10" xfId="8000" xr:uid="{00000000-0005-0000-0000-0000E7300000}"/>
    <cellStyle name="Warning Text 5 3 11" xfId="9233" xr:uid="{00000000-0005-0000-0000-0000E8300000}"/>
    <cellStyle name="Warning Text 5 3 12" xfId="8845" xr:uid="{00000000-0005-0000-0000-0000E9300000}"/>
    <cellStyle name="Warning Text 5 3 13" xfId="9846" xr:uid="{00000000-0005-0000-0000-0000EA300000}"/>
    <cellStyle name="Warning Text 5 3 14" xfId="10318" xr:uid="{00000000-0005-0000-0000-0000EB300000}"/>
    <cellStyle name="Warning Text 5 3 15" xfId="10578" xr:uid="{00000000-0005-0000-0000-0000EC300000}"/>
    <cellStyle name="Warning Text 5 3 16" xfId="11205" xr:uid="{00000000-0005-0000-0000-0000ED300000}"/>
    <cellStyle name="Warning Text 5 3 17" xfId="11674" xr:uid="{00000000-0005-0000-0000-0000EE300000}"/>
    <cellStyle name="Warning Text 5 3 18" xfId="11955" xr:uid="{00000000-0005-0000-0000-0000EF300000}"/>
    <cellStyle name="Warning Text 5 3 19" xfId="12745" xr:uid="{00000000-0005-0000-0000-0000F0300000}"/>
    <cellStyle name="Warning Text 5 3 2" xfId="4957" xr:uid="{00000000-0005-0000-0000-0000F1300000}"/>
    <cellStyle name="Warning Text 5 3 3" xfId="5395" xr:uid="{00000000-0005-0000-0000-0000F2300000}"/>
    <cellStyle name="Warning Text 5 3 4" xfId="5833" xr:uid="{00000000-0005-0000-0000-0000F3300000}"/>
    <cellStyle name="Warning Text 5 3 5" xfId="6270" xr:uid="{00000000-0005-0000-0000-0000F4300000}"/>
    <cellStyle name="Warning Text 5 3 6" xfId="6707" xr:uid="{00000000-0005-0000-0000-0000F5300000}"/>
    <cellStyle name="Warning Text 5 3 7" xfId="7144" xr:uid="{00000000-0005-0000-0000-0000F6300000}"/>
    <cellStyle name="Warning Text 5 3 8" xfId="7581" xr:uid="{00000000-0005-0000-0000-0000F7300000}"/>
    <cellStyle name="Warning Text 5 3 9" xfId="8429" xr:uid="{00000000-0005-0000-0000-0000F8300000}"/>
    <cellStyle name="Warning Text 5 4" xfId="4625" xr:uid="{00000000-0005-0000-0000-0000F9300000}"/>
    <cellStyle name="Warning Text 5 4 10" xfId="8694" xr:uid="{00000000-0005-0000-0000-0000FA300000}"/>
    <cellStyle name="Warning Text 5 4 11" xfId="9448" xr:uid="{00000000-0005-0000-0000-0000FB300000}"/>
    <cellStyle name="Warning Text 5 4 12" xfId="8742" xr:uid="{00000000-0005-0000-0000-0000FC300000}"/>
    <cellStyle name="Warning Text 5 4 13" xfId="10061" xr:uid="{00000000-0005-0000-0000-0000FD300000}"/>
    <cellStyle name="Warning Text 5 4 14" xfId="10533" xr:uid="{00000000-0005-0000-0000-0000FE300000}"/>
    <cellStyle name="Warning Text 5 4 15" xfId="10743" xr:uid="{00000000-0005-0000-0000-0000FF300000}"/>
    <cellStyle name="Warning Text 5 4 16" xfId="11420" xr:uid="{00000000-0005-0000-0000-000000310000}"/>
    <cellStyle name="Warning Text 5 4 17" xfId="11889" xr:uid="{00000000-0005-0000-0000-000001310000}"/>
    <cellStyle name="Warning Text 5 4 18" xfId="12033" xr:uid="{00000000-0005-0000-0000-000002310000}"/>
    <cellStyle name="Warning Text 5 4 19" xfId="12960" xr:uid="{00000000-0005-0000-0000-000003310000}"/>
    <cellStyle name="Warning Text 5 4 2" xfId="5172" xr:uid="{00000000-0005-0000-0000-000004310000}"/>
    <cellStyle name="Warning Text 5 4 3" xfId="5610" xr:uid="{00000000-0005-0000-0000-000005310000}"/>
    <cellStyle name="Warning Text 5 4 4" xfId="6048" xr:uid="{00000000-0005-0000-0000-000006310000}"/>
    <cellStyle name="Warning Text 5 4 5" xfId="6485" xr:uid="{00000000-0005-0000-0000-000007310000}"/>
    <cellStyle name="Warning Text 5 4 6" xfId="6922" xr:uid="{00000000-0005-0000-0000-000008310000}"/>
    <cellStyle name="Warning Text 5 4 7" xfId="7359" xr:uid="{00000000-0005-0000-0000-000009310000}"/>
    <cellStyle name="Warning Text 5 4 8" xfId="7796" xr:uid="{00000000-0005-0000-0000-00000A310000}"/>
    <cellStyle name="Warning Text 5 4 9" xfId="8644" xr:uid="{00000000-0005-0000-0000-00000B310000}"/>
    <cellStyle name="Warning Text 5 5" xfId="12397" xr:uid="{00000000-0005-0000-0000-00000C310000}"/>
    <cellStyle name="Warning Text 5 6" xfId="12458" xr:uid="{00000000-0005-0000-0000-00000D310000}"/>
    <cellStyle name="Warning Text 5 7" xfId="12484" xr:uid="{00000000-0005-0000-0000-00000E310000}"/>
    <cellStyle name="Warning Text 50" xfId="4195" xr:uid="{00000000-0005-0000-0000-00000F310000}"/>
    <cellStyle name="Warning Text 50 2" xfId="4196" xr:uid="{00000000-0005-0000-0000-000010310000}"/>
    <cellStyle name="Warning Text 50 2 2" xfId="4413" xr:uid="{00000000-0005-0000-0000-000011310000}"/>
    <cellStyle name="Warning Text 50 2 2 10" xfId="7997" xr:uid="{00000000-0005-0000-0000-000012310000}"/>
    <cellStyle name="Warning Text 50 2 2 11" xfId="9236" xr:uid="{00000000-0005-0000-0000-000013310000}"/>
    <cellStyle name="Warning Text 50 2 2 12" xfId="8844" xr:uid="{00000000-0005-0000-0000-000014310000}"/>
    <cellStyle name="Warning Text 50 2 2 13" xfId="9849" xr:uid="{00000000-0005-0000-0000-000015310000}"/>
    <cellStyle name="Warning Text 50 2 2 14" xfId="10321" xr:uid="{00000000-0005-0000-0000-000016310000}"/>
    <cellStyle name="Warning Text 50 2 2 15" xfId="10831" xr:uid="{00000000-0005-0000-0000-000017310000}"/>
    <cellStyle name="Warning Text 50 2 2 16" xfId="11208" xr:uid="{00000000-0005-0000-0000-000018310000}"/>
    <cellStyle name="Warning Text 50 2 2 17" xfId="11677" xr:uid="{00000000-0005-0000-0000-000019310000}"/>
    <cellStyle name="Warning Text 50 2 2 18" xfId="12295" xr:uid="{00000000-0005-0000-0000-00001A310000}"/>
    <cellStyle name="Warning Text 50 2 2 19" xfId="12748" xr:uid="{00000000-0005-0000-0000-00001B310000}"/>
    <cellStyle name="Warning Text 50 2 2 2" xfId="4960" xr:uid="{00000000-0005-0000-0000-00001C310000}"/>
    <cellStyle name="Warning Text 50 2 2 3" xfId="5398" xr:uid="{00000000-0005-0000-0000-00001D310000}"/>
    <cellStyle name="Warning Text 50 2 2 4" xfId="5836" xr:uid="{00000000-0005-0000-0000-00001E310000}"/>
    <cellStyle name="Warning Text 50 2 2 5" xfId="6273" xr:uid="{00000000-0005-0000-0000-00001F310000}"/>
    <cellStyle name="Warning Text 50 2 2 6" xfId="6710" xr:uid="{00000000-0005-0000-0000-000020310000}"/>
    <cellStyle name="Warning Text 50 2 2 7" xfId="7147" xr:uid="{00000000-0005-0000-0000-000021310000}"/>
    <cellStyle name="Warning Text 50 2 2 8" xfId="7584" xr:uid="{00000000-0005-0000-0000-000022310000}"/>
    <cellStyle name="Warning Text 50 2 2 9" xfId="8432" xr:uid="{00000000-0005-0000-0000-000023310000}"/>
    <cellStyle name="Warning Text 50 2 3" xfId="4628" xr:uid="{00000000-0005-0000-0000-000024310000}"/>
    <cellStyle name="Warning Text 50 2 3 10" xfId="8671" xr:uid="{00000000-0005-0000-0000-000025310000}"/>
    <cellStyle name="Warning Text 50 2 3 11" xfId="9451" xr:uid="{00000000-0005-0000-0000-000026310000}"/>
    <cellStyle name="Warning Text 50 2 3 12" xfId="8739" xr:uid="{00000000-0005-0000-0000-000027310000}"/>
    <cellStyle name="Warning Text 50 2 3 13" xfId="10064" xr:uid="{00000000-0005-0000-0000-000028310000}"/>
    <cellStyle name="Warning Text 50 2 3 14" xfId="10536" xr:uid="{00000000-0005-0000-0000-000029310000}"/>
    <cellStyle name="Warning Text 50 2 3 15" xfId="10627" xr:uid="{00000000-0005-0000-0000-00002A310000}"/>
    <cellStyle name="Warning Text 50 2 3 16" xfId="11423" xr:uid="{00000000-0005-0000-0000-00002B310000}"/>
    <cellStyle name="Warning Text 50 2 3 17" xfId="11892" xr:uid="{00000000-0005-0000-0000-00002C310000}"/>
    <cellStyle name="Warning Text 50 2 3 18" xfId="11947" xr:uid="{00000000-0005-0000-0000-00002D310000}"/>
    <cellStyle name="Warning Text 50 2 3 19" xfId="12963" xr:uid="{00000000-0005-0000-0000-00002E310000}"/>
    <cellStyle name="Warning Text 50 2 3 2" xfId="5175" xr:uid="{00000000-0005-0000-0000-00002F310000}"/>
    <cellStyle name="Warning Text 50 2 3 3" xfId="5613" xr:uid="{00000000-0005-0000-0000-000030310000}"/>
    <cellStyle name="Warning Text 50 2 3 4" xfId="6051" xr:uid="{00000000-0005-0000-0000-000031310000}"/>
    <cellStyle name="Warning Text 50 2 3 5" xfId="6488" xr:uid="{00000000-0005-0000-0000-000032310000}"/>
    <cellStyle name="Warning Text 50 2 3 6" xfId="6925" xr:uid="{00000000-0005-0000-0000-000033310000}"/>
    <cellStyle name="Warning Text 50 2 3 7" xfId="7362" xr:uid="{00000000-0005-0000-0000-000034310000}"/>
    <cellStyle name="Warning Text 50 2 3 8" xfId="7799" xr:uid="{00000000-0005-0000-0000-000035310000}"/>
    <cellStyle name="Warning Text 50 2 3 9" xfId="8647" xr:uid="{00000000-0005-0000-0000-000036310000}"/>
    <cellStyle name="Warning Text 50 3" xfId="4412" xr:uid="{00000000-0005-0000-0000-000037310000}"/>
    <cellStyle name="Warning Text 50 3 10" xfId="7998" xr:uid="{00000000-0005-0000-0000-000038310000}"/>
    <cellStyle name="Warning Text 50 3 11" xfId="9235" xr:uid="{00000000-0005-0000-0000-000039310000}"/>
    <cellStyle name="Warning Text 50 3 12" xfId="9619" xr:uid="{00000000-0005-0000-0000-00003A310000}"/>
    <cellStyle name="Warning Text 50 3 13" xfId="9848" xr:uid="{00000000-0005-0000-0000-00003B310000}"/>
    <cellStyle name="Warning Text 50 3 14" xfId="10320" xr:uid="{00000000-0005-0000-0000-00003C310000}"/>
    <cellStyle name="Warning Text 50 3 15" xfId="10958" xr:uid="{00000000-0005-0000-0000-00003D310000}"/>
    <cellStyle name="Warning Text 50 3 16" xfId="11207" xr:uid="{00000000-0005-0000-0000-00003E310000}"/>
    <cellStyle name="Warning Text 50 3 17" xfId="11676" xr:uid="{00000000-0005-0000-0000-00003F310000}"/>
    <cellStyle name="Warning Text 50 3 18" xfId="12334" xr:uid="{00000000-0005-0000-0000-000040310000}"/>
    <cellStyle name="Warning Text 50 3 19" xfId="12747" xr:uid="{00000000-0005-0000-0000-000041310000}"/>
    <cellStyle name="Warning Text 50 3 2" xfId="4959" xr:uid="{00000000-0005-0000-0000-000042310000}"/>
    <cellStyle name="Warning Text 50 3 3" xfId="5397" xr:uid="{00000000-0005-0000-0000-000043310000}"/>
    <cellStyle name="Warning Text 50 3 4" xfId="5835" xr:uid="{00000000-0005-0000-0000-000044310000}"/>
    <cellStyle name="Warning Text 50 3 5" xfId="6272" xr:uid="{00000000-0005-0000-0000-000045310000}"/>
    <cellStyle name="Warning Text 50 3 6" xfId="6709" xr:uid="{00000000-0005-0000-0000-000046310000}"/>
    <cellStyle name="Warning Text 50 3 7" xfId="7146" xr:uid="{00000000-0005-0000-0000-000047310000}"/>
    <cellStyle name="Warning Text 50 3 8" xfId="7583" xr:uid="{00000000-0005-0000-0000-000048310000}"/>
    <cellStyle name="Warning Text 50 3 9" xfId="8431" xr:uid="{00000000-0005-0000-0000-000049310000}"/>
    <cellStyle name="Warning Text 50 4" xfId="4627" xr:uid="{00000000-0005-0000-0000-00004A310000}"/>
    <cellStyle name="Warning Text 50 4 10" xfId="8683" xr:uid="{00000000-0005-0000-0000-00004B310000}"/>
    <cellStyle name="Warning Text 50 4 11" xfId="9450" xr:uid="{00000000-0005-0000-0000-00004C310000}"/>
    <cellStyle name="Warning Text 50 4 12" xfId="8740" xr:uid="{00000000-0005-0000-0000-00004D310000}"/>
    <cellStyle name="Warning Text 50 4 13" xfId="10063" xr:uid="{00000000-0005-0000-0000-00004E310000}"/>
    <cellStyle name="Warning Text 50 4 14" xfId="10535" xr:uid="{00000000-0005-0000-0000-00004F310000}"/>
    <cellStyle name="Warning Text 50 4 15" xfId="10666" xr:uid="{00000000-0005-0000-0000-000050310000}"/>
    <cellStyle name="Warning Text 50 4 16" xfId="11422" xr:uid="{00000000-0005-0000-0000-000051310000}"/>
    <cellStyle name="Warning Text 50 4 17" xfId="11891" xr:uid="{00000000-0005-0000-0000-000052310000}"/>
    <cellStyle name="Warning Text 50 4 18" xfId="11976" xr:uid="{00000000-0005-0000-0000-000053310000}"/>
    <cellStyle name="Warning Text 50 4 19" xfId="12962" xr:uid="{00000000-0005-0000-0000-000054310000}"/>
    <cellStyle name="Warning Text 50 4 2" xfId="5174" xr:uid="{00000000-0005-0000-0000-000055310000}"/>
    <cellStyle name="Warning Text 50 4 3" xfId="5612" xr:uid="{00000000-0005-0000-0000-000056310000}"/>
    <cellStyle name="Warning Text 50 4 4" xfId="6050" xr:uid="{00000000-0005-0000-0000-000057310000}"/>
    <cellStyle name="Warning Text 50 4 5" xfId="6487" xr:uid="{00000000-0005-0000-0000-000058310000}"/>
    <cellStyle name="Warning Text 50 4 6" xfId="6924" xr:uid="{00000000-0005-0000-0000-000059310000}"/>
    <cellStyle name="Warning Text 50 4 7" xfId="7361" xr:uid="{00000000-0005-0000-0000-00005A310000}"/>
    <cellStyle name="Warning Text 50 4 8" xfId="7798" xr:uid="{00000000-0005-0000-0000-00005B310000}"/>
    <cellStyle name="Warning Text 50 4 9" xfId="8646" xr:uid="{00000000-0005-0000-0000-00005C310000}"/>
    <cellStyle name="Warning Text 51" xfId="4197" xr:uid="{00000000-0005-0000-0000-00005D310000}"/>
    <cellStyle name="Warning Text 51 2" xfId="4198" xr:uid="{00000000-0005-0000-0000-00005E310000}"/>
    <cellStyle name="Warning Text 51 2 2" xfId="4415" xr:uid="{00000000-0005-0000-0000-00005F310000}"/>
    <cellStyle name="Warning Text 51 2 2 10" xfId="7995" xr:uid="{00000000-0005-0000-0000-000060310000}"/>
    <cellStyle name="Warning Text 51 2 2 11" xfId="9238" xr:uid="{00000000-0005-0000-0000-000061310000}"/>
    <cellStyle name="Warning Text 51 2 2 12" xfId="9523" xr:uid="{00000000-0005-0000-0000-000062310000}"/>
    <cellStyle name="Warning Text 51 2 2 13" xfId="9851" xr:uid="{00000000-0005-0000-0000-000063310000}"/>
    <cellStyle name="Warning Text 51 2 2 14" xfId="10323" xr:uid="{00000000-0005-0000-0000-000064310000}"/>
    <cellStyle name="Warning Text 51 2 2 15" xfId="10791" xr:uid="{00000000-0005-0000-0000-000065310000}"/>
    <cellStyle name="Warning Text 51 2 2 16" xfId="11210" xr:uid="{00000000-0005-0000-0000-000066310000}"/>
    <cellStyle name="Warning Text 51 2 2 17" xfId="11679" xr:uid="{00000000-0005-0000-0000-000067310000}"/>
    <cellStyle name="Warning Text 51 2 2 18" xfId="12247" xr:uid="{00000000-0005-0000-0000-000068310000}"/>
    <cellStyle name="Warning Text 51 2 2 19" xfId="12750" xr:uid="{00000000-0005-0000-0000-000069310000}"/>
    <cellStyle name="Warning Text 51 2 2 2" xfId="4962" xr:uid="{00000000-0005-0000-0000-00006A310000}"/>
    <cellStyle name="Warning Text 51 2 2 3" xfId="5400" xr:uid="{00000000-0005-0000-0000-00006B310000}"/>
    <cellStyle name="Warning Text 51 2 2 4" xfId="5838" xr:uid="{00000000-0005-0000-0000-00006C310000}"/>
    <cellStyle name="Warning Text 51 2 2 5" xfId="6275" xr:uid="{00000000-0005-0000-0000-00006D310000}"/>
    <cellStyle name="Warning Text 51 2 2 6" xfId="6712" xr:uid="{00000000-0005-0000-0000-00006E310000}"/>
    <cellStyle name="Warning Text 51 2 2 7" xfId="7149" xr:uid="{00000000-0005-0000-0000-00006F310000}"/>
    <cellStyle name="Warning Text 51 2 2 8" xfId="7586" xr:uid="{00000000-0005-0000-0000-000070310000}"/>
    <cellStyle name="Warning Text 51 2 2 9" xfId="8434" xr:uid="{00000000-0005-0000-0000-000071310000}"/>
    <cellStyle name="Warning Text 51 2 3" xfId="4630" xr:uid="{00000000-0005-0000-0000-000072310000}"/>
    <cellStyle name="Warning Text 51 2 3 10" xfId="8710" xr:uid="{00000000-0005-0000-0000-000073310000}"/>
    <cellStyle name="Warning Text 51 2 3 11" xfId="9453" xr:uid="{00000000-0005-0000-0000-000074310000}"/>
    <cellStyle name="Warning Text 51 2 3 12" xfId="8737" xr:uid="{00000000-0005-0000-0000-000075310000}"/>
    <cellStyle name="Warning Text 51 2 3 13" xfId="10066" xr:uid="{00000000-0005-0000-0000-000076310000}"/>
    <cellStyle name="Warning Text 51 2 3 14" xfId="10538" xr:uid="{00000000-0005-0000-0000-000077310000}"/>
    <cellStyle name="Warning Text 51 2 3 15" xfId="10548" xr:uid="{00000000-0005-0000-0000-000078310000}"/>
    <cellStyle name="Warning Text 51 2 3 16" xfId="11425" xr:uid="{00000000-0005-0000-0000-000079310000}"/>
    <cellStyle name="Warning Text 51 2 3 17" xfId="11894" xr:uid="{00000000-0005-0000-0000-00007A310000}"/>
    <cellStyle name="Warning Text 51 2 3 18" xfId="12326" xr:uid="{00000000-0005-0000-0000-00007B310000}"/>
    <cellStyle name="Warning Text 51 2 3 19" xfId="12965" xr:uid="{00000000-0005-0000-0000-00007C310000}"/>
    <cellStyle name="Warning Text 51 2 3 2" xfId="5177" xr:uid="{00000000-0005-0000-0000-00007D310000}"/>
    <cellStyle name="Warning Text 51 2 3 3" xfId="5615" xr:uid="{00000000-0005-0000-0000-00007E310000}"/>
    <cellStyle name="Warning Text 51 2 3 4" xfId="6053" xr:uid="{00000000-0005-0000-0000-00007F310000}"/>
    <cellStyle name="Warning Text 51 2 3 5" xfId="6490" xr:uid="{00000000-0005-0000-0000-000080310000}"/>
    <cellStyle name="Warning Text 51 2 3 6" xfId="6927" xr:uid="{00000000-0005-0000-0000-000081310000}"/>
    <cellStyle name="Warning Text 51 2 3 7" xfId="7364" xr:uid="{00000000-0005-0000-0000-000082310000}"/>
    <cellStyle name="Warning Text 51 2 3 8" xfId="7801" xr:uid="{00000000-0005-0000-0000-000083310000}"/>
    <cellStyle name="Warning Text 51 2 3 9" xfId="8649" xr:uid="{00000000-0005-0000-0000-000084310000}"/>
    <cellStyle name="Warning Text 51 3" xfId="4414" xr:uid="{00000000-0005-0000-0000-000085310000}"/>
    <cellStyle name="Warning Text 51 3 10" xfId="7996" xr:uid="{00000000-0005-0000-0000-000086310000}"/>
    <cellStyle name="Warning Text 51 3 11" xfId="9237" xr:uid="{00000000-0005-0000-0000-000087310000}"/>
    <cellStyle name="Warning Text 51 3 12" xfId="9612" xr:uid="{00000000-0005-0000-0000-000088310000}"/>
    <cellStyle name="Warning Text 51 3 13" xfId="9850" xr:uid="{00000000-0005-0000-0000-000089310000}"/>
    <cellStyle name="Warning Text 51 3 14" xfId="10322" xr:uid="{00000000-0005-0000-0000-00008A310000}"/>
    <cellStyle name="Warning Text 51 3 15" xfId="10872" xr:uid="{00000000-0005-0000-0000-00008B310000}"/>
    <cellStyle name="Warning Text 51 3 16" xfId="11209" xr:uid="{00000000-0005-0000-0000-00008C310000}"/>
    <cellStyle name="Warning Text 51 3 17" xfId="11678" xr:uid="{00000000-0005-0000-0000-00008D310000}"/>
    <cellStyle name="Warning Text 51 3 18" xfId="12278" xr:uid="{00000000-0005-0000-0000-00008E310000}"/>
    <cellStyle name="Warning Text 51 3 19" xfId="12749" xr:uid="{00000000-0005-0000-0000-00008F310000}"/>
    <cellStyle name="Warning Text 51 3 2" xfId="4961" xr:uid="{00000000-0005-0000-0000-000090310000}"/>
    <cellStyle name="Warning Text 51 3 3" xfId="5399" xr:uid="{00000000-0005-0000-0000-000091310000}"/>
    <cellStyle name="Warning Text 51 3 4" xfId="5837" xr:uid="{00000000-0005-0000-0000-000092310000}"/>
    <cellStyle name="Warning Text 51 3 5" xfId="6274" xr:uid="{00000000-0005-0000-0000-000093310000}"/>
    <cellStyle name="Warning Text 51 3 6" xfId="6711" xr:uid="{00000000-0005-0000-0000-000094310000}"/>
    <cellStyle name="Warning Text 51 3 7" xfId="7148" xr:uid="{00000000-0005-0000-0000-000095310000}"/>
    <cellStyle name="Warning Text 51 3 8" xfId="7585" xr:uid="{00000000-0005-0000-0000-000096310000}"/>
    <cellStyle name="Warning Text 51 3 9" xfId="8433" xr:uid="{00000000-0005-0000-0000-000097310000}"/>
    <cellStyle name="Warning Text 51 4" xfId="4629" xr:uid="{00000000-0005-0000-0000-000098310000}"/>
    <cellStyle name="Warning Text 51 4 10" xfId="8681" xr:uid="{00000000-0005-0000-0000-000099310000}"/>
    <cellStyle name="Warning Text 51 4 11" xfId="9452" xr:uid="{00000000-0005-0000-0000-00009A310000}"/>
    <cellStyle name="Warning Text 51 4 12" xfId="8738" xr:uid="{00000000-0005-0000-0000-00009B310000}"/>
    <cellStyle name="Warning Text 51 4 13" xfId="10065" xr:uid="{00000000-0005-0000-0000-00009C310000}"/>
    <cellStyle name="Warning Text 51 4 14" xfId="10537" xr:uid="{00000000-0005-0000-0000-00009D310000}"/>
    <cellStyle name="Warning Text 51 4 15" xfId="10588" xr:uid="{00000000-0005-0000-0000-00009E310000}"/>
    <cellStyle name="Warning Text 51 4 16" xfId="11424" xr:uid="{00000000-0005-0000-0000-00009F310000}"/>
    <cellStyle name="Warning Text 51 4 17" xfId="11893" xr:uid="{00000000-0005-0000-0000-0000A0310000}"/>
    <cellStyle name="Warning Text 51 4 18" xfId="11918" xr:uid="{00000000-0005-0000-0000-0000A1310000}"/>
    <cellStyle name="Warning Text 51 4 19" xfId="12964" xr:uid="{00000000-0005-0000-0000-0000A2310000}"/>
    <cellStyle name="Warning Text 51 4 2" xfId="5176" xr:uid="{00000000-0005-0000-0000-0000A3310000}"/>
    <cellStyle name="Warning Text 51 4 3" xfId="5614" xr:uid="{00000000-0005-0000-0000-0000A4310000}"/>
    <cellStyle name="Warning Text 51 4 4" xfId="6052" xr:uid="{00000000-0005-0000-0000-0000A5310000}"/>
    <cellStyle name="Warning Text 51 4 5" xfId="6489" xr:uid="{00000000-0005-0000-0000-0000A6310000}"/>
    <cellStyle name="Warning Text 51 4 6" xfId="6926" xr:uid="{00000000-0005-0000-0000-0000A7310000}"/>
    <cellStyle name="Warning Text 51 4 7" xfId="7363" xr:uid="{00000000-0005-0000-0000-0000A8310000}"/>
    <cellStyle name="Warning Text 51 4 8" xfId="7800" xr:uid="{00000000-0005-0000-0000-0000A9310000}"/>
    <cellStyle name="Warning Text 51 4 9" xfId="8648" xr:uid="{00000000-0005-0000-0000-0000AA310000}"/>
    <cellStyle name="Warning Text 52" xfId="4199" xr:uid="{00000000-0005-0000-0000-0000AB310000}"/>
    <cellStyle name="Warning Text 52 2" xfId="4416" xr:uid="{00000000-0005-0000-0000-0000AC310000}"/>
    <cellStyle name="Warning Text 52 2 10" xfId="7994" xr:uid="{00000000-0005-0000-0000-0000AD310000}"/>
    <cellStyle name="Warning Text 52 2 11" xfId="9239" xr:uid="{00000000-0005-0000-0000-0000AE310000}"/>
    <cellStyle name="Warning Text 52 2 12" xfId="9466" xr:uid="{00000000-0005-0000-0000-0000AF310000}"/>
    <cellStyle name="Warning Text 52 2 13" xfId="9852" xr:uid="{00000000-0005-0000-0000-0000B0310000}"/>
    <cellStyle name="Warning Text 52 2 14" xfId="10324" xr:uid="{00000000-0005-0000-0000-0000B1310000}"/>
    <cellStyle name="Warning Text 52 2 15" xfId="10753" xr:uid="{00000000-0005-0000-0000-0000B2310000}"/>
    <cellStyle name="Warning Text 52 2 16" xfId="11211" xr:uid="{00000000-0005-0000-0000-0000B3310000}"/>
    <cellStyle name="Warning Text 52 2 17" xfId="11680" xr:uid="{00000000-0005-0000-0000-0000B4310000}"/>
    <cellStyle name="Warning Text 52 2 18" xfId="12224" xr:uid="{00000000-0005-0000-0000-0000B5310000}"/>
    <cellStyle name="Warning Text 52 2 19" xfId="12751" xr:uid="{00000000-0005-0000-0000-0000B6310000}"/>
    <cellStyle name="Warning Text 52 2 2" xfId="4963" xr:uid="{00000000-0005-0000-0000-0000B7310000}"/>
    <cellStyle name="Warning Text 52 2 3" xfId="5401" xr:uid="{00000000-0005-0000-0000-0000B8310000}"/>
    <cellStyle name="Warning Text 52 2 4" xfId="5839" xr:uid="{00000000-0005-0000-0000-0000B9310000}"/>
    <cellStyle name="Warning Text 52 2 5" xfId="6276" xr:uid="{00000000-0005-0000-0000-0000BA310000}"/>
    <cellStyle name="Warning Text 52 2 6" xfId="6713" xr:uid="{00000000-0005-0000-0000-0000BB310000}"/>
    <cellStyle name="Warning Text 52 2 7" xfId="7150" xr:uid="{00000000-0005-0000-0000-0000BC310000}"/>
    <cellStyle name="Warning Text 52 2 8" xfId="7587" xr:uid="{00000000-0005-0000-0000-0000BD310000}"/>
    <cellStyle name="Warning Text 52 2 9" xfId="8435" xr:uid="{00000000-0005-0000-0000-0000BE310000}"/>
    <cellStyle name="Warning Text 52 3" xfId="4631" xr:uid="{00000000-0005-0000-0000-0000BF310000}"/>
    <cellStyle name="Warning Text 52 3 10" xfId="7823" xr:uid="{00000000-0005-0000-0000-0000C0310000}"/>
    <cellStyle name="Warning Text 52 3 11" xfId="9454" xr:uid="{00000000-0005-0000-0000-0000C1310000}"/>
    <cellStyle name="Warning Text 52 3 12" xfId="8736" xr:uid="{00000000-0005-0000-0000-0000C2310000}"/>
    <cellStyle name="Warning Text 52 3 13" xfId="10067" xr:uid="{00000000-0005-0000-0000-0000C3310000}"/>
    <cellStyle name="Warning Text 52 3 14" xfId="10539" xr:uid="{00000000-0005-0000-0000-0000C4310000}"/>
    <cellStyle name="Warning Text 52 3 15" xfId="10927" xr:uid="{00000000-0005-0000-0000-0000C5310000}"/>
    <cellStyle name="Warning Text 52 3 16" xfId="11426" xr:uid="{00000000-0005-0000-0000-0000C6310000}"/>
    <cellStyle name="Warning Text 52 3 17" xfId="11895" xr:uid="{00000000-0005-0000-0000-0000C7310000}"/>
    <cellStyle name="Warning Text 52 3 18" xfId="12289" xr:uid="{00000000-0005-0000-0000-0000C8310000}"/>
    <cellStyle name="Warning Text 52 3 19" xfId="12966" xr:uid="{00000000-0005-0000-0000-0000C9310000}"/>
    <cellStyle name="Warning Text 52 3 2" xfId="5178" xr:uid="{00000000-0005-0000-0000-0000CA310000}"/>
    <cellStyle name="Warning Text 52 3 3" xfId="5616" xr:uid="{00000000-0005-0000-0000-0000CB310000}"/>
    <cellStyle name="Warning Text 52 3 4" xfId="6054" xr:uid="{00000000-0005-0000-0000-0000CC310000}"/>
    <cellStyle name="Warning Text 52 3 5" xfId="6491" xr:uid="{00000000-0005-0000-0000-0000CD310000}"/>
    <cellStyle name="Warning Text 52 3 6" xfId="6928" xr:uid="{00000000-0005-0000-0000-0000CE310000}"/>
    <cellStyle name="Warning Text 52 3 7" xfId="7365" xr:uid="{00000000-0005-0000-0000-0000CF310000}"/>
    <cellStyle name="Warning Text 52 3 8" xfId="7802" xr:uid="{00000000-0005-0000-0000-0000D0310000}"/>
    <cellStyle name="Warning Text 52 3 9" xfId="8650" xr:uid="{00000000-0005-0000-0000-0000D1310000}"/>
    <cellStyle name="Warning Text 6" xfId="798" xr:uid="{00000000-0005-0000-0000-0000D2310000}"/>
    <cellStyle name="Warning Text 6 2" xfId="4200" xr:uid="{00000000-0005-0000-0000-0000D3310000}"/>
    <cellStyle name="Warning Text 6 2 2" xfId="4418" xr:uid="{00000000-0005-0000-0000-0000D4310000}"/>
    <cellStyle name="Warning Text 6 2 2 10" xfId="7992" xr:uid="{00000000-0005-0000-0000-0000D5310000}"/>
    <cellStyle name="Warning Text 6 2 2 11" xfId="9241" xr:uid="{00000000-0005-0000-0000-0000D6310000}"/>
    <cellStyle name="Warning Text 6 2 2 12" xfId="9463" xr:uid="{00000000-0005-0000-0000-0000D7310000}"/>
    <cellStyle name="Warning Text 6 2 2 13" xfId="9854" xr:uid="{00000000-0005-0000-0000-0000D8310000}"/>
    <cellStyle name="Warning Text 6 2 2 14" xfId="10326" xr:uid="{00000000-0005-0000-0000-0000D9310000}"/>
    <cellStyle name="Warning Text 6 2 2 15" xfId="10676" xr:uid="{00000000-0005-0000-0000-0000DA310000}"/>
    <cellStyle name="Warning Text 6 2 2 16" xfId="11213" xr:uid="{00000000-0005-0000-0000-0000DB310000}"/>
    <cellStyle name="Warning Text 6 2 2 17" xfId="11682" xr:uid="{00000000-0005-0000-0000-0000DC310000}"/>
    <cellStyle name="Warning Text 6 2 2 18" xfId="12112" xr:uid="{00000000-0005-0000-0000-0000DD310000}"/>
    <cellStyle name="Warning Text 6 2 2 19" xfId="12753" xr:uid="{00000000-0005-0000-0000-0000DE310000}"/>
    <cellStyle name="Warning Text 6 2 2 2" xfId="4965" xr:uid="{00000000-0005-0000-0000-0000DF310000}"/>
    <cellStyle name="Warning Text 6 2 2 3" xfId="5403" xr:uid="{00000000-0005-0000-0000-0000E0310000}"/>
    <cellStyle name="Warning Text 6 2 2 4" xfId="5841" xr:uid="{00000000-0005-0000-0000-0000E1310000}"/>
    <cellStyle name="Warning Text 6 2 2 5" xfId="6278" xr:uid="{00000000-0005-0000-0000-0000E2310000}"/>
    <cellStyle name="Warning Text 6 2 2 6" xfId="6715" xr:uid="{00000000-0005-0000-0000-0000E3310000}"/>
    <cellStyle name="Warning Text 6 2 2 7" xfId="7152" xr:uid="{00000000-0005-0000-0000-0000E4310000}"/>
    <cellStyle name="Warning Text 6 2 2 8" xfId="7589" xr:uid="{00000000-0005-0000-0000-0000E5310000}"/>
    <cellStyle name="Warning Text 6 2 2 9" xfId="8437" xr:uid="{00000000-0005-0000-0000-0000E6310000}"/>
    <cellStyle name="Warning Text 6 2 3" xfId="4633" xr:uid="{00000000-0005-0000-0000-0000E7310000}"/>
    <cellStyle name="Warning Text 6 2 3 10" xfId="7821" xr:uid="{00000000-0005-0000-0000-0000E8310000}"/>
    <cellStyle name="Warning Text 6 2 3 11" xfId="9456" xr:uid="{00000000-0005-0000-0000-0000E9310000}"/>
    <cellStyle name="Warning Text 6 2 3 12" xfId="8734" xr:uid="{00000000-0005-0000-0000-0000EA310000}"/>
    <cellStyle name="Warning Text 6 2 3 13" xfId="10069" xr:uid="{00000000-0005-0000-0000-0000EB310000}"/>
    <cellStyle name="Warning Text 6 2 3 14" xfId="10541" xr:uid="{00000000-0005-0000-0000-0000EC310000}"/>
    <cellStyle name="Warning Text 6 2 3 15" xfId="10861" xr:uid="{00000000-0005-0000-0000-0000ED310000}"/>
    <cellStyle name="Warning Text 6 2 3 16" xfId="11428" xr:uid="{00000000-0005-0000-0000-0000EE310000}"/>
    <cellStyle name="Warning Text 6 2 3 17" xfId="11897" xr:uid="{00000000-0005-0000-0000-0000EF310000}"/>
    <cellStyle name="Warning Text 6 2 3 18" xfId="12239" xr:uid="{00000000-0005-0000-0000-0000F0310000}"/>
    <cellStyle name="Warning Text 6 2 3 19" xfId="12968" xr:uid="{00000000-0005-0000-0000-0000F1310000}"/>
    <cellStyle name="Warning Text 6 2 3 2" xfId="5180" xr:uid="{00000000-0005-0000-0000-0000F2310000}"/>
    <cellStyle name="Warning Text 6 2 3 3" xfId="5618" xr:uid="{00000000-0005-0000-0000-0000F3310000}"/>
    <cellStyle name="Warning Text 6 2 3 4" xfId="6056" xr:uid="{00000000-0005-0000-0000-0000F4310000}"/>
    <cellStyle name="Warning Text 6 2 3 5" xfId="6493" xr:uid="{00000000-0005-0000-0000-0000F5310000}"/>
    <cellStyle name="Warning Text 6 2 3 6" xfId="6930" xr:uid="{00000000-0005-0000-0000-0000F6310000}"/>
    <cellStyle name="Warning Text 6 2 3 7" xfId="7367" xr:uid="{00000000-0005-0000-0000-0000F7310000}"/>
    <cellStyle name="Warning Text 6 2 3 8" xfId="7804" xr:uid="{00000000-0005-0000-0000-0000F8310000}"/>
    <cellStyle name="Warning Text 6 2 3 9" xfId="8652" xr:uid="{00000000-0005-0000-0000-0000F9310000}"/>
    <cellStyle name="Warning Text 6 3" xfId="4417" xr:uid="{00000000-0005-0000-0000-0000FA310000}"/>
    <cellStyle name="Warning Text 6 3 10" xfId="7993" xr:uid="{00000000-0005-0000-0000-0000FB310000}"/>
    <cellStyle name="Warning Text 6 3 11" xfId="9240" xr:uid="{00000000-0005-0000-0000-0000FC310000}"/>
    <cellStyle name="Warning Text 6 3 12" xfId="9517" xr:uid="{00000000-0005-0000-0000-0000FD310000}"/>
    <cellStyle name="Warning Text 6 3 13" xfId="9853" xr:uid="{00000000-0005-0000-0000-0000FE310000}"/>
    <cellStyle name="Warning Text 6 3 14" xfId="10325" xr:uid="{00000000-0005-0000-0000-0000FF310000}"/>
    <cellStyle name="Warning Text 6 3 15" xfId="10715" xr:uid="{00000000-0005-0000-0000-000000320000}"/>
    <cellStyle name="Warning Text 6 3 16" xfId="11212" xr:uid="{00000000-0005-0000-0000-000001320000}"/>
    <cellStyle name="Warning Text 6 3 17" xfId="11681" xr:uid="{00000000-0005-0000-0000-000002320000}"/>
    <cellStyle name="Warning Text 6 3 18" xfId="12210" xr:uid="{00000000-0005-0000-0000-000003320000}"/>
    <cellStyle name="Warning Text 6 3 19" xfId="12752" xr:uid="{00000000-0005-0000-0000-000004320000}"/>
    <cellStyle name="Warning Text 6 3 2" xfId="4964" xr:uid="{00000000-0005-0000-0000-000005320000}"/>
    <cellStyle name="Warning Text 6 3 3" xfId="5402" xr:uid="{00000000-0005-0000-0000-000006320000}"/>
    <cellStyle name="Warning Text 6 3 4" xfId="5840" xr:uid="{00000000-0005-0000-0000-000007320000}"/>
    <cellStyle name="Warning Text 6 3 5" xfId="6277" xr:uid="{00000000-0005-0000-0000-000008320000}"/>
    <cellStyle name="Warning Text 6 3 6" xfId="6714" xr:uid="{00000000-0005-0000-0000-000009320000}"/>
    <cellStyle name="Warning Text 6 3 7" xfId="7151" xr:uid="{00000000-0005-0000-0000-00000A320000}"/>
    <cellStyle name="Warning Text 6 3 8" xfId="7588" xr:uid="{00000000-0005-0000-0000-00000B320000}"/>
    <cellStyle name="Warning Text 6 3 9" xfId="8436" xr:uid="{00000000-0005-0000-0000-00000C320000}"/>
    <cellStyle name="Warning Text 6 4" xfId="4632" xr:uid="{00000000-0005-0000-0000-00000D320000}"/>
    <cellStyle name="Warning Text 6 4 10" xfId="7822" xr:uid="{00000000-0005-0000-0000-00000E320000}"/>
    <cellStyle name="Warning Text 6 4 11" xfId="9455" xr:uid="{00000000-0005-0000-0000-00000F320000}"/>
    <cellStyle name="Warning Text 6 4 12" xfId="8735" xr:uid="{00000000-0005-0000-0000-000010320000}"/>
    <cellStyle name="Warning Text 6 4 13" xfId="10068" xr:uid="{00000000-0005-0000-0000-000011320000}"/>
    <cellStyle name="Warning Text 6 4 14" xfId="10540" xr:uid="{00000000-0005-0000-0000-000012320000}"/>
    <cellStyle name="Warning Text 6 4 15" xfId="10928" xr:uid="{00000000-0005-0000-0000-000013320000}"/>
    <cellStyle name="Warning Text 6 4 16" xfId="11427" xr:uid="{00000000-0005-0000-0000-000014320000}"/>
    <cellStyle name="Warning Text 6 4 17" xfId="11896" xr:uid="{00000000-0005-0000-0000-000015320000}"/>
    <cellStyle name="Warning Text 6 4 18" xfId="12270" xr:uid="{00000000-0005-0000-0000-000016320000}"/>
    <cellStyle name="Warning Text 6 4 19" xfId="12967" xr:uid="{00000000-0005-0000-0000-000017320000}"/>
    <cellStyle name="Warning Text 6 4 2" xfId="5179" xr:uid="{00000000-0005-0000-0000-000018320000}"/>
    <cellStyle name="Warning Text 6 4 3" xfId="5617" xr:uid="{00000000-0005-0000-0000-000019320000}"/>
    <cellStyle name="Warning Text 6 4 4" xfId="6055" xr:uid="{00000000-0005-0000-0000-00001A320000}"/>
    <cellStyle name="Warning Text 6 4 5" xfId="6492" xr:uid="{00000000-0005-0000-0000-00001B320000}"/>
    <cellStyle name="Warning Text 6 4 6" xfId="6929" xr:uid="{00000000-0005-0000-0000-00001C320000}"/>
    <cellStyle name="Warning Text 6 4 7" xfId="7366" xr:uid="{00000000-0005-0000-0000-00001D320000}"/>
    <cellStyle name="Warning Text 6 4 8" xfId="7803" xr:uid="{00000000-0005-0000-0000-00001E320000}"/>
    <cellStyle name="Warning Text 6 4 9" xfId="8651" xr:uid="{00000000-0005-0000-0000-00001F320000}"/>
    <cellStyle name="Warning Text 6 5" xfId="12398" xr:uid="{00000000-0005-0000-0000-000020320000}"/>
    <cellStyle name="Warning Text 6 6" xfId="12459" xr:uid="{00000000-0005-0000-0000-000021320000}"/>
    <cellStyle name="Warning Text 6 7" xfId="12517" xr:uid="{00000000-0005-0000-0000-000022320000}"/>
    <cellStyle name="Warning Text 7" xfId="799" xr:uid="{00000000-0005-0000-0000-000023320000}"/>
    <cellStyle name="Warning Text 7 2" xfId="4201" xr:uid="{00000000-0005-0000-0000-000024320000}"/>
    <cellStyle name="Warning Text 7 2 2" xfId="4420" xr:uid="{00000000-0005-0000-0000-000025320000}"/>
    <cellStyle name="Warning Text 7 2 2 10" xfId="7990" xr:uid="{00000000-0005-0000-0000-000026320000}"/>
    <cellStyle name="Warning Text 7 2 2 11" xfId="9243" xr:uid="{00000000-0005-0000-0000-000027320000}"/>
    <cellStyle name="Warning Text 7 2 2 12" xfId="9472" xr:uid="{00000000-0005-0000-0000-000028320000}"/>
    <cellStyle name="Warning Text 7 2 2 13" xfId="9856" xr:uid="{00000000-0005-0000-0000-000029320000}"/>
    <cellStyle name="Warning Text 7 2 2 14" xfId="10328" xr:uid="{00000000-0005-0000-0000-00002A320000}"/>
    <cellStyle name="Warning Text 7 2 2 15" xfId="10598" xr:uid="{00000000-0005-0000-0000-00002B320000}"/>
    <cellStyle name="Warning Text 7 2 2 16" xfId="11215" xr:uid="{00000000-0005-0000-0000-00002C320000}"/>
    <cellStyle name="Warning Text 7 2 2 17" xfId="11684" xr:uid="{00000000-0005-0000-0000-00002D320000}"/>
    <cellStyle name="Warning Text 7 2 2 18" xfId="12085" xr:uid="{00000000-0005-0000-0000-00002E320000}"/>
    <cellStyle name="Warning Text 7 2 2 19" xfId="12755" xr:uid="{00000000-0005-0000-0000-00002F320000}"/>
    <cellStyle name="Warning Text 7 2 2 2" xfId="4967" xr:uid="{00000000-0005-0000-0000-000030320000}"/>
    <cellStyle name="Warning Text 7 2 2 3" xfId="5405" xr:uid="{00000000-0005-0000-0000-000031320000}"/>
    <cellStyle name="Warning Text 7 2 2 4" xfId="5843" xr:uid="{00000000-0005-0000-0000-000032320000}"/>
    <cellStyle name="Warning Text 7 2 2 5" xfId="6280" xr:uid="{00000000-0005-0000-0000-000033320000}"/>
    <cellStyle name="Warning Text 7 2 2 6" xfId="6717" xr:uid="{00000000-0005-0000-0000-000034320000}"/>
    <cellStyle name="Warning Text 7 2 2 7" xfId="7154" xr:uid="{00000000-0005-0000-0000-000035320000}"/>
    <cellStyle name="Warning Text 7 2 2 8" xfId="7591" xr:uid="{00000000-0005-0000-0000-000036320000}"/>
    <cellStyle name="Warning Text 7 2 2 9" xfId="8439" xr:uid="{00000000-0005-0000-0000-000037320000}"/>
    <cellStyle name="Warning Text 7 2 3" xfId="4635" xr:uid="{00000000-0005-0000-0000-000038320000}"/>
    <cellStyle name="Warning Text 7 2 3 10" xfId="7819" xr:uid="{00000000-0005-0000-0000-000039320000}"/>
    <cellStyle name="Warning Text 7 2 3 11" xfId="9458" xr:uid="{00000000-0005-0000-0000-00003A320000}"/>
    <cellStyle name="Warning Text 7 2 3 12" xfId="8732" xr:uid="{00000000-0005-0000-0000-00003B320000}"/>
    <cellStyle name="Warning Text 7 2 3 13" xfId="10071" xr:uid="{00000000-0005-0000-0000-00003C320000}"/>
    <cellStyle name="Warning Text 7 2 3 14" xfId="10543" xr:uid="{00000000-0005-0000-0000-00003D320000}"/>
    <cellStyle name="Warning Text 7 2 3 15" xfId="10802" xr:uid="{00000000-0005-0000-0000-00003E320000}"/>
    <cellStyle name="Warning Text 7 2 3 16" xfId="11430" xr:uid="{00000000-0005-0000-0000-00003F320000}"/>
    <cellStyle name="Warning Text 7 2 3 17" xfId="11899" xr:uid="{00000000-0005-0000-0000-000040320000}"/>
    <cellStyle name="Warning Text 7 2 3 18" xfId="12202" xr:uid="{00000000-0005-0000-0000-000041320000}"/>
    <cellStyle name="Warning Text 7 2 3 19" xfId="12970" xr:uid="{00000000-0005-0000-0000-000042320000}"/>
    <cellStyle name="Warning Text 7 2 3 2" xfId="5182" xr:uid="{00000000-0005-0000-0000-000043320000}"/>
    <cellStyle name="Warning Text 7 2 3 3" xfId="5620" xr:uid="{00000000-0005-0000-0000-000044320000}"/>
    <cellStyle name="Warning Text 7 2 3 4" xfId="6058" xr:uid="{00000000-0005-0000-0000-000045320000}"/>
    <cellStyle name="Warning Text 7 2 3 5" xfId="6495" xr:uid="{00000000-0005-0000-0000-000046320000}"/>
    <cellStyle name="Warning Text 7 2 3 6" xfId="6932" xr:uid="{00000000-0005-0000-0000-000047320000}"/>
    <cellStyle name="Warning Text 7 2 3 7" xfId="7369" xr:uid="{00000000-0005-0000-0000-000048320000}"/>
    <cellStyle name="Warning Text 7 2 3 8" xfId="7806" xr:uid="{00000000-0005-0000-0000-000049320000}"/>
    <cellStyle name="Warning Text 7 2 3 9" xfId="8654" xr:uid="{00000000-0005-0000-0000-00004A320000}"/>
    <cellStyle name="Warning Text 7 3" xfId="4419" xr:uid="{00000000-0005-0000-0000-00004B320000}"/>
    <cellStyle name="Warning Text 7 3 10" xfId="7991" xr:uid="{00000000-0005-0000-0000-00004C320000}"/>
    <cellStyle name="Warning Text 7 3 11" xfId="9242" xr:uid="{00000000-0005-0000-0000-00004D320000}"/>
    <cellStyle name="Warning Text 7 3 12" xfId="9510" xr:uid="{00000000-0005-0000-0000-00004E320000}"/>
    <cellStyle name="Warning Text 7 3 13" xfId="9855" xr:uid="{00000000-0005-0000-0000-00004F320000}"/>
    <cellStyle name="Warning Text 7 3 14" xfId="10327" xr:uid="{00000000-0005-0000-0000-000050320000}"/>
    <cellStyle name="Warning Text 7 3 15" xfId="10637" xr:uid="{00000000-0005-0000-0000-000051320000}"/>
    <cellStyle name="Warning Text 7 3 16" xfId="11214" xr:uid="{00000000-0005-0000-0000-000052320000}"/>
    <cellStyle name="Warning Text 7 3 17" xfId="11683" xr:uid="{00000000-0005-0000-0000-000053320000}"/>
    <cellStyle name="Warning Text 7 3 18" xfId="12144" xr:uid="{00000000-0005-0000-0000-000054320000}"/>
    <cellStyle name="Warning Text 7 3 19" xfId="12754" xr:uid="{00000000-0005-0000-0000-000055320000}"/>
    <cellStyle name="Warning Text 7 3 2" xfId="4966" xr:uid="{00000000-0005-0000-0000-000056320000}"/>
    <cellStyle name="Warning Text 7 3 3" xfId="5404" xr:uid="{00000000-0005-0000-0000-000057320000}"/>
    <cellStyle name="Warning Text 7 3 4" xfId="5842" xr:uid="{00000000-0005-0000-0000-000058320000}"/>
    <cellStyle name="Warning Text 7 3 5" xfId="6279" xr:uid="{00000000-0005-0000-0000-000059320000}"/>
    <cellStyle name="Warning Text 7 3 6" xfId="6716" xr:uid="{00000000-0005-0000-0000-00005A320000}"/>
    <cellStyle name="Warning Text 7 3 7" xfId="7153" xr:uid="{00000000-0005-0000-0000-00005B320000}"/>
    <cellStyle name="Warning Text 7 3 8" xfId="7590" xr:uid="{00000000-0005-0000-0000-00005C320000}"/>
    <cellStyle name="Warning Text 7 3 9" xfId="8438" xr:uid="{00000000-0005-0000-0000-00005D320000}"/>
    <cellStyle name="Warning Text 7 4" xfId="4634" xr:uid="{00000000-0005-0000-0000-00005E320000}"/>
    <cellStyle name="Warning Text 7 4 10" xfId="7820" xr:uid="{00000000-0005-0000-0000-00005F320000}"/>
    <cellStyle name="Warning Text 7 4 11" xfId="9457" xr:uid="{00000000-0005-0000-0000-000060320000}"/>
    <cellStyle name="Warning Text 7 4 12" xfId="8733" xr:uid="{00000000-0005-0000-0000-000061320000}"/>
    <cellStyle name="Warning Text 7 4 13" xfId="10070" xr:uid="{00000000-0005-0000-0000-000062320000}"/>
    <cellStyle name="Warning Text 7 4 14" xfId="10542" xr:uid="{00000000-0005-0000-0000-000063320000}"/>
    <cellStyle name="Warning Text 7 4 15" xfId="10883" xr:uid="{00000000-0005-0000-0000-000064320000}"/>
    <cellStyle name="Warning Text 7 4 16" xfId="11429" xr:uid="{00000000-0005-0000-0000-000065320000}"/>
    <cellStyle name="Warning Text 7 4 17" xfId="11898" xr:uid="{00000000-0005-0000-0000-000066320000}"/>
    <cellStyle name="Warning Text 7 4 18" xfId="12172" xr:uid="{00000000-0005-0000-0000-000067320000}"/>
    <cellStyle name="Warning Text 7 4 19" xfId="12969" xr:uid="{00000000-0005-0000-0000-000068320000}"/>
    <cellStyle name="Warning Text 7 4 2" xfId="5181" xr:uid="{00000000-0005-0000-0000-000069320000}"/>
    <cellStyle name="Warning Text 7 4 3" xfId="5619" xr:uid="{00000000-0005-0000-0000-00006A320000}"/>
    <cellStyle name="Warning Text 7 4 4" xfId="6057" xr:uid="{00000000-0005-0000-0000-00006B320000}"/>
    <cellStyle name="Warning Text 7 4 5" xfId="6494" xr:uid="{00000000-0005-0000-0000-00006C320000}"/>
    <cellStyle name="Warning Text 7 4 6" xfId="6931" xr:uid="{00000000-0005-0000-0000-00006D320000}"/>
    <cellStyle name="Warning Text 7 4 7" xfId="7368" xr:uid="{00000000-0005-0000-0000-00006E320000}"/>
    <cellStyle name="Warning Text 7 4 8" xfId="7805" xr:uid="{00000000-0005-0000-0000-00006F320000}"/>
    <cellStyle name="Warning Text 7 4 9" xfId="8653" xr:uid="{00000000-0005-0000-0000-000070320000}"/>
    <cellStyle name="Warning Text 7 5" xfId="12399" xr:uid="{00000000-0005-0000-0000-000071320000}"/>
    <cellStyle name="Warning Text 7 6" xfId="12460" xr:uid="{00000000-0005-0000-0000-000072320000}"/>
    <cellStyle name="Warning Text 7 7" xfId="12514" xr:uid="{00000000-0005-0000-0000-000073320000}"/>
    <cellStyle name="Warning Text 8" xfId="800" xr:uid="{00000000-0005-0000-0000-000074320000}"/>
    <cellStyle name="Warning Text 8 2" xfId="4203" xr:uid="{00000000-0005-0000-0000-000075320000}"/>
    <cellStyle name="Warning Text 8 2 2" xfId="4422" xr:uid="{00000000-0005-0000-0000-000076320000}"/>
    <cellStyle name="Warning Text 8 2 2 10" xfId="7988" xr:uid="{00000000-0005-0000-0000-000077320000}"/>
    <cellStyle name="Warning Text 8 2 2 11" xfId="9245" xr:uid="{00000000-0005-0000-0000-000078320000}"/>
    <cellStyle name="Warning Text 8 2 2 12" xfId="9597" xr:uid="{00000000-0005-0000-0000-000079320000}"/>
    <cellStyle name="Warning Text 8 2 2 13" xfId="9858" xr:uid="{00000000-0005-0000-0000-00007A320000}"/>
    <cellStyle name="Warning Text 8 2 2 14" xfId="10330" xr:uid="{00000000-0005-0000-0000-00007B320000}"/>
    <cellStyle name="Warning Text 8 2 2 15" xfId="10917" xr:uid="{00000000-0005-0000-0000-00007C320000}"/>
    <cellStyle name="Warning Text 8 2 2 16" xfId="11217" xr:uid="{00000000-0005-0000-0000-00007D320000}"/>
    <cellStyle name="Warning Text 8 2 2 17" xfId="11686" xr:uid="{00000000-0005-0000-0000-00007E320000}"/>
    <cellStyle name="Warning Text 8 2 2 18" xfId="12026" xr:uid="{00000000-0005-0000-0000-00007F320000}"/>
    <cellStyle name="Warning Text 8 2 2 19" xfId="12757" xr:uid="{00000000-0005-0000-0000-000080320000}"/>
    <cellStyle name="Warning Text 8 2 2 2" xfId="4969" xr:uid="{00000000-0005-0000-0000-000081320000}"/>
    <cellStyle name="Warning Text 8 2 2 3" xfId="5407" xr:uid="{00000000-0005-0000-0000-000082320000}"/>
    <cellStyle name="Warning Text 8 2 2 4" xfId="5845" xr:uid="{00000000-0005-0000-0000-000083320000}"/>
    <cellStyle name="Warning Text 8 2 2 5" xfId="6282" xr:uid="{00000000-0005-0000-0000-000084320000}"/>
    <cellStyle name="Warning Text 8 2 2 6" xfId="6719" xr:uid="{00000000-0005-0000-0000-000085320000}"/>
    <cellStyle name="Warning Text 8 2 2 7" xfId="7156" xr:uid="{00000000-0005-0000-0000-000086320000}"/>
    <cellStyle name="Warning Text 8 2 2 8" xfId="7593" xr:uid="{00000000-0005-0000-0000-000087320000}"/>
    <cellStyle name="Warning Text 8 2 2 9" xfId="8441" xr:uid="{00000000-0005-0000-0000-000088320000}"/>
    <cellStyle name="Warning Text 8 2 3" xfId="4637" xr:uid="{00000000-0005-0000-0000-000089320000}"/>
    <cellStyle name="Warning Text 8 2 3 10" xfId="7817" xr:uid="{00000000-0005-0000-0000-00008A320000}"/>
    <cellStyle name="Warning Text 8 2 3 11" xfId="9460" xr:uid="{00000000-0005-0000-0000-00008B320000}"/>
    <cellStyle name="Warning Text 8 2 3 12" xfId="8730" xr:uid="{00000000-0005-0000-0000-00008C320000}"/>
    <cellStyle name="Warning Text 8 2 3 13" xfId="10073" xr:uid="{00000000-0005-0000-0000-00008D320000}"/>
    <cellStyle name="Warning Text 8 2 3 14" xfId="10545" xr:uid="{00000000-0005-0000-0000-00008E320000}"/>
    <cellStyle name="Warning Text 8 2 3 15" xfId="10725" xr:uid="{00000000-0005-0000-0000-00008F320000}"/>
    <cellStyle name="Warning Text 8 2 3 16" xfId="11432" xr:uid="{00000000-0005-0000-0000-000090320000}"/>
    <cellStyle name="Warning Text 8 2 3 17" xfId="11901" xr:uid="{00000000-0005-0000-0000-000091320000}"/>
    <cellStyle name="Warning Text 8 2 3 18" xfId="12136" xr:uid="{00000000-0005-0000-0000-000092320000}"/>
    <cellStyle name="Warning Text 8 2 3 19" xfId="12972" xr:uid="{00000000-0005-0000-0000-000093320000}"/>
    <cellStyle name="Warning Text 8 2 3 2" xfId="5184" xr:uid="{00000000-0005-0000-0000-000094320000}"/>
    <cellStyle name="Warning Text 8 2 3 3" xfId="5622" xr:uid="{00000000-0005-0000-0000-000095320000}"/>
    <cellStyle name="Warning Text 8 2 3 4" xfId="6060" xr:uid="{00000000-0005-0000-0000-000096320000}"/>
    <cellStyle name="Warning Text 8 2 3 5" xfId="6497" xr:uid="{00000000-0005-0000-0000-000097320000}"/>
    <cellStyle name="Warning Text 8 2 3 6" xfId="6934" xr:uid="{00000000-0005-0000-0000-000098320000}"/>
    <cellStyle name="Warning Text 8 2 3 7" xfId="7371" xr:uid="{00000000-0005-0000-0000-000099320000}"/>
    <cellStyle name="Warning Text 8 2 3 8" xfId="7808" xr:uid="{00000000-0005-0000-0000-00009A320000}"/>
    <cellStyle name="Warning Text 8 2 3 9" xfId="8656" xr:uid="{00000000-0005-0000-0000-00009B320000}"/>
    <cellStyle name="Warning Text 8 3" xfId="4421" xr:uid="{00000000-0005-0000-0000-00009C320000}"/>
    <cellStyle name="Warning Text 8 3 10" xfId="7989" xr:uid="{00000000-0005-0000-0000-00009D320000}"/>
    <cellStyle name="Warning Text 8 3 11" xfId="9244" xr:uid="{00000000-0005-0000-0000-00009E320000}"/>
    <cellStyle name="Warning Text 8 3 12" xfId="9501" xr:uid="{00000000-0005-0000-0000-00009F320000}"/>
    <cellStyle name="Warning Text 8 3 13" xfId="9857" xr:uid="{00000000-0005-0000-0000-0000A0320000}"/>
    <cellStyle name="Warning Text 8 3 14" xfId="10329" xr:uid="{00000000-0005-0000-0000-0000A1320000}"/>
    <cellStyle name="Warning Text 8 3 15" xfId="10558" xr:uid="{00000000-0005-0000-0000-0000A2320000}"/>
    <cellStyle name="Warning Text 8 3 16" xfId="11216" xr:uid="{00000000-0005-0000-0000-0000A3320000}"/>
    <cellStyle name="Warning Text 8 3 17" xfId="11685" xr:uid="{00000000-0005-0000-0000-0000A4320000}"/>
    <cellStyle name="Warning Text 8 3 18" xfId="12055" xr:uid="{00000000-0005-0000-0000-0000A5320000}"/>
    <cellStyle name="Warning Text 8 3 19" xfId="12756" xr:uid="{00000000-0005-0000-0000-0000A6320000}"/>
    <cellStyle name="Warning Text 8 3 2" xfId="4968" xr:uid="{00000000-0005-0000-0000-0000A7320000}"/>
    <cellStyle name="Warning Text 8 3 3" xfId="5406" xr:uid="{00000000-0005-0000-0000-0000A8320000}"/>
    <cellStyle name="Warning Text 8 3 4" xfId="5844" xr:uid="{00000000-0005-0000-0000-0000A9320000}"/>
    <cellStyle name="Warning Text 8 3 5" xfId="6281" xr:uid="{00000000-0005-0000-0000-0000AA320000}"/>
    <cellStyle name="Warning Text 8 3 6" xfId="6718" xr:uid="{00000000-0005-0000-0000-0000AB320000}"/>
    <cellStyle name="Warning Text 8 3 7" xfId="7155" xr:uid="{00000000-0005-0000-0000-0000AC320000}"/>
    <cellStyle name="Warning Text 8 3 8" xfId="7592" xr:uid="{00000000-0005-0000-0000-0000AD320000}"/>
    <cellStyle name="Warning Text 8 3 9" xfId="8440" xr:uid="{00000000-0005-0000-0000-0000AE320000}"/>
    <cellStyle name="Warning Text 8 4" xfId="4636" xr:uid="{00000000-0005-0000-0000-0000AF320000}"/>
    <cellStyle name="Warning Text 8 4 10" xfId="7818" xr:uid="{00000000-0005-0000-0000-0000B0320000}"/>
    <cellStyle name="Warning Text 8 4 11" xfId="9459" xr:uid="{00000000-0005-0000-0000-0000B1320000}"/>
    <cellStyle name="Warning Text 8 4 12" xfId="8731" xr:uid="{00000000-0005-0000-0000-0000B2320000}"/>
    <cellStyle name="Warning Text 8 4 13" xfId="10072" xr:uid="{00000000-0005-0000-0000-0000B3320000}"/>
    <cellStyle name="Warning Text 8 4 14" xfId="10544" xr:uid="{00000000-0005-0000-0000-0000B4320000}"/>
    <cellStyle name="Warning Text 8 4 15" xfId="10763" xr:uid="{00000000-0005-0000-0000-0000B5320000}"/>
    <cellStyle name="Warning Text 8 4 16" xfId="11431" xr:uid="{00000000-0005-0000-0000-0000B6320000}"/>
    <cellStyle name="Warning Text 8 4 17" xfId="11900" xr:uid="{00000000-0005-0000-0000-0000B7320000}"/>
    <cellStyle name="Warning Text 8 4 18" xfId="12120" xr:uid="{00000000-0005-0000-0000-0000B8320000}"/>
    <cellStyle name="Warning Text 8 4 19" xfId="12971" xr:uid="{00000000-0005-0000-0000-0000B9320000}"/>
    <cellStyle name="Warning Text 8 4 2" xfId="5183" xr:uid="{00000000-0005-0000-0000-0000BA320000}"/>
    <cellStyle name="Warning Text 8 4 3" xfId="5621" xr:uid="{00000000-0005-0000-0000-0000BB320000}"/>
    <cellStyle name="Warning Text 8 4 4" xfId="6059" xr:uid="{00000000-0005-0000-0000-0000BC320000}"/>
    <cellStyle name="Warning Text 8 4 5" xfId="6496" xr:uid="{00000000-0005-0000-0000-0000BD320000}"/>
    <cellStyle name="Warning Text 8 4 6" xfId="6933" xr:uid="{00000000-0005-0000-0000-0000BE320000}"/>
    <cellStyle name="Warning Text 8 4 7" xfId="7370" xr:uid="{00000000-0005-0000-0000-0000BF320000}"/>
    <cellStyle name="Warning Text 8 4 8" xfId="7807" xr:uid="{00000000-0005-0000-0000-0000C0320000}"/>
    <cellStyle name="Warning Text 8 4 9" xfId="8655" xr:uid="{00000000-0005-0000-0000-0000C1320000}"/>
    <cellStyle name="Warning Text 8 5" xfId="12400" xr:uid="{00000000-0005-0000-0000-0000C2320000}"/>
    <cellStyle name="Warning Text 8 6" xfId="12461" xr:uid="{00000000-0005-0000-0000-0000C3320000}"/>
    <cellStyle name="Warning Text 8 7" xfId="12507" xr:uid="{00000000-0005-0000-0000-0000C4320000}"/>
    <cellStyle name="Warning Text 9" xfId="801" xr:uid="{00000000-0005-0000-0000-0000C5320000}"/>
    <cellStyle name="Warning Text 9 2" xfId="4204" xr:uid="{00000000-0005-0000-0000-0000C6320000}"/>
    <cellStyle name="Warning Text 9 2 2" xfId="4424" xr:uid="{00000000-0005-0000-0000-0000C7320000}"/>
    <cellStyle name="Warning Text 9 2 2 10" xfId="7986" xr:uid="{00000000-0005-0000-0000-0000C8320000}"/>
    <cellStyle name="Warning Text 9 2 2 11" xfId="9247" xr:uid="{00000000-0005-0000-0000-0000C9320000}"/>
    <cellStyle name="Warning Text 9 2 2 12" xfId="9468" xr:uid="{00000000-0005-0000-0000-0000CA320000}"/>
    <cellStyle name="Warning Text 9 2 2 13" xfId="9860" xr:uid="{00000000-0005-0000-0000-0000CB320000}"/>
    <cellStyle name="Warning Text 9 2 2 14" xfId="10332" xr:uid="{00000000-0005-0000-0000-0000CC320000}"/>
    <cellStyle name="Warning Text 9 2 2 15" xfId="10851" xr:uid="{00000000-0005-0000-0000-0000CD320000}"/>
    <cellStyle name="Warning Text 9 2 2 16" xfId="11219" xr:uid="{00000000-0005-0000-0000-0000CE320000}"/>
    <cellStyle name="Warning Text 9 2 2 17" xfId="11688" xr:uid="{00000000-0005-0000-0000-0000CF320000}"/>
    <cellStyle name="Warning Text 9 2 2 18" xfId="11969" xr:uid="{00000000-0005-0000-0000-0000D0320000}"/>
    <cellStyle name="Warning Text 9 2 2 19" xfId="12759" xr:uid="{00000000-0005-0000-0000-0000D1320000}"/>
    <cellStyle name="Warning Text 9 2 2 2" xfId="4971" xr:uid="{00000000-0005-0000-0000-0000D2320000}"/>
    <cellStyle name="Warning Text 9 2 2 3" xfId="5409" xr:uid="{00000000-0005-0000-0000-0000D3320000}"/>
    <cellStyle name="Warning Text 9 2 2 4" xfId="5847" xr:uid="{00000000-0005-0000-0000-0000D4320000}"/>
    <cellStyle name="Warning Text 9 2 2 5" xfId="6284" xr:uid="{00000000-0005-0000-0000-0000D5320000}"/>
    <cellStyle name="Warning Text 9 2 2 6" xfId="6721" xr:uid="{00000000-0005-0000-0000-0000D6320000}"/>
    <cellStyle name="Warning Text 9 2 2 7" xfId="7158" xr:uid="{00000000-0005-0000-0000-0000D7320000}"/>
    <cellStyle name="Warning Text 9 2 2 8" xfId="7595" xr:uid="{00000000-0005-0000-0000-0000D8320000}"/>
    <cellStyle name="Warning Text 9 2 2 9" xfId="8443" xr:uid="{00000000-0005-0000-0000-0000D9320000}"/>
    <cellStyle name="Warning Text 9 2 3" xfId="4639" xr:uid="{00000000-0005-0000-0000-0000DA320000}"/>
    <cellStyle name="Warning Text 9 2 3 10" xfId="7815" xr:uid="{00000000-0005-0000-0000-0000DB320000}"/>
    <cellStyle name="Warning Text 9 2 3 11" xfId="9462" xr:uid="{00000000-0005-0000-0000-0000DC320000}"/>
    <cellStyle name="Warning Text 9 2 3 12" xfId="8728" xr:uid="{00000000-0005-0000-0000-0000DD320000}"/>
    <cellStyle name="Warning Text 9 2 3 13" xfId="10075" xr:uid="{00000000-0005-0000-0000-0000DE320000}"/>
    <cellStyle name="Warning Text 9 2 3 14" xfId="10547" xr:uid="{00000000-0005-0000-0000-0000DF320000}"/>
    <cellStyle name="Warning Text 9 2 3 15" xfId="10647" xr:uid="{00000000-0005-0000-0000-0000E0320000}"/>
    <cellStyle name="Warning Text 9 2 3 16" xfId="11434" xr:uid="{00000000-0005-0000-0000-0000E1320000}"/>
    <cellStyle name="Warning Text 9 2 3 17" xfId="11903" xr:uid="{00000000-0005-0000-0000-0000E2320000}"/>
    <cellStyle name="Warning Text 9 2 3 18" xfId="12047" xr:uid="{00000000-0005-0000-0000-0000E3320000}"/>
    <cellStyle name="Warning Text 9 2 3 19" xfId="12974" xr:uid="{00000000-0005-0000-0000-0000E4320000}"/>
    <cellStyle name="Warning Text 9 2 3 2" xfId="5186" xr:uid="{00000000-0005-0000-0000-0000E5320000}"/>
    <cellStyle name="Warning Text 9 2 3 3" xfId="5624" xr:uid="{00000000-0005-0000-0000-0000E6320000}"/>
    <cellStyle name="Warning Text 9 2 3 4" xfId="6062" xr:uid="{00000000-0005-0000-0000-0000E7320000}"/>
    <cellStyle name="Warning Text 9 2 3 5" xfId="6499" xr:uid="{00000000-0005-0000-0000-0000E8320000}"/>
    <cellStyle name="Warning Text 9 2 3 6" xfId="6936" xr:uid="{00000000-0005-0000-0000-0000E9320000}"/>
    <cellStyle name="Warning Text 9 2 3 7" xfId="7373" xr:uid="{00000000-0005-0000-0000-0000EA320000}"/>
    <cellStyle name="Warning Text 9 2 3 8" xfId="7810" xr:uid="{00000000-0005-0000-0000-0000EB320000}"/>
    <cellStyle name="Warning Text 9 2 3 9" xfId="8658" xr:uid="{00000000-0005-0000-0000-0000EC320000}"/>
    <cellStyle name="Warning Text 9 3" xfId="4423" xr:uid="{00000000-0005-0000-0000-0000ED320000}"/>
    <cellStyle name="Warning Text 9 3 10" xfId="7987" xr:uid="{00000000-0005-0000-0000-0000EE320000}"/>
    <cellStyle name="Warning Text 9 3 11" xfId="9246" xr:uid="{00000000-0005-0000-0000-0000EF320000}"/>
    <cellStyle name="Warning Text 9 3 12" xfId="9521" xr:uid="{00000000-0005-0000-0000-0000F0320000}"/>
    <cellStyle name="Warning Text 9 3 13" xfId="9859" xr:uid="{00000000-0005-0000-0000-0000F1320000}"/>
    <cellStyle name="Warning Text 9 3 14" xfId="10331" xr:uid="{00000000-0005-0000-0000-0000F2320000}"/>
    <cellStyle name="Warning Text 9 3 15" xfId="10938" xr:uid="{00000000-0005-0000-0000-0000F3320000}"/>
    <cellStyle name="Warning Text 9 3 16" xfId="11218" xr:uid="{00000000-0005-0000-0000-0000F4320000}"/>
    <cellStyle name="Warning Text 9 3 17" xfId="11687" xr:uid="{00000000-0005-0000-0000-0000F5320000}"/>
    <cellStyle name="Warning Text 9 3 18" xfId="11997" xr:uid="{00000000-0005-0000-0000-0000F6320000}"/>
    <cellStyle name="Warning Text 9 3 19" xfId="12758" xr:uid="{00000000-0005-0000-0000-0000F7320000}"/>
    <cellStyle name="Warning Text 9 3 2" xfId="4970" xr:uid="{00000000-0005-0000-0000-0000F8320000}"/>
    <cellStyle name="Warning Text 9 3 3" xfId="5408" xr:uid="{00000000-0005-0000-0000-0000F9320000}"/>
    <cellStyle name="Warning Text 9 3 4" xfId="5846" xr:uid="{00000000-0005-0000-0000-0000FA320000}"/>
    <cellStyle name="Warning Text 9 3 5" xfId="6283" xr:uid="{00000000-0005-0000-0000-0000FB320000}"/>
    <cellStyle name="Warning Text 9 3 6" xfId="6720" xr:uid="{00000000-0005-0000-0000-0000FC320000}"/>
    <cellStyle name="Warning Text 9 3 7" xfId="7157" xr:uid="{00000000-0005-0000-0000-0000FD320000}"/>
    <cellStyle name="Warning Text 9 3 8" xfId="7594" xr:uid="{00000000-0005-0000-0000-0000FE320000}"/>
    <cellStyle name="Warning Text 9 3 9" xfId="8442" xr:uid="{00000000-0005-0000-0000-0000FF320000}"/>
    <cellStyle name="Warning Text 9 4" xfId="4638" xr:uid="{00000000-0005-0000-0000-000000330000}"/>
    <cellStyle name="Warning Text 9 4 10" xfId="7816" xr:uid="{00000000-0005-0000-0000-000001330000}"/>
    <cellStyle name="Warning Text 9 4 11" xfId="9461" xr:uid="{00000000-0005-0000-0000-000002330000}"/>
    <cellStyle name="Warning Text 9 4 12" xfId="8729" xr:uid="{00000000-0005-0000-0000-000003330000}"/>
    <cellStyle name="Warning Text 9 4 13" xfId="10074" xr:uid="{00000000-0005-0000-0000-000004330000}"/>
    <cellStyle name="Warning Text 9 4 14" xfId="10546" xr:uid="{00000000-0005-0000-0000-000005330000}"/>
    <cellStyle name="Warning Text 9 4 15" xfId="10686" xr:uid="{00000000-0005-0000-0000-000006330000}"/>
    <cellStyle name="Warning Text 9 4 16" xfId="11433" xr:uid="{00000000-0005-0000-0000-000007330000}"/>
    <cellStyle name="Warning Text 9 4 17" xfId="11902" xr:uid="{00000000-0005-0000-0000-000008330000}"/>
    <cellStyle name="Warning Text 9 4 18" xfId="12077" xr:uid="{00000000-0005-0000-0000-000009330000}"/>
    <cellStyle name="Warning Text 9 4 19" xfId="12973" xr:uid="{00000000-0005-0000-0000-00000A330000}"/>
    <cellStyle name="Warning Text 9 4 2" xfId="5185" xr:uid="{00000000-0005-0000-0000-00000B330000}"/>
    <cellStyle name="Warning Text 9 4 3" xfId="5623" xr:uid="{00000000-0005-0000-0000-00000C330000}"/>
    <cellStyle name="Warning Text 9 4 4" xfId="6061" xr:uid="{00000000-0005-0000-0000-00000D330000}"/>
    <cellStyle name="Warning Text 9 4 5" xfId="6498" xr:uid="{00000000-0005-0000-0000-00000E330000}"/>
    <cellStyle name="Warning Text 9 4 6" xfId="6935" xr:uid="{00000000-0005-0000-0000-00000F330000}"/>
    <cellStyle name="Warning Text 9 4 7" xfId="7372" xr:uid="{00000000-0005-0000-0000-000010330000}"/>
    <cellStyle name="Warning Text 9 4 8" xfId="7809" xr:uid="{00000000-0005-0000-0000-000011330000}"/>
    <cellStyle name="Warning Text 9 4 9" xfId="8657" xr:uid="{00000000-0005-0000-0000-000012330000}"/>
    <cellStyle name="Warning Text 9 5" xfId="12401" xr:uid="{00000000-0005-0000-0000-000013330000}"/>
    <cellStyle name="Warning Text 9 6" xfId="12462" xr:uid="{00000000-0005-0000-0000-000014330000}"/>
    <cellStyle name="Warning Text 9 7" xfId="12496" xr:uid="{00000000-0005-0000-0000-000015330000}"/>
  </cellStyles>
  <dxfs count="149">
    <dxf>
      <fill>
        <patternFill patternType="solid">
          <f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9" tint="-0.24994659260841701"/>
      </font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fill>
        <patternFill patternType="none">
          <bgColor auto="1"/>
        </patternFill>
      </fill>
      <border>
        <top/>
        <bottom/>
      </border>
    </dxf>
    <dxf>
      <font>
        <strike val="0"/>
        <color rgb="FF9C0006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5" formatCode="B1mmm\-yy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6" formatCode="[$-409]d\-mmm\-yy;@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6" formatCode="[$-409]d\-mmm\-yy;@"/>
      <fill>
        <patternFill patternType="solid">
          <fgColor rgb="FF000000"/>
          <bgColor rgb="FFF2F2F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5" formatCode="B1mmm\-yy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numFmt numFmtId="165" formatCode="B1mmm\-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CCCC"/>
      <color rgb="FF0000FF"/>
      <color rgb="FF00FF00"/>
      <color rgb="FFFFFFCC"/>
      <color rgb="FFFFFFFF"/>
      <color rgb="FFFF9900"/>
      <color rgb="FFFF99FF"/>
      <color rgb="FFFFCC99"/>
      <color rgb="FF00990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tamart Sungsiangsoong (AHR)" id="{90DBCD86-5939-4285-9C34-B431E404462C}" userId="S::Jutamart.s@aapico.com::bad6f982-65a2-4702-9610-e8db0ae50f3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176252626" displayName="Table176252626" ref="A1:BJ994" totalsRowShown="0" headerRowDxfId="148" dataDxfId="147" tableBorderDxfId="146">
  <autoFilter ref="A1:BJ994" xr:uid="{00000000-000C-0000-FFFF-FFFF03000000}"/>
  <tableColumns count="62">
    <tableColumn id="1" xr3:uid="{00000000-0010-0000-0300-000001000000}" name="Column1" dataDxfId="145" totalsRowDxfId="144"/>
    <tableColumn id="2" xr3:uid="{00000000-0010-0000-0300-000002000000}" name="Column2" dataDxfId="143" totalsRowDxfId="142"/>
    <tableColumn id="59" xr3:uid="{00000000-0010-0000-0300-00003B000000}" name="Column211" dataDxfId="141" totalsRowDxfId="140"/>
    <tableColumn id="58" xr3:uid="{00000000-0010-0000-0300-00003A000000}" name="Column210" dataDxfId="139" totalsRowDxfId="138"/>
    <tableColumn id="46" xr3:uid="{00000000-0010-0000-0300-00002E000000}" name="Column46" dataDxfId="137" totalsRowDxfId="136"/>
    <tableColumn id="3" xr3:uid="{00000000-0010-0000-0300-000003000000}" name="Column3" dataDxfId="135" totalsRowDxfId="134"/>
    <tableColumn id="4" xr3:uid="{00000000-0010-0000-0300-000004000000}" name="Column4" dataDxfId="133" totalsRowDxfId="132"/>
    <tableColumn id="47" xr3:uid="{00000000-0010-0000-0300-00002F000000}" name="Column47" dataDxfId="131" totalsRowDxfId="130"/>
    <tableColumn id="5" xr3:uid="{00000000-0010-0000-0300-000005000000}" name="Column5" dataDxfId="129" totalsRowDxfId="128"/>
    <tableColumn id="6" xr3:uid="{00000000-0010-0000-0300-000006000000}" name="Column6" dataDxfId="127" totalsRowDxfId="126"/>
    <tableColumn id="7" xr3:uid="{00000000-0010-0000-0300-000007000000}" name="Column7" dataDxfId="125" totalsRowDxfId="124"/>
    <tableColumn id="10" xr3:uid="{00000000-0010-0000-0300-00000A000000}" name="Column10" dataDxfId="123" totalsRowDxfId="122"/>
    <tableColumn id="11" xr3:uid="{00000000-0010-0000-0300-00000B000000}" name="Column11" dataDxfId="121" totalsRowDxfId="120"/>
    <tableColumn id="12" xr3:uid="{00000000-0010-0000-0300-00000C000000}" name="Column12" dataDxfId="119" totalsRowDxfId="118"/>
    <tableColumn id="13" xr3:uid="{00000000-0010-0000-0300-00000D000000}" name="Column13" dataDxfId="117" totalsRowDxfId="116"/>
    <tableColumn id="14" xr3:uid="{00000000-0010-0000-0300-00000E000000}" name="Column14" dataDxfId="115" totalsRowDxfId="114"/>
    <tableColumn id="15" xr3:uid="{00000000-0010-0000-0300-00000F000000}" name="Column15" dataDxfId="113" totalsRowDxfId="112"/>
    <tableColumn id="16" xr3:uid="{00000000-0010-0000-0300-000010000000}" name="Column16" dataDxfId="111" totalsRowDxfId="110"/>
    <tableColumn id="17" xr3:uid="{00000000-0010-0000-0300-000011000000}" name="Column17" dataDxfId="109" totalsRowDxfId="108"/>
    <tableColumn id="18" xr3:uid="{00000000-0010-0000-0300-000012000000}" name="Column18" dataDxfId="107" totalsRowDxfId="106"/>
    <tableColumn id="19" xr3:uid="{00000000-0010-0000-0300-000013000000}" name="Column19" dataDxfId="105" totalsRowDxfId="104"/>
    <tableColumn id="20" xr3:uid="{00000000-0010-0000-0300-000014000000}" name="Column20" dataDxfId="103" totalsRowDxfId="102"/>
    <tableColumn id="21" xr3:uid="{00000000-0010-0000-0300-000015000000}" name="Column21" dataDxfId="101" totalsRowDxfId="100"/>
    <tableColumn id="22" xr3:uid="{00000000-0010-0000-0300-000016000000}" name="Column22" dataDxfId="99" totalsRowDxfId="98"/>
    <tableColumn id="23" xr3:uid="{00000000-0010-0000-0300-000017000000}" name="Column23" dataDxfId="97" totalsRowDxfId="96"/>
    <tableColumn id="24" xr3:uid="{00000000-0010-0000-0300-000018000000}" name="Column24" dataDxfId="95" totalsRowDxfId="94"/>
    <tableColumn id="25" xr3:uid="{00000000-0010-0000-0300-000019000000}" name="Column25" dataDxfId="93" totalsRowDxfId="92"/>
    <tableColumn id="26" xr3:uid="{00000000-0010-0000-0300-00001A000000}" name="Column26" dataDxfId="91" totalsRowDxfId="90"/>
    <tableColumn id="27" xr3:uid="{00000000-0010-0000-0300-00001B000000}" name="Column27" dataDxfId="89" totalsRowDxfId="88"/>
    <tableColumn id="28" xr3:uid="{00000000-0010-0000-0300-00001C000000}" name="Column28" dataDxfId="87" totalsRowDxfId="86"/>
    <tableColumn id="29" xr3:uid="{00000000-0010-0000-0300-00001D000000}" name="Column29" dataDxfId="85" totalsRowDxfId="84"/>
    <tableColumn id="30" xr3:uid="{00000000-0010-0000-0300-00001E000000}" name="Column30" dataDxfId="83" totalsRowDxfId="82"/>
    <tableColumn id="31" xr3:uid="{00000000-0010-0000-0300-00001F000000}" name="Column31" dataDxfId="81" totalsRowDxfId="80"/>
    <tableColumn id="32" xr3:uid="{00000000-0010-0000-0300-000020000000}" name="Column32" dataDxfId="79" totalsRowDxfId="78"/>
    <tableColumn id="33" xr3:uid="{00000000-0010-0000-0300-000021000000}" name="Column33" dataDxfId="77" totalsRowDxfId="76"/>
    <tableColumn id="34" xr3:uid="{00000000-0010-0000-0300-000022000000}" name="Column34" dataDxfId="75" totalsRowDxfId="74"/>
    <tableColumn id="35" xr3:uid="{00000000-0010-0000-0300-000023000000}" name="Column35" dataDxfId="73" totalsRowDxfId="72"/>
    <tableColumn id="36" xr3:uid="{00000000-0010-0000-0300-000024000000}" name="Column36" dataDxfId="71" totalsRowDxfId="70">
      <calculatedColumnFormula>SUM(AI343+AJ343-AK343)</calculatedColumnFormula>
    </tableColumn>
    <tableColumn id="37" xr3:uid="{00000000-0010-0000-0300-000025000000}" name="Column37" dataDxfId="69" totalsRowDxfId="68"/>
    <tableColumn id="38" xr3:uid="{00000000-0010-0000-0300-000026000000}" name="Column38" dataDxfId="67" totalsRowDxfId="66"/>
    <tableColumn id="39" xr3:uid="{00000000-0010-0000-0300-000027000000}" name="Column39" dataDxfId="65" totalsRowDxfId="64">
      <calculatedColumnFormula>SUM(AL343+AM343-AN343)</calculatedColumnFormula>
    </tableColumn>
    <tableColumn id="40" xr3:uid="{00000000-0010-0000-0300-000028000000}" name="Column40" dataDxfId="63" totalsRowDxfId="62"/>
    <tableColumn id="41" xr3:uid="{00000000-0010-0000-0300-000029000000}" name="Column41" dataDxfId="61" totalsRowDxfId="60"/>
    <tableColumn id="42" xr3:uid="{00000000-0010-0000-0300-00002A000000}" name="Column42" dataDxfId="59" totalsRowDxfId="58">
      <calculatedColumnFormula>SUM(AO343+AP343-AQ343)</calculatedColumnFormula>
    </tableColumn>
    <tableColumn id="43" xr3:uid="{00000000-0010-0000-0300-00002B000000}" name="Column43" dataDxfId="57" totalsRowDxfId="56"/>
    <tableColumn id="44" xr3:uid="{00000000-0010-0000-0300-00002C000000}" name="Column44" dataDxfId="55" totalsRowDxfId="54"/>
    <tableColumn id="45" xr3:uid="{00000000-0010-0000-0300-00002D000000}" name="Column45" dataDxfId="53" totalsRowDxfId="52">
      <calculatedColumnFormula>SUM(AR343+AS343-AT343)</calculatedColumnFormula>
    </tableColumn>
    <tableColumn id="48" xr3:uid="{00000000-0010-0000-0300-000030000000}" name="Column8" dataDxfId="51" totalsRowDxfId="50"/>
    <tableColumn id="49" xr3:uid="{00000000-0010-0000-0300-000031000000}" name="Column9" dataDxfId="49" totalsRowDxfId="48"/>
    <tableColumn id="9" xr3:uid="{0E043EBA-485F-42E0-B774-CFFD4DC86349}" name="Column48" dataDxfId="47" totalsRowDxfId="46">
      <calculatedColumnFormula>SUM(M2,P2,S2,V2,Y2,AB2,AE2,AH2,AK2,AN2,AQ2,AT2)</calculatedColumnFormula>
    </tableColumn>
    <tableColumn id="50" xr3:uid="{722018AA-A46E-4086-B16E-F76CCAEEFE77}" name="Column49" dataDxfId="45" totalsRowDxfId="44">
      <calculatedColumnFormula>AVERAGE(M2,P2,S2,V2,Y2,AB2,AE2,AH2,AK2,AN2,AQ2,AT2)</calculatedColumnFormula>
    </tableColumn>
    <tableColumn id="51" xr3:uid="{154725FD-A979-41D9-84D4-8E57F413F607}" name="Column50" dataDxfId="43" totalsRowDxfId="42">
      <calculatedColumnFormula>COUNT(M2,P2,S2,V2,Y2,AB2,AE2,AH2,AK2,AN2,AQ2,AT2)</calculatedColumnFormula>
    </tableColumn>
    <tableColumn id="52" xr3:uid="{7434BE87-9F27-4D32-BF9F-1EB89AB5BAE9}" name="Column51" dataDxfId="41" totalsRowDxfId="40">
      <calculatedColumnFormula>MAX(M2,P2,S2,V2,Y2,AB2,AE2,AH2,AK2,AN2,AQ2,AT2)</calculatedColumnFormula>
    </tableColumn>
    <tableColumn id="53" xr3:uid="{6CACA39B-AB69-4615-BC49-7F74AA5D2A6A}" name="Column52" dataDxfId="39" totalsRowDxfId="38">
      <calculatedColumnFormula>MIN(M2,P2,S2,V2,Y2,AB2,AE2,AH2,AK2,AN2,AQ2,AT2)</calculatedColumnFormula>
    </tableColumn>
    <tableColumn id="54" xr3:uid="{6C81EA03-A2B0-494D-823F-913C42740E60}" name="Column53" dataDxfId="37" totalsRowDxfId="36">
      <calculatedColumnFormula>J2</calculatedColumnFormula>
    </tableColumn>
    <tableColumn id="55" xr3:uid="{CDCE7DF5-06E0-4DFE-8A4D-FC64F6939AF8}" name="Column54" dataDxfId="35" totalsRowDxfId="34">
      <calculatedColumnFormula>SUM(BC2-BA2)</calculatedColumnFormula>
    </tableColumn>
    <tableColumn id="56" xr3:uid="{6F71CA78-3542-481F-92E2-7FB23AB5C5C4}" name="Column55" dataDxfId="33" totalsRowDxfId="32"/>
    <tableColumn id="57" xr3:uid="{14A8B1CD-1AC3-4FB9-B4A6-98A4497D3516}" name="Column56" dataDxfId="31"/>
    <tableColumn id="60" xr3:uid="{5DCD3511-CE53-4DCB-A357-BA4A2C08DFB2}" name="Column57" dataDxfId="30" totalsRowDxfId="29"/>
    <tableColumn id="61" xr3:uid="{2A27550E-6BCF-4149-8D6C-725517655D1F}" name="Column58" dataDxfId="28" totalsRowDxfId="27" dataCellStyle="Comma">
      <calculatedColumnFormula>BG2-BF2</calculatedColumnFormula>
    </tableColumn>
    <tableColumn id="62" xr3:uid="{A8C87A3C-FE5D-432F-8263-7782AC68AF72}" name="Column59" dataDxfId="26"/>
    <tableColumn id="64" xr3:uid="{F974E8BD-1BCB-44E5-B854-987BAC252C41}" name="Column60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8" dT="2026-08-13T11:23:09.79" personId="{90DBCD86-5939-4285-9C34-B431E404462C}" id="{AF5DE922-BA3F-49D5-9D0D-21D6E3BF6D98}">
    <text>เลิกผลิต</text>
  </threadedComment>
  <threadedComment ref="H97" dT="2025-11-07T05:04:06.92" personId="{90DBCD86-5939-4285-9C34-B431E404462C}" id="{DF42D297-C691-4CF1-80BC-0E2BBA4914DF}">
    <text>ใช้กับ Wia Die clamp ด้วย เปลี่ยนจาก SOLENOID VALVE \ VQ7-08-FG-D-9NR \ SMC</text>
  </threadedComment>
  <threadedComment ref="G172" dT="2026-02-11T02:01:35.22" personId="{90DBCD86-5939-4285-9C34-B431E404462C}" id="{ACD00D3A-F24C-4FC4-8E5A-6AA1F73C0F63}">
    <text xml:space="preserve">Swing 1 </text>
  </threadedComment>
  <threadedComment ref="G172" dT="2026-07-21T04:07:21.54" personId="{90DBCD86-5939-4285-9C34-B431E404462C}" id="{2529B64B-1277-4807-94C2-13E9AF64C95A}" parentId="{ACD00D3A-F24C-4FC4-8E5A-6AA1F73C0F63}">
    <text>เกิน 1 Pcs.</text>
  </threadedComment>
  <threadedComment ref="AJ184" dT="2025-09-17T08:46:26.90" personId="{90DBCD86-5939-4285-9C34-B431E404462C}" id="{A63FA476-08C0-493B-9E2C-B0CA5CAFA0B8}">
    <text>Improvement work 20 Pcs.</text>
  </threadedComment>
  <threadedComment ref="J240" dT="2026-01-06T09:32:01.90" personId="{90DBCD86-5939-4285-9C34-B431E404462C}" id="{6F617354-9539-44D3-9006-2FF78B935FBF}">
    <text>(เกิน 1 ชิ้น)</text>
  </threadedComment>
  <threadedComment ref="J356" dT="2025-11-21T03:07:14.86" personId="{90DBCD86-5939-4285-9C34-B431E404462C}" id="{18E25774-3EFA-4525-A407-45AD92E84BAA}">
    <text>เกิน On hand = 1 Pcs.</text>
  </threadedComment>
  <threadedComment ref="H369" dT="2026-02-21T04:11:51.34" personId="{90DBCD86-5939-4285-9C34-B431E404462C}" id="{C9C9DE69-7D6B-4219-84B0-05E300BBD826}">
    <text>แกน 6</text>
  </threadedComment>
  <threadedComment ref="H412" dT="2026-01-06T08:31:50.90" personId="{90DBCD86-5939-4285-9C34-B431E404462C}" id="{4F23BE32-78E4-4366-A96B-0A70C8F7B789}">
    <text>เกินสองอัน</text>
  </threadedComment>
  <threadedComment ref="AK419" dT="2025-09-23T02:07:02.64" personId="{90DBCD86-5939-4285-9C34-B431E404462C}" id="{FFB8C82F-0B61-433D-BA30-CA552EAA5B48}">
    <text xml:space="preserve">เพิ่มในตู้ MDB </text>
  </threadedComment>
  <threadedComment ref="J430" dT="2026-08-10T04:20:23.45" personId="{90DBCD86-5939-4285-9C34-B431E404462C}" id="{E5A1EA0E-8239-4D35-910E-0748B2C74BA8}">
    <text>เกิน 2 PCs..</text>
  </threadedComment>
  <threadedComment ref="J444" dT="2026-01-06T08:58:18.37" personId="{90DBCD86-5939-4285-9C34-B431E404462C}" id="{D9A98555-B6AA-417A-AF17-A31735685296}">
    <text>เกิน1</text>
  </threadedComment>
  <threadedComment ref="J447" dT="2026-01-06T09:26:56.03" personId="{90DBCD86-5939-4285-9C34-B431E404462C}" id="{D97C01CF-FD8E-49ED-8F30-E2BBFAEA2AF3}">
    <text>(เกิน 1 ชิ้น)</text>
  </threadedComment>
  <threadedComment ref="G610" dT="2026-01-15T08:23:38.25" personId="{90DBCD86-5939-4285-9C34-B431E404462C}" id="{CFF1D069-BA86-42C0-9397-3DE36DB87AE0}">
    <text>Part After PM Inspection.</text>
  </threadedComment>
  <threadedComment ref="H684" dT="2026-08-31T07:01:35.97" personId="{90DBCD86-5939-4285-9C34-B431E404462C}" id="{16643C83-8914-4919-8E63-48596CCE4977}">
    <text>Diaphragm AA ยืม 31 Aug 26.</text>
  </threadedComment>
  <threadedComment ref="J714" dT="2026-08-21T08:50:27.82" personId="{90DBCD86-5939-4285-9C34-B431E404462C}" id="{D14A6210-6BB4-485B-8CFB-E7A7AB222129}">
    <text>มี Sensor มาด้วย</text>
  </threadedComment>
  <threadedComment ref="J715" dT="2026-08-21T08:49:40.44" personId="{90DBCD86-5939-4285-9C34-B431E404462C}" id="{B7D5926C-2232-4C78-A268-63D45D33F57A}">
    <text>มี Sensor มาด้วย</text>
  </threadedComment>
  <threadedComment ref="J719" dT="2026-01-09T02:41:25.10" personId="{90DBCD86-5939-4285-9C34-B431E404462C}" id="{7FCF3D91-99C9-41C4-9336-52D855DF8DF5}">
    <text>เกิน On-hand 1 Pcs.</text>
  </threadedComment>
  <threadedComment ref="J743" dT="2026-08-21T06:32:08.58" personId="{90DBCD86-5939-4285-9C34-B431E404462C}" id="{20B99563-6F39-482F-ADB8-29BB8242C2E1}">
    <text>เกิน On-hand 1 Pcs.</text>
  </threadedComment>
  <threadedComment ref="AK745" dT="2025-09-20T02:12:37.55" personId="{90DBCD86-5939-4285-9C34-B431E404462C}" id="{BCE98CEE-0F60-46EA-BFE8-534082DE0DB6}">
    <text>Jig Robot 2 cell 1 sidesill</text>
  </threadedComment>
  <threadedComment ref="J747" dT="2026-08-21T06:33:58.34" personId="{90DBCD86-5939-4285-9C34-B431E404462C}" id="{02CE0826-C98A-4592-AC0B-1FFBECC089D3}">
    <text>เกิน On-hand 1 Pcs.</text>
  </threadedComment>
  <threadedComment ref="G827" dT="2026-06-27T10:37:09.50" personId="{90DBCD86-5939-4285-9C34-B431E404462C}" id="{4A0A4C2A-BF9A-455B-931B-E05A74D371B9}">
    <text>Linear magnetic LM-NP 540 เป็นแผ่นแม่เหล็กถาวรของแกนfeeder no1-3f</text>
  </threadedComment>
  <threadedComment ref="G828" dT="2026-06-27T10:37:55.79" personId="{90DBCD86-5939-4285-9C34-B431E404462C}" id="{7F5C0FD4-7970-4199-965A-35DA11E4EEE5}">
    <text>linear motor LM-NP4G 46P ตัวนี้น่าจะเป็น มอเตอร์แกน feed 1-3F</text>
  </threadedComment>
  <threadedComment ref="AK831" dT="2025-09-15T02:26:52.28" personId="{90DBCD86-5939-4285-9C34-B431E404462C}" id="{16C507C2-507E-4A6B-920C-81B04275BAB6}">
    <text>Komatsu feeder Unloader</text>
  </threadedComment>
  <threadedComment ref="AK845" dT="2025-09-15T05:10:54.42" personId="{90DBCD86-5939-4285-9C34-B431E404462C}" id="{F0D00E9D-6C65-4598-819E-F9C85F5EE08E}">
    <text>Stationary SW#24</text>
  </threadedComment>
  <threadedComment ref="G851" dT="2026-06-27T10:36:18.92" personId="{90DBCD86-5939-4285-9C34-B431E404462C}" id="{417DAE0C-AA9A-46E6-9595-F6F9D0EED485}">
    <text>700B control แกนTILT</text>
  </threadedComment>
  <threadedComment ref="S912" dT="2026-03-17T09:13:06.82" personId="{90DBCD86-5939-4285-9C34-B431E404462C}" id="{72FAF3A3-821E-47BF-BF62-533EAC22FD00}">
    <text>16 March 2026.</text>
  </threadedComment>
  <threadedComment ref="Y912" dT="2026-05-11T02:31:02.10" personId="{90DBCD86-5939-4285-9C34-B431E404462C}" id="{013A79E8-6C16-44D6-80DE-8A66F49A8143}">
    <text>11/5/26 โก๋ 40kg</text>
  </threadedComment>
  <threadedComment ref="AQ912" dT="2025-11-26T15:12:22.71" personId="{90DBCD86-5939-4285-9C34-B431E404462C}" id="{0EACC6A7-435F-4DAB-9B80-80662AC69A90}">
    <text>24/11/25</text>
  </threadedComment>
  <threadedComment ref="J933" dT="2026-08-21T01:44:35.29" personId="{90DBCD86-5939-4285-9C34-B431E404462C}" id="{8878D2D9-0A9F-46EF-9E94-89AC81A7A2F6}">
    <text>ถอดมาจาก Robot Nachi No.8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KG994"/>
  <sheetViews>
    <sheetView tabSelected="1" topLeftCell="C1" zoomScale="90" zoomScaleNormal="90" workbookViewId="0">
      <pane xSplit="9" ySplit="3" topLeftCell="AG4" activePane="bottomRight" state="frozen"/>
      <selection activeCell="C1" sqref="C1"/>
      <selection pane="topRight" activeCell="V1" sqref="V1"/>
      <selection pane="bottomLeft" activeCell="C4" sqref="C4"/>
      <selection pane="bottomRight" activeCell="F4" sqref="F4"/>
    </sheetView>
  </sheetViews>
  <sheetFormatPr defaultColWidth="9" defaultRowHeight="14.5"/>
  <cols>
    <col min="1" max="1" width="7.81640625" style="74" hidden="1" customWidth="1"/>
    <col min="2" max="2" width="2.81640625" style="74" hidden="1" customWidth="1"/>
    <col min="3" max="3" width="6.54296875" style="230" customWidth="1"/>
    <col min="4" max="4" width="7.90625" style="74" customWidth="1"/>
    <col min="5" max="5" width="6.54296875" style="74" customWidth="1"/>
    <col min="6" max="6" width="12.453125" style="74" customWidth="1"/>
    <col min="7" max="7" width="56.90625" style="231" customWidth="1"/>
    <col min="8" max="8" width="7.6328125" style="231" customWidth="1"/>
    <col min="9" max="9" width="5.26953125" style="74" customWidth="1"/>
    <col min="10" max="10" width="7.36328125" style="74" customWidth="1"/>
    <col min="11" max="11" width="10.26953125" style="74" hidden="1" customWidth="1"/>
    <col min="12" max="12" width="7.54296875" style="74" hidden="1" customWidth="1"/>
    <col min="13" max="13" width="7.54296875" style="231" hidden="1" customWidth="1"/>
    <col min="14" max="14" width="7.26953125" style="232" hidden="1" customWidth="1"/>
    <col min="15" max="15" width="7.7265625" style="30" hidden="1" customWidth="1"/>
    <col min="16" max="17" width="6.453125" style="231" hidden="1" customWidth="1"/>
    <col min="18" max="18" width="7.1796875" style="74" hidden="1" customWidth="1"/>
    <col min="19" max="19" width="6.453125" style="30" hidden="1" customWidth="1"/>
    <col min="20" max="23" width="6.453125" style="74" hidden="1" customWidth="1"/>
    <col min="24" max="24" width="8.26953125" style="74" hidden="1" customWidth="1"/>
    <col min="25" max="32" width="6.453125" style="74" hidden="1" customWidth="1"/>
    <col min="33" max="34" width="8.1796875" style="74" customWidth="1"/>
    <col min="35" max="35" width="6.453125" style="74" customWidth="1"/>
    <col min="36" max="38" width="6.453125" style="74" hidden="1" customWidth="1"/>
    <col min="39" max="39" width="8.26953125" style="74" hidden="1" customWidth="1"/>
    <col min="40" max="40" width="7.81640625" style="74" hidden="1" customWidth="1"/>
    <col min="41" max="41" width="6.453125" style="74" hidden="1" customWidth="1"/>
    <col min="42" max="42" width="7.54296875" style="74" hidden="1" customWidth="1"/>
    <col min="43" max="47" width="6.453125" style="74" hidden="1" customWidth="1"/>
    <col min="48" max="48" width="5.7265625" style="74" customWidth="1"/>
    <col min="49" max="49" width="6.7265625" style="74" customWidth="1"/>
    <col min="50" max="54" width="9.453125" style="74" customWidth="1"/>
    <col min="55" max="57" width="8.81640625" style="30" customWidth="1"/>
    <col min="58" max="58" width="9.453125" style="233" customWidth="1"/>
    <col min="59" max="59" width="9.453125" style="234" customWidth="1"/>
    <col min="60" max="60" width="9.81640625" style="235" customWidth="1"/>
    <col min="61" max="61" width="9.453125" style="74" customWidth="1"/>
    <col min="62" max="62" width="10.1796875" style="30" bestFit="1" customWidth="1"/>
    <col min="63" max="16384" width="9" style="30"/>
  </cols>
  <sheetData>
    <row r="1" spans="1:293" s="1" customFormat="1" ht="13.5" customHeight="1" thickBot="1">
      <c r="A1" s="1" t="s">
        <v>319</v>
      </c>
      <c r="B1" s="1" t="s">
        <v>320</v>
      </c>
      <c r="C1" s="2" t="s">
        <v>728</v>
      </c>
      <c r="D1" s="3" t="s">
        <v>720</v>
      </c>
      <c r="E1" s="3" t="s">
        <v>321</v>
      </c>
      <c r="F1" s="3" t="s">
        <v>322</v>
      </c>
      <c r="G1" s="3" t="s">
        <v>323</v>
      </c>
      <c r="H1" s="4" t="s">
        <v>324</v>
      </c>
      <c r="I1" s="3" t="s">
        <v>325</v>
      </c>
      <c r="J1" s="3" t="s">
        <v>326</v>
      </c>
      <c r="K1" s="1" t="s">
        <v>327</v>
      </c>
      <c r="L1" s="5" t="s">
        <v>328</v>
      </c>
      <c r="M1" s="5" t="s">
        <v>329</v>
      </c>
      <c r="N1" s="5" t="s">
        <v>330</v>
      </c>
      <c r="O1" s="5" t="s">
        <v>331</v>
      </c>
      <c r="P1" s="5" t="s">
        <v>332</v>
      </c>
      <c r="Q1" s="5" t="s">
        <v>333</v>
      </c>
      <c r="R1" s="5" t="s">
        <v>334</v>
      </c>
      <c r="S1" s="5" t="s">
        <v>335</v>
      </c>
      <c r="T1" s="5" t="s">
        <v>336</v>
      </c>
      <c r="U1" s="5" t="s">
        <v>337</v>
      </c>
      <c r="V1" s="5" t="s">
        <v>338</v>
      </c>
      <c r="W1" s="5" t="s">
        <v>339</v>
      </c>
      <c r="X1" s="5" t="s">
        <v>340</v>
      </c>
      <c r="Y1" s="5" t="s">
        <v>341</v>
      </c>
      <c r="Z1" s="5" t="s">
        <v>342</v>
      </c>
      <c r="AA1" s="5" t="s">
        <v>343</v>
      </c>
      <c r="AB1" s="5" t="s">
        <v>344</v>
      </c>
      <c r="AC1" s="5" t="s">
        <v>345</v>
      </c>
      <c r="AD1" s="5" t="s">
        <v>346</v>
      </c>
      <c r="AE1" s="5" t="s">
        <v>347</v>
      </c>
      <c r="AF1" s="5" t="s">
        <v>348</v>
      </c>
      <c r="AG1" s="5" t="s">
        <v>349</v>
      </c>
      <c r="AH1" s="5" t="s">
        <v>350</v>
      </c>
      <c r="AI1" s="5" t="s">
        <v>351</v>
      </c>
      <c r="AJ1" s="5" t="s">
        <v>352</v>
      </c>
      <c r="AK1" s="5" t="s">
        <v>353</v>
      </c>
      <c r="AL1" s="5" t="s">
        <v>354</v>
      </c>
      <c r="AM1" s="5" t="s">
        <v>355</v>
      </c>
      <c r="AN1" s="5" t="s">
        <v>356</v>
      </c>
      <c r="AO1" s="5" t="s">
        <v>357</v>
      </c>
      <c r="AP1" s="5" t="s">
        <v>358</v>
      </c>
      <c r="AQ1" s="5" t="s">
        <v>359</v>
      </c>
      <c r="AR1" s="5" t="s">
        <v>360</v>
      </c>
      <c r="AS1" s="5" t="s">
        <v>361</v>
      </c>
      <c r="AT1" s="5" t="s">
        <v>362</v>
      </c>
      <c r="AU1" s="6" t="s">
        <v>363</v>
      </c>
      <c r="AV1" s="7" t="s">
        <v>975</v>
      </c>
      <c r="AW1" s="7" t="s">
        <v>981</v>
      </c>
      <c r="AX1" s="7" t="s">
        <v>982</v>
      </c>
      <c r="AY1" s="7" t="s">
        <v>983</v>
      </c>
      <c r="AZ1" s="7" t="s">
        <v>984</v>
      </c>
      <c r="BA1" s="7" t="s">
        <v>985</v>
      </c>
      <c r="BB1" s="7" t="s">
        <v>986</v>
      </c>
      <c r="BC1" s="8" t="s">
        <v>987</v>
      </c>
      <c r="BD1" s="8" t="s">
        <v>988</v>
      </c>
      <c r="BE1" s="8" t="s">
        <v>1000</v>
      </c>
      <c r="BF1" s="9" t="s">
        <v>1309</v>
      </c>
      <c r="BG1" s="10" t="s">
        <v>1365</v>
      </c>
      <c r="BH1" s="10" t="s">
        <v>1366</v>
      </c>
      <c r="BI1" s="8" t="s">
        <v>2017</v>
      </c>
      <c r="BJ1" s="8" t="s">
        <v>2058</v>
      </c>
    </row>
    <row r="2" spans="1:293" ht="13.5" thickBot="1">
      <c r="A2" s="11"/>
      <c r="B2" s="12"/>
      <c r="C2" s="13"/>
      <c r="D2" s="14"/>
      <c r="E2" s="14"/>
      <c r="F2" s="14"/>
      <c r="G2" s="15"/>
      <c r="H2" s="16"/>
      <c r="I2" s="14"/>
      <c r="J2" s="14"/>
      <c r="K2" s="14"/>
      <c r="L2" s="244">
        <v>46023</v>
      </c>
      <c r="M2" s="14"/>
      <c r="N2" s="14"/>
      <c r="O2" s="244">
        <v>46054</v>
      </c>
      <c r="P2" s="14"/>
      <c r="Q2" s="14"/>
      <c r="R2" s="244">
        <v>46082</v>
      </c>
      <c r="S2" s="14"/>
      <c r="T2" s="14"/>
      <c r="U2" s="244">
        <v>46113</v>
      </c>
      <c r="V2" s="14"/>
      <c r="W2" s="14"/>
      <c r="X2" s="244">
        <v>46143</v>
      </c>
      <c r="Y2" s="14"/>
      <c r="Z2" s="14"/>
      <c r="AA2" s="244">
        <v>46174</v>
      </c>
      <c r="AB2" s="14"/>
      <c r="AC2" s="14"/>
      <c r="AD2" s="244">
        <v>46204</v>
      </c>
      <c r="AE2" s="14"/>
      <c r="AF2" s="14"/>
      <c r="AG2" s="17">
        <v>46235</v>
      </c>
      <c r="AH2" s="18"/>
      <c r="AI2" s="19"/>
      <c r="AJ2" s="20">
        <v>46266</v>
      </c>
      <c r="AK2" s="18"/>
      <c r="AL2" s="18"/>
      <c r="AM2" s="21">
        <v>46296</v>
      </c>
      <c r="AN2" s="22"/>
      <c r="AO2" s="23"/>
      <c r="AP2" s="20">
        <v>46327</v>
      </c>
      <c r="AQ2" s="18"/>
      <c r="AR2" s="18"/>
      <c r="AS2" s="20">
        <v>46357</v>
      </c>
      <c r="AT2" s="18"/>
      <c r="AU2" s="24"/>
      <c r="AV2" s="25"/>
      <c r="AW2" s="25"/>
      <c r="AX2" s="26"/>
      <c r="AY2" s="26"/>
      <c r="AZ2" s="26"/>
      <c r="BA2" s="26"/>
      <c r="BB2" s="26"/>
      <c r="BC2" s="27"/>
      <c r="BD2" s="27"/>
      <c r="BE2" s="27"/>
      <c r="BF2" s="28"/>
      <c r="BG2" s="29"/>
      <c r="BH2" s="29"/>
      <c r="BI2" s="27"/>
      <c r="BJ2" s="236"/>
    </row>
    <row r="3" spans="1:293" s="48" customFormat="1" ht="35.5" customHeight="1" thickBot="1">
      <c r="A3" s="31" t="s">
        <v>288</v>
      </c>
      <c r="B3" s="32" t="s">
        <v>286</v>
      </c>
      <c r="C3" s="33" t="s">
        <v>286</v>
      </c>
      <c r="D3" s="33" t="s">
        <v>1173</v>
      </c>
      <c r="E3" s="33" t="s">
        <v>288</v>
      </c>
      <c r="F3" s="33" t="s">
        <v>2060</v>
      </c>
      <c r="G3" s="33" t="s">
        <v>287</v>
      </c>
      <c r="H3" s="33" t="s">
        <v>2015</v>
      </c>
      <c r="I3" s="33" t="s">
        <v>285</v>
      </c>
      <c r="J3" s="241" t="s">
        <v>2059</v>
      </c>
      <c r="K3" s="33" t="s">
        <v>284</v>
      </c>
      <c r="L3" s="34" t="s">
        <v>281</v>
      </c>
      <c r="M3" s="35" t="s">
        <v>282</v>
      </c>
      <c r="N3" s="36" t="s">
        <v>283</v>
      </c>
      <c r="O3" s="34" t="s">
        <v>281</v>
      </c>
      <c r="P3" s="35" t="s">
        <v>282</v>
      </c>
      <c r="Q3" s="36" t="s">
        <v>283</v>
      </c>
      <c r="R3" s="34" t="s">
        <v>281</v>
      </c>
      <c r="S3" s="37" t="s">
        <v>282</v>
      </c>
      <c r="T3" s="38" t="s">
        <v>283</v>
      </c>
      <c r="U3" s="34" t="s">
        <v>281</v>
      </c>
      <c r="V3" s="37" t="s">
        <v>282</v>
      </c>
      <c r="W3" s="38" t="s">
        <v>283</v>
      </c>
      <c r="X3" s="34" t="s">
        <v>281</v>
      </c>
      <c r="Y3" s="37" t="s">
        <v>282</v>
      </c>
      <c r="Z3" s="38" t="s">
        <v>283</v>
      </c>
      <c r="AA3" s="34" t="s">
        <v>281</v>
      </c>
      <c r="AB3" s="37" t="s">
        <v>282</v>
      </c>
      <c r="AC3" s="38" t="s">
        <v>283</v>
      </c>
      <c r="AD3" s="34" t="s">
        <v>281</v>
      </c>
      <c r="AE3" s="37" t="s">
        <v>282</v>
      </c>
      <c r="AF3" s="39" t="s">
        <v>283</v>
      </c>
      <c r="AG3" s="34" t="s">
        <v>281</v>
      </c>
      <c r="AH3" s="37" t="s">
        <v>282</v>
      </c>
      <c r="AI3" s="39" t="s">
        <v>283</v>
      </c>
      <c r="AJ3" s="34" t="s">
        <v>281</v>
      </c>
      <c r="AK3" s="37" t="s">
        <v>282</v>
      </c>
      <c r="AL3" s="39" t="s">
        <v>283</v>
      </c>
      <c r="AM3" s="34" t="s">
        <v>281</v>
      </c>
      <c r="AN3" s="35" t="s">
        <v>282</v>
      </c>
      <c r="AO3" s="40" t="s">
        <v>283</v>
      </c>
      <c r="AP3" s="34" t="s">
        <v>281</v>
      </c>
      <c r="AQ3" s="35" t="s">
        <v>282</v>
      </c>
      <c r="AR3" s="39" t="s">
        <v>283</v>
      </c>
      <c r="AS3" s="41" t="s">
        <v>281</v>
      </c>
      <c r="AT3" s="42" t="s">
        <v>282</v>
      </c>
      <c r="AU3" s="38" t="s">
        <v>283</v>
      </c>
      <c r="AV3" s="43" t="s">
        <v>2023</v>
      </c>
      <c r="AW3" s="43" t="s">
        <v>2024</v>
      </c>
      <c r="AX3" s="44" t="s">
        <v>976</v>
      </c>
      <c r="AY3" s="44" t="s">
        <v>980</v>
      </c>
      <c r="AZ3" s="44" t="s">
        <v>977</v>
      </c>
      <c r="BA3" s="44" t="s">
        <v>978</v>
      </c>
      <c r="BB3" s="44" t="s">
        <v>979</v>
      </c>
      <c r="BC3" s="43" t="str">
        <f t="shared" ref="BC3" si="0">J3</f>
        <v>Current Stock</v>
      </c>
      <c r="BD3" s="45" t="s">
        <v>2019</v>
      </c>
      <c r="BE3" s="43" t="s">
        <v>2016</v>
      </c>
      <c r="BF3" s="46" t="s">
        <v>2021</v>
      </c>
      <c r="BG3" s="46" t="s">
        <v>2020</v>
      </c>
      <c r="BH3" s="47" t="s">
        <v>2022</v>
      </c>
      <c r="BI3" s="47" t="s">
        <v>2018</v>
      </c>
      <c r="BJ3" s="242" t="s">
        <v>2061</v>
      </c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</row>
    <row r="4" spans="1:293" ht="13">
      <c r="A4" s="49"/>
      <c r="B4" s="50"/>
      <c r="C4" s="51">
        <v>1</v>
      </c>
      <c r="D4" s="52" t="s">
        <v>722</v>
      </c>
      <c r="E4" s="52">
        <v>1</v>
      </c>
      <c r="F4" s="54" t="s">
        <v>255</v>
      </c>
      <c r="G4" s="55" t="s">
        <v>860</v>
      </c>
      <c r="H4" s="55" t="s">
        <v>300</v>
      </c>
      <c r="I4" s="54" t="s">
        <v>458</v>
      </c>
      <c r="J4" s="56">
        <f>AU4</f>
        <v>1</v>
      </c>
      <c r="K4" s="54">
        <v>1</v>
      </c>
      <c r="L4" s="57"/>
      <c r="M4" s="58"/>
      <c r="N4" s="59">
        <f t="shared" ref="N4:N29" si="1">SUM(K4+L4-M4)</f>
        <v>1</v>
      </c>
      <c r="O4" s="60"/>
      <c r="P4" s="58"/>
      <c r="Q4" s="59">
        <f>SUM(N4+O4-P4)</f>
        <v>1</v>
      </c>
      <c r="R4" s="60"/>
      <c r="S4" s="58"/>
      <c r="T4" s="61">
        <f>SUM(Q4+R4-S4)</f>
        <v>1</v>
      </c>
      <c r="U4" s="60"/>
      <c r="V4" s="58"/>
      <c r="W4" s="59">
        <f>SUM(T4+U4-V4)</f>
        <v>1</v>
      </c>
      <c r="X4" s="60"/>
      <c r="Y4" s="58"/>
      <c r="Z4" s="61">
        <f>SUM(W4+X4-Y4)</f>
        <v>1</v>
      </c>
      <c r="AA4" s="60"/>
      <c r="AB4" s="58"/>
      <c r="AC4" s="59">
        <f>SUM(Z4+AA4-AB4)</f>
        <v>1</v>
      </c>
      <c r="AD4" s="57"/>
      <c r="AE4" s="58"/>
      <c r="AF4" s="243">
        <f>SUM(AC4+AD4-AE4)</f>
        <v>1</v>
      </c>
      <c r="AG4" s="60"/>
      <c r="AH4" s="58"/>
      <c r="AI4" s="62">
        <f>SUM(AF4+AG4-AH4)</f>
        <v>1</v>
      </c>
      <c r="AJ4" s="60"/>
      <c r="AK4" s="58"/>
      <c r="AL4" s="62">
        <f>SUM(AI4+AJ4-AK4)</f>
        <v>1</v>
      </c>
      <c r="AM4" s="60"/>
      <c r="AN4" s="58"/>
      <c r="AO4" s="62">
        <f>SUM(AL4+AM4-AN4)</f>
        <v>1</v>
      </c>
      <c r="AP4" s="60"/>
      <c r="AQ4" s="58"/>
      <c r="AR4" s="62">
        <f>SUM(AO4+AP4-AQ4)</f>
        <v>1</v>
      </c>
      <c r="AS4" s="60"/>
      <c r="AT4" s="58"/>
      <c r="AU4" s="62">
        <f>SUM(AR4+AS4-AT4)</f>
        <v>1</v>
      </c>
      <c r="AV4" s="63">
        <f t="shared" ref="AV4:AW6" si="2">SUM(L4+O4+R4+U4+X4+AA4+AD4+AG4+AJ4+AM4+AP4+AS4)</f>
        <v>0</v>
      </c>
      <c r="AW4" s="63">
        <f t="shared" si="2"/>
        <v>0</v>
      </c>
      <c r="AX4" s="64">
        <f>SUM(M4,P4,S4,V4,Y4,AB4,AE4,AH4,AK4,AN4,AQ4,AT4)</f>
        <v>0</v>
      </c>
      <c r="AY4" s="65" t="e">
        <f>AVERAGE(M4,P4,S4,V4,Y4,AB4,AE4,AH4,AK4,AN4,AQ4,AT4)</f>
        <v>#DIV/0!</v>
      </c>
      <c r="AZ4" s="66">
        <f>COUNT(M4,P4,S4,V4,Y4,AB4,AE4,AH4,AK4,AN4,AQ4,AT4)</f>
        <v>0</v>
      </c>
      <c r="BA4" s="67">
        <v>1</v>
      </c>
      <c r="BB4" s="68">
        <v>0</v>
      </c>
      <c r="BC4" s="69">
        <f>J4</f>
        <v>1</v>
      </c>
      <c r="BD4" s="63">
        <f>SUM(BC4-BB4)</f>
        <v>1</v>
      </c>
      <c r="BE4" s="70">
        <v>2</v>
      </c>
      <c r="BF4" s="71">
        <v>45383.584583333337</v>
      </c>
      <c r="BG4" s="72">
        <v>46265</v>
      </c>
      <c r="BH4" s="73">
        <f>BG4-BF4</f>
        <v>881.41541666666308</v>
      </c>
      <c r="BI4" s="54" t="str">
        <f>IF(AND(J4&gt;0,BH4&gt;365),"Dead Stock","")</f>
        <v>Dead Stock</v>
      </c>
      <c r="BJ4" s="237">
        <v>13500</v>
      </c>
    </row>
    <row r="5" spans="1:293" ht="13">
      <c r="A5" s="75"/>
      <c r="B5" s="76"/>
      <c r="C5" s="77">
        <v>2</v>
      </c>
      <c r="D5" s="78" t="s">
        <v>722</v>
      </c>
      <c r="E5" s="78">
        <v>2</v>
      </c>
      <c r="F5" s="80" t="s">
        <v>201</v>
      </c>
      <c r="G5" s="81" t="s">
        <v>202</v>
      </c>
      <c r="H5" s="81" t="s">
        <v>300</v>
      </c>
      <c r="I5" s="80" t="s">
        <v>458</v>
      </c>
      <c r="J5" s="82">
        <f>AU5</f>
        <v>2</v>
      </c>
      <c r="K5" s="80">
        <v>2</v>
      </c>
      <c r="L5" s="57"/>
      <c r="M5" s="58"/>
      <c r="N5" s="59">
        <f t="shared" si="1"/>
        <v>2</v>
      </c>
      <c r="O5" s="60"/>
      <c r="P5" s="58"/>
      <c r="Q5" s="59">
        <f>SUM(N5+O5-P5)</f>
        <v>2</v>
      </c>
      <c r="R5" s="60"/>
      <c r="S5" s="58"/>
      <c r="T5" s="61">
        <f>SUM(Q5+R5-S5)</f>
        <v>2</v>
      </c>
      <c r="U5" s="60"/>
      <c r="V5" s="58"/>
      <c r="W5" s="59">
        <f>SUM(T5+U5-V5)</f>
        <v>2</v>
      </c>
      <c r="X5" s="60"/>
      <c r="Y5" s="58"/>
      <c r="Z5" s="61">
        <f>SUM(W5+X5-Y5)</f>
        <v>2</v>
      </c>
      <c r="AA5" s="60"/>
      <c r="AB5" s="58"/>
      <c r="AC5" s="59">
        <f>SUM(Z5+AA5-AB5)</f>
        <v>2</v>
      </c>
      <c r="AD5" s="57"/>
      <c r="AE5" s="58"/>
      <c r="AF5" s="243">
        <f>SUM(AC5+AD5-AE5)</f>
        <v>2</v>
      </c>
      <c r="AG5" s="60"/>
      <c r="AH5" s="58"/>
      <c r="AI5" s="62">
        <f>SUM(AF5+AG5-AH5)</f>
        <v>2</v>
      </c>
      <c r="AJ5" s="60"/>
      <c r="AK5" s="58"/>
      <c r="AL5" s="62">
        <f>SUM(AI5+AJ5-AK5)</f>
        <v>2</v>
      </c>
      <c r="AM5" s="60"/>
      <c r="AN5" s="58"/>
      <c r="AO5" s="62">
        <f>SUM(AL5+AM5-AN5)</f>
        <v>2</v>
      </c>
      <c r="AP5" s="60"/>
      <c r="AQ5" s="58"/>
      <c r="AR5" s="62">
        <f>SUM(AO5+AP5-AQ5)</f>
        <v>2</v>
      </c>
      <c r="AS5" s="60"/>
      <c r="AT5" s="58"/>
      <c r="AU5" s="62">
        <f>SUM(AR5+AS5-AT5)</f>
        <v>2</v>
      </c>
      <c r="AV5" s="83">
        <f t="shared" si="2"/>
        <v>0</v>
      </c>
      <c r="AW5" s="83">
        <f t="shared" si="2"/>
        <v>0</v>
      </c>
      <c r="AX5" s="64">
        <f>SUM(M5,P5,S5,V5,Y5,AB5,AE5,AH5,AK5,AN5,AQ5,AT5)</f>
        <v>0</v>
      </c>
      <c r="AY5" s="65" t="e">
        <f>AVERAGE(M5,P5,S5,V5,Y5,AB5,AE5,AH5,AK5,AN5,AQ5,AT5)</f>
        <v>#DIV/0!</v>
      </c>
      <c r="AZ5" s="66">
        <f>COUNT(M5,P5,S5,V5,Y5,AB5,AE5,AH5,AK5,AN5,AQ5,AT5)</f>
        <v>0</v>
      </c>
      <c r="BA5" s="67">
        <f>MAX(0, Table176252626[[#This Row],[Column6]])</f>
        <v>2</v>
      </c>
      <c r="BB5" s="68">
        <v>1</v>
      </c>
      <c r="BC5" s="84">
        <f>J5</f>
        <v>2</v>
      </c>
      <c r="BD5" s="83">
        <f t="shared" ref="BD5:BD68" si="3">SUM(BC5-BB5)</f>
        <v>1</v>
      </c>
      <c r="BE5" s="85">
        <v>2</v>
      </c>
      <c r="BF5" s="86">
        <v>41290.687731481485</v>
      </c>
      <c r="BG5" s="72">
        <f>BG4</f>
        <v>46265</v>
      </c>
      <c r="BH5" s="87">
        <f>BG5-BF5</f>
        <v>4974.3122685185153</v>
      </c>
      <c r="BI5" s="80" t="str">
        <f t="shared" ref="BI5:BI68" si="4">IF(AND(J5&gt;0,BH5&gt;365),"Dead Stock","")</f>
        <v>Dead Stock</v>
      </c>
      <c r="BJ5" s="238">
        <v>13500</v>
      </c>
    </row>
    <row r="6" spans="1:293" ht="13">
      <c r="A6" s="49"/>
      <c r="B6" s="76"/>
      <c r="C6" s="77">
        <v>3</v>
      </c>
      <c r="D6" s="52" t="s">
        <v>722</v>
      </c>
      <c r="E6" s="78">
        <v>3</v>
      </c>
      <c r="F6" s="80" t="s">
        <v>256</v>
      </c>
      <c r="G6" s="81" t="s">
        <v>257</v>
      </c>
      <c r="H6" s="81" t="s">
        <v>299</v>
      </c>
      <c r="I6" s="80" t="s">
        <v>458</v>
      </c>
      <c r="J6" s="82">
        <f>AU6</f>
        <v>1</v>
      </c>
      <c r="K6" s="80">
        <v>1</v>
      </c>
      <c r="L6" s="57"/>
      <c r="M6" s="58"/>
      <c r="N6" s="59">
        <f t="shared" si="1"/>
        <v>1</v>
      </c>
      <c r="O6" s="60"/>
      <c r="P6" s="58"/>
      <c r="Q6" s="59">
        <f>SUM(N6+O6-P6)</f>
        <v>1</v>
      </c>
      <c r="R6" s="60"/>
      <c r="S6" s="58"/>
      <c r="T6" s="61">
        <f>SUM(Q6+R6-S6)</f>
        <v>1</v>
      </c>
      <c r="U6" s="60"/>
      <c r="V6" s="58"/>
      <c r="W6" s="59">
        <f>SUM(T6+U6-V6)</f>
        <v>1</v>
      </c>
      <c r="X6" s="60"/>
      <c r="Y6" s="58"/>
      <c r="Z6" s="61">
        <f>SUM(W6+X6-Y6)</f>
        <v>1</v>
      </c>
      <c r="AA6" s="60"/>
      <c r="AB6" s="58"/>
      <c r="AC6" s="59">
        <f>SUM(Z6+AA6-AB6)</f>
        <v>1</v>
      </c>
      <c r="AD6" s="57"/>
      <c r="AE6" s="58"/>
      <c r="AF6" s="243">
        <f>SUM(AC6+AD6-AE6)</f>
        <v>1</v>
      </c>
      <c r="AG6" s="60"/>
      <c r="AH6" s="58"/>
      <c r="AI6" s="62">
        <f>SUM(AF6+AG6-AH6)</f>
        <v>1</v>
      </c>
      <c r="AJ6" s="60"/>
      <c r="AK6" s="58"/>
      <c r="AL6" s="62">
        <f>SUM(AI6+AJ6-AK6)</f>
        <v>1</v>
      </c>
      <c r="AM6" s="60"/>
      <c r="AN6" s="58"/>
      <c r="AO6" s="62">
        <f>SUM(AL6+AM6-AN6)</f>
        <v>1</v>
      </c>
      <c r="AP6" s="60"/>
      <c r="AQ6" s="58"/>
      <c r="AR6" s="62">
        <f>SUM(AO6+AP6-AQ6)</f>
        <v>1</v>
      </c>
      <c r="AS6" s="60"/>
      <c r="AT6" s="58"/>
      <c r="AU6" s="62">
        <f>SUM(AR6+AS6-AT6)</f>
        <v>1</v>
      </c>
      <c r="AV6" s="83">
        <f t="shared" si="2"/>
        <v>0</v>
      </c>
      <c r="AW6" s="83">
        <f t="shared" si="2"/>
        <v>0</v>
      </c>
      <c r="AX6" s="64">
        <f>SUM(M6,P6,S6,V6,Y6,AB6,AE6,AH6,AK6,AN6,AQ6,AT6)</f>
        <v>0</v>
      </c>
      <c r="AY6" s="65" t="e">
        <f>AVERAGE(M6,P6,S6,V6,Y6,AB6,AE6,AH6,AK6,AN6,AQ6,AT6)</f>
        <v>#DIV/0!</v>
      </c>
      <c r="AZ6" s="66">
        <f>COUNT(M6,P6,S6,V6,Y6,AB6,AE6,AH6,AK6,AN6,AQ6,AT6)</f>
        <v>0</v>
      </c>
      <c r="BA6" s="67">
        <f>MAX(0, Table176252626[[#This Row],[Column6]])</f>
        <v>1</v>
      </c>
      <c r="BB6" s="68">
        <v>0</v>
      </c>
      <c r="BC6" s="84">
        <f t="shared" ref="BC6:BC72" si="5">J6</f>
        <v>1</v>
      </c>
      <c r="BD6" s="83">
        <f t="shared" si="3"/>
        <v>1</v>
      </c>
      <c r="BE6" s="85">
        <v>2</v>
      </c>
      <c r="BF6" s="86">
        <v>41290.643912037034</v>
      </c>
      <c r="BG6" s="72">
        <f t="shared" ref="BG6:BG73" si="6">BG5</f>
        <v>46265</v>
      </c>
      <c r="BH6" s="87">
        <f>BG6-BF6</f>
        <v>4974.3560879629658</v>
      </c>
      <c r="BI6" s="80" t="str">
        <f t="shared" si="4"/>
        <v>Dead Stock</v>
      </c>
      <c r="BJ6" s="238">
        <v>9500</v>
      </c>
    </row>
    <row r="7" spans="1:293" ht="13">
      <c r="A7" s="49"/>
      <c r="B7" s="76"/>
      <c r="C7" s="51">
        <v>4</v>
      </c>
      <c r="D7" s="78" t="s">
        <v>722</v>
      </c>
      <c r="E7" s="78">
        <v>4</v>
      </c>
      <c r="F7" s="80" t="s">
        <v>234</v>
      </c>
      <c r="G7" s="81" t="s">
        <v>1933</v>
      </c>
      <c r="H7" s="81" t="s">
        <v>300</v>
      </c>
      <c r="I7" s="80" t="s">
        <v>458</v>
      </c>
      <c r="J7" s="82">
        <f t="shared" ref="J7:J12" si="7">AU7</f>
        <v>2</v>
      </c>
      <c r="K7" s="80">
        <v>2</v>
      </c>
      <c r="L7" s="57"/>
      <c r="M7" s="58"/>
      <c r="N7" s="59">
        <f t="shared" si="1"/>
        <v>2</v>
      </c>
      <c r="O7" s="60"/>
      <c r="P7" s="58"/>
      <c r="Q7" s="59">
        <f t="shared" ref="Q7:Q34" si="8">SUM(N7+O7-P7)</f>
        <v>2</v>
      </c>
      <c r="R7" s="60"/>
      <c r="S7" s="58"/>
      <c r="T7" s="61">
        <f t="shared" ref="T7:T34" si="9">SUM(Q7+R7-S7)</f>
        <v>2</v>
      </c>
      <c r="U7" s="60"/>
      <c r="V7" s="58"/>
      <c r="W7" s="59">
        <f t="shared" ref="W7:W34" si="10">SUM(T7+U7-V7)</f>
        <v>2</v>
      </c>
      <c r="X7" s="60"/>
      <c r="Y7" s="58"/>
      <c r="Z7" s="61">
        <f t="shared" ref="Z7:Z34" si="11">SUM(W7+X7-Y7)</f>
        <v>2</v>
      </c>
      <c r="AA7" s="60"/>
      <c r="AB7" s="58"/>
      <c r="AC7" s="59">
        <f t="shared" ref="AC7:AC34" si="12">SUM(Z7+AA7-AB7)</f>
        <v>2</v>
      </c>
      <c r="AD7" s="57"/>
      <c r="AE7" s="58"/>
      <c r="AF7" s="243">
        <f t="shared" ref="AF7:AF34" si="13">SUM(AC7+AD7-AE7)</f>
        <v>2</v>
      </c>
      <c r="AG7" s="60"/>
      <c r="AH7" s="58"/>
      <c r="AI7" s="62">
        <f t="shared" ref="AI7:AI34" si="14">SUM(AF7+AG7-AH7)</f>
        <v>2</v>
      </c>
      <c r="AJ7" s="60"/>
      <c r="AK7" s="58"/>
      <c r="AL7" s="62">
        <f t="shared" ref="AL7:AL34" si="15">SUM(AI7+AJ7-AK7)</f>
        <v>2</v>
      </c>
      <c r="AM7" s="60"/>
      <c r="AN7" s="58"/>
      <c r="AO7" s="62">
        <f t="shared" ref="AO7:AO34" si="16">SUM(AL7+AM7-AN7)</f>
        <v>2</v>
      </c>
      <c r="AP7" s="60"/>
      <c r="AQ7" s="58"/>
      <c r="AR7" s="62">
        <f t="shared" ref="AR7:AR34" si="17">SUM(AO7+AP7-AQ7)</f>
        <v>2</v>
      </c>
      <c r="AS7" s="60"/>
      <c r="AT7" s="58"/>
      <c r="AU7" s="62">
        <f t="shared" ref="AU7:AU34" si="18">SUM(AR7+AS7-AT7)</f>
        <v>2</v>
      </c>
      <c r="AV7" s="83">
        <f t="shared" ref="AV7:AV34" si="19">SUM(L7+O7+R7+U7+X7+AA7+AD7+AG7+AJ7+AM7+AP7+AS7)</f>
        <v>0</v>
      </c>
      <c r="AW7" s="83">
        <f t="shared" ref="AW7:AW34" si="20">SUM(M7+P7+S7+V7+Y7+AB7+AE7+AH7+AK7+AN7+AQ7+AT7)</f>
        <v>0</v>
      </c>
      <c r="AX7" s="64">
        <f t="shared" ref="AX7:AX34" si="21">SUM(M7,P7,S7,V7,Y7,AB7,AE7,AH7,AK7,AN7,AQ7,AT7)</f>
        <v>0</v>
      </c>
      <c r="AY7" s="65" t="e">
        <f t="shared" ref="AY7:AY34" si="22">AVERAGE(M7,P7,S7,V7,Y7,AB7,AE7,AH7,AK7,AN7,AQ7,AT7)</f>
        <v>#DIV/0!</v>
      </c>
      <c r="AZ7" s="66">
        <f t="shared" ref="AZ7:AZ34" si="23">COUNT(M7,P7,S7,V7,Y7,AB7,AE7,AH7,AK7,AN7,AQ7,AT7)</f>
        <v>0</v>
      </c>
      <c r="BA7" s="67">
        <f>MAX(0, Table176252626[[#This Row],[Column6]])</f>
        <v>2</v>
      </c>
      <c r="BB7" s="68">
        <v>1</v>
      </c>
      <c r="BC7" s="84">
        <f t="shared" si="5"/>
        <v>2</v>
      </c>
      <c r="BD7" s="83">
        <f t="shared" si="3"/>
        <v>1</v>
      </c>
      <c r="BE7" s="85">
        <v>2</v>
      </c>
      <c r="BF7" s="86">
        <v>41290.689814814818</v>
      </c>
      <c r="BG7" s="72">
        <f t="shared" si="6"/>
        <v>46265</v>
      </c>
      <c r="BH7" s="87">
        <f t="shared" ref="BH7:BH34" si="24">BG7-BF7</f>
        <v>4974.3101851851825</v>
      </c>
      <c r="BI7" s="80" t="str">
        <f t="shared" si="4"/>
        <v>Dead Stock</v>
      </c>
      <c r="BJ7" s="238">
        <v>1350</v>
      </c>
    </row>
    <row r="8" spans="1:293" ht="13">
      <c r="A8" s="49"/>
      <c r="B8" s="50"/>
      <c r="C8" s="51">
        <v>5</v>
      </c>
      <c r="D8" s="52" t="s">
        <v>722</v>
      </c>
      <c r="E8" s="78">
        <v>5</v>
      </c>
      <c r="F8" s="80" t="s">
        <v>14</v>
      </c>
      <c r="G8" s="81" t="s">
        <v>15</v>
      </c>
      <c r="H8" s="81" t="s">
        <v>300</v>
      </c>
      <c r="I8" s="80" t="s">
        <v>458</v>
      </c>
      <c r="J8" s="82">
        <f t="shared" si="7"/>
        <v>1</v>
      </c>
      <c r="K8" s="80">
        <v>3</v>
      </c>
      <c r="L8" s="57"/>
      <c r="M8" s="58"/>
      <c r="N8" s="59">
        <f t="shared" si="1"/>
        <v>3</v>
      </c>
      <c r="O8" s="60"/>
      <c r="P8" s="58"/>
      <c r="Q8" s="59">
        <f t="shared" si="8"/>
        <v>3</v>
      </c>
      <c r="R8" s="60"/>
      <c r="S8" s="58"/>
      <c r="T8" s="61">
        <f t="shared" si="9"/>
        <v>3</v>
      </c>
      <c r="U8" s="60"/>
      <c r="V8" s="58"/>
      <c r="W8" s="59">
        <f t="shared" si="10"/>
        <v>3</v>
      </c>
      <c r="X8" s="60"/>
      <c r="Y8" s="58">
        <v>2</v>
      </c>
      <c r="Z8" s="61">
        <f t="shared" si="11"/>
        <v>1</v>
      </c>
      <c r="AA8" s="60"/>
      <c r="AB8" s="58"/>
      <c r="AC8" s="59">
        <f t="shared" si="12"/>
        <v>1</v>
      </c>
      <c r="AD8" s="57"/>
      <c r="AE8" s="58"/>
      <c r="AF8" s="243">
        <f t="shared" si="13"/>
        <v>1</v>
      </c>
      <c r="AG8" s="60"/>
      <c r="AH8" s="58"/>
      <c r="AI8" s="62">
        <f t="shared" si="14"/>
        <v>1</v>
      </c>
      <c r="AJ8" s="60"/>
      <c r="AK8" s="58"/>
      <c r="AL8" s="62">
        <f t="shared" si="15"/>
        <v>1</v>
      </c>
      <c r="AM8" s="60"/>
      <c r="AN8" s="58"/>
      <c r="AO8" s="62">
        <f t="shared" si="16"/>
        <v>1</v>
      </c>
      <c r="AP8" s="60"/>
      <c r="AQ8" s="58"/>
      <c r="AR8" s="62">
        <f t="shared" si="17"/>
        <v>1</v>
      </c>
      <c r="AS8" s="60"/>
      <c r="AT8" s="58"/>
      <c r="AU8" s="62">
        <f t="shared" si="18"/>
        <v>1</v>
      </c>
      <c r="AV8" s="83">
        <f t="shared" si="19"/>
        <v>0</v>
      </c>
      <c r="AW8" s="83">
        <f t="shared" si="20"/>
        <v>2</v>
      </c>
      <c r="AX8" s="64">
        <f t="shared" si="21"/>
        <v>2</v>
      </c>
      <c r="AY8" s="65">
        <f t="shared" si="22"/>
        <v>2</v>
      </c>
      <c r="AZ8" s="66">
        <f t="shared" si="23"/>
        <v>1</v>
      </c>
      <c r="BA8" s="67">
        <f>MAX(0, Table176252626[[#This Row],[Column6]])</f>
        <v>1</v>
      </c>
      <c r="BB8" s="68">
        <v>0</v>
      </c>
      <c r="BC8" s="84">
        <f t="shared" si="5"/>
        <v>1</v>
      </c>
      <c r="BD8" s="83">
        <f t="shared" si="3"/>
        <v>1</v>
      </c>
      <c r="BE8" s="85">
        <v>2</v>
      </c>
      <c r="BF8" s="86">
        <v>41290.687731481485</v>
      </c>
      <c r="BG8" s="72">
        <f t="shared" si="6"/>
        <v>46265</v>
      </c>
      <c r="BH8" s="87">
        <f t="shared" si="24"/>
        <v>4974.3122685185153</v>
      </c>
      <c r="BI8" s="80" t="str">
        <f t="shared" si="4"/>
        <v>Dead Stock</v>
      </c>
      <c r="BJ8" s="238">
        <v>1350</v>
      </c>
    </row>
    <row r="9" spans="1:293" ht="13">
      <c r="A9" s="75"/>
      <c r="B9" s="76"/>
      <c r="C9" s="51">
        <v>6</v>
      </c>
      <c r="D9" s="78" t="s">
        <v>722</v>
      </c>
      <c r="E9" s="78">
        <v>6</v>
      </c>
      <c r="F9" s="80" t="s">
        <v>583</v>
      </c>
      <c r="G9" s="81" t="s">
        <v>571</v>
      </c>
      <c r="H9" s="81" t="s">
        <v>300</v>
      </c>
      <c r="I9" s="80" t="s">
        <v>458</v>
      </c>
      <c r="J9" s="82">
        <f t="shared" si="7"/>
        <v>3</v>
      </c>
      <c r="K9" s="80">
        <v>3</v>
      </c>
      <c r="L9" s="57"/>
      <c r="M9" s="58"/>
      <c r="N9" s="59">
        <f t="shared" si="1"/>
        <v>3</v>
      </c>
      <c r="O9" s="60"/>
      <c r="P9" s="58"/>
      <c r="Q9" s="59">
        <f t="shared" si="8"/>
        <v>3</v>
      </c>
      <c r="R9" s="60"/>
      <c r="S9" s="58"/>
      <c r="T9" s="61">
        <f t="shared" si="9"/>
        <v>3</v>
      </c>
      <c r="U9" s="60"/>
      <c r="V9" s="58"/>
      <c r="W9" s="59">
        <f t="shared" si="10"/>
        <v>3</v>
      </c>
      <c r="X9" s="60"/>
      <c r="Y9" s="58"/>
      <c r="Z9" s="61">
        <f t="shared" si="11"/>
        <v>3</v>
      </c>
      <c r="AA9" s="60"/>
      <c r="AB9" s="58"/>
      <c r="AC9" s="59">
        <f t="shared" si="12"/>
        <v>3</v>
      </c>
      <c r="AD9" s="57"/>
      <c r="AE9" s="58"/>
      <c r="AF9" s="243">
        <f t="shared" si="13"/>
        <v>3</v>
      </c>
      <c r="AG9" s="60"/>
      <c r="AH9" s="58"/>
      <c r="AI9" s="62">
        <f t="shared" si="14"/>
        <v>3</v>
      </c>
      <c r="AJ9" s="60"/>
      <c r="AK9" s="58"/>
      <c r="AL9" s="62">
        <f t="shared" si="15"/>
        <v>3</v>
      </c>
      <c r="AM9" s="60"/>
      <c r="AN9" s="58"/>
      <c r="AO9" s="62">
        <f t="shared" si="16"/>
        <v>3</v>
      </c>
      <c r="AP9" s="60"/>
      <c r="AQ9" s="58"/>
      <c r="AR9" s="62">
        <f t="shared" si="17"/>
        <v>3</v>
      </c>
      <c r="AS9" s="60"/>
      <c r="AT9" s="58"/>
      <c r="AU9" s="62">
        <f t="shared" si="18"/>
        <v>3</v>
      </c>
      <c r="AV9" s="83">
        <f t="shared" si="19"/>
        <v>0</v>
      </c>
      <c r="AW9" s="83">
        <f t="shared" si="20"/>
        <v>0</v>
      </c>
      <c r="AX9" s="64">
        <f t="shared" si="21"/>
        <v>0</v>
      </c>
      <c r="AY9" s="65" t="e">
        <f t="shared" si="22"/>
        <v>#DIV/0!</v>
      </c>
      <c r="AZ9" s="66">
        <f t="shared" si="23"/>
        <v>0</v>
      </c>
      <c r="BA9" s="67">
        <v>3</v>
      </c>
      <c r="BB9" s="68">
        <v>1</v>
      </c>
      <c r="BC9" s="84">
        <f t="shared" si="5"/>
        <v>3</v>
      </c>
      <c r="BD9" s="83">
        <f t="shared" si="3"/>
        <v>2</v>
      </c>
      <c r="BE9" s="85">
        <v>2</v>
      </c>
      <c r="BF9" s="86">
        <v>43330.556631944448</v>
      </c>
      <c r="BG9" s="72">
        <f t="shared" si="6"/>
        <v>46265</v>
      </c>
      <c r="BH9" s="87">
        <f t="shared" si="24"/>
        <v>2934.4433680555521</v>
      </c>
      <c r="BI9" s="80" t="str">
        <f t="shared" si="4"/>
        <v>Dead Stock</v>
      </c>
      <c r="BJ9" s="238">
        <v>5400</v>
      </c>
    </row>
    <row r="10" spans="1:293" ht="13">
      <c r="A10" s="49"/>
      <c r="B10" s="50"/>
      <c r="C10" s="51">
        <v>7</v>
      </c>
      <c r="D10" s="52" t="s">
        <v>722</v>
      </c>
      <c r="E10" s="78">
        <v>7</v>
      </c>
      <c r="F10" s="88" t="s">
        <v>451</v>
      </c>
      <c r="G10" s="89" t="s">
        <v>453</v>
      </c>
      <c r="H10" s="81" t="s">
        <v>299</v>
      </c>
      <c r="I10" s="80" t="s">
        <v>458</v>
      </c>
      <c r="J10" s="82">
        <f t="shared" si="7"/>
        <v>1</v>
      </c>
      <c r="K10" s="80">
        <v>1</v>
      </c>
      <c r="L10" s="57"/>
      <c r="M10" s="58"/>
      <c r="N10" s="59">
        <f t="shared" si="1"/>
        <v>1</v>
      </c>
      <c r="O10" s="60"/>
      <c r="P10" s="58"/>
      <c r="Q10" s="59">
        <f t="shared" si="8"/>
        <v>1</v>
      </c>
      <c r="R10" s="60"/>
      <c r="S10" s="58"/>
      <c r="T10" s="61">
        <f t="shared" si="9"/>
        <v>1</v>
      </c>
      <c r="U10" s="60"/>
      <c r="V10" s="58"/>
      <c r="W10" s="59">
        <f t="shared" si="10"/>
        <v>1</v>
      </c>
      <c r="X10" s="60"/>
      <c r="Y10" s="58"/>
      <c r="Z10" s="61">
        <f t="shared" si="11"/>
        <v>1</v>
      </c>
      <c r="AA10" s="60"/>
      <c r="AB10" s="58"/>
      <c r="AC10" s="59">
        <f t="shared" si="12"/>
        <v>1</v>
      </c>
      <c r="AD10" s="57"/>
      <c r="AE10" s="58"/>
      <c r="AF10" s="243">
        <f t="shared" si="13"/>
        <v>1</v>
      </c>
      <c r="AG10" s="60"/>
      <c r="AH10" s="58"/>
      <c r="AI10" s="62">
        <f t="shared" si="14"/>
        <v>1</v>
      </c>
      <c r="AJ10" s="60"/>
      <c r="AK10" s="58"/>
      <c r="AL10" s="62">
        <f t="shared" si="15"/>
        <v>1</v>
      </c>
      <c r="AM10" s="60"/>
      <c r="AN10" s="58"/>
      <c r="AO10" s="62">
        <f t="shared" si="16"/>
        <v>1</v>
      </c>
      <c r="AP10" s="60"/>
      <c r="AQ10" s="58"/>
      <c r="AR10" s="62">
        <f t="shared" si="17"/>
        <v>1</v>
      </c>
      <c r="AS10" s="60"/>
      <c r="AT10" s="58"/>
      <c r="AU10" s="62">
        <f t="shared" si="18"/>
        <v>1</v>
      </c>
      <c r="AV10" s="83">
        <f t="shared" si="19"/>
        <v>0</v>
      </c>
      <c r="AW10" s="83">
        <f t="shared" si="20"/>
        <v>0</v>
      </c>
      <c r="AX10" s="64">
        <f t="shared" si="21"/>
        <v>0</v>
      </c>
      <c r="AY10" s="65" t="e">
        <f t="shared" si="22"/>
        <v>#DIV/0!</v>
      </c>
      <c r="AZ10" s="66">
        <f t="shared" si="23"/>
        <v>0</v>
      </c>
      <c r="BA10" s="67">
        <f>MAX(0, Table176252626[[#This Row],[Column6]])</f>
        <v>1</v>
      </c>
      <c r="BB10" s="68">
        <v>0</v>
      </c>
      <c r="BC10" s="84">
        <f t="shared" si="5"/>
        <v>1</v>
      </c>
      <c r="BD10" s="83">
        <f t="shared" si="3"/>
        <v>1</v>
      </c>
      <c r="BE10" s="85">
        <v>2</v>
      </c>
      <c r="BF10" s="86">
        <v>43152.644988425927</v>
      </c>
      <c r="BG10" s="72">
        <f t="shared" si="6"/>
        <v>46265</v>
      </c>
      <c r="BH10" s="87">
        <f t="shared" si="24"/>
        <v>3112.3550115740727</v>
      </c>
      <c r="BI10" s="80" t="str">
        <f t="shared" si="4"/>
        <v>Dead Stock</v>
      </c>
      <c r="BJ10" s="238">
        <v>3997.5</v>
      </c>
    </row>
    <row r="11" spans="1:293" ht="13">
      <c r="A11" s="90"/>
      <c r="B11" s="91"/>
      <c r="C11" s="77">
        <v>8</v>
      </c>
      <c r="D11" s="78" t="s">
        <v>722</v>
      </c>
      <c r="E11" s="78">
        <v>8</v>
      </c>
      <c r="F11" s="80" t="s">
        <v>804</v>
      </c>
      <c r="G11" s="81" t="s">
        <v>2025</v>
      </c>
      <c r="H11" s="81" t="s">
        <v>300</v>
      </c>
      <c r="I11" s="80" t="s">
        <v>458</v>
      </c>
      <c r="J11" s="82">
        <f t="shared" si="7"/>
        <v>2</v>
      </c>
      <c r="K11" s="80">
        <v>2</v>
      </c>
      <c r="L11" s="57"/>
      <c r="M11" s="58"/>
      <c r="N11" s="59">
        <f t="shared" si="1"/>
        <v>2</v>
      </c>
      <c r="O11" s="60"/>
      <c r="P11" s="58"/>
      <c r="Q11" s="59">
        <f t="shared" si="8"/>
        <v>2</v>
      </c>
      <c r="R11" s="60"/>
      <c r="S11" s="58"/>
      <c r="T11" s="61">
        <f t="shared" si="9"/>
        <v>2</v>
      </c>
      <c r="U11" s="60"/>
      <c r="V11" s="58"/>
      <c r="W11" s="59">
        <f t="shared" si="10"/>
        <v>2</v>
      </c>
      <c r="X11" s="60"/>
      <c r="Y11" s="58"/>
      <c r="Z11" s="61">
        <f t="shared" si="11"/>
        <v>2</v>
      </c>
      <c r="AA11" s="60"/>
      <c r="AB11" s="58"/>
      <c r="AC11" s="59">
        <f t="shared" si="12"/>
        <v>2</v>
      </c>
      <c r="AD11" s="57"/>
      <c r="AE11" s="58"/>
      <c r="AF11" s="243">
        <f t="shared" si="13"/>
        <v>2</v>
      </c>
      <c r="AG11" s="60"/>
      <c r="AH11" s="58"/>
      <c r="AI11" s="62">
        <f t="shared" si="14"/>
        <v>2</v>
      </c>
      <c r="AJ11" s="60"/>
      <c r="AK11" s="58"/>
      <c r="AL11" s="62">
        <f t="shared" si="15"/>
        <v>2</v>
      </c>
      <c r="AM11" s="60"/>
      <c r="AN11" s="58"/>
      <c r="AO11" s="62">
        <f t="shared" si="16"/>
        <v>2</v>
      </c>
      <c r="AP11" s="60"/>
      <c r="AQ11" s="58"/>
      <c r="AR11" s="62">
        <f t="shared" si="17"/>
        <v>2</v>
      </c>
      <c r="AS11" s="60"/>
      <c r="AT11" s="58"/>
      <c r="AU11" s="62">
        <f t="shared" si="18"/>
        <v>2</v>
      </c>
      <c r="AV11" s="83">
        <f t="shared" si="19"/>
        <v>0</v>
      </c>
      <c r="AW11" s="83">
        <f t="shared" si="20"/>
        <v>0</v>
      </c>
      <c r="AX11" s="64">
        <f t="shared" si="21"/>
        <v>0</v>
      </c>
      <c r="AY11" s="65" t="e">
        <f t="shared" si="22"/>
        <v>#DIV/0!</v>
      </c>
      <c r="AZ11" s="66">
        <f t="shared" si="23"/>
        <v>0</v>
      </c>
      <c r="BA11" s="67">
        <f>MAX(0, Table176252626[[#This Row],[Column6]])</f>
        <v>2</v>
      </c>
      <c r="BB11" s="68">
        <v>1</v>
      </c>
      <c r="BC11" s="84">
        <f t="shared" si="5"/>
        <v>2</v>
      </c>
      <c r="BD11" s="83">
        <f t="shared" si="3"/>
        <v>1</v>
      </c>
      <c r="BE11" s="85">
        <v>2</v>
      </c>
      <c r="BF11" s="86">
        <v>43894.640324074076</v>
      </c>
      <c r="BG11" s="72">
        <f t="shared" si="6"/>
        <v>46265</v>
      </c>
      <c r="BH11" s="87">
        <f t="shared" si="24"/>
        <v>2370.3596759259235</v>
      </c>
      <c r="BI11" s="80" t="str">
        <f t="shared" si="4"/>
        <v>Dead Stock</v>
      </c>
      <c r="BJ11" s="238">
        <v>2862</v>
      </c>
    </row>
    <row r="12" spans="1:293" ht="13">
      <c r="A12" s="49"/>
      <c r="B12" s="50"/>
      <c r="C12" s="77">
        <v>9</v>
      </c>
      <c r="D12" s="52" t="s">
        <v>722</v>
      </c>
      <c r="E12" s="78">
        <v>9</v>
      </c>
      <c r="F12" s="80" t="s">
        <v>478</v>
      </c>
      <c r="G12" s="81" t="s">
        <v>861</v>
      </c>
      <c r="H12" s="81" t="s">
        <v>300</v>
      </c>
      <c r="I12" s="80" t="s">
        <v>458</v>
      </c>
      <c r="J12" s="82">
        <f t="shared" si="7"/>
        <v>2</v>
      </c>
      <c r="K12" s="80">
        <v>2</v>
      </c>
      <c r="L12" s="92"/>
      <c r="M12" s="58"/>
      <c r="N12" s="59">
        <f t="shared" si="1"/>
        <v>2</v>
      </c>
      <c r="O12" s="60"/>
      <c r="P12" s="58"/>
      <c r="Q12" s="59">
        <f t="shared" si="8"/>
        <v>2</v>
      </c>
      <c r="R12" s="60"/>
      <c r="S12" s="58"/>
      <c r="T12" s="61">
        <f t="shared" si="9"/>
        <v>2</v>
      </c>
      <c r="U12" s="60"/>
      <c r="V12" s="58"/>
      <c r="W12" s="59">
        <f t="shared" si="10"/>
        <v>2</v>
      </c>
      <c r="X12" s="60"/>
      <c r="Y12" s="58"/>
      <c r="Z12" s="61">
        <f t="shared" si="11"/>
        <v>2</v>
      </c>
      <c r="AA12" s="60"/>
      <c r="AB12" s="58"/>
      <c r="AC12" s="59">
        <f t="shared" si="12"/>
        <v>2</v>
      </c>
      <c r="AD12" s="57"/>
      <c r="AE12" s="58"/>
      <c r="AF12" s="243">
        <f t="shared" si="13"/>
        <v>2</v>
      </c>
      <c r="AG12" s="60"/>
      <c r="AH12" s="58"/>
      <c r="AI12" s="62">
        <f t="shared" si="14"/>
        <v>2</v>
      </c>
      <c r="AJ12" s="60"/>
      <c r="AK12" s="58"/>
      <c r="AL12" s="62">
        <f t="shared" si="15"/>
        <v>2</v>
      </c>
      <c r="AM12" s="60"/>
      <c r="AN12" s="58"/>
      <c r="AO12" s="62">
        <f t="shared" si="16"/>
        <v>2</v>
      </c>
      <c r="AP12" s="60"/>
      <c r="AQ12" s="58"/>
      <c r="AR12" s="62">
        <f t="shared" si="17"/>
        <v>2</v>
      </c>
      <c r="AS12" s="60"/>
      <c r="AT12" s="58"/>
      <c r="AU12" s="62">
        <f t="shared" si="18"/>
        <v>2</v>
      </c>
      <c r="AV12" s="83">
        <f t="shared" si="19"/>
        <v>0</v>
      </c>
      <c r="AW12" s="83">
        <f t="shared" si="20"/>
        <v>0</v>
      </c>
      <c r="AX12" s="64">
        <f t="shared" si="21"/>
        <v>0</v>
      </c>
      <c r="AY12" s="65" t="e">
        <f t="shared" si="22"/>
        <v>#DIV/0!</v>
      </c>
      <c r="AZ12" s="66">
        <f t="shared" si="23"/>
        <v>0</v>
      </c>
      <c r="BA12" s="67">
        <f>MAX(0, Table176252626[[#This Row],[Column6]])</f>
        <v>2</v>
      </c>
      <c r="BB12" s="68">
        <v>1</v>
      </c>
      <c r="BC12" s="84">
        <f t="shared" si="5"/>
        <v>2</v>
      </c>
      <c r="BD12" s="83">
        <f t="shared" si="3"/>
        <v>1</v>
      </c>
      <c r="BE12" s="85">
        <v>2</v>
      </c>
      <c r="BF12" s="86">
        <v>42950.579398148147</v>
      </c>
      <c r="BG12" s="72">
        <f t="shared" si="6"/>
        <v>46265</v>
      </c>
      <c r="BH12" s="87">
        <f t="shared" si="24"/>
        <v>3314.4206018518526</v>
      </c>
      <c r="BI12" s="80" t="str">
        <f t="shared" si="4"/>
        <v>Dead Stock</v>
      </c>
      <c r="BJ12" s="238">
        <v>8000</v>
      </c>
    </row>
    <row r="13" spans="1:293" ht="13">
      <c r="A13" s="90"/>
      <c r="B13" s="91"/>
      <c r="C13" s="51">
        <v>10</v>
      </c>
      <c r="D13" s="78" t="s">
        <v>722</v>
      </c>
      <c r="E13" s="78">
        <v>10</v>
      </c>
      <c r="F13" s="88" t="s">
        <v>1648</v>
      </c>
      <c r="G13" s="89" t="s">
        <v>1649</v>
      </c>
      <c r="H13" s="89" t="s">
        <v>300</v>
      </c>
      <c r="I13" s="88" t="s">
        <v>458</v>
      </c>
      <c r="J13" s="93">
        <f t="shared" ref="J13:J36" si="25">AU13</f>
        <v>3</v>
      </c>
      <c r="K13" s="88">
        <v>1</v>
      </c>
      <c r="L13" s="58"/>
      <c r="M13" s="58"/>
      <c r="N13" s="62">
        <f t="shared" si="1"/>
        <v>1</v>
      </c>
      <c r="O13" s="60">
        <v>2</v>
      </c>
      <c r="P13" s="58"/>
      <c r="Q13" s="62">
        <f>SUM(N13+O13-P13)</f>
        <v>3</v>
      </c>
      <c r="R13" s="60"/>
      <c r="S13" s="58"/>
      <c r="T13" s="94">
        <f>SUM(Q13+R13-S13)</f>
        <v>3</v>
      </c>
      <c r="U13" s="60"/>
      <c r="V13" s="58"/>
      <c r="W13" s="62">
        <f>SUM(T13+U13-V13)</f>
        <v>3</v>
      </c>
      <c r="X13" s="60"/>
      <c r="Y13" s="58"/>
      <c r="Z13" s="94">
        <f>SUM(W13+X13-Y13)</f>
        <v>3</v>
      </c>
      <c r="AA13" s="60"/>
      <c r="AB13" s="58"/>
      <c r="AC13" s="62">
        <f>SUM(Z13+AA13-AB13)</f>
        <v>3</v>
      </c>
      <c r="AD13" s="57"/>
      <c r="AE13" s="58"/>
      <c r="AF13" s="165">
        <f>SUM(AC13+AD13-AE13)</f>
        <v>3</v>
      </c>
      <c r="AG13" s="60"/>
      <c r="AH13" s="58"/>
      <c r="AI13" s="62">
        <f>SUM(AF13+AG13-AH13)</f>
        <v>3</v>
      </c>
      <c r="AJ13" s="60"/>
      <c r="AK13" s="58"/>
      <c r="AL13" s="62">
        <f>SUM(AI13+AJ13-AK13)</f>
        <v>3</v>
      </c>
      <c r="AM13" s="60"/>
      <c r="AN13" s="58"/>
      <c r="AO13" s="62">
        <f>SUM(AL13+AM13-AN13)</f>
        <v>3</v>
      </c>
      <c r="AP13" s="60"/>
      <c r="AQ13" s="58"/>
      <c r="AR13" s="62">
        <f>SUM(AO13+AP13-AQ13)</f>
        <v>3</v>
      </c>
      <c r="AS13" s="60"/>
      <c r="AT13" s="58"/>
      <c r="AU13" s="62">
        <f>SUM(AR13+AS13-AT13)</f>
        <v>3</v>
      </c>
      <c r="AV13" s="96">
        <f>SUM(L13+O13+R13+U13+X13+AA13+AD13+AG13+AJ13+AM13+AP13+AS13)</f>
        <v>2</v>
      </c>
      <c r="AW13" s="97">
        <f>SUM(M13+P13+S13+V13+Y13+AB13+AE13+AH13+AK13+AN13+AQ13+AT13)</f>
        <v>0</v>
      </c>
      <c r="AX13" s="98">
        <f>SUM(M13,P13,S13,V13,Y13,AB13,AE13,AH13,AK13,AN13,AQ13,AT13)</f>
        <v>0</v>
      </c>
      <c r="AY13" s="99" t="e">
        <f>AVERAGE(M13,P13,S13,V13,Y13,AB13,AE13,AH13,AK13,AN13,AQ13,AT13)</f>
        <v>#DIV/0!</v>
      </c>
      <c r="AZ13" s="100">
        <f>COUNT(M13,P13,S13,V13,Y13,AB13,AE13,AH13,AK13,AN13,AQ13,AT13)</f>
        <v>0</v>
      </c>
      <c r="BA13" s="101">
        <v>3</v>
      </c>
      <c r="BB13" s="102">
        <v>1</v>
      </c>
      <c r="BC13" s="84">
        <f t="shared" si="5"/>
        <v>3</v>
      </c>
      <c r="BD13" s="83">
        <f t="shared" si="3"/>
        <v>2</v>
      </c>
      <c r="BE13" s="85">
        <v>2</v>
      </c>
      <c r="BF13" s="86">
        <v>46069</v>
      </c>
      <c r="BG13" s="72">
        <f t="shared" si="6"/>
        <v>46265</v>
      </c>
      <c r="BH13" s="103">
        <f>BG13-BF13</f>
        <v>196</v>
      </c>
      <c r="BI13" s="80" t="str">
        <f t="shared" si="4"/>
        <v/>
      </c>
      <c r="BJ13" s="238">
        <v>8580</v>
      </c>
    </row>
    <row r="14" spans="1:293" ht="13">
      <c r="A14" s="75"/>
      <c r="B14" s="76"/>
      <c r="C14" s="51">
        <v>11</v>
      </c>
      <c r="D14" s="52" t="s">
        <v>722</v>
      </c>
      <c r="E14" s="78">
        <v>11</v>
      </c>
      <c r="F14" s="80" t="s">
        <v>106</v>
      </c>
      <c r="G14" s="81" t="s">
        <v>614</v>
      </c>
      <c r="H14" s="81" t="s">
        <v>300</v>
      </c>
      <c r="I14" s="80" t="s">
        <v>458</v>
      </c>
      <c r="J14" s="93">
        <f t="shared" si="25"/>
        <v>2</v>
      </c>
      <c r="K14" s="80">
        <v>0</v>
      </c>
      <c r="L14" s="57"/>
      <c r="M14" s="58"/>
      <c r="N14" s="62">
        <f t="shared" si="1"/>
        <v>0</v>
      </c>
      <c r="O14" s="60"/>
      <c r="P14" s="58"/>
      <c r="Q14" s="62">
        <f t="shared" si="8"/>
        <v>0</v>
      </c>
      <c r="R14" s="60"/>
      <c r="S14" s="58"/>
      <c r="T14" s="94">
        <f t="shared" si="9"/>
        <v>0</v>
      </c>
      <c r="U14" s="60"/>
      <c r="V14" s="58"/>
      <c r="W14" s="62">
        <f t="shared" si="10"/>
        <v>0</v>
      </c>
      <c r="X14" s="60"/>
      <c r="Y14" s="58"/>
      <c r="Z14" s="94">
        <f t="shared" si="11"/>
        <v>0</v>
      </c>
      <c r="AA14" s="60"/>
      <c r="AB14" s="58"/>
      <c r="AC14" s="62">
        <f t="shared" si="12"/>
        <v>0</v>
      </c>
      <c r="AD14" s="57">
        <v>2</v>
      </c>
      <c r="AE14" s="58"/>
      <c r="AF14" s="165">
        <f t="shared" si="13"/>
        <v>2</v>
      </c>
      <c r="AG14" s="60"/>
      <c r="AH14" s="58"/>
      <c r="AI14" s="62">
        <f t="shared" si="14"/>
        <v>2</v>
      </c>
      <c r="AJ14" s="60"/>
      <c r="AK14" s="58"/>
      <c r="AL14" s="62">
        <f t="shared" si="15"/>
        <v>2</v>
      </c>
      <c r="AM14" s="60"/>
      <c r="AN14" s="58"/>
      <c r="AO14" s="62">
        <f t="shared" si="16"/>
        <v>2</v>
      </c>
      <c r="AP14" s="60"/>
      <c r="AQ14" s="58"/>
      <c r="AR14" s="62">
        <f t="shared" si="17"/>
        <v>2</v>
      </c>
      <c r="AS14" s="60"/>
      <c r="AT14" s="58"/>
      <c r="AU14" s="62">
        <f t="shared" si="18"/>
        <v>2</v>
      </c>
      <c r="AV14" s="83">
        <f t="shared" si="19"/>
        <v>2</v>
      </c>
      <c r="AW14" s="83">
        <f t="shared" si="20"/>
        <v>0</v>
      </c>
      <c r="AX14" s="64">
        <f t="shared" si="21"/>
        <v>0</v>
      </c>
      <c r="AY14" s="65" t="e">
        <f t="shared" si="22"/>
        <v>#DIV/0!</v>
      </c>
      <c r="AZ14" s="66">
        <f t="shared" si="23"/>
        <v>0</v>
      </c>
      <c r="BA14" s="67">
        <f>MAX(0, Table176252626[[#This Row],[Column6]])</f>
        <v>2</v>
      </c>
      <c r="BB14" s="68">
        <v>1</v>
      </c>
      <c r="BC14" s="84">
        <f t="shared" si="5"/>
        <v>2</v>
      </c>
      <c r="BD14" s="83">
        <f t="shared" si="3"/>
        <v>1</v>
      </c>
      <c r="BE14" s="85">
        <v>2</v>
      </c>
      <c r="BF14" s="86">
        <v>46216</v>
      </c>
      <c r="BG14" s="72">
        <f t="shared" si="6"/>
        <v>46265</v>
      </c>
      <c r="BH14" s="87">
        <f t="shared" si="24"/>
        <v>49</v>
      </c>
      <c r="BI14" s="80" t="str">
        <f t="shared" si="4"/>
        <v/>
      </c>
      <c r="BJ14" s="238">
        <v>9700</v>
      </c>
    </row>
    <row r="15" spans="1:293" ht="13">
      <c r="A15" s="49"/>
      <c r="B15" s="76"/>
      <c r="C15" s="51">
        <v>12</v>
      </c>
      <c r="D15" s="78" t="s">
        <v>722</v>
      </c>
      <c r="E15" s="78">
        <v>12</v>
      </c>
      <c r="F15" s="80" t="s">
        <v>141</v>
      </c>
      <c r="G15" s="81" t="s">
        <v>142</v>
      </c>
      <c r="H15" s="81" t="s">
        <v>300</v>
      </c>
      <c r="I15" s="80" t="s">
        <v>458</v>
      </c>
      <c r="J15" s="93">
        <f t="shared" si="25"/>
        <v>3</v>
      </c>
      <c r="K15" s="80">
        <v>3</v>
      </c>
      <c r="L15" s="57"/>
      <c r="M15" s="58"/>
      <c r="N15" s="59">
        <f t="shared" si="1"/>
        <v>3</v>
      </c>
      <c r="O15" s="60"/>
      <c r="P15" s="58"/>
      <c r="Q15" s="59">
        <f t="shared" ref="Q15:Q25" si="26">SUM(N15+O15-P15)</f>
        <v>3</v>
      </c>
      <c r="R15" s="60"/>
      <c r="S15" s="58"/>
      <c r="T15" s="61">
        <f t="shared" ref="T15:T25" si="27">SUM(Q15+R15-S15)</f>
        <v>3</v>
      </c>
      <c r="U15" s="60"/>
      <c r="V15" s="58"/>
      <c r="W15" s="59">
        <f t="shared" ref="W15:W25" si="28">SUM(T15+U15-V15)</f>
        <v>3</v>
      </c>
      <c r="X15" s="60"/>
      <c r="Y15" s="58"/>
      <c r="Z15" s="61">
        <f t="shared" ref="Z15:Z25" si="29">SUM(W15+X15-Y15)</f>
        <v>3</v>
      </c>
      <c r="AA15" s="60"/>
      <c r="AB15" s="58"/>
      <c r="AC15" s="59">
        <f t="shared" ref="AC15:AC25" si="30">SUM(Z15+AA15-AB15)</f>
        <v>3</v>
      </c>
      <c r="AD15" s="57"/>
      <c r="AE15" s="58"/>
      <c r="AF15" s="243">
        <f t="shared" ref="AF15:AF25" si="31">SUM(AC15+AD15-AE15)</f>
        <v>3</v>
      </c>
      <c r="AG15" s="60"/>
      <c r="AH15" s="58"/>
      <c r="AI15" s="62">
        <f t="shared" ref="AI15:AI25" si="32">SUM(AF15+AG15-AH15)</f>
        <v>3</v>
      </c>
      <c r="AJ15" s="60"/>
      <c r="AK15" s="58"/>
      <c r="AL15" s="62">
        <f t="shared" ref="AL15:AL25" si="33">SUM(AI15+AJ15-AK15)</f>
        <v>3</v>
      </c>
      <c r="AM15" s="60"/>
      <c r="AN15" s="58"/>
      <c r="AO15" s="62">
        <f t="shared" ref="AO15:AO25" si="34">SUM(AL15+AM15-AN15)</f>
        <v>3</v>
      </c>
      <c r="AP15" s="60"/>
      <c r="AQ15" s="58"/>
      <c r="AR15" s="62">
        <f t="shared" ref="AR15:AR25" si="35">SUM(AO15+AP15-AQ15)</f>
        <v>3</v>
      </c>
      <c r="AS15" s="60"/>
      <c r="AT15" s="58"/>
      <c r="AU15" s="62">
        <f t="shared" ref="AU15:AU25" si="36">SUM(AR15+AS15-AT15)</f>
        <v>3</v>
      </c>
      <c r="AV15" s="83">
        <f t="shared" ref="AV15:AW18" si="37">SUM(L15+O15+R15+U15+X15+AA15+AD15+AG15+AJ15+AM15+AP15+AS15)</f>
        <v>0</v>
      </c>
      <c r="AW15" s="83">
        <f t="shared" si="37"/>
        <v>0</v>
      </c>
      <c r="AX15" s="64">
        <f t="shared" ref="AX15:AX25" si="38">SUM(M15,P15,S15,V15,Y15,AB15,AE15,AH15,AK15,AN15,AQ15,AT15)</f>
        <v>0</v>
      </c>
      <c r="AY15" s="65" t="e">
        <f t="shared" ref="AY15:AY33" si="39">AVERAGE(M15,P15,S15,V15,Y15,AB15,AE15,AH15,AK15,AN15,AQ15,AT15)</f>
        <v>#DIV/0!</v>
      </c>
      <c r="AZ15" s="66">
        <f t="shared" ref="AZ15:AZ33" si="40">COUNT(M15,P15,S15,V15,Y15,AB15,AE15,AH15,AK15,AN15,AQ15,AT15)</f>
        <v>0</v>
      </c>
      <c r="BA15" s="67">
        <v>3</v>
      </c>
      <c r="BB15" s="68">
        <v>1</v>
      </c>
      <c r="BC15" s="84">
        <f t="shared" si="5"/>
        <v>3</v>
      </c>
      <c r="BD15" s="83">
        <f t="shared" si="3"/>
        <v>2</v>
      </c>
      <c r="BE15" s="85">
        <v>2</v>
      </c>
      <c r="BF15" s="86">
        <v>42829.573506944442</v>
      </c>
      <c r="BG15" s="72">
        <f t="shared" si="6"/>
        <v>46265</v>
      </c>
      <c r="BH15" s="87">
        <f t="shared" ref="BH15:BH33" si="41">BG15-BF15</f>
        <v>3435.4264930555582</v>
      </c>
      <c r="BI15" s="80" t="str">
        <f t="shared" si="4"/>
        <v>Dead Stock</v>
      </c>
      <c r="BJ15" s="238">
        <v>1425</v>
      </c>
    </row>
    <row r="16" spans="1:293" ht="13">
      <c r="A16" s="49"/>
      <c r="B16" s="50"/>
      <c r="C16" s="51">
        <v>13</v>
      </c>
      <c r="D16" s="52" t="s">
        <v>722</v>
      </c>
      <c r="E16" s="78">
        <v>13</v>
      </c>
      <c r="F16" s="80" t="s">
        <v>922</v>
      </c>
      <c r="G16" s="81" t="s">
        <v>923</v>
      </c>
      <c r="H16" s="81" t="s">
        <v>921</v>
      </c>
      <c r="I16" s="80" t="s">
        <v>458</v>
      </c>
      <c r="J16" s="93">
        <f t="shared" si="25"/>
        <v>1</v>
      </c>
      <c r="K16" s="80">
        <v>1</v>
      </c>
      <c r="L16" s="57"/>
      <c r="M16" s="58"/>
      <c r="N16" s="59">
        <f t="shared" si="1"/>
        <v>1</v>
      </c>
      <c r="O16" s="60"/>
      <c r="P16" s="58"/>
      <c r="Q16" s="59">
        <f t="shared" si="26"/>
        <v>1</v>
      </c>
      <c r="R16" s="60"/>
      <c r="S16" s="58"/>
      <c r="T16" s="61">
        <f t="shared" si="27"/>
        <v>1</v>
      </c>
      <c r="U16" s="60"/>
      <c r="V16" s="58"/>
      <c r="W16" s="59">
        <f t="shared" si="28"/>
        <v>1</v>
      </c>
      <c r="X16" s="60"/>
      <c r="Y16" s="58"/>
      <c r="Z16" s="61">
        <f t="shared" si="29"/>
        <v>1</v>
      </c>
      <c r="AA16" s="60"/>
      <c r="AB16" s="58"/>
      <c r="AC16" s="59">
        <f t="shared" si="30"/>
        <v>1</v>
      </c>
      <c r="AD16" s="57"/>
      <c r="AE16" s="58"/>
      <c r="AF16" s="243">
        <f t="shared" si="31"/>
        <v>1</v>
      </c>
      <c r="AG16" s="60"/>
      <c r="AH16" s="58"/>
      <c r="AI16" s="62">
        <f t="shared" si="32"/>
        <v>1</v>
      </c>
      <c r="AJ16" s="60"/>
      <c r="AK16" s="58"/>
      <c r="AL16" s="62">
        <f t="shared" si="33"/>
        <v>1</v>
      </c>
      <c r="AM16" s="60"/>
      <c r="AN16" s="58"/>
      <c r="AO16" s="62">
        <f t="shared" si="34"/>
        <v>1</v>
      </c>
      <c r="AP16" s="60"/>
      <c r="AQ16" s="58"/>
      <c r="AR16" s="104">
        <f t="shared" si="35"/>
        <v>1</v>
      </c>
      <c r="AS16" s="57"/>
      <c r="AT16" s="58"/>
      <c r="AU16" s="62">
        <f t="shared" si="36"/>
        <v>1</v>
      </c>
      <c r="AV16" s="83">
        <f t="shared" si="37"/>
        <v>0</v>
      </c>
      <c r="AW16" s="83">
        <f t="shared" si="37"/>
        <v>0</v>
      </c>
      <c r="AX16" s="64">
        <f t="shared" si="38"/>
        <v>0</v>
      </c>
      <c r="AY16" s="65" t="e">
        <f t="shared" si="39"/>
        <v>#DIV/0!</v>
      </c>
      <c r="AZ16" s="66">
        <f t="shared" si="40"/>
        <v>0</v>
      </c>
      <c r="BA16" s="67">
        <f>MAX(0, Table176252626[[#This Row],[Column6]])</f>
        <v>1</v>
      </c>
      <c r="BB16" s="68">
        <v>0</v>
      </c>
      <c r="BC16" s="84">
        <f t="shared" si="5"/>
        <v>1</v>
      </c>
      <c r="BD16" s="83">
        <f t="shared" si="3"/>
        <v>1</v>
      </c>
      <c r="BE16" s="85">
        <v>2</v>
      </c>
      <c r="BF16" s="86">
        <v>44361.363912037035</v>
      </c>
      <c r="BG16" s="72">
        <f t="shared" si="6"/>
        <v>46265</v>
      </c>
      <c r="BH16" s="87">
        <f t="shared" si="41"/>
        <v>1903.6360879629647</v>
      </c>
      <c r="BI16" s="80" t="str">
        <f t="shared" si="4"/>
        <v>Dead Stock</v>
      </c>
      <c r="BJ16" s="238">
        <v>1500</v>
      </c>
    </row>
    <row r="17" spans="1:62" ht="13">
      <c r="A17" s="75"/>
      <c r="B17" s="76"/>
      <c r="C17" s="77">
        <v>14</v>
      </c>
      <c r="D17" s="78" t="s">
        <v>722</v>
      </c>
      <c r="E17" s="78">
        <v>14</v>
      </c>
      <c r="F17" s="80" t="s">
        <v>100</v>
      </c>
      <c r="G17" s="81" t="s">
        <v>101</v>
      </c>
      <c r="H17" s="81" t="s">
        <v>299</v>
      </c>
      <c r="I17" s="80" t="s">
        <v>458</v>
      </c>
      <c r="J17" s="93">
        <f t="shared" si="25"/>
        <v>2</v>
      </c>
      <c r="K17" s="80">
        <v>2</v>
      </c>
      <c r="L17" s="57"/>
      <c r="M17" s="58"/>
      <c r="N17" s="59">
        <f t="shared" si="1"/>
        <v>2</v>
      </c>
      <c r="O17" s="60"/>
      <c r="P17" s="58"/>
      <c r="Q17" s="59">
        <f t="shared" si="26"/>
        <v>2</v>
      </c>
      <c r="R17" s="60"/>
      <c r="S17" s="58"/>
      <c r="T17" s="61">
        <f t="shared" si="27"/>
        <v>2</v>
      </c>
      <c r="U17" s="60"/>
      <c r="V17" s="58"/>
      <c r="W17" s="59">
        <f t="shared" si="28"/>
        <v>2</v>
      </c>
      <c r="X17" s="60"/>
      <c r="Y17" s="58"/>
      <c r="Z17" s="61">
        <f t="shared" si="29"/>
        <v>2</v>
      </c>
      <c r="AA17" s="60"/>
      <c r="AB17" s="58"/>
      <c r="AC17" s="59">
        <f t="shared" si="30"/>
        <v>2</v>
      </c>
      <c r="AD17" s="57"/>
      <c r="AE17" s="58"/>
      <c r="AF17" s="243">
        <f t="shared" si="31"/>
        <v>2</v>
      </c>
      <c r="AG17" s="60"/>
      <c r="AH17" s="58"/>
      <c r="AI17" s="62">
        <f t="shared" si="32"/>
        <v>2</v>
      </c>
      <c r="AJ17" s="60"/>
      <c r="AK17" s="58"/>
      <c r="AL17" s="62">
        <f t="shared" si="33"/>
        <v>2</v>
      </c>
      <c r="AM17" s="60"/>
      <c r="AN17" s="58"/>
      <c r="AO17" s="62">
        <f t="shared" si="34"/>
        <v>2</v>
      </c>
      <c r="AP17" s="60"/>
      <c r="AQ17" s="58"/>
      <c r="AR17" s="62">
        <f t="shared" si="35"/>
        <v>2</v>
      </c>
      <c r="AS17" s="60"/>
      <c r="AT17" s="58"/>
      <c r="AU17" s="62">
        <f t="shared" si="36"/>
        <v>2</v>
      </c>
      <c r="AV17" s="83">
        <f t="shared" si="37"/>
        <v>0</v>
      </c>
      <c r="AW17" s="83">
        <f t="shared" si="37"/>
        <v>0</v>
      </c>
      <c r="AX17" s="64">
        <f t="shared" si="38"/>
        <v>0</v>
      </c>
      <c r="AY17" s="65" t="e">
        <f t="shared" si="39"/>
        <v>#DIV/0!</v>
      </c>
      <c r="AZ17" s="66">
        <f t="shared" si="40"/>
        <v>0</v>
      </c>
      <c r="BA17" s="67">
        <f>MAX(0, Table176252626[[#This Row],[Column6]])</f>
        <v>2</v>
      </c>
      <c r="BB17" s="68">
        <v>1</v>
      </c>
      <c r="BC17" s="84">
        <f t="shared" si="5"/>
        <v>2</v>
      </c>
      <c r="BD17" s="83">
        <f t="shared" si="3"/>
        <v>1</v>
      </c>
      <c r="BE17" s="85">
        <v>2</v>
      </c>
      <c r="BF17" s="86">
        <v>41290.643912037034</v>
      </c>
      <c r="BG17" s="72">
        <f t="shared" si="6"/>
        <v>46265</v>
      </c>
      <c r="BH17" s="87">
        <f t="shared" si="41"/>
        <v>4974.3560879629658</v>
      </c>
      <c r="BI17" s="80" t="str">
        <f t="shared" si="4"/>
        <v>Dead Stock</v>
      </c>
      <c r="BJ17" s="238">
        <v>6175</v>
      </c>
    </row>
    <row r="18" spans="1:62" ht="13">
      <c r="A18" s="90"/>
      <c r="B18" s="91"/>
      <c r="C18" s="77">
        <v>15</v>
      </c>
      <c r="D18" s="78" t="s">
        <v>722</v>
      </c>
      <c r="E18" s="78">
        <v>16</v>
      </c>
      <c r="F18" s="80" t="s">
        <v>663</v>
      </c>
      <c r="G18" s="81" t="s">
        <v>664</v>
      </c>
      <c r="H18" s="81" t="s">
        <v>299</v>
      </c>
      <c r="I18" s="80" t="s">
        <v>458</v>
      </c>
      <c r="J18" s="93">
        <f t="shared" si="25"/>
        <v>1</v>
      </c>
      <c r="K18" s="80">
        <v>1</v>
      </c>
      <c r="L18" s="57"/>
      <c r="M18" s="58"/>
      <c r="N18" s="59">
        <f t="shared" si="1"/>
        <v>1</v>
      </c>
      <c r="O18" s="60"/>
      <c r="P18" s="58"/>
      <c r="Q18" s="59">
        <f t="shared" si="26"/>
        <v>1</v>
      </c>
      <c r="R18" s="60"/>
      <c r="S18" s="58"/>
      <c r="T18" s="61">
        <f t="shared" si="27"/>
        <v>1</v>
      </c>
      <c r="U18" s="60"/>
      <c r="V18" s="58"/>
      <c r="W18" s="59">
        <f t="shared" si="28"/>
        <v>1</v>
      </c>
      <c r="X18" s="60"/>
      <c r="Y18" s="58"/>
      <c r="Z18" s="61">
        <f t="shared" si="29"/>
        <v>1</v>
      </c>
      <c r="AA18" s="60"/>
      <c r="AB18" s="58"/>
      <c r="AC18" s="59">
        <f t="shared" si="30"/>
        <v>1</v>
      </c>
      <c r="AD18" s="57"/>
      <c r="AE18" s="58"/>
      <c r="AF18" s="243">
        <f t="shared" si="31"/>
        <v>1</v>
      </c>
      <c r="AG18" s="60"/>
      <c r="AH18" s="58"/>
      <c r="AI18" s="62">
        <f t="shared" si="32"/>
        <v>1</v>
      </c>
      <c r="AJ18" s="60"/>
      <c r="AK18" s="58"/>
      <c r="AL18" s="62">
        <f t="shared" si="33"/>
        <v>1</v>
      </c>
      <c r="AM18" s="60"/>
      <c r="AN18" s="58"/>
      <c r="AO18" s="62">
        <f t="shared" si="34"/>
        <v>1</v>
      </c>
      <c r="AP18" s="60"/>
      <c r="AQ18" s="58"/>
      <c r="AR18" s="62">
        <f t="shared" si="35"/>
        <v>1</v>
      </c>
      <c r="AS18" s="60"/>
      <c r="AT18" s="58"/>
      <c r="AU18" s="62">
        <f t="shared" si="36"/>
        <v>1</v>
      </c>
      <c r="AV18" s="83">
        <f t="shared" si="37"/>
        <v>0</v>
      </c>
      <c r="AW18" s="83">
        <f t="shared" si="37"/>
        <v>0</v>
      </c>
      <c r="AX18" s="64">
        <f t="shared" si="38"/>
        <v>0</v>
      </c>
      <c r="AY18" s="65" t="e">
        <f t="shared" si="39"/>
        <v>#DIV/0!</v>
      </c>
      <c r="AZ18" s="66">
        <f t="shared" si="40"/>
        <v>0</v>
      </c>
      <c r="BA18" s="67">
        <f>MAX(0, Table176252626[[#This Row],[Column6]])</f>
        <v>1</v>
      </c>
      <c r="BB18" s="68">
        <v>0</v>
      </c>
      <c r="BC18" s="84">
        <f t="shared" si="5"/>
        <v>1</v>
      </c>
      <c r="BD18" s="83">
        <f t="shared" si="3"/>
        <v>1</v>
      </c>
      <c r="BE18" s="85">
        <v>2</v>
      </c>
      <c r="BF18" s="86">
        <v>44546.342847222222</v>
      </c>
      <c r="BG18" s="72">
        <f t="shared" si="6"/>
        <v>46265</v>
      </c>
      <c r="BH18" s="87">
        <f t="shared" si="41"/>
        <v>1718.6571527777778</v>
      </c>
      <c r="BI18" s="80" t="str">
        <f t="shared" si="4"/>
        <v>Dead Stock</v>
      </c>
      <c r="BJ18" s="238">
        <v>390</v>
      </c>
    </row>
    <row r="19" spans="1:62" ht="13">
      <c r="A19" s="49"/>
      <c r="B19" s="50"/>
      <c r="C19" s="51">
        <v>16</v>
      </c>
      <c r="D19" s="52" t="s">
        <v>722</v>
      </c>
      <c r="E19" s="78">
        <v>17</v>
      </c>
      <c r="F19" s="80" t="s">
        <v>888</v>
      </c>
      <c r="G19" s="81" t="s">
        <v>889</v>
      </c>
      <c r="H19" s="81" t="s">
        <v>299</v>
      </c>
      <c r="I19" s="80" t="s">
        <v>458</v>
      </c>
      <c r="J19" s="93">
        <f t="shared" si="25"/>
        <v>2</v>
      </c>
      <c r="K19" s="80">
        <v>2</v>
      </c>
      <c r="L19" s="57"/>
      <c r="M19" s="58"/>
      <c r="N19" s="59">
        <f t="shared" si="1"/>
        <v>2</v>
      </c>
      <c r="O19" s="60"/>
      <c r="P19" s="58"/>
      <c r="Q19" s="59">
        <f t="shared" si="26"/>
        <v>2</v>
      </c>
      <c r="R19" s="60"/>
      <c r="S19" s="58"/>
      <c r="T19" s="61">
        <f t="shared" si="27"/>
        <v>2</v>
      </c>
      <c r="U19" s="60"/>
      <c r="V19" s="58"/>
      <c r="W19" s="59">
        <f t="shared" si="28"/>
        <v>2</v>
      </c>
      <c r="X19" s="60"/>
      <c r="Y19" s="58"/>
      <c r="Z19" s="61">
        <f t="shared" si="29"/>
        <v>2</v>
      </c>
      <c r="AA19" s="60"/>
      <c r="AB19" s="58"/>
      <c r="AC19" s="59">
        <f t="shared" si="30"/>
        <v>2</v>
      </c>
      <c r="AD19" s="57"/>
      <c r="AE19" s="58"/>
      <c r="AF19" s="243">
        <f t="shared" si="31"/>
        <v>2</v>
      </c>
      <c r="AG19" s="60"/>
      <c r="AH19" s="58"/>
      <c r="AI19" s="62">
        <f t="shared" si="32"/>
        <v>2</v>
      </c>
      <c r="AJ19" s="60"/>
      <c r="AK19" s="58"/>
      <c r="AL19" s="62">
        <f t="shared" si="33"/>
        <v>2</v>
      </c>
      <c r="AM19" s="60"/>
      <c r="AN19" s="58"/>
      <c r="AO19" s="62">
        <f t="shared" si="34"/>
        <v>2</v>
      </c>
      <c r="AP19" s="60"/>
      <c r="AQ19" s="58"/>
      <c r="AR19" s="62">
        <f t="shared" si="35"/>
        <v>2</v>
      </c>
      <c r="AS19" s="60"/>
      <c r="AT19" s="58"/>
      <c r="AU19" s="62">
        <f t="shared" si="36"/>
        <v>2</v>
      </c>
      <c r="AV19" s="83">
        <f t="shared" ref="AV19:AW19" si="42">SUM(L19+O19+R19+U19+X19+AA19+AD19+AG19+AJ19+AM19+AP19+AS19)</f>
        <v>0</v>
      </c>
      <c r="AW19" s="83">
        <f t="shared" si="42"/>
        <v>0</v>
      </c>
      <c r="AX19" s="64">
        <f t="shared" si="38"/>
        <v>0</v>
      </c>
      <c r="AY19" s="65" t="e">
        <f t="shared" si="39"/>
        <v>#DIV/0!</v>
      </c>
      <c r="AZ19" s="66">
        <f t="shared" si="40"/>
        <v>0</v>
      </c>
      <c r="BA19" s="67">
        <f>MAX(0, Table176252626[[#This Row],[Column6]])</f>
        <v>2</v>
      </c>
      <c r="BB19" s="68">
        <v>1</v>
      </c>
      <c r="BC19" s="84">
        <f t="shared" si="5"/>
        <v>2</v>
      </c>
      <c r="BD19" s="83">
        <f t="shared" si="3"/>
        <v>1</v>
      </c>
      <c r="BE19" s="85">
        <v>2</v>
      </c>
      <c r="BF19" s="86">
        <v>44260.608402777776</v>
      </c>
      <c r="BG19" s="72">
        <f t="shared" si="6"/>
        <v>46265</v>
      </c>
      <c r="BH19" s="87">
        <f t="shared" si="41"/>
        <v>2004.3915972222239</v>
      </c>
      <c r="BI19" s="80" t="str">
        <f t="shared" si="4"/>
        <v>Dead Stock</v>
      </c>
      <c r="BJ19" s="238">
        <v>1631.25</v>
      </c>
    </row>
    <row r="20" spans="1:62" ht="13">
      <c r="A20" s="49"/>
      <c r="B20" s="50"/>
      <c r="C20" s="51">
        <v>17</v>
      </c>
      <c r="D20" s="52" t="s">
        <v>722</v>
      </c>
      <c r="E20" s="78">
        <v>18</v>
      </c>
      <c r="F20" s="80" t="s">
        <v>38</v>
      </c>
      <c r="G20" s="81" t="s">
        <v>869</v>
      </c>
      <c r="H20" s="81" t="s">
        <v>300</v>
      </c>
      <c r="I20" s="80" t="s">
        <v>458</v>
      </c>
      <c r="J20" s="93">
        <f t="shared" si="25"/>
        <v>2</v>
      </c>
      <c r="K20" s="80">
        <v>0</v>
      </c>
      <c r="L20" s="57"/>
      <c r="M20" s="58"/>
      <c r="N20" s="59">
        <f t="shared" si="1"/>
        <v>0</v>
      </c>
      <c r="O20" s="60"/>
      <c r="P20" s="58"/>
      <c r="Q20" s="59">
        <f t="shared" si="26"/>
        <v>0</v>
      </c>
      <c r="R20" s="60">
        <f>1+1</f>
        <v>2</v>
      </c>
      <c r="S20" s="58"/>
      <c r="T20" s="61">
        <f t="shared" si="27"/>
        <v>2</v>
      </c>
      <c r="U20" s="60"/>
      <c r="V20" s="58"/>
      <c r="W20" s="59">
        <f t="shared" si="28"/>
        <v>2</v>
      </c>
      <c r="X20" s="60"/>
      <c r="Y20" s="58"/>
      <c r="Z20" s="61">
        <f t="shared" si="29"/>
        <v>2</v>
      </c>
      <c r="AA20" s="60"/>
      <c r="AB20" s="58"/>
      <c r="AC20" s="59">
        <f t="shared" si="30"/>
        <v>2</v>
      </c>
      <c r="AD20" s="57"/>
      <c r="AE20" s="58"/>
      <c r="AF20" s="243">
        <f t="shared" si="31"/>
        <v>2</v>
      </c>
      <c r="AG20" s="60"/>
      <c r="AH20" s="58"/>
      <c r="AI20" s="62">
        <f t="shared" si="32"/>
        <v>2</v>
      </c>
      <c r="AJ20" s="60"/>
      <c r="AK20" s="58"/>
      <c r="AL20" s="62">
        <f t="shared" si="33"/>
        <v>2</v>
      </c>
      <c r="AM20" s="60"/>
      <c r="AN20" s="58"/>
      <c r="AO20" s="62">
        <f t="shared" si="34"/>
        <v>2</v>
      </c>
      <c r="AP20" s="60"/>
      <c r="AQ20" s="58"/>
      <c r="AR20" s="62">
        <f t="shared" si="35"/>
        <v>2</v>
      </c>
      <c r="AS20" s="60"/>
      <c r="AT20" s="58"/>
      <c r="AU20" s="62">
        <f t="shared" si="36"/>
        <v>2</v>
      </c>
      <c r="AV20" s="83">
        <f t="shared" ref="AV20:AW25" si="43">SUM(L20+O20+R20+U20+X20+AA20+AD20+AG20+AJ20+AM20+AP20+AS20)</f>
        <v>2</v>
      </c>
      <c r="AW20" s="83">
        <f t="shared" si="43"/>
        <v>0</v>
      </c>
      <c r="AX20" s="64">
        <f t="shared" si="38"/>
        <v>0</v>
      </c>
      <c r="AY20" s="65" t="e">
        <f t="shared" si="39"/>
        <v>#DIV/0!</v>
      </c>
      <c r="AZ20" s="66">
        <f t="shared" si="40"/>
        <v>0</v>
      </c>
      <c r="BA20" s="67">
        <f>MAX(0, Table176252626[[#This Row],[Column6]])</f>
        <v>2</v>
      </c>
      <c r="BB20" s="68">
        <v>1</v>
      </c>
      <c r="BC20" s="84">
        <f t="shared" si="5"/>
        <v>2</v>
      </c>
      <c r="BD20" s="83">
        <f t="shared" si="3"/>
        <v>1</v>
      </c>
      <c r="BE20" s="85">
        <v>2</v>
      </c>
      <c r="BF20" s="86">
        <v>46100</v>
      </c>
      <c r="BG20" s="72">
        <f t="shared" si="6"/>
        <v>46265</v>
      </c>
      <c r="BH20" s="87">
        <f t="shared" si="41"/>
        <v>165</v>
      </c>
      <c r="BI20" s="80" t="str">
        <f t="shared" si="4"/>
        <v/>
      </c>
      <c r="BJ20" s="238">
        <v>23750</v>
      </c>
    </row>
    <row r="21" spans="1:62" ht="13">
      <c r="A21" s="49"/>
      <c r="B21" s="50"/>
      <c r="C21" s="51">
        <v>18</v>
      </c>
      <c r="D21" s="78" t="s">
        <v>722</v>
      </c>
      <c r="E21" s="78">
        <v>19</v>
      </c>
      <c r="F21" s="80" t="s">
        <v>158</v>
      </c>
      <c r="G21" s="81" t="s">
        <v>159</v>
      </c>
      <c r="H21" s="81" t="s">
        <v>300</v>
      </c>
      <c r="I21" s="80" t="s">
        <v>458</v>
      </c>
      <c r="J21" s="93">
        <f t="shared" si="25"/>
        <v>1</v>
      </c>
      <c r="K21" s="80">
        <v>1</v>
      </c>
      <c r="L21" s="57"/>
      <c r="M21" s="58"/>
      <c r="N21" s="59">
        <f t="shared" si="1"/>
        <v>1</v>
      </c>
      <c r="O21" s="60"/>
      <c r="P21" s="58"/>
      <c r="Q21" s="59">
        <f t="shared" si="26"/>
        <v>1</v>
      </c>
      <c r="R21" s="60"/>
      <c r="S21" s="58"/>
      <c r="T21" s="61">
        <f t="shared" si="27"/>
        <v>1</v>
      </c>
      <c r="U21" s="60"/>
      <c r="V21" s="58"/>
      <c r="W21" s="59">
        <f t="shared" si="28"/>
        <v>1</v>
      </c>
      <c r="X21" s="60"/>
      <c r="Y21" s="58"/>
      <c r="Z21" s="61">
        <f t="shared" si="29"/>
        <v>1</v>
      </c>
      <c r="AA21" s="60"/>
      <c r="AB21" s="58"/>
      <c r="AC21" s="59">
        <f t="shared" si="30"/>
        <v>1</v>
      </c>
      <c r="AD21" s="57"/>
      <c r="AE21" s="58"/>
      <c r="AF21" s="243">
        <f t="shared" si="31"/>
        <v>1</v>
      </c>
      <c r="AG21" s="60"/>
      <c r="AH21" s="58"/>
      <c r="AI21" s="62">
        <f t="shared" si="32"/>
        <v>1</v>
      </c>
      <c r="AJ21" s="60"/>
      <c r="AK21" s="58"/>
      <c r="AL21" s="62">
        <f t="shared" si="33"/>
        <v>1</v>
      </c>
      <c r="AM21" s="60"/>
      <c r="AN21" s="58"/>
      <c r="AO21" s="62">
        <f t="shared" si="34"/>
        <v>1</v>
      </c>
      <c r="AP21" s="60"/>
      <c r="AQ21" s="58"/>
      <c r="AR21" s="62">
        <f t="shared" si="35"/>
        <v>1</v>
      </c>
      <c r="AS21" s="60"/>
      <c r="AT21" s="58"/>
      <c r="AU21" s="62">
        <f t="shared" si="36"/>
        <v>1</v>
      </c>
      <c r="AV21" s="83">
        <f t="shared" si="43"/>
        <v>0</v>
      </c>
      <c r="AW21" s="83">
        <f t="shared" si="43"/>
        <v>0</v>
      </c>
      <c r="AX21" s="64">
        <f t="shared" si="38"/>
        <v>0</v>
      </c>
      <c r="AY21" s="65" t="e">
        <f t="shared" si="39"/>
        <v>#DIV/0!</v>
      </c>
      <c r="AZ21" s="66">
        <f t="shared" si="40"/>
        <v>0</v>
      </c>
      <c r="BA21" s="67">
        <f>MAX(0, Table176252626[[#This Row],[Column6]])</f>
        <v>1</v>
      </c>
      <c r="BB21" s="68">
        <v>0</v>
      </c>
      <c r="BC21" s="84">
        <f t="shared" si="5"/>
        <v>1</v>
      </c>
      <c r="BD21" s="83">
        <f t="shared" si="3"/>
        <v>1</v>
      </c>
      <c r="BE21" s="85">
        <v>2</v>
      </c>
      <c r="BF21" s="86">
        <v>42718.600474537037</v>
      </c>
      <c r="BG21" s="72">
        <f t="shared" si="6"/>
        <v>46265</v>
      </c>
      <c r="BH21" s="87">
        <f t="shared" si="41"/>
        <v>3546.3995254629626</v>
      </c>
      <c r="BI21" s="80" t="str">
        <f t="shared" si="4"/>
        <v>Dead Stock</v>
      </c>
      <c r="BJ21" s="238">
        <v>2700</v>
      </c>
    </row>
    <row r="22" spans="1:62" ht="13">
      <c r="A22" s="75"/>
      <c r="B22" s="76"/>
      <c r="C22" s="51">
        <v>19</v>
      </c>
      <c r="D22" s="52" t="s">
        <v>722</v>
      </c>
      <c r="E22" s="78">
        <v>20</v>
      </c>
      <c r="F22" s="80" t="s">
        <v>18</v>
      </c>
      <c r="G22" s="81" t="s">
        <v>19</v>
      </c>
      <c r="H22" s="81" t="s">
        <v>301</v>
      </c>
      <c r="I22" s="80" t="s">
        <v>458</v>
      </c>
      <c r="J22" s="93">
        <f t="shared" si="25"/>
        <v>4</v>
      </c>
      <c r="K22" s="80">
        <v>4</v>
      </c>
      <c r="L22" s="57"/>
      <c r="M22" s="58"/>
      <c r="N22" s="59">
        <f t="shared" si="1"/>
        <v>4</v>
      </c>
      <c r="O22" s="60"/>
      <c r="P22" s="58"/>
      <c r="Q22" s="59">
        <f t="shared" si="26"/>
        <v>4</v>
      </c>
      <c r="R22" s="60"/>
      <c r="S22" s="58"/>
      <c r="T22" s="61">
        <f t="shared" si="27"/>
        <v>4</v>
      </c>
      <c r="U22" s="60"/>
      <c r="V22" s="58"/>
      <c r="W22" s="59">
        <f t="shared" si="28"/>
        <v>4</v>
      </c>
      <c r="X22" s="60"/>
      <c r="Y22" s="58"/>
      <c r="Z22" s="61">
        <f t="shared" si="29"/>
        <v>4</v>
      </c>
      <c r="AA22" s="60"/>
      <c r="AB22" s="58"/>
      <c r="AC22" s="59">
        <f t="shared" si="30"/>
        <v>4</v>
      </c>
      <c r="AD22" s="57"/>
      <c r="AE22" s="58"/>
      <c r="AF22" s="243">
        <f t="shared" si="31"/>
        <v>4</v>
      </c>
      <c r="AG22" s="60"/>
      <c r="AH22" s="58"/>
      <c r="AI22" s="62">
        <f t="shared" si="32"/>
        <v>4</v>
      </c>
      <c r="AJ22" s="60"/>
      <c r="AK22" s="58"/>
      <c r="AL22" s="62">
        <f t="shared" si="33"/>
        <v>4</v>
      </c>
      <c r="AM22" s="60"/>
      <c r="AN22" s="58"/>
      <c r="AO22" s="62">
        <f t="shared" si="34"/>
        <v>4</v>
      </c>
      <c r="AP22" s="60"/>
      <c r="AQ22" s="58"/>
      <c r="AR22" s="62">
        <f t="shared" si="35"/>
        <v>4</v>
      </c>
      <c r="AS22" s="60"/>
      <c r="AT22" s="58"/>
      <c r="AU22" s="62">
        <f t="shared" si="36"/>
        <v>4</v>
      </c>
      <c r="AV22" s="83">
        <f t="shared" si="43"/>
        <v>0</v>
      </c>
      <c r="AW22" s="83">
        <f t="shared" si="43"/>
        <v>0</v>
      </c>
      <c r="AX22" s="64">
        <f t="shared" si="38"/>
        <v>0</v>
      </c>
      <c r="AY22" s="65" t="e">
        <f t="shared" si="39"/>
        <v>#DIV/0!</v>
      </c>
      <c r="AZ22" s="66">
        <f t="shared" si="40"/>
        <v>0</v>
      </c>
      <c r="BA22" s="67">
        <f>MAX(0, Table176252626[[#This Row],[Column6]])</f>
        <v>4</v>
      </c>
      <c r="BB22" s="68">
        <v>1</v>
      </c>
      <c r="BC22" s="84">
        <f t="shared" si="5"/>
        <v>4</v>
      </c>
      <c r="BD22" s="83">
        <f t="shared" si="3"/>
        <v>3</v>
      </c>
      <c r="BE22" s="85">
        <v>2</v>
      </c>
      <c r="BF22" s="86">
        <v>42676.583101851851</v>
      </c>
      <c r="BG22" s="72">
        <f t="shared" si="6"/>
        <v>46265</v>
      </c>
      <c r="BH22" s="87">
        <f t="shared" si="41"/>
        <v>3588.4168981481489</v>
      </c>
      <c r="BI22" s="80" t="str">
        <f t="shared" si="4"/>
        <v>Dead Stock</v>
      </c>
      <c r="BJ22" s="238">
        <v>650</v>
      </c>
    </row>
    <row r="23" spans="1:62" ht="13">
      <c r="A23" s="49"/>
      <c r="B23" s="50"/>
      <c r="C23" s="77">
        <v>20</v>
      </c>
      <c r="D23" s="78" t="s">
        <v>722</v>
      </c>
      <c r="E23" s="78">
        <v>21</v>
      </c>
      <c r="F23" s="54" t="s">
        <v>1300</v>
      </c>
      <c r="G23" s="55" t="s">
        <v>1301</v>
      </c>
      <c r="H23" s="81" t="s">
        <v>300</v>
      </c>
      <c r="I23" s="80" t="s">
        <v>458</v>
      </c>
      <c r="J23" s="93">
        <f t="shared" si="25"/>
        <v>1</v>
      </c>
      <c r="K23" s="80">
        <v>1</v>
      </c>
      <c r="L23" s="57"/>
      <c r="M23" s="58"/>
      <c r="N23" s="59">
        <f t="shared" si="1"/>
        <v>1</v>
      </c>
      <c r="O23" s="60"/>
      <c r="P23" s="58"/>
      <c r="Q23" s="59">
        <f t="shared" si="26"/>
        <v>1</v>
      </c>
      <c r="R23" s="60"/>
      <c r="S23" s="58">
        <v>1</v>
      </c>
      <c r="T23" s="61">
        <f t="shared" si="27"/>
        <v>0</v>
      </c>
      <c r="U23" s="60"/>
      <c r="V23" s="58"/>
      <c r="W23" s="59">
        <f t="shared" si="28"/>
        <v>0</v>
      </c>
      <c r="X23" s="60">
        <v>1</v>
      </c>
      <c r="Y23" s="58"/>
      <c r="Z23" s="61">
        <f t="shared" si="29"/>
        <v>1</v>
      </c>
      <c r="AA23" s="60"/>
      <c r="AB23" s="58"/>
      <c r="AC23" s="59">
        <f t="shared" si="30"/>
        <v>1</v>
      </c>
      <c r="AD23" s="57"/>
      <c r="AE23" s="58"/>
      <c r="AF23" s="243">
        <f t="shared" si="31"/>
        <v>1</v>
      </c>
      <c r="AG23" s="60"/>
      <c r="AH23" s="58"/>
      <c r="AI23" s="62">
        <f t="shared" si="32"/>
        <v>1</v>
      </c>
      <c r="AJ23" s="60"/>
      <c r="AK23" s="58"/>
      <c r="AL23" s="62">
        <f t="shared" si="33"/>
        <v>1</v>
      </c>
      <c r="AM23" s="60"/>
      <c r="AN23" s="58"/>
      <c r="AO23" s="62">
        <f t="shared" si="34"/>
        <v>1</v>
      </c>
      <c r="AP23" s="60"/>
      <c r="AQ23" s="58"/>
      <c r="AR23" s="62">
        <f t="shared" si="35"/>
        <v>1</v>
      </c>
      <c r="AS23" s="60"/>
      <c r="AT23" s="58"/>
      <c r="AU23" s="62">
        <f t="shared" si="36"/>
        <v>1</v>
      </c>
      <c r="AV23" s="83">
        <f t="shared" si="43"/>
        <v>1</v>
      </c>
      <c r="AW23" s="83">
        <f t="shared" si="43"/>
        <v>1</v>
      </c>
      <c r="AX23" s="64">
        <f t="shared" si="38"/>
        <v>1</v>
      </c>
      <c r="AY23" s="65">
        <f t="shared" si="39"/>
        <v>1</v>
      </c>
      <c r="AZ23" s="66">
        <f t="shared" si="40"/>
        <v>1</v>
      </c>
      <c r="BA23" s="67">
        <f>MAX(M23,P23,S23,V23,Y23,AB23,AE23,AH23,AK23,AN23,AQ23,AT23)</f>
        <v>1</v>
      </c>
      <c r="BB23" s="68">
        <v>0</v>
      </c>
      <c r="BC23" s="84">
        <f t="shared" si="5"/>
        <v>1</v>
      </c>
      <c r="BD23" s="83">
        <f t="shared" si="3"/>
        <v>1</v>
      </c>
      <c r="BE23" s="85">
        <v>2</v>
      </c>
      <c r="BF23" s="86">
        <v>46154</v>
      </c>
      <c r="BG23" s="72">
        <f t="shared" si="6"/>
        <v>46265</v>
      </c>
      <c r="BH23" s="87">
        <f t="shared" si="41"/>
        <v>111</v>
      </c>
      <c r="BI23" s="80" t="str">
        <f t="shared" si="4"/>
        <v/>
      </c>
      <c r="BJ23" s="238">
        <v>8560</v>
      </c>
    </row>
    <row r="24" spans="1:62" ht="13">
      <c r="A24" s="90"/>
      <c r="B24" s="91"/>
      <c r="C24" s="77">
        <v>21</v>
      </c>
      <c r="D24" s="52" t="s">
        <v>722</v>
      </c>
      <c r="E24" s="78">
        <v>22</v>
      </c>
      <c r="F24" s="80" t="s">
        <v>57</v>
      </c>
      <c r="G24" s="81" t="s">
        <v>1328</v>
      </c>
      <c r="H24" s="81" t="s">
        <v>300</v>
      </c>
      <c r="I24" s="80" t="s">
        <v>458</v>
      </c>
      <c r="J24" s="93">
        <f t="shared" si="25"/>
        <v>3</v>
      </c>
      <c r="K24" s="80">
        <v>0</v>
      </c>
      <c r="L24" s="57"/>
      <c r="M24" s="58"/>
      <c r="N24" s="59">
        <f t="shared" si="1"/>
        <v>0</v>
      </c>
      <c r="O24" s="60"/>
      <c r="P24" s="58"/>
      <c r="Q24" s="59">
        <f t="shared" si="26"/>
        <v>0</v>
      </c>
      <c r="R24" s="60"/>
      <c r="S24" s="58"/>
      <c r="T24" s="61">
        <f t="shared" si="27"/>
        <v>0</v>
      </c>
      <c r="U24" s="60"/>
      <c r="V24" s="58"/>
      <c r="W24" s="59">
        <f t="shared" si="28"/>
        <v>0</v>
      </c>
      <c r="X24" s="60"/>
      <c r="Y24" s="58"/>
      <c r="Z24" s="61">
        <f t="shared" si="29"/>
        <v>0</v>
      </c>
      <c r="AA24" s="60">
        <v>3</v>
      </c>
      <c r="AB24" s="58"/>
      <c r="AC24" s="59">
        <f t="shared" si="30"/>
        <v>3</v>
      </c>
      <c r="AD24" s="57"/>
      <c r="AE24" s="58"/>
      <c r="AF24" s="243">
        <f t="shared" si="31"/>
        <v>3</v>
      </c>
      <c r="AG24" s="60"/>
      <c r="AH24" s="58"/>
      <c r="AI24" s="62">
        <f t="shared" si="32"/>
        <v>3</v>
      </c>
      <c r="AJ24" s="60"/>
      <c r="AK24" s="58"/>
      <c r="AL24" s="62">
        <f t="shared" si="33"/>
        <v>3</v>
      </c>
      <c r="AM24" s="60"/>
      <c r="AN24" s="58"/>
      <c r="AO24" s="62">
        <f t="shared" si="34"/>
        <v>3</v>
      </c>
      <c r="AP24" s="60"/>
      <c r="AQ24" s="58"/>
      <c r="AR24" s="62">
        <f t="shared" si="35"/>
        <v>3</v>
      </c>
      <c r="AS24" s="60"/>
      <c r="AT24" s="58"/>
      <c r="AU24" s="62">
        <f t="shared" si="36"/>
        <v>3</v>
      </c>
      <c r="AV24" s="83">
        <f t="shared" si="43"/>
        <v>3</v>
      </c>
      <c r="AW24" s="83">
        <f t="shared" si="43"/>
        <v>0</v>
      </c>
      <c r="AX24" s="64">
        <f t="shared" si="38"/>
        <v>0</v>
      </c>
      <c r="AY24" s="65" t="e">
        <f t="shared" si="39"/>
        <v>#DIV/0!</v>
      </c>
      <c r="AZ24" s="66">
        <f t="shared" si="40"/>
        <v>0</v>
      </c>
      <c r="BA24" s="67">
        <v>3</v>
      </c>
      <c r="BB24" s="68">
        <v>1</v>
      </c>
      <c r="BC24" s="84">
        <f t="shared" si="5"/>
        <v>3</v>
      </c>
      <c r="BD24" s="83">
        <f t="shared" si="3"/>
        <v>2</v>
      </c>
      <c r="BE24" s="85">
        <v>2</v>
      </c>
      <c r="BF24" s="86">
        <v>46182.369513888887</v>
      </c>
      <c r="BG24" s="72">
        <f t="shared" si="6"/>
        <v>46265</v>
      </c>
      <c r="BH24" s="87">
        <f t="shared" si="41"/>
        <v>82.630486111112987</v>
      </c>
      <c r="BI24" s="80" t="str">
        <f t="shared" si="4"/>
        <v/>
      </c>
      <c r="BJ24" s="238">
        <v>3500</v>
      </c>
    </row>
    <row r="25" spans="1:62" ht="13">
      <c r="A25" s="49"/>
      <c r="B25" s="50"/>
      <c r="C25" s="51">
        <v>22</v>
      </c>
      <c r="D25" s="52" t="s">
        <v>722</v>
      </c>
      <c r="E25" s="78">
        <v>23</v>
      </c>
      <c r="F25" s="80" t="s">
        <v>253</v>
      </c>
      <c r="G25" s="81" t="s">
        <v>936</v>
      </c>
      <c r="H25" s="81" t="s">
        <v>300</v>
      </c>
      <c r="I25" s="80" t="s">
        <v>458</v>
      </c>
      <c r="J25" s="93">
        <f t="shared" si="25"/>
        <v>3</v>
      </c>
      <c r="K25" s="80">
        <v>0</v>
      </c>
      <c r="L25" s="57">
        <v>3</v>
      </c>
      <c r="M25" s="58"/>
      <c r="N25" s="59">
        <f t="shared" si="1"/>
        <v>3</v>
      </c>
      <c r="O25" s="60"/>
      <c r="P25" s="58"/>
      <c r="Q25" s="59">
        <f t="shared" si="26"/>
        <v>3</v>
      </c>
      <c r="R25" s="60"/>
      <c r="S25" s="58"/>
      <c r="T25" s="61">
        <f t="shared" si="27"/>
        <v>3</v>
      </c>
      <c r="U25" s="60"/>
      <c r="V25" s="58"/>
      <c r="W25" s="59">
        <f t="shared" si="28"/>
        <v>3</v>
      </c>
      <c r="X25" s="60"/>
      <c r="Y25" s="58"/>
      <c r="Z25" s="61">
        <f t="shared" si="29"/>
        <v>3</v>
      </c>
      <c r="AA25" s="60"/>
      <c r="AB25" s="58"/>
      <c r="AC25" s="59">
        <f t="shared" si="30"/>
        <v>3</v>
      </c>
      <c r="AD25" s="57"/>
      <c r="AE25" s="58"/>
      <c r="AF25" s="243">
        <f t="shared" si="31"/>
        <v>3</v>
      </c>
      <c r="AG25" s="60"/>
      <c r="AH25" s="58"/>
      <c r="AI25" s="62">
        <f t="shared" si="32"/>
        <v>3</v>
      </c>
      <c r="AJ25" s="60"/>
      <c r="AK25" s="58"/>
      <c r="AL25" s="62">
        <f t="shared" si="33"/>
        <v>3</v>
      </c>
      <c r="AM25" s="60"/>
      <c r="AN25" s="58"/>
      <c r="AO25" s="62">
        <f t="shared" si="34"/>
        <v>3</v>
      </c>
      <c r="AP25" s="60"/>
      <c r="AQ25" s="58"/>
      <c r="AR25" s="62">
        <f t="shared" si="35"/>
        <v>3</v>
      </c>
      <c r="AS25" s="60"/>
      <c r="AT25" s="58"/>
      <c r="AU25" s="62">
        <f t="shared" si="36"/>
        <v>3</v>
      </c>
      <c r="AV25" s="83">
        <f t="shared" si="43"/>
        <v>3</v>
      </c>
      <c r="AW25" s="83">
        <f t="shared" si="43"/>
        <v>0</v>
      </c>
      <c r="AX25" s="64">
        <f t="shared" si="38"/>
        <v>0</v>
      </c>
      <c r="AY25" s="65" t="e">
        <f t="shared" si="39"/>
        <v>#DIV/0!</v>
      </c>
      <c r="AZ25" s="66">
        <f t="shared" si="40"/>
        <v>0</v>
      </c>
      <c r="BA25" s="67">
        <v>3</v>
      </c>
      <c r="BB25" s="68">
        <v>1</v>
      </c>
      <c r="BC25" s="84">
        <f t="shared" si="5"/>
        <v>3</v>
      </c>
      <c r="BD25" s="83">
        <f t="shared" si="3"/>
        <v>2</v>
      </c>
      <c r="BE25" s="85">
        <v>2</v>
      </c>
      <c r="BF25" s="86">
        <v>46036.680648148147</v>
      </c>
      <c r="BG25" s="72">
        <f t="shared" si="6"/>
        <v>46265</v>
      </c>
      <c r="BH25" s="87">
        <f t="shared" si="41"/>
        <v>228.31935185185284</v>
      </c>
      <c r="BI25" s="80" t="str">
        <f t="shared" si="4"/>
        <v/>
      </c>
      <c r="BJ25" s="238">
        <v>2500</v>
      </c>
    </row>
    <row r="26" spans="1:62" ht="13">
      <c r="A26" s="90"/>
      <c r="B26" s="91"/>
      <c r="C26" s="51">
        <v>23</v>
      </c>
      <c r="D26" s="78" t="s">
        <v>722</v>
      </c>
      <c r="E26" s="78">
        <v>24</v>
      </c>
      <c r="F26" s="88" t="s">
        <v>1211</v>
      </c>
      <c r="G26" s="89" t="s">
        <v>1217</v>
      </c>
      <c r="H26" s="89" t="s">
        <v>1160</v>
      </c>
      <c r="I26" s="88" t="s">
        <v>458</v>
      </c>
      <c r="J26" s="93">
        <f t="shared" si="25"/>
        <v>5</v>
      </c>
      <c r="K26" s="80">
        <v>5</v>
      </c>
      <c r="L26" s="58"/>
      <c r="M26" s="58"/>
      <c r="N26" s="62">
        <f t="shared" si="1"/>
        <v>5</v>
      </c>
      <c r="O26" s="60"/>
      <c r="P26" s="58"/>
      <c r="Q26" s="62">
        <f t="shared" ref="Q26:Q33" si="44">SUM(N26+O26-P26)</f>
        <v>5</v>
      </c>
      <c r="R26" s="60"/>
      <c r="S26" s="58"/>
      <c r="T26" s="94">
        <f t="shared" ref="T26:T33" si="45">SUM(Q26+R26-S26)</f>
        <v>5</v>
      </c>
      <c r="U26" s="60"/>
      <c r="V26" s="58"/>
      <c r="W26" s="62">
        <f t="shared" ref="W26:W33" si="46">SUM(T26+U26-V26)</f>
        <v>5</v>
      </c>
      <c r="X26" s="60"/>
      <c r="Y26" s="58"/>
      <c r="Z26" s="94">
        <f t="shared" ref="Z26:Z33" si="47">SUM(W26+X26-Y26)</f>
        <v>5</v>
      </c>
      <c r="AA26" s="60"/>
      <c r="AB26" s="58"/>
      <c r="AC26" s="62">
        <f t="shared" ref="AC26:AC33" si="48">SUM(Z26+AA26-AB26)</f>
        <v>5</v>
      </c>
      <c r="AD26" s="57"/>
      <c r="AE26" s="58"/>
      <c r="AF26" s="165">
        <f t="shared" ref="AF26:AF33" si="49">SUM(AC26+AD26-AE26)</f>
        <v>5</v>
      </c>
      <c r="AG26" s="60"/>
      <c r="AH26" s="58"/>
      <c r="AI26" s="62">
        <f t="shared" ref="AI26:AI33" si="50">SUM(AF26+AG26-AH26)</f>
        <v>5</v>
      </c>
      <c r="AJ26" s="60"/>
      <c r="AK26" s="58"/>
      <c r="AL26" s="62">
        <f t="shared" ref="AL26:AL33" si="51">SUM(AI26+AJ26-AK26)</f>
        <v>5</v>
      </c>
      <c r="AM26" s="60"/>
      <c r="AN26" s="58"/>
      <c r="AO26" s="62">
        <f t="shared" ref="AO26:AO33" si="52">SUM(AL26+AM26-AN26)</f>
        <v>5</v>
      </c>
      <c r="AP26" s="60"/>
      <c r="AQ26" s="58"/>
      <c r="AR26" s="62">
        <f>SUM(AO26+AP26-AQ26)</f>
        <v>5</v>
      </c>
      <c r="AS26" s="60"/>
      <c r="AT26" s="58"/>
      <c r="AU26" s="62">
        <f t="shared" ref="AU26:AU33" si="53">SUM(AR26+AS26-AT26)</f>
        <v>5</v>
      </c>
      <c r="AV26" s="96">
        <f t="shared" ref="AV26:AW33" si="54">SUM(L26+O26+R26+U26+X26+AA26+AD26+AG26+AJ26+AM26+AP26+AS26)</f>
        <v>0</v>
      </c>
      <c r="AW26" s="97">
        <f t="shared" si="54"/>
        <v>0</v>
      </c>
      <c r="AX26" s="98">
        <f t="shared" ref="AX26:AX33" si="55">SUM(M26,P26,S26,V26,Y26,AB26,AE26,AH26,AK26,AN26,AQ26,AT26)</f>
        <v>0</v>
      </c>
      <c r="AY26" s="99" t="e">
        <f t="shared" si="39"/>
        <v>#DIV/0!</v>
      </c>
      <c r="AZ26" s="100">
        <f t="shared" si="40"/>
        <v>0</v>
      </c>
      <c r="BA26" s="101">
        <v>5</v>
      </c>
      <c r="BB26" s="102">
        <v>1</v>
      </c>
      <c r="BC26" s="84">
        <f t="shared" si="5"/>
        <v>5</v>
      </c>
      <c r="BD26" s="83">
        <f t="shared" si="3"/>
        <v>4</v>
      </c>
      <c r="BE26" s="85">
        <v>2</v>
      </c>
      <c r="BF26" s="86">
        <v>45272.571273148147</v>
      </c>
      <c r="BG26" s="72">
        <f t="shared" si="6"/>
        <v>46265</v>
      </c>
      <c r="BH26" s="103">
        <f t="shared" si="41"/>
        <v>992.42872685185284</v>
      </c>
      <c r="BI26" s="80" t="str">
        <f t="shared" si="4"/>
        <v>Dead Stock</v>
      </c>
      <c r="BJ26" s="238">
        <v>765</v>
      </c>
    </row>
    <row r="27" spans="1:62" ht="13">
      <c r="A27" s="49"/>
      <c r="B27" s="76"/>
      <c r="C27" s="51">
        <v>24</v>
      </c>
      <c r="D27" s="52" t="s">
        <v>722</v>
      </c>
      <c r="E27" s="78">
        <v>25</v>
      </c>
      <c r="F27" s="88" t="s">
        <v>1763</v>
      </c>
      <c r="G27" s="89" t="s">
        <v>1764</v>
      </c>
      <c r="H27" s="89" t="s">
        <v>1765</v>
      </c>
      <c r="I27" s="88" t="s">
        <v>458</v>
      </c>
      <c r="J27" s="93">
        <f t="shared" si="25"/>
        <v>1</v>
      </c>
      <c r="K27" s="80">
        <v>4</v>
      </c>
      <c r="L27" s="58"/>
      <c r="M27" s="58"/>
      <c r="N27" s="62">
        <f t="shared" si="1"/>
        <v>4</v>
      </c>
      <c r="O27" s="60"/>
      <c r="P27" s="58"/>
      <c r="Q27" s="62">
        <f>SUM(N27+O27-P27)</f>
        <v>4</v>
      </c>
      <c r="R27" s="60"/>
      <c r="S27" s="58"/>
      <c r="T27" s="94">
        <f>SUM(Q27+R27-S27)</f>
        <v>4</v>
      </c>
      <c r="U27" s="60"/>
      <c r="V27" s="58"/>
      <c r="W27" s="62">
        <f>SUM(T27+U27-V27)</f>
        <v>4</v>
      </c>
      <c r="X27" s="60"/>
      <c r="Y27" s="58"/>
      <c r="Z27" s="94">
        <f>SUM(W27+X27-Y27)</f>
        <v>4</v>
      </c>
      <c r="AA27" s="60"/>
      <c r="AB27" s="58">
        <v>3</v>
      </c>
      <c r="AC27" s="62">
        <f>SUM(Z27+AA27-AB27)</f>
        <v>1</v>
      </c>
      <c r="AD27" s="57"/>
      <c r="AE27" s="58"/>
      <c r="AF27" s="165">
        <f>SUM(AC27+AD27-AE27)</f>
        <v>1</v>
      </c>
      <c r="AG27" s="60"/>
      <c r="AH27" s="58"/>
      <c r="AI27" s="62">
        <f>SUM(AF27+AG27-AH27)</f>
        <v>1</v>
      </c>
      <c r="AJ27" s="60"/>
      <c r="AK27" s="58"/>
      <c r="AL27" s="62">
        <f>SUM(AI27+AJ27-AK27)</f>
        <v>1</v>
      </c>
      <c r="AM27" s="60"/>
      <c r="AN27" s="58"/>
      <c r="AO27" s="62">
        <f>SUM(AL27+AM27-AN27)</f>
        <v>1</v>
      </c>
      <c r="AP27" s="60"/>
      <c r="AQ27" s="58"/>
      <c r="AR27" s="62">
        <f>SUM(AO27+AP27-AQ27)</f>
        <v>1</v>
      </c>
      <c r="AS27" s="60"/>
      <c r="AT27" s="58"/>
      <c r="AU27" s="62">
        <f>SUM(AR27+AS27-AT27)</f>
        <v>1</v>
      </c>
      <c r="AV27" s="96">
        <f t="shared" ref="AV27:AW27" si="56">SUM(L27+O27+R27+U27+X27+AA27+AD27+AG27+AJ27+AM27+AP27+AS27)</f>
        <v>0</v>
      </c>
      <c r="AW27" s="97">
        <f t="shared" si="56"/>
        <v>3</v>
      </c>
      <c r="AX27" s="98">
        <f>SUM(M27,P27,S27,V27,Y27,AB27,AE27,AH27,AK27,AN27,AQ27,AT27)</f>
        <v>3</v>
      </c>
      <c r="AY27" s="99">
        <f>AVERAGE(M27,P27,S27,V27,Y27,AB27,AE27,AH27,AK27,AN27,AQ27,AT27)</f>
        <v>3</v>
      </c>
      <c r="AZ27" s="100">
        <f>COUNT(M27,P27,S27,V27,Y27,AB27,AE27,AH27,AK27,AN27,AQ27,AT27)</f>
        <v>1</v>
      </c>
      <c r="BA27" s="101">
        <v>1</v>
      </c>
      <c r="BB27" s="102">
        <v>0</v>
      </c>
      <c r="BC27" s="84">
        <f t="shared" si="5"/>
        <v>1</v>
      </c>
      <c r="BD27" s="83">
        <f t="shared" si="3"/>
        <v>1</v>
      </c>
      <c r="BE27" s="85">
        <v>2</v>
      </c>
      <c r="BF27" s="86">
        <v>45272.571273148147</v>
      </c>
      <c r="BG27" s="72">
        <f t="shared" si="6"/>
        <v>46265</v>
      </c>
      <c r="BH27" s="103">
        <f>BG27-BF27</f>
        <v>992.42872685185284</v>
      </c>
      <c r="BI27" s="80" t="str">
        <f t="shared" si="4"/>
        <v>Dead Stock</v>
      </c>
      <c r="BJ27" s="238">
        <v>302.5</v>
      </c>
    </row>
    <row r="28" spans="1:62" ht="13">
      <c r="A28" s="75"/>
      <c r="B28" s="76"/>
      <c r="C28" s="51">
        <v>25</v>
      </c>
      <c r="D28" s="52" t="s">
        <v>722</v>
      </c>
      <c r="E28" s="78">
        <v>26</v>
      </c>
      <c r="F28" s="80" t="s">
        <v>1378</v>
      </c>
      <c r="G28" s="81" t="s">
        <v>1377</v>
      </c>
      <c r="H28" s="81" t="s">
        <v>299</v>
      </c>
      <c r="I28" s="80" t="s">
        <v>458</v>
      </c>
      <c r="J28" s="93">
        <f t="shared" si="25"/>
        <v>1</v>
      </c>
      <c r="K28" s="80">
        <v>1</v>
      </c>
      <c r="L28" s="57"/>
      <c r="M28" s="58"/>
      <c r="N28" s="59">
        <f t="shared" si="1"/>
        <v>1</v>
      </c>
      <c r="O28" s="60"/>
      <c r="P28" s="58"/>
      <c r="Q28" s="59">
        <f>SUM(N28+O28-P28)</f>
        <v>1</v>
      </c>
      <c r="R28" s="60"/>
      <c r="S28" s="58"/>
      <c r="T28" s="61">
        <f>SUM(Q28+R28-S28)</f>
        <v>1</v>
      </c>
      <c r="U28" s="60"/>
      <c r="V28" s="58"/>
      <c r="W28" s="59">
        <f>SUM(T28+U28-V28)</f>
        <v>1</v>
      </c>
      <c r="X28" s="60"/>
      <c r="Y28" s="58"/>
      <c r="Z28" s="61">
        <f>SUM(W28+X28-Y28)</f>
        <v>1</v>
      </c>
      <c r="AA28" s="60"/>
      <c r="AB28" s="58"/>
      <c r="AC28" s="59">
        <f>SUM(Z28+AA28-AB28)</f>
        <v>1</v>
      </c>
      <c r="AD28" s="57"/>
      <c r="AE28" s="58"/>
      <c r="AF28" s="243">
        <f>SUM(AC28+AD28-AE28)</f>
        <v>1</v>
      </c>
      <c r="AG28" s="60"/>
      <c r="AH28" s="58"/>
      <c r="AI28" s="62">
        <f>SUM(AF28+AG28-AH28)</f>
        <v>1</v>
      </c>
      <c r="AJ28" s="60"/>
      <c r="AK28" s="58"/>
      <c r="AL28" s="62">
        <f>SUM(AI28+AJ28-AK28)</f>
        <v>1</v>
      </c>
      <c r="AM28" s="60"/>
      <c r="AN28" s="58"/>
      <c r="AO28" s="62">
        <f>SUM(AL28+AM28-AN28)</f>
        <v>1</v>
      </c>
      <c r="AP28" s="60"/>
      <c r="AQ28" s="58"/>
      <c r="AR28" s="62">
        <f>SUM(AO28+AP28-AQ28)</f>
        <v>1</v>
      </c>
      <c r="AS28" s="60"/>
      <c r="AT28" s="58"/>
      <c r="AU28" s="62">
        <f>SUM(AR28+AS28-AT28)</f>
        <v>1</v>
      </c>
      <c r="AV28" s="83">
        <f>SUM(L28+O28+R28+U28+X28+AA28+AD28+AG28+AJ28+AM28+AP28+AS28)</f>
        <v>0</v>
      </c>
      <c r="AW28" s="83">
        <f>SUM(M28+P28+S28+V28+Y28+AB28+AE28+AH28+AK28+AN28+AQ28+AT28)</f>
        <v>0</v>
      </c>
      <c r="AX28" s="64">
        <f>SUM(M28,P28,S28,V28,Y28,AB28,AE28,AH28,AK28,AN28,AQ28,AT28)</f>
        <v>0</v>
      </c>
      <c r="AY28" s="65" t="e">
        <f>AVERAGE(M28,P28,S28,V28,Y28,AB28,AE28,AH28,AK28,AN28,AQ28,AT28)</f>
        <v>#DIV/0!</v>
      </c>
      <c r="AZ28" s="66">
        <f>COUNT(M28,P28,S28,V28,Y28,AB28,AE28,AH28,AK28,AN28,AQ28,AT28)</f>
        <v>0</v>
      </c>
      <c r="BA28" s="67">
        <v>1</v>
      </c>
      <c r="BB28" s="68">
        <f>MIN(M28,P28,S28,V28,Y28,AB28,AE28,AH28,AK28,AN28,AQ28,AT28)</f>
        <v>0</v>
      </c>
      <c r="BC28" s="84">
        <f t="shared" si="5"/>
        <v>1</v>
      </c>
      <c r="BD28" s="83">
        <f t="shared" si="3"/>
        <v>1</v>
      </c>
      <c r="BE28" s="85">
        <v>2</v>
      </c>
      <c r="BF28" s="86">
        <v>45231.492037037038</v>
      </c>
      <c r="BG28" s="72">
        <f t="shared" si="6"/>
        <v>46265</v>
      </c>
      <c r="BH28" s="87">
        <f>BG28-BF28</f>
        <v>1033.5079629629618</v>
      </c>
      <c r="BI28" s="80" t="str">
        <f t="shared" si="4"/>
        <v>Dead Stock</v>
      </c>
      <c r="BJ28" s="238">
        <v>21000</v>
      </c>
    </row>
    <row r="29" spans="1:62" ht="13">
      <c r="A29" s="75"/>
      <c r="B29" s="76"/>
      <c r="C29" s="77">
        <v>26</v>
      </c>
      <c r="D29" s="78" t="s">
        <v>722</v>
      </c>
      <c r="E29" s="78">
        <v>27</v>
      </c>
      <c r="F29" s="105" t="s">
        <v>1171</v>
      </c>
      <c r="G29" s="106" t="s">
        <v>1172</v>
      </c>
      <c r="H29" s="81" t="s">
        <v>300</v>
      </c>
      <c r="I29" s="80" t="s">
        <v>458</v>
      </c>
      <c r="J29" s="93">
        <f t="shared" si="25"/>
        <v>1</v>
      </c>
      <c r="K29" s="80">
        <v>1</v>
      </c>
      <c r="L29" s="57"/>
      <c r="M29" s="58"/>
      <c r="N29" s="59">
        <f t="shared" si="1"/>
        <v>1</v>
      </c>
      <c r="O29" s="60"/>
      <c r="P29" s="58"/>
      <c r="Q29" s="59">
        <f t="shared" si="44"/>
        <v>1</v>
      </c>
      <c r="R29" s="60"/>
      <c r="S29" s="58"/>
      <c r="T29" s="61">
        <f t="shared" si="45"/>
        <v>1</v>
      </c>
      <c r="U29" s="60"/>
      <c r="V29" s="58"/>
      <c r="W29" s="59">
        <f t="shared" si="46"/>
        <v>1</v>
      </c>
      <c r="X29" s="60"/>
      <c r="Y29" s="58"/>
      <c r="Z29" s="61">
        <f t="shared" si="47"/>
        <v>1</v>
      </c>
      <c r="AA29" s="60"/>
      <c r="AB29" s="58"/>
      <c r="AC29" s="59">
        <f t="shared" si="48"/>
        <v>1</v>
      </c>
      <c r="AD29" s="57"/>
      <c r="AE29" s="58"/>
      <c r="AF29" s="243">
        <f t="shared" si="49"/>
        <v>1</v>
      </c>
      <c r="AG29" s="60"/>
      <c r="AH29" s="58"/>
      <c r="AI29" s="62">
        <f t="shared" si="50"/>
        <v>1</v>
      </c>
      <c r="AJ29" s="60"/>
      <c r="AK29" s="58"/>
      <c r="AL29" s="62">
        <f t="shared" si="51"/>
        <v>1</v>
      </c>
      <c r="AM29" s="60"/>
      <c r="AN29" s="58"/>
      <c r="AO29" s="62">
        <f t="shared" si="52"/>
        <v>1</v>
      </c>
      <c r="AP29" s="60"/>
      <c r="AQ29" s="58"/>
      <c r="AR29" s="62">
        <f>SUM(AO29+AP29-AQ29)</f>
        <v>1</v>
      </c>
      <c r="AS29" s="60"/>
      <c r="AT29" s="58"/>
      <c r="AU29" s="62">
        <f t="shared" si="53"/>
        <v>1</v>
      </c>
      <c r="AV29" s="83">
        <f t="shared" si="54"/>
        <v>0</v>
      </c>
      <c r="AW29" s="83">
        <f t="shared" si="54"/>
        <v>0</v>
      </c>
      <c r="AX29" s="64">
        <f t="shared" si="55"/>
        <v>0</v>
      </c>
      <c r="AY29" s="65" t="e">
        <f t="shared" si="39"/>
        <v>#DIV/0!</v>
      </c>
      <c r="AZ29" s="66">
        <f t="shared" si="40"/>
        <v>0</v>
      </c>
      <c r="BA29" s="67">
        <f>MAX(0, Table176252626[[#This Row],[Column6]])</f>
        <v>1</v>
      </c>
      <c r="BB29" s="68">
        <v>0</v>
      </c>
      <c r="BC29" s="84">
        <f t="shared" si="5"/>
        <v>1</v>
      </c>
      <c r="BD29" s="83">
        <f t="shared" si="3"/>
        <v>1</v>
      </c>
      <c r="BE29" s="85">
        <v>2</v>
      </c>
      <c r="BF29" s="86">
        <v>44855.556863425925</v>
      </c>
      <c r="BG29" s="72">
        <f t="shared" si="6"/>
        <v>46265</v>
      </c>
      <c r="BH29" s="87">
        <f t="shared" si="41"/>
        <v>1409.4431365740747</v>
      </c>
      <c r="BI29" s="80" t="str">
        <f t="shared" si="4"/>
        <v>Dead Stock</v>
      </c>
      <c r="BJ29" s="238">
        <v>59500</v>
      </c>
    </row>
    <row r="30" spans="1:62" ht="13">
      <c r="A30" s="49"/>
      <c r="B30" s="50"/>
      <c r="C30" s="77">
        <v>27</v>
      </c>
      <c r="D30" s="52" t="s">
        <v>722</v>
      </c>
      <c r="E30" s="78">
        <v>28</v>
      </c>
      <c r="F30" s="88" t="s">
        <v>1509</v>
      </c>
      <c r="G30" s="89" t="s">
        <v>1510</v>
      </c>
      <c r="H30" s="89" t="s">
        <v>1325</v>
      </c>
      <c r="I30" s="88" t="s">
        <v>458</v>
      </c>
      <c r="J30" s="93">
        <f t="shared" si="25"/>
        <v>3</v>
      </c>
      <c r="K30" s="88">
        <v>3</v>
      </c>
      <c r="L30" s="58"/>
      <c r="M30" s="58"/>
      <c r="N30" s="62">
        <f t="shared" ref="N30" si="57">SUM(K30+L30-M30)</f>
        <v>3</v>
      </c>
      <c r="O30" s="60"/>
      <c r="P30" s="58"/>
      <c r="Q30" s="62">
        <f t="shared" si="44"/>
        <v>3</v>
      </c>
      <c r="R30" s="60"/>
      <c r="S30" s="58"/>
      <c r="T30" s="94">
        <f t="shared" si="45"/>
        <v>3</v>
      </c>
      <c r="U30" s="60"/>
      <c r="V30" s="58"/>
      <c r="W30" s="62">
        <f t="shared" si="46"/>
        <v>3</v>
      </c>
      <c r="X30" s="60"/>
      <c r="Y30" s="58"/>
      <c r="Z30" s="94">
        <f t="shared" si="47"/>
        <v>3</v>
      </c>
      <c r="AA30" s="60"/>
      <c r="AB30" s="58"/>
      <c r="AC30" s="62">
        <f t="shared" si="48"/>
        <v>3</v>
      </c>
      <c r="AD30" s="57"/>
      <c r="AE30" s="58"/>
      <c r="AF30" s="165">
        <f t="shared" si="49"/>
        <v>3</v>
      </c>
      <c r="AG30" s="60"/>
      <c r="AH30" s="58"/>
      <c r="AI30" s="62">
        <f t="shared" si="50"/>
        <v>3</v>
      </c>
      <c r="AJ30" s="60"/>
      <c r="AK30" s="58"/>
      <c r="AL30" s="62">
        <f t="shared" si="51"/>
        <v>3</v>
      </c>
      <c r="AM30" s="60"/>
      <c r="AN30" s="58"/>
      <c r="AO30" s="62">
        <f t="shared" si="52"/>
        <v>3</v>
      </c>
      <c r="AP30" s="60"/>
      <c r="AQ30" s="58"/>
      <c r="AR30" s="62">
        <f t="shared" ref="AR30" si="58">SUM(AO30+AP30-AQ30)</f>
        <v>3</v>
      </c>
      <c r="AS30" s="60"/>
      <c r="AT30" s="58"/>
      <c r="AU30" s="62">
        <f t="shared" si="53"/>
        <v>3</v>
      </c>
      <c r="AV30" s="96">
        <f t="shared" si="54"/>
        <v>0</v>
      </c>
      <c r="AW30" s="97">
        <f t="shared" si="54"/>
        <v>0</v>
      </c>
      <c r="AX30" s="98">
        <f t="shared" si="55"/>
        <v>0</v>
      </c>
      <c r="AY30" s="99" t="e">
        <f t="shared" si="39"/>
        <v>#DIV/0!</v>
      </c>
      <c r="AZ30" s="100">
        <f t="shared" si="40"/>
        <v>0</v>
      </c>
      <c r="BA30" s="101">
        <v>3</v>
      </c>
      <c r="BB30" s="102">
        <v>1</v>
      </c>
      <c r="BC30" s="84">
        <f t="shared" si="5"/>
        <v>3</v>
      </c>
      <c r="BD30" s="83">
        <f t="shared" si="3"/>
        <v>2</v>
      </c>
      <c r="BE30" s="85">
        <v>2</v>
      </c>
      <c r="BF30" s="86">
        <v>45272.563402777778</v>
      </c>
      <c r="BG30" s="72">
        <f t="shared" si="6"/>
        <v>46265</v>
      </c>
      <c r="BH30" s="87">
        <f t="shared" si="41"/>
        <v>992.43659722222219</v>
      </c>
      <c r="BI30" s="80" t="str">
        <f t="shared" si="4"/>
        <v>Dead Stock</v>
      </c>
      <c r="BJ30" s="238">
        <v>8000</v>
      </c>
    </row>
    <row r="31" spans="1:62" ht="13">
      <c r="A31" s="75"/>
      <c r="B31" s="76"/>
      <c r="C31" s="51">
        <v>28</v>
      </c>
      <c r="D31" s="52" t="s">
        <v>722</v>
      </c>
      <c r="E31" s="78">
        <v>29</v>
      </c>
      <c r="F31" s="80" t="s">
        <v>447</v>
      </c>
      <c r="G31" s="81" t="s">
        <v>1264</v>
      </c>
      <c r="H31" s="81" t="s">
        <v>300</v>
      </c>
      <c r="I31" s="80" t="s">
        <v>458</v>
      </c>
      <c r="J31" s="93">
        <f t="shared" si="25"/>
        <v>1</v>
      </c>
      <c r="K31" s="80">
        <v>1</v>
      </c>
      <c r="L31" s="57"/>
      <c r="M31" s="58"/>
      <c r="N31" s="59">
        <f t="shared" ref="N31" si="59">SUM(K31+L31-M31)</f>
        <v>1</v>
      </c>
      <c r="O31" s="60"/>
      <c r="P31" s="58"/>
      <c r="Q31" s="59">
        <f t="shared" ref="Q31" si="60">SUM(N31+O31-P31)</f>
        <v>1</v>
      </c>
      <c r="R31" s="60"/>
      <c r="S31" s="58"/>
      <c r="T31" s="61">
        <f t="shared" ref="T31" si="61">SUM(Q31+R31-S31)</f>
        <v>1</v>
      </c>
      <c r="U31" s="60"/>
      <c r="V31" s="58"/>
      <c r="W31" s="59">
        <f t="shared" ref="W31" si="62">SUM(T31+U31-V31)</f>
        <v>1</v>
      </c>
      <c r="X31" s="60"/>
      <c r="Y31" s="58">
        <v>1</v>
      </c>
      <c r="Z31" s="61">
        <f t="shared" ref="Z31" si="63">SUM(W31+X31-Y31)</f>
        <v>0</v>
      </c>
      <c r="AA31" s="60">
        <v>1</v>
      </c>
      <c r="AB31" s="58"/>
      <c r="AC31" s="59">
        <f t="shared" ref="AC31" si="64">SUM(Z31+AA31-AB31)</f>
        <v>1</v>
      </c>
      <c r="AD31" s="57"/>
      <c r="AE31" s="58"/>
      <c r="AF31" s="243">
        <f t="shared" ref="AF31" si="65">SUM(AC31+AD31-AE31)</f>
        <v>1</v>
      </c>
      <c r="AG31" s="60"/>
      <c r="AH31" s="58"/>
      <c r="AI31" s="62">
        <f t="shared" ref="AI31" si="66">SUM(AF31+AG31-AH31)</f>
        <v>1</v>
      </c>
      <c r="AJ31" s="60"/>
      <c r="AK31" s="58"/>
      <c r="AL31" s="62">
        <f t="shared" ref="AL31" si="67">SUM(AI31+AJ31-AK31)</f>
        <v>1</v>
      </c>
      <c r="AM31" s="60"/>
      <c r="AN31" s="58"/>
      <c r="AO31" s="62">
        <f t="shared" ref="AO31" si="68">SUM(AL31+AM31-AN31)</f>
        <v>1</v>
      </c>
      <c r="AP31" s="60"/>
      <c r="AQ31" s="58"/>
      <c r="AR31" s="62">
        <f t="shared" ref="AR31" si="69">SUM(AO31+AP31-AQ31)</f>
        <v>1</v>
      </c>
      <c r="AS31" s="60"/>
      <c r="AT31" s="58"/>
      <c r="AU31" s="62">
        <f t="shared" ref="AU31" si="70">SUM(AR31+AS31-AT31)</f>
        <v>1</v>
      </c>
      <c r="AV31" s="83">
        <f t="shared" ref="AV31" si="71">SUM(L31+O31+R31+U31+X31+AA31+AD31+AG31+AJ31+AM31+AP31+AS31)</f>
        <v>1</v>
      </c>
      <c r="AW31" s="83">
        <f t="shared" ref="AW31" si="72">SUM(M31+P31+S31+V31+Y31+AB31+AE31+AH31+AK31+AN31+AQ31+AT31)</f>
        <v>1</v>
      </c>
      <c r="AX31" s="64">
        <f t="shared" ref="AX31" si="73">SUM(M31,P31,S31,V31,Y31,AB31,AE31,AH31,AK31,AN31,AQ31,AT31)</f>
        <v>1</v>
      </c>
      <c r="AY31" s="65">
        <f t="shared" ref="AY31" si="74">AVERAGE(M31,P31,S31,V31,Y31,AB31,AE31,AH31,AK31,AN31,AQ31,AT31)</f>
        <v>1</v>
      </c>
      <c r="AZ31" s="66">
        <f t="shared" ref="AZ31" si="75">COUNT(M31,P31,S31,V31,Y31,AB31,AE31,AH31,AK31,AN31,AQ31,AT31)</f>
        <v>1</v>
      </c>
      <c r="BA31" s="67">
        <f>MAX(0, Table176252626[[#This Row],[Column6]])</f>
        <v>1</v>
      </c>
      <c r="BB31" s="68">
        <v>0</v>
      </c>
      <c r="BC31" s="84">
        <f t="shared" si="5"/>
        <v>1</v>
      </c>
      <c r="BD31" s="83">
        <f t="shared" si="3"/>
        <v>1</v>
      </c>
      <c r="BE31" s="85">
        <v>2</v>
      </c>
      <c r="BF31" s="86">
        <v>46182.375613425924</v>
      </c>
      <c r="BG31" s="72">
        <f t="shared" si="6"/>
        <v>46265</v>
      </c>
      <c r="BH31" s="87">
        <f>BG31-BF31</f>
        <v>82.624386574076198</v>
      </c>
      <c r="BI31" s="80" t="str">
        <f t="shared" si="4"/>
        <v/>
      </c>
      <c r="BJ31" s="238">
        <v>6500</v>
      </c>
    </row>
    <row r="32" spans="1:62" ht="13">
      <c r="A32" s="49"/>
      <c r="B32" s="76"/>
      <c r="C32" s="51">
        <v>29</v>
      </c>
      <c r="D32" s="78" t="s">
        <v>722</v>
      </c>
      <c r="E32" s="78">
        <v>30</v>
      </c>
      <c r="F32" s="80" t="s">
        <v>1162</v>
      </c>
      <c r="G32" s="106" t="s">
        <v>1161</v>
      </c>
      <c r="H32" s="81" t="s">
        <v>1163</v>
      </c>
      <c r="I32" s="80" t="s">
        <v>458</v>
      </c>
      <c r="J32" s="93">
        <f t="shared" si="25"/>
        <v>1</v>
      </c>
      <c r="K32" s="80">
        <v>1</v>
      </c>
      <c r="L32" s="57"/>
      <c r="M32" s="58"/>
      <c r="N32" s="59">
        <f t="shared" ref="N32:N40" si="76">SUM(K32+L32-M32)</f>
        <v>1</v>
      </c>
      <c r="O32" s="60"/>
      <c r="P32" s="58"/>
      <c r="Q32" s="59">
        <f t="shared" si="44"/>
        <v>1</v>
      </c>
      <c r="R32" s="60"/>
      <c r="S32" s="58"/>
      <c r="T32" s="61">
        <f t="shared" si="45"/>
        <v>1</v>
      </c>
      <c r="U32" s="60"/>
      <c r="V32" s="58"/>
      <c r="W32" s="59">
        <f t="shared" si="46"/>
        <v>1</v>
      </c>
      <c r="X32" s="60"/>
      <c r="Y32" s="58"/>
      <c r="Z32" s="61">
        <f t="shared" si="47"/>
        <v>1</v>
      </c>
      <c r="AA32" s="60"/>
      <c r="AB32" s="58"/>
      <c r="AC32" s="59">
        <f t="shared" si="48"/>
        <v>1</v>
      </c>
      <c r="AD32" s="57"/>
      <c r="AE32" s="58"/>
      <c r="AF32" s="243">
        <f t="shared" si="49"/>
        <v>1</v>
      </c>
      <c r="AG32" s="60"/>
      <c r="AH32" s="58"/>
      <c r="AI32" s="62">
        <f t="shared" si="50"/>
        <v>1</v>
      </c>
      <c r="AJ32" s="60"/>
      <c r="AK32" s="58"/>
      <c r="AL32" s="62">
        <f t="shared" si="51"/>
        <v>1</v>
      </c>
      <c r="AM32" s="60"/>
      <c r="AN32" s="58"/>
      <c r="AO32" s="62">
        <f t="shared" si="52"/>
        <v>1</v>
      </c>
      <c r="AP32" s="60"/>
      <c r="AQ32" s="58"/>
      <c r="AR32" s="62">
        <f>SUM(AO32+AP32-AQ32)</f>
        <v>1</v>
      </c>
      <c r="AS32" s="60"/>
      <c r="AT32" s="58"/>
      <c r="AU32" s="62">
        <f t="shared" si="53"/>
        <v>1</v>
      </c>
      <c r="AV32" s="83">
        <f t="shared" si="54"/>
        <v>0</v>
      </c>
      <c r="AW32" s="83">
        <f t="shared" si="54"/>
        <v>0</v>
      </c>
      <c r="AX32" s="64">
        <f t="shared" si="55"/>
        <v>0</v>
      </c>
      <c r="AY32" s="65" t="e">
        <f t="shared" si="39"/>
        <v>#DIV/0!</v>
      </c>
      <c r="AZ32" s="66">
        <f t="shared" si="40"/>
        <v>0</v>
      </c>
      <c r="BA32" s="67">
        <f>MAX(0, Table176252626[[#This Row],[Column6]])</f>
        <v>1</v>
      </c>
      <c r="BB32" s="68">
        <v>0</v>
      </c>
      <c r="BC32" s="84">
        <f t="shared" si="5"/>
        <v>1</v>
      </c>
      <c r="BD32" s="83">
        <f t="shared" si="3"/>
        <v>1</v>
      </c>
      <c r="BE32" s="85">
        <v>2</v>
      </c>
      <c r="BF32" s="86">
        <v>44844.554293981484</v>
      </c>
      <c r="BG32" s="72">
        <f t="shared" si="6"/>
        <v>46265</v>
      </c>
      <c r="BH32" s="87">
        <f t="shared" si="41"/>
        <v>1420.4457060185159</v>
      </c>
      <c r="BI32" s="80" t="str">
        <f t="shared" si="4"/>
        <v>Dead Stock</v>
      </c>
      <c r="BJ32" s="238">
        <v>30600</v>
      </c>
    </row>
    <row r="33" spans="1:293" ht="13.5" customHeight="1">
      <c r="A33" s="49"/>
      <c r="B33" s="76"/>
      <c r="C33" s="51">
        <v>30</v>
      </c>
      <c r="D33" s="52" t="s">
        <v>722</v>
      </c>
      <c r="E33" s="78">
        <v>31</v>
      </c>
      <c r="F33" s="80" t="s">
        <v>1159</v>
      </c>
      <c r="G33" s="106" t="s">
        <v>1158</v>
      </c>
      <c r="H33" s="81" t="s">
        <v>1160</v>
      </c>
      <c r="I33" s="80" t="s">
        <v>458</v>
      </c>
      <c r="J33" s="93">
        <f t="shared" si="25"/>
        <v>1</v>
      </c>
      <c r="K33" s="80">
        <v>1</v>
      </c>
      <c r="L33" s="57"/>
      <c r="M33" s="58"/>
      <c r="N33" s="59">
        <f t="shared" si="76"/>
        <v>1</v>
      </c>
      <c r="O33" s="60"/>
      <c r="P33" s="58"/>
      <c r="Q33" s="59">
        <f t="shared" si="44"/>
        <v>1</v>
      </c>
      <c r="R33" s="60"/>
      <c r="S33" s="58"/>
      <c r="T33" s="61">
        <f t="shared" si="45"/>
        <v>1</v>
      </c>
      <c r="U33" s="60"/>
      <c r="V33" s="58"/>
      <c r="W33" s="59">
        <f t="shared" si="46"/>
        <v>1</v>
      </c>
      <c r="X33" s="60"/>
      <c r="Y33" s="58"/>
      <c r="Z33" s="61">
        <f t="shared" si="47"/>
        <v>1</v>
      </c>
      <c r="AA33" s="60"/>
      <c r="AB33" s="58"/>
      <c r="AC33" s="59">
        <f t="shared" si="48"/>
        <v>1</v>
      </c>
      <c r="AD33" s="57"/>
      <c r="AE33" s="58"/>
      <c r="AF33" s="243">
        <f t="shared" si="49"/>
        <v>1</v>
      </c>
      <c r="AG33" s="60"/>
      <c r="AH33" s="58"/>
      <c r="AI33" s="62">
        <f t="shared" si="50"/>
        <v>1</v>
      </c>
      <c r="AJ33" s="60"/>
      <c r="AK33" s="58"/>
      <c r="AL33" s="62">
        <f t="shared" si="51"/>
        <v>1</v>
      </c>
      <c r="AM33" s="60"/>
      <c r="AN33" s="58"/>
      <c r="AO33" s="62">
        <f t="shared" si="52"/>
        <v>1</v>
      </c>
      <c r="AP33" s="60"/>
      <c r="AQ33" s="58"/>
      <c r="AR33" s="62">
        <f>SUM(AO33+AP33-AQ33)</f>
        <v>1</v>
      </c>
      <c r="AS33" s="60"/>
      <c r="AT33" s="58"/>
      <c r="AU33" s="62">
        <f t="shared" si="53"/>
        <v>1</v>
      </c>
      <c r="AV33" s="83">
        <f t="shared" si="54"/>
        <v>0</v>
      </c>
      <c r="AW33" s="83">
        <f t="shared" si="54"/>
        <v>0</v>
      </c>
      <c r="AX33" s="64">
        <f t="shared" si="55"/>
        <v>0</v>
      </c>
      <c r="AY33" s="65" t="e">
        <f t="shared" si="39"/>
        <v>#DIV/0!</v>
      </c>
      <c r="AZ33" s="66">
        <f t="shared" si="40"/>
        <v>0</v>
      </c>
      <c r="BA33" s="67">
        <f>MAX(0, Table176252626[[#This Row],[Column6]])</f>
        <v>1</v>
      </c>
      <c r="BB33" s="68">
        <v>0</v>
      </c>
      <c r="BC33" s="84">
        <f t="shared" si="5"/>
        <v>1</v>
      </c>
      <c r="BD33" s="83">
        <f t="shared" si="3"/>
        <v>1</v>
      </c>
      <c r="BE33" s="85">
        <v>2</v>
      </c>
      <c r="BF33" s="86">
        <v>45391.56150462963</v>
      </c>
      <c r="BG33" s="72">
        <f t="shared" si="6"/>
        <v>46265</v>
      </c>
      <c r="BH33" s="87">
        <f t="shared" si="41"/>
        <v>873.43849537037022</v>
      </c>
      <c r="BI33" s="80" t="str">
        <f t="shared" si="4"/>
        <v>Dead Stock</v>
      </c>
      <c r="BJ33" s="238">
        <v>30600</v>
      </c>
    </row>
    <row r="34" spans="1:293" ht="13">
      <c r="A34" s="49"/>
      <c r="B34" s="76"/>
      <c r="C34" s="51">
        <v>31</v>
      </c>
      <c r="D34" s="52" t="s">
        <v>722</v>
      </c>
      <c r="E34" s="78">
        <v>32</v>
      </c>
      <c r="F34" s="80" t="s">
        <v>632</v>
      </c>
      <c r="G34" s="81" t="s">
        <v>1287</v>
      </c>
      <c r="H34" s="81" t="s">
        <v>300</v>
      </c>
      <c r="I34" s="80" t="s">
        <v>458</v>
      </c>
      <c r="J34" s="93">
        <f t="shared" si="25"/>
        <v>10</v>
      </c>
      <c r="K34" s="80">
        <v>2</v>
      </c>
      <c r="L34" s="57"/>
      <c r="M34" s="58"/>
      <c r="N34" s="62">
        <f t="shared" si="76"/>
        <v>2</v>
      </c>
      <c r="O34" s="60"/>
      <c r="P34" s="58"/>
      <c r="Q34" s="62">
        <f t="shared" si="8"/>
        <v>2</v>
      </c>
      <c r="R34" s="60"/>
      <c r="S34" s="58"/>
      <c r="T34" s="94">
        <f t="shared" si="9"/>
        <v>2</v>
      </c>
      <c r="U34" s="60"/>
      <c r="V34" s="58"/>
      <c r="W34" s="62">
        <f t="shared" si="10"/>
        <v>2</v>
      </c>
      <c r="X34" s="60"/>
      <c r="Y34" s="58">
        <f>1+1</f>
        <v>2</v>
      </c>
      <c r="Z34" s="94">
        <f t="shared" si="11"/>
        <v>0</v>
      </c>
      <c r="AA34" s="60"/>
      <c r="AB34" s="58"/>
      <c r="AC34" s="62">
        <f t="shared" si="12"/>
        <v>0</v>
      </c>
      <c r="AD34" s="57">
        <v>10</v>
      </c>
      <c r="AE34" s="58"/>
      <c r="AF34" s="165">
        <f t="shared" si="13"/>
        <v>10</v>
      </c>
      <c r="AG34" s="60"/>
      <c r="AH34" s="58"/>
      <c r="AI34" s="62">
        <f t="shared" si="14"/>
        <v>10</v>
      </c>
      <c r="AJ34" s="60"/>
      <c r="AK34" s="58"/>
      <c r="AL34" s="62">
        <f t="shared" si="15"/>
        <v>10</v>
      </c>
      <c r="AM34" s="60"/>
      <c r="AN34" s="58"/>
      <c r="AO34" s="62">
        <f t="shared" si="16"/>
        <v>10</v>
      </c>
      <c r="AP34" s="60"/>
      <c r="AQ34" s="58"/>
      <c r="AR34" s="62">
        <f t="shared" si="17"/>
        <v>10</v>
      </c>
      <c r="AS34" s="60"/>
      <c r="AT34" s="58"/>
      <c r="AU34" s="62">
        <f t="shared" si="18"/>
        <v>10</v>
      </c>
      <c r="AV34" s="83">
        <f t="shared" si="19"/>
        <v>10</v>
      </c>
      <c r="AW34" s="83">
        <f t="shared" si="20"/>
        <v>2</v>
      </c>
      <c r="AX34" s="64">
        <f t="shared" si="21"/>
        <v>2</v>
      </c>
      <c r="AY34" s="65">
        <f t="shared" si="22"/>
        <v>2</v>
      </c>
      <c r="AZ34" s="66">
        <f t="shared" si="23"/>
        <v>1</v>
      </c>
      <c r="BA34" s="67">
        <f>MAX(0, Table176252626[[#This Row],[Column6]])</f>
        <v>10</v>
      </c>
      <c r="BB34" s="68">
        <v>1</v>
      </c>
      <c r="BC34" s="84">
        <f t="shared" si="5"/>
        <v>10</v>
      </c>
      <c r="BD34" s="83">
        <f t="shared" si="3"/>
        <v>9</v>
      </c>
      <c r="BE34" s="85">
        <v>2</v>
      </c>
      <c r="BF34" s="86">
        <v>46219.475659722222</v>
      </c>
      <c r="BG34" s="72">
        <f t="shared" si="6"/>
        <v>46265</v>
      </c>
      <c r="BH34" s="87">
        <f t="shared" si="24"/>
        <v>45.52434027777781</v>
      </c>
      <c r="BI34" s="80" t="str">
        <f t="shared" si="4"/>
        <v/>
      </c>
      <c r="BJ34" s="238">
        <v>1800</v>
      </c>
    </row>
    <row r="35" spans="1:293" ht="13">
      <c r="A35" s="49"/>
      <c r="B35" s="76"/>
      <c r="C35" s="77">
        <v>32</v>
      </c>
      <c r="D35" s="78" t="s">
        <v>722</v>
      </c>
      <c r="E35" s="78">
        <v>33</v>
      </c>
      <c r="F35" s="80" t="s">
        <v>780</v>
      </c>
      <c r="G35" s="81" t="s">
        <v>1327</v>
      </c>
      <c r="H35" s="81" t="s">
        <v>921</v>
      </c>
      <c r="I35" s="80" t="s">
        <v>458</v>
      </c>
      <c r="J35" s="82">
        <f t="shared" si="25"/>
        <v>2</v>
      </c>
      <c r="K35" s="80">
        <v>2</v>
      </c>
      <c r="L35" s="57"/>
      <c r="M35" s="58"/>
      <c r="N35" s="59">
        <f t="shared" si="76"/>
        <v>2</v>
      </c>
      <c r="O35" s="60"/>
      <c r="P35" s="58"/>
      <c r="Q35" s="59">
        <f t="shared" ref="Q35:Q40" si="77">SUM(N35+O35-P35)</f>
        <v>2</v>
      </c>
      <c r="R35" s="60"/>
      <c r="S35" s="58"/>
      <c r="T35" s="61">
        <f t="shared" ref="T35:T40" si="78">SUM(Q35+R35-S35)</f>
        <v>2</v>
      </c>
      <c r="U35" s="60"/>
      <c r="V35" s="58"/>
      <c r="W35" s="59">
        <f t="shared" ref="W35:W40" si="79">SUM(T35+U35-V35)</f>
        <v>2</v>
      </c>
      <c r="X35" s="60"/>
      <c r="Y35" s="58"/>
      <c r="Z35" s="61">
        <f t="shared" ref="Z35:Z40" si="80">SUM(W35+X35-Y35)</f>
        <v>2</v>
      </c>
      <c r="AA35" s="60"/>
      <c r="AB35" s="58"/>
      <c r="AC35" s="59">
        <f t="shared" ref="AC35:AC40" si="81">SUM(Z35+AA35-AB35)</f>
        <v>2</v>
      </c>
      <c r="AD35" s="57"/>
      <c r="AE35" s="58"/>
      <c r="AF35" s="243">
        <f t="shared" ref="AF35:AF40" si="82">SUM(AC35+AD35-AE35)</f>
        <v>2</v>
      </c>
      <c r="AG35" s="60"/>
      <c r="AH35" s="58"/>
      <c r="AI35" s="62">
        <f t="shared" ref="AI35:AI40" si="83">SUM(AF35+AG35-AH35)</f>
        <v>2</v>
      </c>
      <c r="AJ35" s="60"/>
      <c r="AK35" s="58"/>
      <c r="AL35" s="62">
        <f t="shared" ref="AL35:AL40" si="84">SUM(AI35+AJ35-AK35)</f>
        <v>2</v>
      </c>
      <c r="AM35" s="60"/>
      <c r="AN35" s="58"/>
      <c r="AO35" s="62">
        <f t="shared" ref="AO35:AO40" si="85">SUM(AL35+AM35-AN35)</f>
        <v>2</v>
      </c>
      <c r="AP35" s="60"/>
      <c r="AQ35" s="58"/>
      <c r="AR35" s="104">
        <f t="shared" ref="AR35:AR40" si="86">SUM(AO35+AP35-AQ35)</f>
        <v>2</v>
      </c>
      <c r="AS35" s="57"/>
      <c r="AT35" s="58"/>
      <c r="AU35" s="62">
        <f t="shared" ref="AU35:AU40" si="87">SUM(AR35+AS35-AT35)</f>
        <v>2</v>
      </c>
      <c r="AV35" s="83">
        <f>SUM(L35+O35+R35+U35+X35+AA35+AD35+AG35+AJ35+AM35+AP35+AS35)</f>
        <v>0</v>
      </c>
      <c r="AW35" s="83">
        <f>SUM(M35+P35+S35+V35+Y35+AB35+AE35+AH35+AK35+AN35+AQ35+AT35)</f>
        <v>0</v>
      </c>
      <c r="AX35" s="64">
        <f t="shared" ref="AX35:AX40" si="88">SUM(M35,P35,S35,V35,Y35,AB35,AE35,AH35,AK35,AN35,AQ35,AT35)</f>
        <v>0</v>
      </c>
      <c r="AY35" s="65" t="e">
        <f t="shared" ref="AY35:AY40" si="89">AVERAGE(M35,P35,S35,V35,Y35,AB35,AE35,AH35,AK35,AN35,AQ35,AT35)</f>
        <v>#DIV/0!</v>
      </c>
      <c r="AZ35" s="66">
        <f t="shared" ref="AZ35:AZ40" si="90">COUNT(M35,P35,S35,V35,Y35,AB35,AE35,AH35,AK35,AN35,AQ35,AT35)</f>
        <v>0</v>
      </c>
      <c r="BA35" s="67">
        <f>MAX(0, Table176252626[[#This Row],[Column6]])</f>
        <v>2</v>
      </c>
      <c r="BB35" s="68">
        <v>1</v>
      </c>
      <c r="BC35" s="84">
        <f t="shared" si="5"/>
        <v>2</v>
      </c>
      <c r="BD35" s="83">
        <f t="shared" si="3"/>
        <v>1</v>
      </c>
      <c r="BE35" s="85">
        <v>2</v>
      </c>
      <c r="BF35" s="86">
        <v>45170.481793981482</v>
      </c>
      <c r="BG35" s="72">
        <f t="shared" si="6"/>
        <v>46265</v>
      </c>
      <c r="BH35" s="87">
        <f t="shared" ref="BH35:BH40" si="91">BG35-BF35</f>
        <v>1094.518206018518</v>
      </c>
      <c r="BI35" s="80" t="str">
        <f t="shared" si="4"/>
        <v>Dead Stock</v>
      </c>
      <c r="BJ35" s="238">
        <v>5500</v>
      </c>
    </row>
    <row r="36" spans="1:293" ht="13">
      <c r="A36" s="49"/>
      <c r="B36" s="50"/>
      <c r="C36" s="77">
        <v>33</v>
      </c>
      <c r="D36" s="52" t="s">
        <v>722</v>
      </c>
      <c r="E36" s="78">
        <v>34</v>
      </c>
      <c r="F36" s="80" t="s">
        <v>186</v>
      </c>
      <c r="G36" s="81" t="s">
        <v>1326</v>
      </c>
      <c r="H36" s="81" t="s">
        <v>300</v>
      </c>
      <c r="I36" s="80" t="s">
        <v>458</v>
      </c>
      <c r="J36" s="82">
        <f t="shared" si="25"/>
        <v>3</v>
      </c>
      <c r="K36" s="80">
        <v>3</v>
      </c>
      <c r="L36" s="57"/>
      <c r="M36" s="58"/>
      <c r="N36" s="59">
        <f t="shared" si="76"/>
        <v>3</v>
      </c>
      <c r="O36" s="60"/>
      <c r="P36" s="58"/>
      <c r="Q36" s="59">
        <f t="shared" si="77"/>
        <v>3</v>
      </c>
      <c r="R36" s="60"/>
      <c r="S36" s="58"/>
      <c r="T36" s="61">
        <f t="shared" si="78"/>
        <v>3</v>
      </c>
      <c r="U36" s="60"/>
      <c r="V36" s="58"/>
      <c r="W36" s="59">
        <f t="shared" si="79"/>
        <v>3</v>
      </c>
      <c r="X36" s="60"/>
      <c r="Y36" s="58"/>
      <c r="Z36" s="61">
        <f t="shared" si="80"/>
        <v>3</v>
      </c>
      <c r="AA36" s="60"/>
      <c r="AB36" s="58"/>
      <c r="AC36" s="59">
        <f t="shared" si="81"/>
        <v>3</v>
      </c>
      <c r="AD36" s="57"/>
      <c r="AE36" s="58"/>
      <c r="AF36" s="243">
        <f t="shared" si="82"/>
        <v>3</v>
      </c>
      <c r="AG36" s="60"/>
      <c r="AH36" s="58"/>
      <c r="AI36" s="62">
        <f t="shared" si="83"/>
        <v>3</v>
      </c>
      <c r="AJ36" s="60"/>
      <c r="AK36" s="58"/>
      <c r="AL36" s="62">
        <f t="shared" si="84"/>
        <v>3</v>
      </c>
      <c r="AM36" s="60"/>
      <c r="AN36" s="58"/>
      <c r="AO36" s="62">
        <f t="shared" si="85"/>
        <v>3</v>
      </c>
      <c r="AP36" s="60"/>
      <c r="AQ36" s="58"/>
      <c r="AR36" s="62">
        <f t="shared" si="86"/>
        <v>3</v>
      </c>
      <c r="AS36" s="60"/>
      <c r="AT36" s="58"/>
      <c r="AU36" s="62">
        <f t="shared" si="87"/>
        <v>3</v>
      </c>
      <c r="AV36" s="83">
        <f>SUM(L36+O36+R36+U36+X36+AA36+AD36+AG36+AJ36+AM36+AP36+AS36)</f>
        <v>0</v>
      </c>
      <c r="AW36" s="83">
        <f>SUM(M36+P36+S36+V36+Y36+AB36+AE36+AH36+AK36+AN36+AQ36+AT36)</f>
        <v>0</v>
      </c>
      <c r="AX36" s="64">
        <f t="shared" si="88"/>
        <v>0</v>
      </c>
      <c r="AY36" s="65" t="e">
        <f t="shared" si="89"/>
        <v>#DIV/0!</v>
      </c>
      <c r="AZ36" s="66">
        <f t="shared" si="90"/>
        <v>0</v>
      </c>
      <c r="BA36" s="67">
        <v>3</v>
      </c>
      <c r="BB36" s="68">
        <v>1</v>
      </c>
      <c r="BC36" s="84">
        <f t="shared" si="5"/>
        <v>3</v>
      </c>
      <c r="BD36" s="83">
        <f t="shared" si="3"/>
        <v>2</v>
      </c>
      <c r="BE36" s="85">
        <v>2</v>
      </c>
      <c r="BF36" s="86">
        <v>44414.58902777778</v>
      </c>
      <c r="BG36" s="72">
        <f t="shared" si="6"/>
        <v>46265</v>
      </c>
      <c r="BH36" s="107">
        <f t="shared" si="91"/>
        <v>1850.4109722222202</v>
      </c>
      <c r="BI36" s="80" t="str">
        <f t="shared" si="4"/>
        <v>Dead Stock</v>
      </c>
      <c r="BJ36" s="238">
        <v>5500</v>
      </c>
    </row>
    <row r="37" spans="1:293" ht="13">
      <c r="A37" s="90"/>
      <c r="B37" s="91"/>
      <c r="C37" s="51">
        <v>34</v>
      </c>
      <c r="D37" s="108"/>
      <c r="E37" s="78"/>
      <c r="F37" s="80" t="s">
        <v>1938</v>
      </c>
      <c r="G37" s="81" t="s">
        <v>1939</v>
      </c>
      <c r="H37" s="81" t="s">
        <v>1157</v>
      </c>
      <c r="I37" s="80" t="s">
        <v>458</v>
      </c>
      <c r="J37" s="93">
        <f>AU37</f>
        <v>1</v>
      </c>
      <c r="K37" s="88">
        <v>0</v>
      </c>
      <c r="L37" s="58"/>
      <c r="M37" s="58"/>
      <c r="N37" s="62">
        <f t="shared" si="76"/>
        <v>0</v>
      </c>
      <c r="O37" s="60">
        <v>1</v>
      </c>
      <c r="P37" s="58"/>
      <c r="Q37" s="62">
        <f t="shared" si="77"/>
        <v>1</v>
      </c>
      <c r="R37" s="60"/>
      <c r="S37" s="58"/>
      <c r="T37" s="94">
        <f t="shared" si="78"/>
        <v>1</v>
      </c>
      <c r="U37" s="60"/>
      <c r="V37" s="58"/>
      <c r="W37" s="62">
        <f t="shared" si="79"/>
        <v>1</v>
      </c>
      <c r="X37" s="60"/>
      <c r="Y37" s="58"/>
      <c r="Z37" s="94">
        <f t="shared" si="80"/>
        <v>1</v>
      </c>
      <c r="AA37" s="60"/>
      <c r="AB37" s="58"/>
      <c r="AC37" s="62">
        <f t="shared" si="81"/>
        <v>1</v>
      </c>
      <c r="AD37" s="57"/>
      <c r="AE37" s="58"/>
      <c r="AF37" s="165">
        <f t="shared" si="82"/>
        <v>1</v>
      </c>
      <c r="AG37" s="60"/>
      <c r="AH37" s="58"/>
      <c r="AI37" s="62">
        <f t="shared" si="83"/>
        <v>1</v>
      </c>
      <c r="AJ37" s="60"/>
      <c r="AK37" s="58"/>
      <c r="AL37" s="62">
        <f t="shared" si="84"/>
        <v>1</v>
      </c>
      <c r="AM37" s="60"/>
      <c r="AN37" s="58"/>
      <c r="AO37" s="62">
        <f t="shared" si="85"/>
        <v>1</v>
      </c>
      <c r="AP37" s="60"/>
      <c r="AQ37" s="58"/>
      <c r="AR37" s="62">
        <f t="shared" si="86"/>
        <v>1</v>
      </c>
      <c r="AS37" s="60"/>
      <c r="AT37" s="58"/>
      <c r="AU37" s="62">
        <f t="shared" si="87"/>
        <v>1</v>
      </c>
      <c r="AV37" s="96">
        <f t="shared" ref="AV37:AV40" si="92">SUM(L37+O37+R37+U37+X37+AA37+AD37+AG37+AJ37+AM37+AP37+AS37)</f>
        <v>1</v>
      </c>
      <c r="AW37" s="83">
        <f>SUM(M37+P37+S37+V37+Y37+AB37+AE37+AH37+AK37+AN37+AQ37+AT37)</f>
        <v>0</v>
      </c>
      <c r="AX37" s="98">
        <f t="shared" si="88"/>
        <v>0</v>
      </c>
      <c r="AY37" s="99" t="e">
        <f t="shared" si="89"/>
        <v>#DIV/0!</v>
      </c>
      <c r="AZ37" s="100">
        <f t="shared" si="90"/>
        <v>0</v>
      </c>
      <c r="BA37" s="101">
        <v>1</v>
      </c>
      <c r="BB37" s="102">
        <v>0</v>
      </c>
      <c r="BC37" s="84">
        <f>J37</f>
        <v>1</v>
      </c>
      <c r="BD37" s="83">
        <f t="shared" si="3"/>
        <v>1</v>
      </c>
      <c r="BE37" s="85">
        <v>2</v>
      </c>
      <c r="BF37" s="86">
        <v>46063</v>
      </c>
      <c r="BG37" s="72">
        <f t="shared" si="6"/>
        <v>46265</v>
      </c>
      <c r="BH37" s="109">
        <f t="shared" si="91"/>
        <v>202</v>
      </c>
      <c r="BI37" s="80" t="str">
        <f t="shared" si="4"/>
        <v/>
      </c>
      <c r="BJ37" s="238">
        <v>200</v>
      </c>
    </row>
    <row r="38" spans="1:293" ht="13">
      <c r="A38" s="90"/>
      <c r="B38" s="91"/>
      <c r="C38" s="51">
        <v>35</v>
      </c>
      <c r="D38" s="108"/>
      <c r="E38" s="78"/>
      <c r="F38" s="80" t="s">
        <v>1940</v>
      </c>
      <c r="G38" s="81" t="s">
        <v>1941</v>
      </c>
      <c r="H38" s="81" t="s">
        <v>1157</v>
      </c>
      <c r="I38" s="80" t="s">
        <v>458</v>
      </c>
      <c r="J38" s="93">
        <f>AU38</f>
        <v>1</v>
      </c>
      <c r="K38" s="80">
        <v>0</v>
      </c>
      <c r="L38" s="58"/>
      <c r="M38" s="58"/>
      <c r="N38" s="62">
        <f t="shared" si="76"/>
        <v>0</v>
      </c>
      <c r="O38" s="60">
        <v>1</v>
      </c>
      <c r="P38" s="58"/>
      <c r="Q38" s="62">
        <f t="shared" si="77"/>
        <v>1</v>
      </c>
      <c r="R38" s="60"/>
      <c r="S38" s="58"/>
      <c r="T38" s="94">
        <f t="shared" si="78"/>
        <v>1</v>
      </c>
      <c r="U38" s="60"/>
      <c r="V38" s="58"/>
      <c r="W38" s="62">
        <f t="shared" si="79"/>
        <v>1</v>
      </c>
      <c r="X38" s="60"/>
      <c r="Y38" s="58"/>
      <c r="Z38" s="94">
        <f t="shared" si="80"/>
        <v>1</v>
      </c>
      <c r="AA38" s="60"/>
      <c r="AB38" s="58"/>
      <c r="AC38" s="62">
        <f t="shared" si="81"/>
        <v>1</v>
      </c>
      <c r="AD38" s="57"/>
      <c r="AE38" s="58"/>
      <c r="AF38" s="165">
        <f t="shared" si="82"/>
        <v>1</v>
      </c>
      <c r="AG38" s="60"/>
      <c r="AH38" s="58"/>
      <c r="AI38" s="62">
        <f t="shared" si="83"/>
        <v>1</v>
      </c>
      <c r="AJ38" s="60"/>
      <c r="AK38" s="58"/>
      <c r="AL38" s="62">
        <f t="shared" si="84"/>
        <v>1</v>
      </c>
      <c r="AM38" s="60"/>
      <c r="AN38" s="58"/>
      <c r="AO38" s="62">
        <f t="shared" si="85"/>
        <v>1</v>
      </c>
      <c r="AP38" s="60"/>
      <c r="AQ38" s="58"/>
      <c r="AR38" s="62">
        <f t="shared" si="86"/>
        <v>1</v>
      </c>
      <c r="AS38" s="60"/>
      <c r="AT38" s="58"/>
      <c r="AU38" s="62">
        <f t="shared" si="87"/>
        <v>1</v>
      </c>
      <c r="AV38" s="96">
        <f t="shared" si="92"/>
        <v>1</v>
      </c>
      <c r="AW38" s="83">
        <f>SUM(M38+P38+S38+V38+Y38+AB38+AE38+AH38+AK38+AN38+AQ38+AT38)</f>
        <v>0</v>
      </c>
      <c r="AX38" s="98">
        <f t="shared" si="88"/>
        <v>0</v>
      </c>
      <c r="AY38" s="99" t="e">
        <f t="shared" si="89"/>
        <v>#DIV/0!</v>
      </c>
      <c r="AZ38" s="100">
        <f t="shared" si="90"/>
        <v>0</v>
      </c>
      <c r="BA38" s="101">
        <v>1</v>
      </c>
      <c r="BB38" s="102">
        <v>0</v>
      </c>
      <c r="BC38" s="84">
        <f>J38</f>
        <v>1</v>
      </c>
      <c r="BD38" s="83">
        <f t="shared" si="3"/>
        <v>1</v>
      </c>
      <c r="BE38" s="85">
        <v>2</v>
      </c>
      <c r="BF38" s="86">
        <v>46063</v>
      </c>
      <c r="BG38" s="72">
        <f t="shared" si="6"/>
        <v>46265</v>
      </c>
      <c r="BH38" s="109">
        <f t="shared" si="91"/>
        <v>202</v>
      </c>
      <c r="BI38" s="80" t="str">
        <f t="shared" si="4"/>
        <v/>
      </c>
      <c r="BJ38" s="238">
        <v>200</v>
      </c>
    </row>
    <row r="39" spans="1:293" ht="13">
      <c r="A39" s="90"/>
      <c r="B39" s="91"/>
      <c r="C39" s="51">
        <v>36</v>
      </c>
      <c r="D39" s="108"/>
      <c r="E39" s="78"/>
      <c r="F39" s="80" t="s">
        <v>1942</v>
      </c>
      <c r="G39" s="81" t="s">
        <v>1943</v>
      </c>
      <c r="H39" s="81" t="s">
        <v>1157</v>
      </c>
      <c r="I39" s="80" t="s">
        <v>458</v>
      </c>
      <c r="J39" s="93">
        <f>AU39</f>
        <v>1</v>
      </c>
      <c r="K39" s="88">
        <v>0</v>
      </c>
      <c r="L39" s="58"/>
      <c r="M39" s="58"/>
      <c r="N39" s="62">
        <f t="shared" si="76"/>
        <v>0</v>
      </c>
      <c r="O39" s="60">
        <v>1</v>
      </c>
      <c r="P39" s="58"/>
      <c r="Q39" s="62">
        <f t="shared" si="77"/>
        <v>1</v>
      </c>
      <c r="R39" s="60"/>
      <c r="S39" s="58"/>
      <c r="T39" s="94">
        <f t="shared" si="78"/>
        <v>1</v>
      </c>
      <c r="U39" s="60"/>
      <c r="V39" s="58"/>
      <c r="W39" s="62">
        <f t="shared" si="79"/>
        <v>1</v>
      </c>
      <c r="X39" s="60"/>
      <c r="Y39" s="58"/>
      <c r="Z39" s="94">
        <f t="shared" si="80"/>
        <v>1</v>
      </c>
      <c r="AA39" s="60"/>
      <c r="AB39" s="58"/>
      <c r="AC39" s="62">
        <f t="shared" si="81"/>
        <v>1</v>
      </c>
      <c r="AD39" s="57"/>
      <c r="AE39" s="58"/>
      <c r="AF39" s="165">
        <f t="shared" si="82"/>
        <v>1</v>
      </c>
      <c r="AG39" s="60"/>
      <c r="AH39" s="58"/>
      <c r="AI39" s="62">
        <f t="shared" si="83"/>
        <v>1</v>
      </c>
      <c r="AJ39" s="60"/>
      <c r="AK39" s="58"/>
      <c r="AL39" s="62">
        <f t="shared" si="84"/>
        <v>1</v>
      </c>
      <c r="AM39" s="60"/>
      <c r="AN39" s="58"/>
      <c r="AO39" s="62">
        <f t="shared" si="85"/>
        <v>1</v>
      </c>
      <c r="AP39" s="60"/>
      <c r="AQ39" s="58"/>
      <c r="AR39" s="62">
        <f t="shared" si="86"/>
        <v>1</v>
      </c>
      <c r="AS39" s="60"/>
      <c r="AT39" s="58"/>
      <c r="AU39" s="62">
        <f t="shared" si="87"/>
        <v>1</v>
      </c>
      <c r="AV39" s="96">
        <f t="shared" si="92"/>
        <v>1</v>
      </c>
      <c r="AW39" s="83">
        <f>SUM(M39+P39+S39+V39+Y39+AB39+AE39+AH39+AK39+AN39+AQ39+AT39)</f>
        <v>0</v>
      </c>
      <c r="AX39" s="98">
        <f t="shared" si="88"/>
        <v>0</v>
      </c>
      <c r="AY39" s="99" t="e">
        <f t="shared" si="89"/>
        <v>#DIV/0!</v>
      </c>
      <c r="AZ39" s="100">
        <f t="shared" si="90"/>
        <v>0</v>
      </c>
      <c r="BA39" s="101">
        <v>1</v>
      </c>
      <c r="BB39" s="102">
        <v>0</v>
      </c>
      <c r="BC39" s="84">
        <f>J39</f>
        <v>1</v>
      </c>
      <c r="BD39" s="83">
        <f t="shared" si="3"/>
        <v>1</v>
      </c>
      <c r="BE39" s="85">
        <v>2</v>
      </c>
      <c r="BF39" s="86">
        <v>46063</v>
      </c>
      <c r="BG39" s="72">
        <f t="shared" si="6"/>
        <v>46265</v>
      </c>
      <c r="BH39" s="109">
        <f t="shared" si="91"/>
        <v>202</v>
      </c>
      <c r="BI39" s="80" t="str">
        <f t="shared" si="4"/>
        <v/>
      </c>
      <c r="BJ39" s="238">
        <v>200</v>
      </c>
    </row>
    <row r="40" spans="1:293" ht="13">
      <c r="A40" s="90"/>
      <c r="B40" s="91"/>
      <c r="C40" s="51">
        <v>37</v>
      </c>
      <c r="D40" s="108"/>
      <c r="E40" s="78"/>
      <c r="F40" s="80" t="s">
        <v>1944</v>
      </c>
      <c r="G40" s="81" t="s">
        <v>1945</v>
      </c>
      <c r="H40" s="81" t="s">
        <v>1946</v>
      </c>
      <c r="I40" s="80" t="s">
        <v>458</v>
      </c>
      <c r="J40" s="93">
        <f>AU40</f>
        <v>10</v>
      </c>
      <c r="K40" s="80">
        <v>0</v>
      </c>
      <c r="L40" s="58"/>
      <c r="M40" s="58"/>
      <c r="N40" s="62">
        <f t="shared" si="76"/>
        <v>0</v>
      </c>
      <c r="O40" s="60">
        <v>12</v>
      </c>
      <c r="P40" s="58"/>
      <c r="Q40" s="62">
        <f t="shared" si="77"/>
        <v>12</v>
      </c>
      <c r="R40" s="60"/>
      <c r="S40" s="58">
        <v>1</v>
      </c>
      <c r="T40" s="94">
        <f t="shared" si="78"/>
        <v>11</v>
      </c>
      <c r="U40" s="60"/>
      <c r="V40" s="58"/>
      <c r="W40" s="62">
        <f t="shared" si="79"/>
        <v>11</v>
      </c>
      <c r="X40" s="60"/>
      <c r="Y40" s="58">
        <v>1</v>
      </c>
      <c r="Z40" s="94">
        <f t="shared" si="80"/>
        <v>10</v>
      </c>
      <c r="AA40" s="60"/>
      <c r="AB40" s="58"/>
      <c r="AC40" s="62">
        <f t="shared" si="81"/>
        <v>10</v>
      </c>
      <c r="AD40" s="57"/>
      <c r="AE40" s="58"/>
      <c r="AF40" s="165">
        <f t="shared" si="82"/>
        <v>10</v>
      </c>
      <c r="AG40" s="60"/>
      <c r="AH40" s="58"/>
      <c r="AI40" s="62">
        <f t="shared" si="83"/>
        <v>10</v>
      </c>
      <c r="AJ40" s="60"/>
      <c r="AK40" s="58"/>
      <c r="AL40" s="62">
        <f t="shared" si="84"/>
        <v>10</v>
      </c>
      <c r="AM40" s="60"/>
      <c r="AN40" s="58"/>
      <c r="AO40" s="62">
        <f t="shared" si="85"/>
        <v>10</v>
      </c>
      <c r="AP40" s="60"/>
      <c r="AQ40" s="58"/>
      <c r="AR40" s="62">
        <f t="shared" si="86"/>
        <v>10</v>
      </c>
      <c r="AS40" s="60"/>
      <c r="AT40" s="58"/>
      <c r="AU40" s="62">
        <f t="shared" si="87"/>
        <v>10</v>
      </c>
      <c r="AV40" s="96">
        <f t="shared" si="92"/>
        <v>12</v>
      </c>
      <c r="AW40" s="83">
        <f>SUM(M40+P40+S40+V40+Y40+AB40+AE40+AH40+AK40+AN40+AQ40+AT40)</f>
        <v>2</v>
      </c>
      <c r="AX40" s="98">
        <f t="shared" si="88"/>
        <v>2</v>
      </c>
      <c r="AY40" s="99">
        <f t="shared" si="89"/>
        <v>1</v>
      </c>
      <c r="AZ40" s="100">
        <f t="shared" si="90"/>
        <v>2</v>
      </c>
      <c r="BA40" s="101">
        <v>10</v>
      </c>
      <c r="BB40" s="102">
        <f t="shared" ref="BB40" si="93">MIN(M40,P40,S40,V40,Y40,AB40,AE40,AH40,AK40,AN40,AQ40,AT40)</f>
        <v>1</v>
      </c>
      <c r="BC40" s="84">
        <f>J40</f>
        <v>10</v>
      </c>
      <c r="BD40" s="83">
        <f t="shared" si="3"/>
        <v>9</v>
      </c>
      <c r="BE40" s="85">
        <v>2</v>
      </c>
      <c r="BF40" s="86">
        <v>46063</v>
      </c>
      <c r="BG40" s="72">
        <f t="shared" si="6"/>
        <v>46265</v>
      </c>
      <c r="BH40" s="109">
        <f t="shared" si="91"/>
        <v>202</v>
      </c>
      <c r="BI40" s="80" t="str">
        <f t="shared" si="4"/>
        <v/>
      </c>
      <c r="BJ40" s="238">
        <v>200</v>
      </c>
    </row>
    <row r="41" spans="1:293" ht="13">
      <c r="A41" s="49"/>
      <c r="B41" s="76"/>
      <c r="C41" s="77">
        <v>38</v>
      </c>
      <c r="D41" s="52"/>
      <c r="E41" s="78"/>
      <c r="F41" s="88" t="s">
        <v>1652</v>
      </c>
      <c r="G41" s="89" t="s">
        <v>1653</v>
      </c>
      <c r="H41" s="89" t="s">
        <v>300</v>
      </c>
      <c r="I41" s="88" t="s">
        <v>458</v>
      </c>
      <c r="J41" s="93">
        <f t="shared" ref="J41:J76" si="94">AU41</f>
        <v>1</v>
      </c>
      <c r="K41" s="88">
        <v>1</v>
      </c>
      <c r="L41" s="58"/>
      <c r="M41" s="58"/>
      <c r="N41" s="62">
        <f t="shared" ref="N41:N76" si="95">SUM(K41+L41-M41)</f>
        <v>1</v>
      </c>
      <c r="O41" s="60"/>
      <c r="P41" s="58"/>
      <c r="Q41" s="62">
        <f t="shared" ref="Q41:Q76" si="96">SUM(N41+O41-P41)</f>
        <v>1</v>
      </c>
      <c r="R41" s="60"/>
      <c r="S41" s="58"/>
      <c r="T41" s="94">
        <f t="shared" ref="T41:T76" si="97">SUM(Q41+R41-S41)</f>
        <v>1</v>
      </c>
      <c r="U41" s="60"/>
      <c r="V41" s="58"/>
      <c r="W41" s="62">
        <f t="shared" ref="W41:W76" si="98">SUM(T41+U41-V41)</f>
        <v>1</v>
      </c>
      <c r="X41" s="60"/>
      <c r="Y41" s="58"/>
      <c r="Z41" s="94">
        <f t="shared" ref="Z41:Z76" si="99">SUM(W41+X41-Y41)</f>
        <v>1</v>
      </c>
      <c r="AA41" s="60"/>
      <c r="AB41" s="58"/>
      <c r="AC41" s="62">
        <f t="shared" ref="AC41:AC76" si="100">SUM(Z41+AA41-AB41)</f>
        <v>1</v>
      </c>
      <c r="AD41" s="57"/>
      <c r="AE41" s="58"/>
      <c r="AF41" s="165">
        <f t="shared" ref="AF41:AF76" si="101">SUM(AC41+AD41-AE41)</f>
        <v>1</v>
      </c>
      <c r="AG41" s="60"/>
      <c r="AH41" s="58"/>
      <c r="AI41" s="62">
        <f t="shared" ref="AI41:AI76" si="102">SUM(AF41+AG41-AH41)</f>
        <v>1</v>
      </c>
      <c r="AJ41" s="60"/>
      <c r="AK41" s="58"/>
      <c r="AL41" s="62">
        <f t="shared" ref="AL41:AL76" si="103">SUM(AI41+AJ41-AK41)</f>
        <v>1</v>
      </c>
      <c r="AM41" s="60"/>
      <c r="AN41" s="58"/>
      <c r="AO41" s="62">
        <f t="shared" ref="AO41:AO76" si="104">SUM(AL41+AM41-AN41)</f>
        <v>1</v>
      </c>
      <c r="AP41" s="60"/>
      <c r="AQ41" s="58"/>
      <c r="AR41" s="62">
        <f t="shared" ref="AR41:AR76" si="105">SUM(AO41+AP41-AQ41)</f>
        <v>1</v>
      </c>
      <c r="AS41" s="60"/>
      <c r="AT41" s="58"/>
      <c r="AU41" s="62">
        <f t="shared" ref="AU41:AU76" si="106">SUM(AR41+AS41-AT41)</f>
        <v>1</v>
      </c>
      <c r="AV41" s="96">
        <f t="shared" ref="AV41:AW41" si="107">SUM(L41+O41+R41+U41+X41+AA41+AD41+AG41+AJ41+AM41+AP41+AS41)</f>
        <v>0</v>
      </c>
      <c r="AW41" s="97">
        <f t="shared" si="107"/>
        <v>0</v>
      </c>
      <c r="AX41" s="98">
        <f t="shared" ref="AX41:AX76" si="108">SUM(M41,P41,S41,V41,Y41,AB41,AE41,AH41,AK41,AN41,AQ41,AT41)</f>
        <v>0</v>
      </c>
      <c r="AY41" s="99" t="e">
        <f t="shared" ref="AY41:AY76" si="109">AVERAGE(M41,P41,S41,V41,Y41,AB41,AE41,AH41,AK41,AN41,AQ41,AT41)</f>
        <v>#DIV/0!</v>
      </c>
      <c r="AZ41" s="100">
        <f t="shared" ref="AZ41:AZ76" si="110">COUNT(M41,P41,S41,V41,Y41,AB41,AE41,AH41,AK41,AN41,AQ41,AT41)</f>
        <v>0</v>
      </c>
      <c r="BA41" s="101">
        <v>1</v>
      </c>
      <c r="BB41" s="102">
        <f>MIN(M41,P41,S41,V41,Y41,AB41,AE41,AH41,AK41,AN41,AQ41,AT41)</f>
        <v>0</v>
      </c>
      <c r="BC41" s="84">
        <f t="shared" si="5"/>
        <v>1</v>
      </c>
      <c r="BD41" s="83">
        <f t="shared" si="3"/>
        <v>1</v>
      </c>
      <c r="BE41" s="85">
        <v>2</v>
      </c>
      <c r="BF41" s="86">
        <v>45635.656157407408</v>
      </c>
      <c r="BG41" s="72">
        <f t="shared" si="6"/>
        <v>46265</v>
      </c>
      <c r="BH41" s="103">
        <f t="shared" ref="BH41:BH76" si="111">BG41-BF41</f>
        <v>629.34384259259241</v>
      </c>
      <c r="BI41" s="80" t="str">
        <f t="shared" si="4"/>
        <v>Dead Stock</v>
      </c>
      <c r="BJ41" s="238">
        <v>31500</v>
      </c>
    </row>
    <row r="42" spans="1:293" s="48" customFormat="1" ht="13">
      <c r="A42" s="49"/>
      <c r="B42" s="76"/>
      <c r="C42" s="77">
        <v>39</v>
      </c>
      <c r="D42" s="110" t="s">
        <v>723</v>
      </c>
      <c r="E42" s="110">
        <v>1</v>
      </c>
      <c r="F42" s="80" t="s">
        <v>131</v>
      </c>
      <c r="G42" s="81" t="s">
        <v>132</v>
      </c>
      <c r="H42" s="81" t="s">
        <v>294</v>
      </c>
      <c r="I42" s="80" t="s">
        <v>458</v>
      </c>
      <c r="J42" s="82">
        <f t="shared" ref="J42:J69" si="112">AU42</f>
        <v>1</v>
      </c>
      <c r="K42" s="80">
        <v>1</v>
      </c>
      <c r="L42" s="57"/>
      <c r="M42" s="58"/>
      <c r="N42" s="59">
        <f t="shared" ref="N42:N71" si="113">SUM(K42+L42-M42)</f>
        <v>1</v>
      </c>
      <c r="O42" s="60"/>
      <c r="P42" s="58"/>
      <c r="Q42" s="59">
        <f t="shared" ref="Q42:Q69" si="114">SUM(N42+O42-P42)</f>
        <v>1</v>
      </c>
      <c r="R42" s="60"/>
      <c r="S42" s="58"/>
      <c r="T42" s="61">
        <f t="shared" ref="T42:T69" si="115">SUM(Q42+R42-S42)</f>
        <v>1</v>
      </c>
      <c r="U42" s="60"/>
      <c r="V42" s="58"/>
      <c r="W42" s="59">
        <f t="shared" ref="W42:W69" si="116">SUM(T42+U42-V42)</f>
        <v>1</v>
      </c>
      <c r="X42" s="60"/>
      <c r="Y42" s="58"/>
      <c r="Z42" s="61">
        <f t="shared" ref="Z42:Z69" si="117">SUM(W42+X42-Y42)</f>
        <v>1</v>
      </c>
      <c r="AA42" s="60"/>
      <c r="AB42" s="58"/>
      <c r="AC42" s="59">
        <f t="shared" ref="AC42:AC69" si="118">SUM(Z42+AA42-AB42)</f>
        <v>1</v>
      </c>
      <c r="AD42" s="57"/>
      <c r="AE42" s="58"/>
      <c r="AF42" s="243">
        <f t="shared" ref="AF42:AF69" si="119">SUM(AC42+AD42-AE42)</f>
        <v>1</v>
      </c>
      <c r="AG42" s="60"/>
      <c r="AH42" s="58"/>
      <c r="AI42" s="62">
        <f t="shared" ref="AI42:AI69" si="120">SUM(AF42+AG42-AH42)</f>
        <v>1</v>
      </c>
      <c r="AJ42" s="60"/>
      <c r="AK42" s="58"/>
      <c r="AL42" s="62">
        <f t="shared" ref="AL42:AL69" si="121">SUM(AI42+AJ42-AK42)</f>
        <v>1</v>
      </c>
      <c r="AM42" s="60"/>
      <c r="AN42" s="58"/>
      <c r="AO42" s="62">
        <f t="shared" ref="AO42:AO69" si="122">SUM(AL42+AM42-AN42)</f>
        <v>1</v>
      </c>
      <c r="AP42" s="60"/>
      <c r="AQ42" s="58"/>
      <c r="AR42" s="62">
        <f t="shared" ref="AR42:AR71" si="123">SUM(AO42+AP42-AQ42)</f>
        <v>1</v>
      </c>
      <c r="AS42" s="60"/>
      <c r="AT42" s="58"/>
      <c r="AU42" s="62">
        <f t="shared" ref="AU42:AU69" si="124">SUM(AR42+AS42-AT42)</f>
        <v>1</v>
      </c>
      <c r="AV42" s="83">
        <f t="shared" ref="AV42:AV57" si="125">SUM(L42+O42+R42+U42+X42+AA42+AD42+AG42+AJ42+AM42+AP42+AS42)</f>
        <v>0</v>
      </c>
      <c r="AW42" s="83">
        <f t="shared" ref="AW42:AW57" si="126">SUM(M42+P42+S42+V42+Y42+AB42+AE42+AH42+AK42+AN42+AQ42+AT42)</f>
        <v>0</v>
      </c>
      <c r="AX42" s="64">
        <f t="shared" ref="AX42:AX69" si="127">SUM(M42,P42,S42,V42,Y42,AB42,AE42,AH42,AK42,AN42,AQ42,AT42)</f>
        <v>0</v>
      </c>
      <c r="AY42" s="65" t="e">
        <f t="shared" ref="AY42:AY71" si="128">AVERAGE(M42,P42,S42,V42,Y42,AB42,AE42,AH42,AK42,AN42,AQ42,AT42)</f>
        <v>#DIV/0!</v>
      </c>
      <c r="AZ42" s="66">
        <f t="shared" ref="AZ42:AZ71" si="129">COUNT(M42,P42,S42,V42,Y42,AB42,AE42,AH42,AK42,AN42,AQ42,AT42)</f>
        <v>0</v>
      </c>
      <c r="BA42" s="67">
        <f>MAX(0, Table176252626[[#This Row],[Column6]])</f>
        <v>1</v>
      </c>
      <c r="BB42" s="68">
        <v>0</v>
      </c>
      <c r="BC42" s="84">
        <f t="shared" si="5"/>
        <v>1</v>
      </c>
      <c r="BD42" s="83">
        <f t="shared" si="3"/>
        <v>1</v>
      </c>
      <c r="BE42" s="85">
        <v>2</v>
      </c>
      <c r="BF42" s="86">
        <v>42746.392337962963</v>
      </c>
      <c r="BG42" s="72">
        <f t="shared" si="6"/>
        <v>46265</v>
      </c>
      <c r="BH42" s="87">
        <f t="shared" ref="BH42:BH71" si="130">BG42-BF42</f>
        <v>3518.6076620370368</v>
      </c>
      <c r="BI42" s="80" t="str">
        <f t="shared" si="4"/>
        <v>Dead Stock</v>
      </c>
      <c r="BJ42" s="238">
        <v>6630</v>
      </c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</row>
    <row r="43" spans="1:293" s="48" customFormat="1" ht="13">
      <c r="A43" s="75"/>
      <c r="B43" s="76"/>
      <c r="C43" s="51">
        <v>40</v>
      </c>
      <c r="D43" s="110" t="s">
        <v>723</v>
      </c>
      <c r="E43" s="110">
        <v>2</v>
      </c>
      <c r="F43" s="80" t="s">
        <v>16</v>
      </c>
      <c r="G43" s="81" t="s">
        <v>17</v>
      </c>
      <c r="H43" s="81" t="s">
        <v>294</v>
      </c>
      <c r="I43" s="80" t="s">
        <v>458</v>
      </c>
      <c r="J43" s="82">
        <f t="shared" si="112"/>
        <v>1</v>
      </c>
      <c r="K43" s="80">
        <v>1</v>
      </c>
      <c r="L43" s="57"/>
      <c r="M43" s="58"/>
      <c r="N43" s="59">
        <f t="shared" si="113"/>
        <v>1</v>
      </c>
      <c r="O43" s="60"/>
      <c r="P43" s="58"/>
      <c r="Q43" s="59">
        <f t="shared" si="114"/>
        <v>1</v>
      </c>
      <c r="R43" s="60"/>
      <c r="S43" s="58"/>
      <c r="T43" s="61">
        <f t="shared" si="115"/>
        <v>1</v>
      </c>
      <c r="U43" s="60"/>
      <c r="V43" s="58"/>
      <c r="W43" s="59">
        <f t="shared" si="116"/>
        <v>1</v>
      </c>
      <c r="X43" s="60"/>
      <c r="Y43" s="58"/>
      <c r="Z43" s="61">
        <f t="shared" si="117"/>
        <v>1</v>
      </c>
      <c r="AA43" s="60"/>
      <c r="AB43" s="58"/>
      <c r="AC43" s="59">
        <f t="shared" si="118"/>
        <v>1</v>
      </c>
      <c r="AD43" s="57"/>
      <c r="AE43" s="58"/>
      <c r="AF43" s="243">
        <f t="shared" si="119"/>
        <v>1</v>
      </c>
      <c r="AG43" s="60"/>
      <c r="AH43" s="58"/>
      <c r="AI43" s="62">
        <f t="shared" si="120"/>
        <v>1</v>
      </c>
      <c r="AJ43" s="60"/>
      <c r="AK43" s="58"/>
      <c r="AL43" s="62">
        <f t="shared" si="121"/>
        <v>1</v>
      </c>
      <c r="AM43" s="60"/>
      <c r="AN43" s="58"/>
      <c r="AO43" s="62">
        <f t="shared" si="122"/>
        <v>1</v>
      </c>
      <c r="AP43" s="60"/>
      <c r="AQ43" s="58"/>
      <c r="AR43" s="62">
        <f t="shared" si="123"/>
        <v>1</v>
      </c>
      <c r="AS43" s="60"/>
      <c r="AT43" s="58"/>
      <c r="AU43" s="62">
        <f t="shared" si="124"/>
        <v>1</v>
      </c>
      <c r="AV43" s="83">
        <f t="shared" si="125"/>
        <v>0</v>
      </c>
      <c r="AW43" s="83">
        <f t="shared" si="126"/>
        <v>0</v>
      </c>
      <c r="AX43" s="64">
        <f t="shared" si="127"/>
        <v>0</v>
      </c>
      <c r="AY43" s="65" t="e">
        <f t="shared" si="128"/>
        <v>#DIV/0!</v>
      </c>
      <c r="AZ43" s="66">
        <f t="shared" si="129"/>
        <v>0</v>
      </c>
      <c r="BA43" s="67">
        <f>MAX(0, Table176252626[[#This Row],[Column6]])</f>
        <v>1</v>
      </c>
      <c r="BB43" s="68">
        <v>0</v>
      </c>
      <c r="BC43" s="84">
        <f t="shared" si="5"/>
        <v>1</v>
      </c>
      <c r="BD43" s="83">
        <f t="shared" si="3"/>
        <v>1</v>
      </c>
      <c r="BE43" s="85">
        <v>2</v>
      </c>
      <c r="BF43" s="86">
        <v>43047.736435185187</v>
      </c>
      <c r="BG43" s="72">
        <f t="shared" si="6"/>
        <v>46265</v>
      </c>
      <c r="BH43" s="87">
        <f t="shared" si="130"/>
        <v>3217.2635648148134</v>
      </c>
      <c r="BI43" s="80" t="str">
        <f t="shared" si="4"/>
        <v>Dead Stock</v>
      </c>
      <c r="BJ43" s="238">
        <v>21485</v>
      </c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</row>
    <row r="44" spans="1:293" ht="13">
      <c r="A44" s="49"/>
      <c r="B44" s="50"/>
      <c r="C44" s="51">
        <v>41</v>
      </c>
      <c r="D44" s="110" t="s">
        <v>723</v>
      </c>
      <c r="E44" s="110">
        <v>3</v>
      </c>
      <c r="F44" s="80" t="s">
        <v>137</v>
      </c>
      <c r="G44" s="81" t="s">
        <v>138</v>
      </c>
      <c r="H44" s="81" t="s">
        <v>294</v>
      </c>
      <c r="I44" s="88" t="s">
        <v>458</v>
      </c>
      <c r="J44" s="82">
        <f t="shared" si="112"/>
        <v>1</v>
      </c>
      <c r="K44" s="80">
        <v>1</v>
      </c>
      <c r="L44" s="57"/>
      <c r="M44" s="58"/>
      <c r="N44" s="59">
        <f t="shared" si="113"/>
        <v>1</v>
      </c>
      <c r="O44" s="60"/>
      <c r="P44" s="58"/>
      <c r="Q44" s="59">
        <f t="shared" si="114"/>
        <v>1</v>
      </c>
      <c r="R44" s="60"/>
      <c r="S44" s="58"/>
      <c r="T44" s="61">
        <f t="shared" si="115"/>
        <v>1</v>
      </c>
      <c r="U44" s="60"/>
      <c r="V44" s="58"/>
      <c r="W44" s="59">
        <f t="shared" si="116"/>
        <v>1</v>
      </c>
      <c r="X44" s="60"/>
      <c r="Y44" s="58"/>
      <c r="Z44" s="61">
        <f t="shared" si="117"/>
        <v>1</v>
      </c>
      <c r="AA44" s="60"/>
      <c r="AB44" s="58"/>
      <c r="AC44" s="59">
        <f t="shared" si="118"/>
        <v>1</v>
      </c>
      <c r="AD44" s="57"/>
      <c r="AE44" s="58"/>
      <c r="AF44" s="243">
        <f t="shared" si="119"/>
        <v>1</v>
      </c>
      <c r="AG44" s="60"/>
      <c r="AH44" s="58"/>
      <c r="AI44" s="62">
        <f t="shared" si="120"/>
        <v>1</v>
      </c>
      <c r="AJ44" s="60"/>
      <c r="AK44" s="58"/>
      <c r="AL44" s="62">
        <f t="shared" si="121"/>
        <v>1</v>
      </c>
      <c r="AM44" s="60"/>
      <c r="AN44" s="58"/>
      <c r="AO44" s="62">
        <f t="shared" si="122"/>
        <v>1</v>
      </c>
      <c r="AP44" s="60"/>
      <c r="AQ44" s="58"/>
      <c r="AR44" s="62">
        <f t="shared" si="123"/>
        <v>1</v>
      </c>
      <c r="AS44" s="60"/>
      <c r="AT44" s="58"/>
      <c r="AU44" s="62">
        <f t="shared" si="124"/>
        <v>1</v>
      </c>
      <c r="AV44" s="83">
        <f t="shared" si="125"/>
        <v>0</v>
      </c>
      <c r="AW44" s="83">
        <f t="shared" si="126"/>
        <v>0</v>
      </c>
      <c r="AX44" s="64">
        <f t="shared" si="127"/>
        <v>0</v>
      </c>
      <c r="AY44" s="65" t="e">
        <f t="shared" si="128"/>
        <v>#DIV/0!</v>
      </c>
      <c r="AZ44" s="66">
        <f t="shared" si="129"/>
        <v>0</v>
      </c>
      <c r="BA44" s="67">
        <f>MAX(0, Table176252626[[#This Row],[Column6]])</f>
        <v>1</v>
      </c>
      <c r="BB44" s="68">
        <v>0</v>
      </c>
      <c r="BC44" s="84">
        <f t="shared" si="5"/>
        <v>1</v>
      </c>
      <c r="BD44" s="83">
        <f t="shared" si="3"/>
        <v>1</v>
      </c>
      <c r="BE44" s="85">
        <v>2</v>
      </c>
      <c r="BF44" s="86">
        <v>43630.58625</v>
      </c>
      <c r="BG44" s="72">
        <f t="shared" si="6"/>
        <v>46265</v>
      </c>
      <c r="BH44" s="87">
        <f t="shared" si="130"/>
        <v>2634.4137499999997</v>
      </c>
      <c r="BI44" s="80" t="str">
        <f t="shared" si="4"/>
        <v>Dead Stock</v>
      </c>
      <c r="BJ44" s="238">
        <v>6008.06</v>
      </c>
    </row>
    <row r="45" spans="1:293" s="48" customFormat="1" ht="13">
      <c r="A45" s="49"/>
      <c r="B45" s="50"/>
      <c r="C45" s="51">
        <v>42</v>
      </c>
      <c r="D45" s="110" t="s">
        <v>723</v>
      </c>
      <c r="E45" s="110">
        <v>4</v>
      </c>
      <c r="F45" s="80" t="s">
        <v>197</v>
      </c>
      <c r="G45" s="81" t="s">
        <v>198</v>
      </c>
      <c r="H45" s="81" t="s">
        <v>294</v>
      </c>
      <c r="I45" s="80" t="s">
        <v>458</v>
      </c>
      <c r="J45" s="82">
        <f t="shared" si="112"/>
        <v>1</v>
      </c>
      <c r="K45" s="80">
        <v>1</v>
      </c>
      <c r="L45" s="57"/>
      <c r="M45" s="58"/>
      <c r="N45" s="59">
        <f t="shared" si="113"/>
        <v>1</v>
      </c>
      <c r="O45" s="60"/>
      <c r="P45" s="58"/>
      <c r="Q45" s="59">
        <f t="shared" si="114"/>
        <v>1</v>
      </c>
      <c r="R45" s="60"/>
      <c r="S45" s="58"/>
      <c r="T45" s="61">
        <f t="shared" si="115"/>
        <v>1</v>
      </c>
      <c r="U45" s="60"/>
      <c r="V45" s="58"/>
      <c r="W45" s="59">
        <f t="shared" si="116"/>
        <v>1</v>
      </c>
      <c r="X45" s="60"/>
      <c r="Y45" s="58"/>
      <c r="Z45" s="61">
        <f t="shared" si="117"/>
        <v>1</v>
      </c>
      <c r="AA45" s="60"/>
      <c r="AB45" s="58"/>
      <c r="AC45" s="59">
        <f t="shared" si="118"/>
        <v>1</v>
      </c>
      <c r="AD45" s="57"/>
      <c r="AE45" s="58"/>
      <c r="AF45" s="243">
        <f t="shared" si="119"/>
        <v>1</v>
      </c>
      <c r="AG45" s="60"/>
      <c r="AH45" s="58"/>
      <c r="AI45" s="62">
        <f t="shared" si="120"/>
        <v>1</v>
      </c>
      <c r="AJ45" s="60"/>
      <c r="AK45" s="58"/>
      <c r="AL45" s="62">
        <f t="shared" si="121"/>
        <v>1</v>
      </c>
      <c r="AM45" s="60"/>
      <c r="AN45" s="58"/>
      <c r="AO45" s="62">
        <f t="shared" si="122"/>
        <v>1</v>
      </c>
      <c r="AP45" s="60"/>
      <c r="AQ45" s="58"/>
      <c r="AR45" s="62">
        <f t="shared" si="123"/>
        <v>1</v>
      </c>
      <c r="AS45" s="60"/>
      <c r="AT45" s="58"/>
      <c r="AU45" s="62">
        <f t="shared" si="124"/>
        <v>1</v>
      </c>
      <c r="AV45" s="83">
        <f t="shared" si="125"/>
        <v>0</v>
      </c>
      <c r="AW45" s="83">
        <f t="shared" si="126"/>
        <v>0</v>
      </c>
      <c r="AX45" s="64">
        <f t="shared" si="127"/>
        <v>0</v>
      </c>
      <c r="AY45" s="65" t="e">
        <f t="shared" si="128"/>
        <v>#DIV/0!</v>
      </c>
      <c r="AZ45" s="66">
        <f t="shared" si="129"/>
        <v>0</v>
      </c>
      <c r="BA45" s="67">
        <f>MAX(0, Table176252626[[#This Row],[Column6]])</f>
        <v>1</v>
      </c>
      <c r="BB45" s="68">
        <v>0</v>
      </c>
      <c r="BC45" s="84">
        <f t="shared" si="5"/>
        <v>1</v>
      </c>
      <c r="BD45" s="83">
        <f t="shared" si="3"/>
        <v>1</v>
      </c>
      <c r="BE45" s="85">
        <v>2</v>
      </c>
      <c r="BF45" s="86">
        <v>42718.690752314818</v>
      </c>
      <c r="BG45" s="72">
        <f t="shared" si="6"/>
        <v>46265</v>
      </c>
      <c r="BH45" s="87">
        <f t="shared" si="130"/>
        <v>3546.3092476851816</v>
      </c>
      <c r="BI45" s="80" t="str">
        <f t="shared" si="4"/>
        <v>Dead Stock</v>
      </c>
      <c r="BJ45" s="238">
        <v>7510</v>
      </c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</row>
    <row r="46" spans="1:293" ht="13">
      <c r="A46" s="49"/>
      <c r="B46" s="50"/>
      <c r="C46" s="51">
        <v>43</v>
      </c>
      <c r="D46" s="110" t="s">
        <v>723</v>
      </c>
      <c r="E46" s="110">
        <v>5</v>
      </c>
      <c r="F46" s="80" t="s">
        <v>914</v>
      </c>
      <c r="G46" s="81" t="s">
        <v>915</v>
      </c>
      <c r="H46" s="81" t="s">
        <v>913</v>
      </c>
      <c r="I46" s="80" t="s">
        <v>458</v>
      </c>
      <c r="J46" s="82">
        <f t="shared" si="112"/>
        <v>1</v>
      </c>
      <c r="K46" s="80">
        <v>1</v>
      </c>
      <c r="L46" s="57"/>
      <c r="M46" s="58"/>
      <c r="N46" s="59">
        <f t="shared" si="113"/>
        <v>1</v>
      </c>
      <c r="O46" s="60"/>
      <c r="P46" s="58"/>
      <c r="Q46" s="59">
        <f t="shared" si="114"/>
        <v>1</v>
      </c>
      <c r="R46" s="60"/>
      <c r="S46" s="58"/>
      <c r="T46" s="61">
        <f t="shared" si="115"/>
        <v>1</v>
      </c>
      <c r="U46" s="60"/>
      <c r="V46" s="58"/>
      <c r="W46" s="59">
        <f t="shared" si="116"/>
        <v>1</v>
      </c>
      <c r="X46" s="60"/>
      <c r="Y46" s="58"/>
      <c r="Z46" s="61">
        <f t="shared" si="117"/>
        <v>1</v>
      </c>
      <c r="AA46" s="60"/>
      <c r="AB46" s="58"/>
      <c r="AC46" s="59">
        <f t="shared" si="118"/>
        <v>1</v>
      </c>
      <c r="AD46" s="57"/>
      <c r="AE46" s="58"/>
      <c r="AF46" s="243">
        <f t="shared" si="119"/>
        <v>1</v>
      </c>
      <c r="AG46" s="60"/>
      <c r="AH46" s="58"/>
      <c r="AI46" s="62">
        <f t="shared" si="120"/>
        <v>1</v>
      </c>
      <c r="AJ46" s="60"/>
      <c r="AK46" s="58"/>
      <c r="AL46" s="62">
        <f t="shared" si="121"/>
        <v>1</v>
      </c>
      <c r="AM46" s="60"/>
      <c r="AN46" s="58"/>
      <c r="AO46" s="62">
        <f t="shared" si="122"/>
        <v>1</v>
      </c>
      <c r="AP46" s="60"/>
      <c r="AQ46" s="58"/>
      <c r="AR46" s="62">
        <f t="shared" si="123"/>
        <v>1</v>
      </c>
      <c r="AS46" s="60"/>
      <c r="AT46" s="58"/>
      <c r="AU46" s="62">
        <f t="shared" si="124"/>
        <v>1</v>
      </c>
      <c r="AV46" s="83">
        <f t="shared" si="125"/>
        <v>0</v>
      </c>
      <c r="AW46" s="83">
        <f t="shared" si="126"/>
        <v>0</v>
      </c>
      <c r="AX46" s="64">
        <f t="shared" si="127"/>
        <v>0</v>
      </c>
      <c r="AY46" s="65" t="e">
        <f t="shared" si="128"/>
        <v>#DIV/0!</v>
      </c>
      <c r="AZ46" s="66">
        <f t="shared" si="129"/>
        <v>0</v>
      </c>
      <c r="BA46" s="67">
        <f>MAX(0, Table176252626[[#This Row],[Column6]])</f>
        <v>1</v>
      </c>
      <c r="BB46" s="68">
        <v>0</v>
      </c>
      <c r="BC46" s="84">
        <f t="shared" si="5"/>
        <v>1</v>
      </c>
      <c r="BD46" s="83">
        <f t="shared" si="3"/>
        <v>1</v>
      </c>
      <c r="BE46" s="85">
        <v>2</v>
      </c>
      <c r="BF46" s="86">
        <v>44330.548032407409</v>
      </c>
      <c r="BG46" s="72">
        <f t="shared" si="6"/>
        <v>46265</v>
      </c>
      <c r="BH46" s="87">
        <f t="shared" si="130"/>
        <v>1934.4519675925912</v>
      </c>
      <c r="BI46" s="80" t="str">
        <f t="shared" si="4"/>
        <v>Dead Stock</v>
      </c>
      <c r="BJ46" s="238">
        <v>5886</v>
      </c>
    </row>
    <row r="47" spans="1:293" ht="13">
      <c r="A47" s="90"/>
      <c r="B47" s="91"/>
      <c r="C47" s="77">
        <v>44</v>
      </c>
      <c r="D47" s="110" t="s">
        <v>723</v>
      </c>
      <c r="E47" s="110">
        <v>6</v>
      </c>
      <c r="F47" s="80" t="s">
        <v>174</v>
      </c>
      <c r="G47" s="81" t="s">
        <v>175</v>
      </c>
      <c r="H47" s="81" t="s">
        <v>294</v>
      </c>
      <c r="I47" s="80" t="s">
        <v>458</v>
      </c>
      <c r="J47" s="82">
        <f t="shared" si="112"/>
        <v>1</v>
      </c>
      <c r="K47" s="80">
        <v>1</v>
      </c>
      <c r="L47" s="57"/>
      <c r="M47" s="58"/>
      <c r="N47" s="59">
        <f t="shared" si="113"/>
        <v>1</v>
      </c>
      <c r="O47" s="60"/>
      <c r="P47" s="58"/>
      <c r="Q47" s="59">
        <f t="shared" si="114"/>
        <v>1</v>
      </c>
      <c r="R47" s="60"/>
      <c r="S47" s="58"/>
      <c r="T47" s="61">
        <f t="shared" si="115"/>
        <v>1</v>
      </c>
      <c r="U47" s="60"/>
      <c r="V47" s="58"/>
      <c r="W47" s="59">
        <f t="shared" si="116"/>
        <v>1</v>
      </c>
      <c r="X47" s="60"/>
      <c r="Y47" s="58"/>
      <c r="Z47" s="61">
        <f t="shared" si="117"/>
        <v>1</v>
      </c>
      <c r="AA47" s="60"/>
      <c r="AB47" s="58"/>
      <c r="AC47" s="59">
        <f t="shared" si="118"/>
        <v>1</v>
      </c>
      <c r="AD47" s="57"/>
      <c r="AE47" s="58"/>
      <c r="AF47" s="243">
        <f t="shared" si="119"/>
        <v>1</v>
      </c>
      <c r="AG47" s="60"/>
      <c r="AH47" s="58"/>
      <c r="AI47" s="62">
        <f t="shared" si="120"/>
        <v>1</v>
      </c>
      <c r="AJ47" s="60"/>
      <c r="AK47" s="58"/>
      <c r="AL47" s="62">
        <f t="shared" si="121"/>
        <v>1</v>
      </c>
      <c r="AM47" s="60"/>
      <c r="AN47" s="58"/>
      <c r="AO47" s="62">
        <f t="shared" si="122"/>
        <v>1</v>
      </c>
      <c r="AP47" s="60"/>
      <c r="AQ47" s="58"/>
      <c r="AR47" s="62">
        <f t="shared" si="123"/>
        <v>1</v>
      </c>
      <c r="AS47" s="60"/>
      <c r="AT47" s="58"/>
      <c r="AU47" s="62">
        <f t="shared" si="124"/>
        <v>1</v>
      </c>
      <c r="AV47" s="83">
        <f t="shared" si="125"/>
        <v>0</v>
      </c>
      <c r="AW47" s="83">
        <f t="shared" si="126"/>
        <v>0</v>
      </c>
      <c r="AX47" s="64">
        <f t="shared" si="127"/>
        <v>0</v>
      </c>
      <c r="AY47" s="65" t="e">
        <f t="shared" si="128"/>
        <v>#DIV/0!</v>
      </c>
      <c r="AZ47" s="66">
        <f t="shared" si="129"/>
        <v>0</v>
      </c>
      <c r="BA47" s="67">
        <f>MAX(0, Table176252626[[#This Row],[Column6]])</f>
        <v>1</v>
      </c>
      <c r="BB47" s="68">
        <v>0</v>
      </c>
      <c r="BC47" s="84">
        <f t="shared" si="5"/>
        <v>1</v>
      </c>
      <c r="BD47" s="83">
        <f t="shared" si="3"/>
        <v>1</v>
      </c>
      <c r="BE47" s="85">
        <v>2</v>
      </c>
      <c r="BF47" s="86">
        <v>42746.392337962963</v>
      </c>
      <c r="BG47" s="72">
        <f t="shared" si="6"/>
        <v>46265</v>
      </c>
      <c r="BH47" s="87">
        <f t="shared" si="130"/>
        <v>3518.6076620370368</v>
      </c>
      <c r="BI47" s="80" t="str">
        <f t="shared" si="4"/>
        <v>Dead Stock</v>
      </c>
      <c r="BJ47" s="238">
        <v>8440</v>
      </c>
    </row>
    <row r="48" spans="1:293" ht="13">
      <c r="A48" s="49"/>
      <c r="B48" s="50"/>
      <c r="C48" s="77">
        <v>45</v>
      </c>
      <c r="D48" s="110" t="s">
        <v>723</v>
      </c>
      <c r="E48" s="110">
        <v>7</v>
      </c>
      <c r="F48" s="80" t="s">
        <v>416</v>
      </c>
      <c r="G48" s="81" t="s">
        <v>105</v>
      </c>
      <c r="H48" s="81" t="s">
        <v>294</v>
      </c>
      <c r="I48" s="88" t="s">
        <v>458</v>
      </c>
      <c r="J48" s="82">
        <f t="shared" si="112"/>
        <v>1</v>
      </c>
      <c r="K48" s="80">
        <v>1</v>
      </c>
      <c r="L48" s="57"/>
      <c r="M48" s="58"/>
      <c r="N48" s="59">
        <f t="shared" si="113"/>
        <v>1</v>
      </c>
      <c r="O48" s="60"/>
      <c r="P48" s="58"/>
      <c r="Q48" s="59">
        <f t="shared" si="114"/>
        <v>1</v>
      </c>
      <c r="R48" s="60"/>
      <c r="S48" s="58"/>
      <c r="T48" s="61">
        <f t="shared" si="115"/>
        <v>1</v>
      </c>
      <c r="U48" s="60"/>
      <c r="V48" s="58"/>
      <c r="W48" s="59">
        <f t="shared" si="116"/>
        <v>1</v>
      </c>
      <c r="X48" s="60"/>
      <c r="Y48" s="58"/>
      <c r="Z48" s="61">
        <f t="shared" si="117"/>
        <v>1</v>
      </c>
      <c r="AA48" s="60"/>
      <c r="AB48" s="58"/>
      <c r="AC48" s="59">
        <f t="shared" si="118"/>
        <v>1</v>
      </c>
      <c r="AD48" s="57"/>
      <c r="AE48" s="58"/>
      <c r="AF48" s="243">
        <f t="shared" si="119"/>
        <v>1</v>
      </c>
      <c r="AG48" s="60"/>
      <c r="AH48" s="58"/>
      <c r="AI48" s="62">
        <f t="shared" si="120"/>
        <v>1</v>
      </c>
      <c r="AJ48" s="60"/>
      <c r="AK48" s="58"/>
      <c r="AL48" s="62">
        <f t="shared" si="121"/>
        <v>1</v>
      </c>
      <c r="AM48" s="60"/>
      <c r="AN48" s="58"/>
      <c r="AO48" s="62">
        <f t="shared" si="122"/>
        <v>1</v>
      </c>
      <c r="AP48" s="60"/>
      <c r="AQ48" s="58"/>
      <c r="AR48" s="62">
        <f t="shared" si="123"/>
        <v>1</v>
      </c>
      <c r="AS48" s="60"/>
      <c r="AT48" s="58"/>
      <c r="AU48" s="62">
        <f t="shared" si="124"/>
        <v>1</v>
      </c>
      <c r="AV48" s="83">
        <f t="shared" si="125"/>
        <v>0</v>
      </c>
      <c r="AW48" s="83">
        <f t="shared" si="126"/>
        <v>0</v>
      </c>
      <c r="AX48" s="64">
        <f t="shared" si="127"/>
        <v>0</v>
      </c>
      <c r="AY48" s="65" t="e">
        <f t="shared" si="128"/>
        <v>#DIV/0!</v>
      </c>
      <c r="AZ48" s="66">
        <f t="shared" si="129"/>
        <v>0</v>
      </c>
      <c r="BA48" s="67">
        <f>MAX(0, Table176252626[[#This Row],[Column6]])</f>
        <v>1</v>
      </c>
      <c r="BB48" s="68">
        <v>0</v>
      </c>
      <c r="BC48" s="84">
        <f t="shared" si="5"/>
        <v>1</v>
      </c>
      <c r="BD48" s="83">
        <f t="shared" si="3"/>
        <v>1</v>
      </c>
      <c r="BE48" s="85">
        <v>2</v>
      </c>
      <c r="BF48" s="86">
        <v>43090.583449074074</v>
      </c>
      <c r="BG48" s="72">
        <f t="shared" si="6"/>
        <v>46265</v>
      </c>
      <c r="BH48" s="87">
        <f t="shared" si="130"/>
        <v>3174.4165509259255</v>
      </c>
      <c r="BI48" s="80" t="str">
        <f t="shared" si="4"/>
        <v>Dead Stock</v>
      </c>
      <c r="BJ48" s="238">
        <v>2420</v>
      </c>
    </row>
    <row r="49" spans="1:293" ht="13">
      <c r="A49" s="49"/>
      <c r="B49" s="76"/>
      <c r="C49" s="51">
        <v>46</v>
      </c>
      <c r="D49" s="110" t="s">
        <v>723</v>
      </c>
      <c r="E49" s="110">
        <v>8</v>
      </c>
      <c r="F49" s="80" t="s">
        <v>107</v>
      </c>
      <c r="G49" s="81" t="s">
        <v>1703</v>
      </c>
      <c r="H49" s="81" t="s">
        <v>294</v>
      </c>
      <c r="I49" s="80" t="s">
        <v>458</v>
      </c>
      <c r="J49" s="82">
        <f t="shared" si="112"/>
        <v>1</v>
      </c>
      <c r="K49" s="80">
        <v>1</v>
      </c>
      <c r="L49" s="57"/>
      <c r="M49" s="58"/>
      <c r="N49" s="59">
        <f t="shared" si="113"/>
        <v>1</v>
      </c>
      <c r="O49" s="60"/>
      <c r="P49" s="58"/>
      <c r="Q49" s="59">
        <f t="shared" si="114"/>
        <v>1</v>
      </c>
      <c r="R49" s="60"/>
      <c r="S49" s="58"/>
      <c r="T49" s="61">
        <f t="shared" si="115"/>
        <v>1</v>
      </c>
      <c r="U49" s="60"/>
      <c r="V49" s="58"/>
      <c r="W49" s="59">
        <f t="shared" si="116"/>
        <v>1</v>
      </c>
      <c r="X49" s="60"/>
      <c r="Y49" s="58"/>
      <c r="Z49" s="61">
        <f t="shared" si="117"/>
        <v>1</v>
      </c>
      <c r="AA49" s="60"/>
      <c r="AB49" s="58"/>
      <c r="AC49" s="59">
        <f t="shared" si="118"/>
        <v>1</v>
      </c>
      <c r="AD49" s="57"/>
      <c r="AE49" s="58"/>
      <c r="AF49" s="243">
        <f t="shared" si="119"/>
        <v>1</v>
      </c>
      <c r="AG49" s="60"/>
      <c r="AH49" s="58"/>
      <c r="AI49" s="62">
        <f t="shared" si="120"/>
        <v>1</v>
      </c>
      <c r="AJ49" s="60"/>
      <c r="AK49" s="58"/>
      <c r="AL49" s="62">
        <f t="shared" si="121"/>
        <v>1</v>
      </c>
      <c r="AM49" s="60"/>
      <c r="AN49" s="58"/>
      <c r="AO49" s="62">
        <f t="shared" si="122"/>
        <v>1</v>
      </c>
      <c r="AP49" s="60"/>
      <c r="AQ49" s="58"/>
      <c r="AR49" s="62">
        <f t="shared" si="123"/>
        <v>1</v>
      </c>
      <c r="AS49" s="60"/>
      <c r="AT49" s="58"/>
      <c r="AU49" s="62">
        <f t="shared" si="124"/>
        <v>1</v>
      </c>
      <c r="AV49" s="83">
        <f t="shared" si="125"/>
        <v>0</v>
      </c>
      <c r="AW49" s="83">
        <f t="shared" si="126"/>
        <v>0</v>
      </c>
      <c r="AX49" s="64">
        <f t="shared" si="127"/>
        <v>0</v>
      </c>
      <c r="AY49" s="65" t="e">
        <f t="shared" si="128"/>
        <v>#DIV/0!</v>
      </c>
      <c r="AZ49" s="66">
        <f t="shared" si="129"/>
        <v>0</v>
      </c>
      <c r="BA49" s="67">
        <f>MAX(0, Table176252626[[#This Row],[Column6]])</f>
        <v>1</v>
      </c>
      <c r="BB49" s="68">
        <v>0</v>
      </c>
      <c r="BC49" s="84">
        <f t="shared" si="5"/>
        <v>1</v>
      </c>
      <c r="BD49" s="83">
        <f t="shared" si="3"/>
        <v>1</v>
      </c>
      <c r="BE49" s="85">
        <v>2</v>
      </c>
      <c r="BF49" s="86">
        <v>44502.509965277779</v>
      </c>
      <c r="BG49" s="72">
        <f t="shared" si="6"/>
        <v>46265</v>
      </c>
      <c r="BH49" s="87">
        <f t="shared" si="130"/>
        <v>1762.490034722221</v>
      </c>
      <c r="BI49" s="80" t="str">
        <f t="shared" si="4"/>
        <v>Dead Stock</v>
      </c>
      <c r="BJ49" s="238">
        <v>2420</v>
      </c>
    </row>
    <row r="50" spans="1:293" ht="13">
      <c r="A50" s="75"/>
      <c r="B50" s="76"/>
      <c r="C50" s="51">
        <v>47</v>
      </c>
      <c r="D50" s="110" t="s">
        <v>723</v>
      </c>
      <c r="E50" s="110">
        <v>9</v>
      </c>
      <c r="F50" s="80" t="s">
        <v>890</v>
      </c>
      <c r="G50" s="81" t="s">
        <v>891</v>
      </c>
      <c r="H50" s="81" t="s">
        <v>294</v>
      </c>
      <c r="I50" s="80" t="s">
        <v>2</v>
      </c>
      <c r="J50" s="82">
        <f t="shared" si="112"/>
        <v>1</v>
      </c>
      <c r="K50" s="80">
        <v>1</v>
      </c>
      <c r="L50" s="57"/>
      <c r="M50" s="58"/>
      <c r="N50" s="59">
        <f t="shared" si="113"/>
        <v>1</v>
      </c>
      <c r="O50" s="60"/>
      <c r="P50" s="58"/>
      <c r="Q50" s="59">
        <f t="shared" si="114"/>
        <v>1</v>
      </c>
      <c r="R50" s="60"/>
      <c r="S50" s="58"/>
      <c r="T50" s="61">
        <f t="shared" si="115"/>
        <v>1</v>
      </c>
      <c r="U50" s="60"/>
      <c r="V50" s="58"/>
      <c r="W50" s="59">
        <f t="shared" si="116"/>
        <v>1</v>
      </c>
      <c r="X50" s="60"/>
      <c r="Y50" s="58"/>
      <c r="Z50" s="61">
        <f t="shared" si="117"/>
        <v>1</v>
      </c>
      <c r="AA50" s="60"/>
      <c r="AB50" s="58"/>
      <c r="AC50" s="59">
        <f t="shared" si="118"/>
        <v>1</v>
      </c>
      <c r="AD50" s="57"/>
      <c r="AE50" s="58"/>
      <c r="AF50" s="243">
        <f t="shared" si="119"/>
        <v>1</v>
      </c>
      <c r="AG50" s="60"/>
      <c r="AH50" s="58"/>
      <c r="AI50" s="62">
        <f t="shared" si="120"/>
        <v>1</v>
      </c>
      <c r="AJ50" s="60"/>
      <c r="AK50" s="58"/>
      <c r="AL50" s="62">
        <f t="shared" si="121"/>
        <v>1</v>
      </c>
      <c r="AM50" s="60"/>
      <c r="AN50" s="58"/>
      <c r="AO50" s="62">
        <f t="shared" si="122"/>
        <v>1</v>
      </c>
      <c r="AP50" s="60"/>
      <c r="AQ50" s="58"/>
      <c r="AR50" s="62">
        <f t="shared" si="123"/>
        <v>1</v>
      </c>
      <c r="AS50" s="60"/>
      <c r="AT50" s="58"/>
      <c r="AU50" s="62">
        <f t="shared" si="124"/>
        <v>1</v>
      </c>
      <c r="AV50" s="83">
        <f t="shared" si="125"/>
        <v>0</v>
      </c>
      <c r="AW50" s="83">
        <f t="shared" si="126"/>
        <v>0</v>
      </c>
      <c r="AX50" s="64">
        <f t="shared" si="127"/>
        <v>0</v>
      </c>
      <c r="AY50" s="65" t="e">
        <f t="shared" si="128"/>
        <v>#DIV/0!</v>
      </c>
      <c r="AZ50" s="66">
        <f t="shared" si="129"/>
        <v>0</v>
      </c>
      <c r="BA50" s="67">
        <f>MAX(0, Table176252626[[#This Row],[Column6]])</f>
        <v>1</v>
      </c>
      <c r="BB50" s="68">
        <v>0</v>
      </c>
      <c r="BC50" s="84">
        <f t="shared" si="5"/>
        <v>1</v>
      </c>
      <c r="BD50" s="83">
        <f t="shared" si="3"/>
        <v>1</v>
      </c>
      <c r="BE50" s="85">
        <v>2</v>
      </c>
      <c r="BF50" s="86">
        <v>44260.589120370372</v>
      </c>
      <c r="BG50" s="72">
        <f t="shared" si="6"/>
        <v>46265</v>
      </c>
      <c r="BH50" s="87">
        <f t="shared" si="130"/>
        <v>2004.4108796296277</v>
      </c>
      <c r="BI50" s="80" t="str">
        <f t="shared" si="4"/>
        <v>Dead Stock</v>
      </c>
      <c r="BJ50" s="238">
        <v>2045</v>
      </c>
    </row>
    <row r="51" spans="1:293" ht="13">
      <c r="A51" s="75"/>
      <c r="B51" s="76"/>
      <c r="C51" s="51">
        <v>48</v>
      </c>
      <c r="D51" s="110" t="s">
        <v>723</v>
      </c>
      <c r="E51" s="110">
        <v>10</v>
      </c>
      <c r="F51" s="111" t="s">
        <v>104</v>
      </c>
      <c r="G51" s="81" t="s">
        <v>863</v>
      </c>
      <c r="H51" s="81" t="s">
        <v>294</v>
      </c>
      <c r="I51" s="80" t="s">
        <v>458</v>
      </c>
      <c r="J51" s="82">
        <f t="shared" si="112"/>
        <v>1</v>
      </c>
      <c r="K51" s="80">
        <v>1</v>
      </c>
      <c r="L51" s="57"/>
      <c r="M51" s="58"/>
      <c r="N51" s="59">
        <f t="shared" si="113"/>
        <v>1</v>
      </c>
      <c r="O51" s="60"/>
      <c r="P51" s="58"/>
      <c r="Q51" s="59">
        <f t="shared" si="114"/>
        <v>1</v>
      </c>
      <c r="R51" s="60"/>
      <c r="S51" s="58"/>
      <c r="T51" s="61">
        <f t="shared" si="115"/>
        <v>1</v>
      </c>
      <c r="U51" s="60"/>
      <c r="V51" s="58"/>
      <c r="W51" s="59">
        <f t="shared" si="116"/>
        <v>1</v>
      </c>
      <c r="X51" s="60"/>
      <c r="Y51" s="58"/>
      <c r="Z51" s="61">
        <f t="shared" si="117"/>
        <v>1</v>
      </c>
      <c r="AA51" s="60"/>
      <c r="AB51" s="58"/>
      <c r="AC51" s="59">
        <f t="shared" si="118"/>
        <v>1</v>
      </c>
      <c r="AD51" s="57"/>
      <c r="AE51" s="58"/>
      <c r="AF51" s="243">
        <f t="shared" si="119"/>
        <v>1</v>
      </c>
      <c r="AG51" s="60"/>
      <c r="AH51" s="58"/>
      <c r="AI51" s="62">
        <f t="shared" si="120"/>
        <v>1</v>
      </c>
      <c r="AJ51" s="60"/>
      <c r="AK51" s="58"/>
      <c r="AL51" s="62">
        <f t="shared" si="121"/>
        <v>1</v>
      </c>
      <c r="AM51" s="60"/>
      <c r="AN51" s="58"/>
      <c r="AO51" s="62">
        <f t="shared" si="122"/>
        <v>1</v>
      </c>
      <c r="AP51" s="60"/>
      <c r="AQ51" s="58"/>
      <c r="AR51" s="62">
        <f t="shared" si="123"/>
        <v>1</v>
      </c>
      <c r="AS51" s="60"/>
      <c r="AT51" s="58"/>
      <c r="AU51" s="62">
        <f t="shared" si="124"/>
        <v>1</v>
      </c>
      <c r="AV51" s="83">
        <f t="shared" si="125"/>
        <v>0</v>
      </c>
      <c r="AW51" s="83">
        <f t="shared" si="126"/>
        <v>0</v>
      </c>
      <c r="AX51" s="64">
        <f t="shared" si="127"/>
        <v>0</v>
      </c>
      <c r="AY51" s="65" t="e">
        <f t="shared" si="128"/>
        <v>#DIV/0!</v>
      </c>
      <c r="AZ51" s="66">
        <f t="shared" si="129"/>
        <v>0</v>
      </c>
      <c r="BA51" s="67">
        <f>MAX(0, Table176252626[[#This Row],[Column6]])</f>
        <v>1</v>
      </c>
      <c r="BB51" s="68">
        <v>0</v>
      </c>
      <c r="BC51" s="84">
        <f t="shared" si="5"/>
        <v>1</v>
      </c>
      <c r="BD51" s="83">
        <f t="shared" si="3"/>
        <v>1</v>
      </c>
      <c r="BE51" s="85">
        <v>2</v>
      </c>
      <c r="BF51" s="86">
        <v>42746.392337962963</v>
      </c>
      <c r="BG51" s="72">
        <f t="shared" si="6"/>
        <v>46265</v>
      </c>
      <c r="BH51" s="87">
        <f t="shared" si="130"/>
        <v>3518.6076620370368</v>
      </c>
      <c r="BI51" s="80" t="str">
        <f t="shared" si="4"/>
        <v>Dead Stock</v>
      </c>
      <c r="BJ51" s="238">
        <v>2520</v>
      </c>
    </row>
    <row r="52" spans="1:293" s="48" customFormat="1" ht="13">
      <c r="A52" s="49"/>
      <c r="B52" s="76"/>
      <c r="C52" s="51">
        <v>49</v>
      </c>
      <c r="D52" s="110" t="s">
        <v>723</v>
      </c>
      <c r="E52" s="110">
        <v>11</v>
      </c>
      <c r="F52" s="80" t="s">
        <v>387</v>
      </c>
      <c r="G52" s="81" t="s">
        <v>388</v>
      </c>
      <c r="H52" s="81" t="s">
        <v>294</v>
      </c>
      <c r="I52" s="88" t="s">
        <v>458</v>
      </c>
      <c r="J52" s="82">
        <f t="shared" si="112"/>
        <v>1</v>
      </c>
      <c r="K52" s="80">
        <v>1</v>
      </c>
      <c r="L52" s="57"/>
      <c r="M52" s="58"/>
      <c r="N52" s="59">
        <f t="shared" si="113"/>
        <v>1</v>
      </c>
      <c r="O52" s="60"/>
      <c r="P52" s="58"/>
      <c r="Q52" s="59">
        <f t="shared" si="114"/>
        <v>1</v>
      </c>
      <c r="R52" s="60"/>
      <c r="S52" s="58"/>
      <c r="T52" s="61">
        <f t="shared" si="115"/>
        <v>1</v>
      </c>
      <c r="U52" s="60"/>
      <c r="V52" s="58"/>
      <c r="W52" s="59">
        <f t="shared" si="116"/>
        <v>1</v>
      </c>
      <c r="X52" s="60"/>
      <c r="Y52" s="58"/>
      <c r="Z52" s="61">
        <f t="shared" si="117"/>
        <v>1</v>
      </c>
      <c r="AA52" s="60"/>
      <c r="AB52" s="58"/>
      <c r="AC52" s="59">
        <f t="shared" si="118"/>
        <v>1</v>
      </c>
      <c r="AD52" s="57"/>
      <c r="AE52" s="58"/>
      <c r="AF52" s="243">
        <f t="shared" si="119"/>
        <v>1</v>
      </c>
      <c r="AG52" s="60"/>
      <c r="AH52" s="58"/>
      <c r="AI52" s="62">
        <f t="shared" si="120"/>
        <v>1</v>
      </c>
      <c r="AJ52" s="60"/>
      <c r="AK52" s="58"/>
      <c r="AL52" s="62">
        <f t="shared" si="121"/>
        <v>1</v>
      </c>
      <c r="AM52" s="60"/>
      <c r="AN52" s="58"/>
      <c r="AO52" s="62">
        <f t="shared" si="122"/>
        <v>1</v>
      </c>
      <c r="AP52" s="60"/>
      <c r="AQ52" s="58"/>
      <c r="AR52" s="62">
        <f t="shared" si="123"/>
        <v>1</v>
      </c>
      <c r="AS52" s="60"/>
      <c r="AT52" s="58"/>
      <c r="AU52" s="62">
        <f t="shared" si="124"/>
        <v>1</v>
      </c>
      <c r="AV52" s="83">
        <f t="shared" si="125"/>
        <v>0</v>
      </c>
      <c r="AW52" s="83">
        <f t="shared" si="126"/>
        <v>0</v>
      </c>
      <c r="AX52" s="64">
        <f t="shared" si="127"/>
        <v>0</v>
      </c>
      <c r="AY52" s="65" t="e">
        <f t="shared" si="128"/>
        <v>#DIV/0!</v>
      </c>
      <c r="AZ52" s="66">
        <f t="shared" si="129"/>
        <v>0</v>
      </c>
      <c r="BA52" s="67">
        <f>MAX(0, Table176252626[[#This Row],[Column6]])</f>
        <v>1</v>
      </c>
      <c r="BB52" s="68">
        <v>0</v>
      </c>
      <c r="BC52" s="84">
        <f t="shared" si="5"/>
        <v>1</v>
      </c>
      <c r="BD52" s="83">
        <f t="shared" si="3"/>
        <v>1</v>
      </c>
      <c r="BE52" s="85">
        <v>2</v>
      </c>
      <c r="BF52" s="86">
        <v>43075.56523148148</v>
      </c>
      <c r="BG52" s="72">
        <f t="shared" si="6"/>
        <v>46265</v>
      </c>
      <c r="BH52" s="87">
        <f t="shared" si="130"/>
        <v>3189.4347685185203</v>
      </c>
      <c r="BI52" s="80" t="str">
        <f t="shared" si="4"/>
        <v>Dead Stock</v>
      </c>
      <c r="BJ52" s="238">
        <v>17930</v>
      </c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0"/>
      <c r="IR52" s="30"/>
      <c r="IS52" s="30"/>
      <c r="IT52" s="30"/>
      <c r="IU52" s="30"/>
      <c r="IV52" s="30"/>
      <c r="IW52" s="30"/>
      <c r="IX52" s="30"/>
      <c r="IY52" s="30"/>
      <c r="IZ52" s="30"/>
      <c r="JA52" s="30"/>
      <c r="JB52" s="30"/>
      <c r="JC52" s="30"/>
      <c r="JD52" s="30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</row>
    <row r="53" spans="1:293" ht="13">
      <c r="A53" s="49"/>
      <c r="B53" s="50"/>
      <c r="C53" s="77">
        <v>50</v>
      </c>
      <c r="D53" s="110" t="s">
        <v>723</v>
      </c>
      <c r="E53" s="110">
        <v>12</v>
      </c>
      <c r="F53" s="80" t="s">
        <v>194</v>
      </c>
      <c r="G53" s="81" t="s">
        <v>864</v>
      </c>
      <c r="H53" s="81" t="s">
        <v>294</v>
      </c>
      <c r="I53" s="88" t="s">
        <v>458</v>
      </c>
      <c r="J53" s="82">
        <f t="shared" si="112"/>
        <v>1</v>
      </c>
      <c r="K53" s="80">
        <v>1</v>
      </c>
      <c r="L53" s="57"/>
      <c r="M53" s="58"/>
      <c r="N53" s="59">
        <f t="shared" si="113"/>
        <v>1</v>
      </c>
      <c r="O53" s="60"/>
      <c r="P53" s="58"/>
      <c r="Q53" s="59">
        <f t="shared" si="114"/>
        <v>1</v>
      </c>
      <c r="R53" s="60"/>
      <c r="S53" s="58"/>
      <c r="T53" s="61">
        <f t="shared" si="115"/>
        <v>1</v>
      </c>
      <c r="U53" s="60"/>
      <c r="V53" s="58"/>
      <c r="W53" s="59">
        <f t="shared" si="116"/>
        <v>1</v>
      </c>
      <c r="X53" s="60"/>
      <c r="Y53" s="58"/>
      <c r="Z53" s="61">
        <f t="shared" si="117"/>
        <v>1</v>
      </c>
      <c r="AA53" s="60"/>
      <c r="AB53" s="58"/>
      <c r="AC53" s="59">
        <f t="shared" si="118"/>
        <v>1</v>
      </c>
      <c r="AD53" s="57"/>
      <c r="AE53" s="58"/>
      <c r="AF53" s="243">
        <f t="shared" si="119"/>
        <v>1</v>
      </c>
      <c r="AG53" s="60"/>
      <c r="AH53" s="58"/>
      <c r="AI53" s="62">
        <f t="shared" si="120"/>
        <v>1</v>
      </c>
      <c r="AJ53" s="60"/>
      <c r="AK53" s="58"/>
      <c r="AL53" s="62">
        <f t="shared" si="121"/>
        <v>1</v>
      </c>
      <c r="AM53" s="60"/>
      <c r="AN53" s="58"/>
      <c r="AO53" s="62">
        <f t="shared" si="122"/>
        <v>1</v>
      </c>
      <c r="AP53" s="60"/>
      <c r="AQ53" s="58"/>
      <c r="AR53" s="62">
        <f t="shared" si="123"/>
        <v>1</v>
      </c>
      <c r="AS53" s="60"/>
      <c r="AT53" s="58"/>
      <c r="AU53" s="62">
        <f t="shared" si="124"/>
        <v>1</v>
      </c>
      <c r="AV53" s="83">
        <f t="shared" si="125"/>
        <v>0</v>
      </c>
      <c r="AW53" s="83">
        <f t="shared" si="126"/>
        <v>0</v>
      </c>
      <c r="AX53" s="64">
        <f t="shared" si="127"/>
        <v>0</v>
      </c>
      <c r="AY53" s="65" t="e">
        <f t="shared" si="128"/>
        <v>#DIV/0!</v>
      </c>
      <c r="AZ53" s="66">
        <f t="shared" si="129"/>
        <v>0</v>
      </c>
      <c r="BA53" s="67">
        <f>MAX(0, Table176252626[[#This Row],[Column6]])</f>
        <v>1</v>
      </c>
      <c r="BB53" s="68">
        <v>0</v>
      </c>
      <c r="BC53" s="84">
        <f t="shared" si="5"/>
        <v>1</v>
      </c>
      <c r="BD53" s="83">
        <f t="shared" si="3"/>
        <v>1</v>
      </c>
      <c r="BE53" s="85">
        <v>2</v>
      </c>
      <c r="BF53" s="86">
        <v>42755.637118055558</v>
      </c>
      <c r="BG53" s="72">
        <f t="shared" si="6"/>
        <v>46265</v>
      </c>
      <c r="BH53" s="87">
        <f t="shared" si="130"/>
        <v>3509.3628819444421</v>
      </c>
      <c r="BI53" s="80" t="str">
        <f t="shared" si="4"/>
        <v>Dead Stock</v>
      </c>
      <c r="BJ53" s="238">
        <v>18900</v>
      </c>
    </row>
    <row r="54" spans="1:293" ht="13">
      <c r="A54" s="49"/>
      <c r="B54" s="76"/>
      <c r="C54" s="77">
        <v>51</v>
      </c>
      <c r="D54" s="110" t="s">
        <v>723</v>
      </c>
      <c r="E54" s="110">
        <v>13</v>
      </c>
      <c r="F54" s="80" t="s">
        <v>215</v>
      </c>
      <c r="G54" s="81" t="s">
        <v>216</v>
      </c>
      <c r="H54" s="81" t="s">
        <v>294</v>
      </c>
      <c r="I54" s="80" t="s">
        <v>458</v>
      </c>
      <c r="J54" s="82">
        <f t="shared" si="112"/>
        <v>1</v>
      </c>
      <c r="K54" s="80">
        <v>1</v>
      </c>
      <c r="L54" s="57"/>
      <c r="M54" s="58"/>
      <c r="N54" s="59">
        <f t="shared" si="113"/>
        <v>1</v>
      </c>
      <c r="O54" s="60"/>
      <c r="P54" s="58"/>
      <c r="Q54" s="59">
        <f t="shared" si="114"/>
        <v>1</v>
      </c>
      <c r="R54" s="60"/>
      <c r="S54" s="58"/>
      <c r="T54" s="61">
        <f t="shared" si="115"/>
        <v>1</v>
      </c>
      <c r="U54" s="60"/>
      <c r="V54" s="58"/>
      <c r="W54" s="59">
        <f t="shared" si="116"/>
        <v>1</v>
      </c>
      <c r="X54" s="60"/>
      <c r="Y54" s="58"/>
      <c r="Z54" s="61">
        <f t="shared" si="117"/>
        <v>1</v>
      </c>
      <c r="AA54" s="60"/>
      <c r="AB54" s="58"/>
      <c r="AC54" s="59">
        <f t="shared" si="118"/>
        <v>1</v>
      </c>
      <c r="AD54" s="57"/>
      <c r="AE54" s="58"/>
      <c r="AF54" s="243">
        <f t="shared" si="119"/>
        <v>1</v>
      </c>
      <c r="AG54" s="60"/>
      <c r="AH54" s="58"/>
      <c r="AI54" s="62">
        <f t="shared" si="120"/>
        <v>1</v>
      </c>
      <c r="AJ54" s="60"/>
      <c r="AK54" s="58"/>
      <c r="AL54" s="62">
        <f t="shared" si="121"/>
        <v>1</v>
      </c>
      <c r="AM54" s="60"/>
      <c r="AN54" s="58"/>
      <c r="AO54" s="62">
        <f t="shared" si="122"/>
        <v>1</v>
      </c>
      <c r="AP54" s="60"/>
      <c r="AQ54" s="58"/>
      <c r="AR54" s="62">
        <f t="shared" si="123"/>
        <v>1</v>
      </c>
      <c r="AS54" s="60"/>
      <c r="AT54" s="58"/>
      <c r="AU54" s="62">
        <f t="shared" si="124"/>
        <v>1</v>
      </c>
      <c r="AV54" s="83">
        <f t="shared" si="125"/>
        <v>0</v>
      </c>
      <c r="AW54" s="83">
        <f t="shared" si="126"/>
        <v>0</v>
      </c>
      <c r="AX54" s="64">
        <f t="shared" si="127"/>
        <v>0</v>
      </c>
      <c r="AY54" s="65" t="e">
        <f t="shared" si="128"/>
        <v>#DIV/0!</v>
      </c>
      <c r="AZ54" s="66">
        <f t="shared" si="129"/>
        <v>0</v>
      </c>
      <c r="BA54" s="67">
        <f>MAX(0, Table176252626[[#This Row],[Column6]])</f>
        <v>1</v>
      </c>
      <c r="BB54" s="68">
        <v>0</v>
      </c>
      <c r="BC54" s="84">
        <f t="shared" si="5"/>
        <v>1</v>
      </c>
      <c r="BD54" s="83">
        <f t="shared" si="3"/>
        <v>1</v>
      </c>
      <c r="BE54" s="85">
        <v>2</v>
      </c>
      <c r="BF54" s="86">
        <v>42780.606874999998</v>
      </c>
      <c r="BG54" s="72">
        <f t="shared" si="6"/>
        <v>46265</v>
      </c>
      <c r="BH54" s="87">
        <f t="shared" si="130"/>
        <v>3484.3931250000023</v>
      </c>
      <c r="BI54" s="80" t="str">
        <f t="shared" si="4"/>
        <v>Dead Stock</v>
      </c>
      <c r="BJ54" s="238">
        <v>6000</v>
      </c>
    </row>
    <row r="55" spans="1:293" s="48" customFormat="1" ht="13">
      <c r="A55" s="49"/>
      <c r="B55" s="50"/>
      <c r="C55" s="51">
        <v>52</v>
      </c>
      <c r="D55" s="110" t="s">
        <v>723</v>
      </c>
      <c r="E55" s="110">
        <v>14</v>
      </c>
      <c r="F55" s="80" t="s">
        <v>43</v>
      </c>
      <c r="G55" s="81" t="s">
        <v>44</v>
      </c>
      <c r="H55" s="81" t="s">
        <v>294</v>
      </c>
      <c r="I55" s="80" t="s">
        <v>458</v>
      </c>
      <c r="J55" s="82">
        <f t="shared" si="112"/>
        <v>1</v>
      </c>
      <c r="K55" s="80">
        <v>1</v>
      </c>
      <c r="L55" s="57"/>
      <c r="M55" s="58"/>
      <c r="N55" s="59">
        <f t="shared" si="113"/>
        <v>1</v>
      </c>
      <c r="O55" s="60"/>
      <c r="P55" s="58"/>
      <c r="Q55" s="59">
        <f t="shared" si="114"/>
        <v>1</v>
      </c>
      <c r="R55" s="60"/>
      <c r="S55" s="58"/>
      <c r="T55" s="61">
        <f t="shared" si="115"/>
        <v>1</v>
      </c>
      <c r="U55" s="60"/>
      <c r="V55" s="58"/>
      <c r="W55" s="59">
        <f t="shared" si="116"/>
        <v>1</v>
      </c>
      <c r="X55" s="60"/>
      <c r="Y55" s="58"/>
      <c r="Z55" s="61">
        <f t="shared" si="117"/>
        <v>1</v>
      </c>
      <c r="AA55" s="60"/>
      <c r="AB55" s="58"/>
      <c r="AC55" s="59">
        <f t="shared" si="118"/>
        <v>1</v>
      </c>
      <c r="AD55" s="57"/>
      <c r="AE55" s="58"/>
      <c r="AF55" s="243">
        <f t="shared" si="119"/>
        <v>1</v>
      </c>
      <c r="AG55" s="60"/>
      <c r="AH55" s="58"/>
      <c r="AI55" s="62">
        <f t="shared" si="120"/>
        <v>1</v>
      </c>
      <c r="AJ55" s="60"/>
      <c r="AK55" s="58"/>
      <c r="AL55" s="62">
        <f t="shared" si="121"/>
        <v>1</v>
      </c>
      <c r="AM55" s="60"/>
      <c r="AN55" s="58"/>
      <c r="AO55" s="62">
        <f t="shared" si="122"/>
        <v>1</v>
      </c>
      <c r="AP55" s="60"/>
      <c r="AQ55" s="58"/>
      <c r="AR55" s="62">
        <f t="shared" si="123"/>
        <v>1</v>
      </c>
      <c r="AS55" s="60"/>
      <c r="AT55" s="58"/>
      <c r="AU55" s="62">
        <f t="shared" si="124"/>
        <v>1</v>
      </c>
      <c r="AV55" s="83">
        <f t="shared" si="125"/>
        <v>0</v>
      </c>
      <c r="AW55" s="83">
        <f t="shared" si="126"/>
        <v>0</v>
      </c>
      <c r="AX55" s="64">
        <f t="shared" si="127"/>
        <v>0</v>
      </c>
      <c r="AY55" s="65" t="e">
        <f t="shared" si="128"/>
        <v>#DIV/0!</v>
      </c>
      <c r="AZ55" s="66">
        <f t="shared" si="129"/>
        <v>0</v>
      </c>
      <c r="BA55" s="67">
        <f>MAX(0, Table176252626[[#This Row],[Column6]])</f>
        <v>1</v>
      </c>
      <c r="BB55" s="68">
        <v>0</v>
      </c>
      <c r="BC55" s="84">
        <f t="shared" si="5"/>
        <v>1</v>
      </c>
      <c r="BD55" s="83">
        <f t="shared" si="3"/>
        <v>1</v>
      </c>
      <c r="BE55" s="85">
        <v>2</v>
      </c>
      <c r="BF55" s="86">
        <v>42780.606874999998</v>
      </c>
      <c r="BG55" s="72">
        <f t="shared" si="6"/>
        <v>46265</v>
      </c>
      <c r="BH55" s="87">
        <f t="shared" si="130"/>
        <v>3484.3931250000023</v>
      </c>
      <c r="BI55" s="80" t="str">
        <f t="shared" si="4"/>
        <v>Dead Stock</v>
      </c>
      <c r="BJ55" s="238">
        <v>6000</v>
      </c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0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</row>
    <row r="56" spans="1:293" s="48" customFormat="1" ht="13">
      <c r="A56" s="49"/>
      <c r="B56" s="50"/>
      <c r="C56" s="51">
        <v>53</v>
      </c>
      <c r="D56" s="110" t="s">
        <v>723</v>
      </c>
      <c r="E56" s="110">
        <v>15</v>
      </c>
      <c r="F56" s="80" t="s">
        <v>68</v>
      </c>
      <c r="G56" s="81" t="s">
        <v>865</v>
      </c>
      <c r="H56" s="81" t="s">
        <v>294</v>
      </c>
      <c r="I56" s="80" t="s">
        <v>458</v>
      </c>
      <c r="J56" s="82">
        <f t="shared" si="112"/>
        <v>1</v>
      </c>
      <c r="K56" s="80">
        <v>1</v>
      </c>
      <c r="L56" s="57"/>
      <c r="M56" s="58"/>
      <c r="N56" s="59">
        <f t="shared" si="113"/>
        <v>1</v>
      </c>
      <c r="O56" s="60"/>
      <c r="P56" s="58"/>
      <c r="Q56" s="59">
        <f t="shared" si="114"/>
        <v>1</v>
      </c>
      <c r="R56" s="60"/>
      <c r="S56" s="58"/>
      <c r="T56" s="61">
        <f t="shared" si="115"/>
        <v>1</v>
      </c>
      <c r="U56" s="60"/>
      <c r="V56" s="58"/>
      <c r="W56" s="59">
        <f t="shared" si="116"/>
        <v>1</v>
      </c>
      <c r="X56" s="60"/>
      <c r="Y56" s="58"/>
      <c r="Z56" s="61">
        <f t="shared" si="117"/>
        <v>1</v>
      </c>
      <c r="AA56" s="60"/>
      <c r="AB56" s="58"/>
      <c r="AC56" s="59">
        <f t="shared" si="118"/>
        <v>1</v>
      </c>
      <c r="AD56" s="57"/>
      <c r="AE56" s="58"/>
      <c r="AF56" s="243">
        <f t="shared" si="119"/>
        <v>1</v>
      </c>
      <c r="AG56" s="60"/>
      <c r="AH56" s="58"/>
      <c r="AI56" s="62">
        <f t="shared" si="120"/>
        <v>1</v>
      </c>
      <c r="AJ56" s="60"/>
      <c r="AK56" s="58"/>
      <c r="AL56" s="62">
        <f t="shared" si="121"/>
        <v>1</v>
      </c>
      <c r="AM56" s="60"/>
      <c r="AN56" s="58"/>
      <c r="AO56" s="62">
        <f t="shared" si="122"/>
        <v>1</v>
      </c>
      <c r="AP56" s="60"/>
      <c r="AQ56" s="58"/>
      <c r="AR56" s="62">
        <f t="shared" si="123"/>
        <v>1</v>
      </c>
      <c r="AS56" s="60"/>
      <c r="AT56" s="58"/>
      <c r="AU56" s="62">
        <f t="shared" si="124"/>
        <v>1</v>
      </c>
      <c r="AV56" s="83">
        <f t="shared" si="125"/>
        <v>0</v>
      </c>
      <c r="AW56" s="83">
        <f t="shared" si="126"/>
        <v>0</v>
      </c>
      <c r="AX56" s="64">
        <f t="shared" si="127"/>
        <v>0</v>
      </c>
      <c r="AY56" s="65" t="e">
        <f t="shared" si="128"/>
        <v>#DIV/0!</v>
      </c>
      <c r="AZ56" s="66">
        <f t="shared" si="129"/>
        <v>0</v>
      </c>
      <c r="BA56" s="67">
        <f>MAX(0, Table176252626[[#This Row],[Column6]])</f>
        <v>1</v>
      </c>
      <c r="BB56" s="68">
        <v>0</v>
      </c>
      <c r="BC56" s="84">
        <f t="shared" si="5"/>
        <v>1</v>
      </c>
      <c r="BD56" s="83">
        <f t="shared" si="3"/>
        <v>1</v>
      </c>
      <c r="BE56" s="85">
        <v>2</v>
      </c>
      <c r="BF56" s="86">
        <v>42509.392569444448</v>
      </c>
      <c r="BG56" s="72">
        <f t="shared" si="6"/>
        <v>46265</v>
      </c>
      <c r="BH56" s="87">
        <f t="shared" si="130"/>
        <v>3755.6074305555521</v>
      </c>
      <c r="BI56" s="80" t="str">
        <f t="shared" si="4"/>
        <v>Dead Stock</v>
      </c>
      <c r="BJ56" s="238">
        <v>5865</v>
      </c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0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</row>
    <row r="57" spans="1:293" ht="13">
      <c r="A57" s="90"/>
      <c r="B57" s="91"/>
      <c r="C57" s="51">
        <v>54</v>
      </c>
      <c r="D57" s="110" t="s">
        <v>723</v>
      </c>
      <c r="E57" s="110">
        <v>16</v>
      </c>
      <c r="F57" s="80" t="s">
        <v>414</v>
      </c>
      <c r="G57" s="81" t="s">
        <v>417</v>
      </c>
      <c r="H57" s="81" t="s">
        <v>294</v>
      </c>
      <c r="I57" s="88" t="s">
        <v>458</v>
      </c>
      <c r="J57" s="82">
        <f t="shared" si="112"/>
        <v>1</v>
      </c>
      <c r="K57" s="80">
        <v>1</v>
      </c>
      <c r="L57" s="57"/>
      <c r="M57" s="58"/>
      <c r="N57" s="59">
        <f t="shared" si="113"/>
        <v>1</v>
      </c>
      <c r="O57" s="60"/>
      <c r="P57" s="58"/>
      <c r="Q57" s="59">
        <f t="shared" si="114"/>
        <v>1</v>
      </c>
      <c r="R57" s="60"/>
      <c r="S57" s="58"/>
      <c r="T57" s="61">
        <f t="shared" si="115"/>
        <v>1</v>
      </c>
      <c r="U57" s="60"/>
      <c r="V57" s="58"/>
      <c r="W57" s="59">
        <f t="shared" si="116"/>
        <v>1</v>
      </c>
      <c r="X57" s="60"/>
      <c r="Y57" s="58"/>
      <c r="Z57" s="61">
        <f t="shared" si="117"/>
        <v>1</v>
      </c>
      <c r="AA57" s="60"/>
      <c r="AB57" s="58"/>
      <c r="AC57" s="59">
        <f t="shared" si="118"/>
        <v>1</v>
      </c>
      <c r="AD57" s="57"/>
      <c r="AE57" s="58"/>
      <c r="AF57" s="243">
        <f t="shared" si="119"/>
        <v>1</v>
      </c>
      <c r="AG57" s="60"/>
      <c r="AH57" s="58"/>
      <c r="AI57" s="62">
        <f t="shared" si="120"/>
        <v>1</v>
      </c>
      <c r="AJ57" s="60"/>
      <c r="AK57" s="58"/>
      <c r="AL57" s="62">
        <f t="shared" si="121"/>
        <v>1</v>
      </c>
      <c r="AM57" s="60"/>
      <c r="AN57" s="58"/>
      <c r="AO57" s="62">
        <f t="shared" si="122"/>
        <v>1</v>
      </c>
      <c r="AP57" s="60"/>
      <c r="AQ57" s="58"/>
      <c r="AR57" s="62">
        <f t="shared" si="123"/>
        <v>1</v>
      </c>
      <c r="AS57" s="60"/>
      <c r="AT57" s="58"/>
      <c r="AU57" s="62">
        <f t="shared" si="124"/>
        <v>1</v>
      </c>
      <c r="AV57" s="83">
        <f t="shared" si="125"/>
        <v>0</v>
      </c>
      <c r="AW57" s="83">
        <f t="shared" si="126"/>
        <v>0</v>
      </c>
      <c r="AX57" s="64">
        <f t="shared" si="127"/>
        <v>0</v>
      </c>
      <c r="AY57" s="65" t="e">
        <f t="shared" si="128"/>
        <v>#DIV/0!</v>
      </c>
      <c r="AZ57" s="66">
        <f t="shared" si="129"/>
        <v>0</v>
      </c>
      <c r="BA57" s="67">
        <f>MAX(0, Table176252626[[#This Row],[Column6]])</f>
        <v>1</v>
      </c>
      <c r="BB57" s="68">
        <v>0</v>
      </c>
      <c r="BC57" s="84">
        <f t="shared" si="5"/>
        <v>1</v>
      </c>
      <c r="BD57" s="83">
        <f t="shared" si="3"/>
        <v>1</v>
      </c>
      <c r="BE57" s="85">
        <v>2</v>
      </c>
      <c r="BF57" s="86">
        <v>43090.583449074074</v>
      </c>
      <c r="BG57" s="72">
        <f t="shared" si="6"/>
        <v>46265</v>
      </c>
      <c r="BH57" s="87">
        <f t="shared" si="130"/>
        <v>3174.4165509259255</v>
      </c>
      <c r="BI57" s="80" t="str">
        <f t="shared" si="4"/>
        <v>Dead Stock</v>
      </c>
      <c r="BJ57" s="238">
        <v>6380</v>
      </c>
    </row>
    <row r="58" spans="1:293" ht="13">
      <c r="A58" s="75"/>
      <c r="B58" s="76"/>
      <c r="C58" s="51">
        <v>55</v>
      </c>
      <c r="D58" s="110" t="s">
        <v>723</v>
      </c>
      <c r="E58" s="110">
        <v>17</v>
      </c>
      <c r="F58" s="80" t="s">
        <v>1092</v>
      </c>
      <c r="G58" s="81" t="s">
        <v>1089</v>
      </c>
      <c r="H58" s="81" t="s">
        <v>289</v>
      </c>
      <c r="I58" s="80" t="s">
        <v>458</v>
      </c>
      <c r="J58" s="82">
        <f t="shared" si="112"/>
        <v>1</v>
      </c>
      <c r="K58" s="80">
        <v>1</v>
      </c>
      <c r="L58" s="57"/>
      <c r="M58" s="58"/>
      <c r="N58" s="59">
        <f t="shared" si="113"/>
        <v>1</v>
      </c>
      <c r="O58" s="60"/>
      <c r="P58" s="58"/>
      <c r="Q58" s="59">
        <f t="shared" si="114"/>
        <v>1</v>
      </c>
      <c r="R58" s="60"/>
      <c r="S58" s="58"/>
      <c r="T58" s="61">
        <f t="shared" si="115"/>
        <v>1</v>
      </c>
      <c r="U58" s="60"/>
      <c r="V58" s="58"/>
      <c r="W58" s="59">
        <f t="shared" si="116"/>
        <v>1</v>
      </c>
      <c r="X58" s="60"/>
      <c r="Y58" s="58"/>
      <c r="Z58" s="61">
        <f t="shared" si="117"/>
        <v>1</v>
      </c>
      <c r="AA58" s="60"/>
      <c r="AB58" s="58"/>
      <c r="AC58" s="59">
        <f t="shared" si="118"/>
        <v>1</v>
      </c>
      <c r="AD58" s="57"/>
      <c r="AE58" s="58"/>
      <c r="AF58" s="243">
        <f t="shared" si="119"/>
        <v>1</v>
      </c>
      <c r="AG58" s="60"/>
      <c r="AH58" s="58"/>
      <c r="AI58" s="62">
        <f t="shared" si="120"/>
        <v>1</v>
      </c>
      <c r="AJ58" s="60"/>
      <c r="AK58" s="58"/>
      <c r="AL58" s="62">
        <f t="shared" si="121"/>
        <v>1</v>
      </c>
      <c r="AM58" s="60"/>
      <c r="AN58" s="58"/>
      <c r="AO58" s="62">
        <f t="shared" si="122"/>
        <v>1</v>
      </c>
      <c r="AP58" s="60"/>
      <c r="AQ58" s="58"/>
      <c r="AR58" s="62">
        <f t="shared" si="123"/>
        <v>1</v>
      </c>
      <c r="AS58" s="60"/>
      <c r="AT58" s="58"/>
      <c r="AU58" s="62">
        <f t="shared" si="124"/>
        <v>1</v>
      </c>
      <c r="AV58" s="83">
        <f t="shared" ref="AV58:AW58" si="131">SUM(L58+O58+R58+U58+X58+AA58+AD58+AG58+AJ58+AM58+AP58+AS58)</f>
        <v>0</v>
      </c>
      <c r="AW58" s="83">
        <f t="shared" si="131"/>
        <v>0</v>
      </c>
      <c r="AX58" s="64">
        <f t="shared" si="127"/>
        <v>0</v>
      </c>
      <c r="AY58" s="65" t="e">
        <f t="shared" si="128"/>
        <v>#DIV/0!</v>
      </c>
      <c r="AZ58" s="66">
        <f t="shared" si="129"/>
        <v>0</v>
      </c>
      <c r="BA58" s="67">
        <f>MAX(0, Table176252626[[#This Row],[Column6]])</f>
        <v>1</v>
      </c>
      <c r="BB58" s="68">
        <v>0</v>
      </c>
      <c r="BC58" s="84">
        <f t="shared" si="5"/>
        <v>1</v>
      </c>
      <c r="BD58" s="83">
        <f t="shared" si="3"/>
        <v>1</v>
      </c>
      <c r="BE58" s="85">
        <v>2</v>
      </c>
      <c r="BF58" s="86">
        <v>44783.428495370368</v>
      </c>
      <c r="BG58" s="72">
        <f t="shared" si="6"/>
        <v>46265</v>
      </c>
      <c r="BH58" s="107">
        <f t="shared" si="130"/>
        <v>1481.5715046296318</v>
      </c>
      <c r="BI58" s="80" t="str">
        <f t="shared" si="4"/>
        <v>Dead Stock</v>
      </c>
      <c r="BJ58" s="238">
        <v>4320</v>
      </c>
    </row>
    <row r="59" spans="1:293" ht="13">
      <c r="A59" s="49"/>
      <c r="B59" s="76"/>
      <c r="C59" s="77">
        <v>56</v>
      </c>
      <c r="D59" s="110" t="s">
        <v>723</v>
      </c>
      <c r="E59" s="110">
        <v>18</v>
      </c>
      <c r="F59" s="80" t="s">
        <v>1093</v>
      </c>
      <c r="G59" s="81" t="s">
        <v>1090</v>
      </c>
      <c r="H59" s="81" t="s">
        <v>289</v>
      </c>
      <c r="I59" s="80" t="s">
        <v>458</v>
      </c>
      <c r="J59" s="82">
        <f t="shared" si="112"/>
        <v>1</v>
      </c>
      <c r="K59" s="80">
        <v>1</v>
      </c>
      <c r="L59" s="57"/>
      <c r="M59" s="58"/>
      <c r="N59" s="59">
        <f t="shared" si="113"/>
        <v>1</v>
      </c>
      <c r="O59" s="60"/>
      <c r="P59" s="58"/>
      <c r="Q59" s="59">
        <f t="shared" si="114"/>
        <v>1</v>
      </c>
      <c r="R59" s="60"/>
      <c r="S59" s="58"/>
      <c r="T59" s="61">
        <f t="shared" si="115"/>
        <v>1</v>
      </c>
      <c r="U59" s="60"/>
      <c r="V59" s="58"/>
      <c r="W59" s="59">
        <f t="shared" si="116"/>
        <v>1</v>
      </c>
      <c r="X59" s="60"/>
      <c r="Y59" s="58"/>
      <c r="Z59" s="61">
        <f t="shared" si="117"/>
        <v>1</v>
      </c>
      <c r="AA59" s="60"/>
      <c r="AB59" s="58"/>
      <c r="AC59" s="59">
        <f t="shared" si="118"/>
        <v>1</v>
      </c>
      <c r="AD59" s="57"/>
      <c r="AE59" s="58"/>
      <c r="AF59" s="243">
        <f t="shared" si="119"/>
        <v>1</v>
      </c>
      <c r="AG59" s="60"/>
      <c r="AH59" s="58"/>
      <c r="AI59" s="62">
        <f t="shared" si="120"/>
        <v>1</v>
      </c>
      <c r="AJ59" s="60"/>
      <c r="AK59" s="58"/>
      <c r="AL59" s="62">
        <f t="shared" si="121"/>
        <v>1</v>
      </c>
      <c r="AM59" s="60"/>
      <c r="AN59" s="58"/>
      <c r="AO59" s="62">
        <f t="shared" si="122"/>
        <v>1</v>
      </c>
      <c r="AP59" s="60"/>
      <c r="AQ59" s="58"/>
      <c r="AR59" s="62">
        <f t="shared" si="123"/>
        <v>1</v>
      </c>
      <c r="AS59" s="60"/>
      <c r="AT59" s="58"/>
      <c r="AU59" s="62">
        <f t="shared" si="124"/>
        <v>1</v>
      </c>
      <c r="AV59" s="83">
        <f t="shared" ref="AV59:AV69" si="132">SUM(L59+O59+R59+U59+X59+AA59+AD59+AG59+AJ59+AM59+AP59+AS59)</f>
        <v>0</v>
      </c>
      <c r="AW59" s="83">
        <f t="shared" ref="AW59:AW69" si="133">SUM(M59+P59+S59+V59+Y59+AB59+AE59+AH59+AK59+AN59+AQ59+AT59)</f>
        <v>0</v>
      </c>
      <c r="AX59" s="64">
        <f t="shared" si="127"/>
        <v>0</v>
      </c>
      <c r="AY59" s="65" t="e">
        <f t="shared" si="128"/>
        <v>#DIV/0!</v>
      </c>
      <c r="AZ59" s="66">
        <f t="shared" si="129"/>
        <v>0</v>
      </c>
      <c r="BA59" s="67">
        <f>MAX(0, Table176252626[[#This Row],[Column6]])</f>
        <v>1</v>
      </c>
      <c r="BB59" s="68">
        <v>0</v>
      </c>
      <c r="BC59" s="84">
        <f t="shared" si="5"/>
        <v>1</v>
      </c>
      <c r="BD59" s="83">
        <f t="shared" si="3"/>
        <v>1</v>
      </c>
      <c r="BE59" s="85">
        <v>2</v>
      </c>
      <c r="BF59" s="86">
        <v>44783.428495370368</v>
      </c>
      <c r="BG59" s="72">
        <f t="shared" si="6"/>
        <v>46265</v>
      </c>
      <c r="BH59" s="107">
        <f t="shared" si="130"/>
        <v>1481.5715046296318</v>
      </c>
      <c r="BI59" s="80" t="str">
        <f t="shared" si="4"/>
        <v>Dead Stock</v>
      </c>
      <c r="BJ59" s="238">
        <v>5400</v>
      </c>
    </row>
    <row r="60" spans="1:293" s="48" customFormat="1" ht="13">
      <c r="A60" s="49"/>
      <c r="B60" s="50"/>
      <c r="C60" s="77">
        <v>57</v>
      </c>
      <c r="D60" s="110" t="s">
        <v>723</v>
      </c>
      <c r="E60" s="110">
        <v>19</v>
      </c>
      <c r="F60" s="80" t="s">
        <v>108</v>
      </c>
      <c r="G60" s="81" t="s">
        <v>1629</v>
      </c>
      <c r="H60" s="81" t="s">
        <v>294</v>
      </c>
      <c r="I60" s="88" t="s">
        <v>458</v>
      </c>
      <c r="J60" s="82">
        <f t="shared" si="112"/>
        <v>2</v>
      </c>
      <c r="K60" s="80">
        <v>2</v>
      </c>
      <c r="L60" s="57"/>
      <c r="M60" s="58"/>
      <c r="N60" s="59">
        <f t="shared" si="113"/>
        <v>2</v>
      </c>
      <c r="O60" s="60"/>
      <c r="P60" s="58"/>
      <c r="Q60" s="59">
        <f t="shared" si="114"/>
        <v>2</v>
      </c>
      <c r="R60" s="60"/>
      <c r="S60" s="58"/>
      <c r="T60" s="61">
        <f t="shared" si="115"/>
        <v>2</v>
      </c>
      <c r="U60" s="60"/>
      <c r="V60" s="58"/>
      <c r="W60" s="59">
        <f t="shared" si="116"/>
        <v>2</v>
      </c>
      <c r="X60" s="60"/>
      <c r="Y60" s="58"/>
      <c r="Z60" s="61">
        <f t="shared" si="117"/>
        <v>2</v>
      </c>
      <c r="AA60" s="60"/>
      <c r="AB60" s="58"/>
      <c r="AC60" s="59">
        <f t="shared" si="118"/>
        <v>2</v>
      </c>
      <c r="AD60" s="57"/>
      <c r="AE60" s="58"/>
      <c r="AF60" s="243">
        <f t="shared" si="119"/>
        <v>2</v>
      </c>
      <c r="AG60" s="60"/>
      <c r="AH60" s="58"/>
      <c r="AI60" s="62">
        <f t="shared" si="120"/>
        <v>2</v>
      </c>
      <c r="AJ60" s="60"/>
      <c r="AK60" s="58"/>
      <c r="AL60" s="62">
        <f t="shared" si="121"/>
        <v>2</v>
      </c>
      <c r="AM60" s="60"/>
      <c r="AN60" s="58"/>
      <c r="AO60" s="62">
        <f t="shared" si="122"/>
        <v>2</v>
      </c>
      <c r="AP60" s="60"/>
      <c r="AQ60" s="58"/>
      <c r="AR60" s="62">
        <f t="shared" si="123"/>
        <v>2</v>
      </c>
      <c r="AS60" s="60"/>
      <c r="AT60" s="58"/>
      <c r="AU60" s="62">
        <f t="shared" si="124"/>
        <v>2</v>
      </c>
      <c r="AV60" s="83">
        <f t="shared" si="132"/>
        <v>0</v>
      </c>
      <c r="AW60" s="83">
        <f t="shared" si="133"/>
        <v>0</v>
      </c>
      <c r="AX60" s="64">
        <f t="shared" si="127"/>
        <v>0</v>
      </c>
      <c r="AY60" s="65" t="e">
        <f t="shared" si="128"/>
        <v>#DIV/0!</v>
      </c>
      <c r="AZ60" s="66">
        <f t="shared" si="129"/>
        <v>0</v>
      </c>
      <c r="BA60" s="67">
        <f>MAX(0, Table176252626[[#This Row],[Column6]])</f>
        <v>2</v>
      </c>
      <c r="BB60" s="68">
        <v>1</v>
      </c>
      <c r="BC60" s="84">
        <f t="shared" si="5"/>
        <v>2</v>
      </c>
      <c r="BD60" s="83">
        <f t="shared" si="3"/>
        <v>1</v>
      </c>
      <c r="BE60" s="85">
        <v>2</v>
      </c>
      <c r="BF60" s="86">
        <v>44809.586157407408</v>
      </c>
      <c r="BG60" s="72">
        <f t="shared" si="6"/>
        <v>46265</v>
      </c>
      <c r="BH60" s="87">
        <f t="shared" si="130"/>
        <v>1455.4138425925921</v>
      </c>
      <c r="BI60" s="80" t="str">
        <f t="shared" si="4"/>
        <v>Dead Stock</v>
      </c>
      <c r="BJ60" s="238">
        <v>77110</v>
      </c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0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</row>
    <row r="61" spans="1:293" ht="13">
      <c r="A61" s="90"/>
      <c r="B61" s="91"/>
      <c r="C61" s="51">
        <v>58</v>
      </c>
      <c r="D61" s="110" t="s">
        <v>723</v>
      </c>
      <c r="E61" s="110">
        <v>20</v>
      </c>
      <c r="F61" s="80" t="s">
        <v>1091</v>
      </c>
      <c r="G61" s="81" t="s">
        <v>1088</v>
      </c>
      <c r="H61" s="81" t="s">
        <v>289</v>
      </c>
      <c r="I61" s="80" t="s">
        <v>458</v>
      </c>
      <c r="J61" s="82">
        <f t="shared" si="112"/>
        <v>1</v>
      </c>
      <c r="K61" s="80">
        <v>1</v>
      </c>
      <c r="L61" s="57"/>
      <c r="M61" s="58"/>
      <c r="N61" s="59">
        <f t="shared" si="113"/>
        <v>1</v>
      </c>
      <c r="O61" s="60"/>
      <c r="P61" s="58"/>
      <c r="Q61" s="59">
        <f t="shared" si="114"/>
        <v>1</v>
      </c>
      <c r="R61" s="60"/>
      <c r="S61" s="58"/>
      <c r="T61" s="61">
        <f t="shared" si="115"/>
        <v>1</v>
      </c>
      <c r="U61" s="60"/>
      <c r="V61" s="58"/>
      <c r="W61" s="59">
        <f t="shared" si="116"/>
        <v>1</v>
      </c>
      <c r="X61" s="60"/>
      <c r="Y61" s="58"/>
      <c r="Z61" s="61">
        <f t="shared" si="117"/>
        <v>1</v>
      </c>
      <c r="AA61" s="60"/>
      <c r="AB61" s="58"/>
      <c r="AC61" s="59">
        <f t="shared" si="118"/>
        <v>1</v>
      </c>
      <c r="AD61" s="57"/>
      <c r="AE61" s="58"/>
      <c r="AF61" s="243">
        <f t="shared" si="119"/>
        <v>1</v>
      </c>
      <c r="AG61" s="60"/>
      <c r="AH61" s="58"/>
      <c r="AI61" s="62">
        <f t="shared" si="120"/>
        <v>1</v>
      </c>
      <c r="AJ61" s="60"/>
      <c r="AK61" s="58"/>
      <c r="AL61" s="62">
        <f t="shared" si="121"/>
        <v>1</v>
      </c>
      <c r="AM61" s="60"/>
      <c r="AN61" s="58"/>
      <c r="AO61" s="62">
        <f t="shared" si="122"/>
        <v>1</v>
      </c>
      <c r="AP61" s="60"/>
      <c r="AQ61" s="58"/>
      <c r="AR61" s="62">
        <f t="shared" si="123"/>
        <v>1</v>
      </c>
      <c r="AS61" s="60"/>
      <c r="AT61" s="58"/>
      <c r="AU61" s="62">
        <f t="shared" si="124"/>
        <v>1</v>
      </c>
      <c r="AV61" s="83">
        <f t="shared" si="132"/>
        <v>0</v>
      </c>
      <c r="AW61" s="83">
        <f t="shared" si="133"/>
        <v>0</v>
      </c>
      <c r="AX61" s="64">
        <f t="shared" si="127"/>
        <v>0</v>
      </c>
      <c r="AY61" s="65" t="e">
        <f t="shared" si="128"/>
        <v>#DIV/0!</v>
      </c>
      <c r="AZ61" s="66">
        <f t="shared" si="129"/>
        <v>0</v>
      </c>
      <c r="BA61" s="67">
        <f>MAX(0, Table176252626[[#This Row],[Column6]])</f>
        <v>1</v>
      </c>
      <c r="BB61" s="68">
        <v>0</v>
      </c>
      <c r="BC61" s="84">
        <f t="shared" si="5"/>
        <v>1</v>
      </c>
      <c r="BD61" s="83">
        <f t="shared" si="3"/>
        <v>1</v>
      </c>
      <c r="BE61" s="85">
        <v>2</v>
      </c>
      <c r="BF61" s="86">
        <v>44783.428495370368</v>
      </c>
      <c r="BG61" s="72">
        <f t="shared" si="6"/>
        <v>46265</v>
      </c>
      <c r="BH61" s="87">
        <f t="shared" si="130"/>
        <v>1481.5715046296318</v>
      </c>
      <c r="BI61" s="80" t="str">
        <f t="shared" si="4"/>
        <v>Dead Stock</v>
      </c>
      <c r="BJ61" s="238">
        <v>12740</v>
      </c>
    </row>
    <row r="62" spans="1:293" ht="13">
      <c r="A62" s="75"/>
      <c r="B62" s="76"/>
      <c r="C62" s="51">
        <v>59</v>
      </c>
      <c r="D62" s="110" t="s">
        <v>723</v>
      </c>
      <c r="E62" s="110">
        <v>21</v>
      </c>
      <c r="F62" s="54" t="s">
        <v>669</v>
      </c>
      <c r="G62" s="55" t="s">
        <v>1621</v>
      </c>
      <c r="H62" s="81" t="s">
        <v>289</v>
      </c>
      <c r="I62" s="80" t="s">
        <v>458</v>
      </c>
      <c r="J62" s="82">
        <f t="shared" si="112"/>
        <v>1</v>
      </c>
      <c r="K62" s="80">
        <v>1</v>
      </c>
      <c r="L62" s="57"/>
      <c r="M62" s="58"/>
      <c r="N62" s="59">
        <f t="shared" si="113"/>
        <v>1</v>
      </c>
      <c r="O62" s="60"/>
      <c r="P62" s="58"/>
      <c r="Q62" s="59">
        <f t="shared" si="114"/>
        <v>1</v>
      </c>
      <c r="R62" s="60"/>
      <c r="S62" s="58"/>
      <c r="T62" s="61">
        <f t="shared" si="115"/>
        <v>1</v>
      </c>
      <c r="U62" s="60"/>
      <c r="V62" s="58"/>
      <c r="W62" s="59">
        <f t="shared" si="116"/>
        <v>1</v>
      </c>
      <c r="X62" s="60"/>
      <c r="Y62" s="58"/>
      <c r="Z62" s="61">
        <f t="shared" si="117"/>
        <v>1</v>
      </c>
      <c r="AA62" s="60"/>
      <c r="AB62" s="58"/>
      <c r="AC62" s="59">
        <f t="shared" si="118"/>
        <v>1</v>
      </c>
      <c r="AD62" s="57"/>
      <c r="AE62" s="58"/>
      <c r="AF62" s="243">
        <f t="shared" si="119"/>
        <v>1</v>
      </c>
      <c r="AG62" s="60"/>
      <c r="AH62" s="58"/>
      <c r="AI62" s="62">
        <f t="shared" si="120"/>
        <v>1</v>
      </c>
      <c r="AJ62" s="60"/>
      <c r="AK62" s="58"/>
      <c r="AL62" s="62">
        <f t="shared" si="121"/>
        <v>1</v>
      </c>
      <c r="AM62" s="60"/>
      <c r="AN62" s="58"/>
      <c r="AO62" s="62">
        <f t="shared" si="122"/>
        <v>1</v>
      </c>
      <c r="AP62" s="60"/>
      <c r="AQ62" s="58"/>
      <c r="AR62" s="62">
        <f t="shared" si="123"/>
        <v>1</v>
      </c>
      <c r="AS62" s="60"/>
      <c r="AT62" s="58"/>
      <c r="AU62" s="62">
        <f t="shared" si="124"/>
        <v>1</v>
      </c>
      <c r="AV62" s="83">
        <f t="shared" si="132"/>
        <v>0</v>
      </c>
      <c r="AW62" s="83">
        <f t="shared" si="133"/>
        <v>0</v>
      </c>
      <c r="AX62" s="64">
        <f t="shared" si="127"/>
        <v>0</v>
      </c>
      <c r="AY62" s="65" t="e">
        <f t="shared" si="128"/>
        <v>#DIV/0!</v>
      </c>
      <c r="AZ62" s="66">
        <f t="shared" si="129"/>
        <v>0</v>
      </c>
      <c r="BA62" s="67">
        <f>MAX(0, Table176252626[[#This Row],[Column6]])</f>
        <v>1</v>
      </c>
      <c r="BB62" s="68">
        <v>0</v>
      </c>
      <c r="BC62" s="84">
        <f t="shared" si="5"/>
        <v>1</v>
      </c>
      <c r="BD62" s="83">
        <f t="shared" si="3"/>
        <v>1</v>
      </c>
      <c r="BE62" s="85">
        <v>2</v>
      </c>
      <c r="BF62" s="86">
        <v>44848.519143518519</v>
      </c>
      <c r="BG62" s="72">
        <f t="shared" si="6"/>
        <v>46265</v>
      </c>
      <c r="BH62" s="87">
        <f t="shared" si="130"/>
        <v>1416.4808564814812</v>
      </c>
      <c r="BI62" s="80" t="str">
        <f t="shared" si="4"/>
        <v>Dead Stock</v>
      </c>
      <c r="BJ62" s="238">
        <v>53183.839999999997</v>
      </c>
    </row>
    <row r="63" spans="1:293" ht="13">
      <c r="A63" s="49"/>
      <c r="B63" s="76"/>
      <c r="C63" s="51">
        <v>60</v>
      </c>
      <c r="D63" s="110" t="s">
        <v>723</v>
      </c>
      <c r="E63" s="110">
        <v>22</v>
      </c>
      <c r="F63" s="80" t="s">
        <v>199</v>
      </c>
      <c r="G63" s="81" t="s">
        <v>200</v>
      </c>
      <c r="H63" s="81" t="s">
        <v>294</v>
      </c>
      <c r="I63" s="80" t="s">
        <v>458</v>
      </c>
      <c r="J63" s="82">
        <f t="shared" si="112"/>
        <v>1</v>
      </c>
      <c r="K63" s="80">
        <v>1</v>
      </c>
      <c r="L63" s="57"/>
      <c r="M63" s="58"/>
      <c r="N63" s="59">
        <f t="shared" si="113"/>
        <v>1</v>
      </c>
      <c r="O63" s="60"/>
      <c r="P63" s="58"/>
      <c r="Q63" s="59">
        <f t="shared" si="114"/>
        <v>1</v>
      </c>
      <c r="R63" s="60"/>
      <c r="S63" s="58"/>
      <c r="T63" s="61">
        <f t="shared" si="115"/>
        <v>1</v>
      </c>
      <c r="U63" s="60"/>
      <c r="V63" s="58"/>
      <c r="W63" s="59">
        <f t="shared" si="116"/>
        <v>1</v>
      </c>
      <c r="X63" s="60"/>
      <c r="Y63" s="58"/>
      <c r="Z63" s="61">
        <f t="shared" si="117"/>
        <v>1</v>
      </c>
      <c r="AA63" s="60"/>
      <c r="AB63" s="58"/>
      <c r="AC63" s="59">
        <f t="shared" si="118"/>
        <v>1</v>
      </c>
      <c r="AD63" s="57"/>
      <c r="AE63" s="58"/>
      <c r="AF63" s="243">
        <f t="shared" si="119"/>
        <v>1</v>
      </c>
      <c r="AG63" s="60"/>
      <c r="AH63" s="58"/>
      <c r="AI63" s="62">
        <f t="shared" si="120"/>
        <v>1</v>
      </c>
      <c r="AJ63" s="60"/>
      <c r="AK63" s="58"/>
      <c r="AL63" s="62">
        <f t="shared" si="121"/>
        <v>1</v>
      </c>
      <c r="AM63" s="60"/>
      <c r="AN63" s="58"/>
      <c r="AO63" s="62">
        <f t="shared" si="122"/>
        <v>1</v>
      </c>
      <c r="AP63" s="60"/>
      <c r="AQ63" s="58"/>
      <c r="AR63" s="62">
        <f t="shared" si="123"/>
        <v>1</v>
      </c>
      <c r="AS63" s="60"/>
      <c r="AT63" s="58"/>
      <c r="AU63" s="62">
        <f t="shared" si="124"/>
        <v>1</v>
      </c>
      <c r="AV63" s="83">
        <f t="shared" si="132"/>
        <v>0</v>
      </c>
      <c r="AW63" s="83">
        <f t="shared" si="133"/>
        <v>0</v>
      </c>
      <c r="AX63" s="64">
        <f t="shared" si="127"/>
        <v>0</v>
      </c>
      <c r="AY63" s="65" t="e">
        <f t="shared" si="128"/>
        <v>#DIV/0!</v>
      </c>
      <c r="AZ63" s="66">
        <f t="shared" si="129"/>
        <v>0</v>
      </c>
      <c r="BA63" s="67">
        <f>MAX(0, Table176252626[[#This Row],[Column6]])</f>
        <v>1</v>
      </c>
      <c r="BB63" s="68">
        <v>0</v>
      </c>
      <c r="BC63" s="84">
        <f t="shared" si="5"/>
        <v>1</v>
      </c>
      <c r="BD63" s="83">
        <f t="shared" si="3"/>
        <v>1</v>
      </c>
      <c r="BE63" s="85">
        <v>2</v>
      </c>
      <c r="BF63" s="86">
        <v>42647.542314814818</v>
      </c>
      <c r="BG63" s="72">
        <f t="shared" si="6"/>
        <v>46265</v>
      </c>
      <c r="BH63" s="87">
        <f t="shared" si="130"/>
        <v>3617.4576851851816</v>
      </c>
      <c r="BI63" s="80" t="str">
        <f t="shared" si="4"/>
        <v>Dead Stock</v>
      </c>
      <c r="BJ63" s="238">
        <v>6820</v>
      </c>
    </row>
    <row r="64" spans="1:293" ht="13">
      <c r="A64" s="49"/>
      <c r="B64" s="76"/>
      <c r="C64" s="51">
        <v>61</v>
      </c>
      <c r="D64" s="110" t="s">
        <v>723</v>
      </c>
      <c r="E64" s="110">
        <v>23</v>
      </c>
      <c r="F64" s="80" t="s">
        <v>205</v>
      </c>
      <c r="G64" s="81" t="s">
        <v>206</v>
      </c>
      <c r="H64" s="81" t="s">
        <v>294</v>
      </c>
      <c r="I64" s="88" t="s">
        <v>458</v>
      </c>
      <c r="J64" s="82">
        <f t="shared" si="112"/>
        <v>1</v>
      </c>
      <c r="K64" s="80">
        <v>1</v>
      </c>
      <c r="L64" s="57"/>
      <c r="M64" s="58"/>
      <c r="N64" s="59">
        <f t="shared" si="113"/>
        <v>1</v>
      </c>
      <c r="O64" s="60"/>
      <c r="P64" s="58"/>
      <c r="Q64" s="59">
        <f t="shared" si="114"/>
        <v>1</v>
      </c>
      <c r="R64" s="60"/>
      <c r="S64" s="58"/>
      <c r="T64" s="61">
        <f t="shared" si="115"/>
        <v>1</v>
      </c>
      <c r="U64" s="60"/>
      <c r="V64" s="58"/>
      <c r="W64" s="59">
        <f t="shared" si="116"/>
        <v>1</v>
      </c>
      <c r="X64" s="60"/>
      <c r="Y64" s="58"/>
      <c r="Z64" s="61">
        <f t="shared" si="117"/>
        <v>1</v>
      </c>
      <c r="AA64" s="60"/>
      <c r="AB64" s="58"/>
      <c r="AC64" s="59">
        <f t="shared" si="118"/>
        <v>1</v>
      </c>
      <c r="AD64" s="57"/>
      <c r="AE64" s="58"/>
      <c r="AF64" s="243">
        <f t="shared" si="119"/>
        <v>1</v>
      </c>
      <c r="AG64" s="60"/>
      <c r="AH64" s="58"/>
      <c r="AI64" s="62">
        <f t="shared" si="120"/>
        <v>1</v>
      </c>
      <c r="AJ64" s="60"/>
      <c r="AK64" s="58"/>
      <c r="AL64" s="62">
        <f t="shared" si="121"/>
        <v>1</v>
      </c>
      <c r="AM64" s="60"/>
      <c r="AN64" s="58"/>
      <c r="AO64" s="62">
        <f t="shared" si="122"/>
        <v>1</v>
      </c>
      <c r="AP64" s="60"/>
      <c r="AQ64" s="58"/>
      <c r="AR64" s="62">
        <f t="shared" si="123"/>
        <v>1</v>
      </c>
      <c r="AS64" s="60"/>
      <c r="AT64" s="58"/>
      <c r="AU64" s="62">
        <f t="shared" si="124"/>
        <v>1</v>
      </c>
      <c r="AV64" s="83">
        <f t="shared" si="132"/>
        <v>0</v>
      </c>
      <c r="AW64" s="83">
        <f t="shared" si="133"/>
        <v>0</v>
      </c>
      <c r="AX64" s="64">
        <f t="shared" si="127"/>
        <v>0</v>
      </c>
      <c r="AY64" s="65" t="e">
        <f t="shared" si="128"/>
        <v>#DIV/0!</v>
      </c>
      <c r="AZ64" s="66">
        <f t="shared" si="129"/>
        <v>0</v>
      </c>
      <c r="BA64" s="67">
        <f>MAX(0, Table176252626[[#This Row],[Column6]])</f>
        <v>1</v>
      </c>
      <c r="BB64" s="68">
        <v>0</v>
      </c>
      <c r="BC64" s="84">
        <f t="shared" si="5"/>
        <v>1</v>
      </c>
      <c r="BD64" s="83">
        <f t="shared" si="3"/>
        <v>1</v>
      </c>
      <c r="BE64" s="85">
        <v>2</v>
      </c>
      <c r="BF64" s="86">
        <v>44875.572245370371</v>
      </c>
      <c r="BG64" s="72">
        <f t="shared" si="6"/>
        <v>46265</v>
      </c>
      <c r="BH64" s="87">
        <f t="shared" si="130"/>
        <v>1389.4277546296289</v>
      </c>
      <c r="BI64" s="80" t="str">
        <f t="shared" si="4"/>
        <v>Dead Stock</v>
      </c>
      <c r="BJ64" s="238">
        <v>10780</v>
      </c>
    </row>
    <row r="65" spans="1:293" ht="13">
      <c r="A65" s="75"/>
      <c r="B65" s="76"/>
      <c r="C65" s="77">
        <v>62</v>
      </c>
      <c r="D65" s="110" t="s">
        <v>723</v>
      </c>
      <c r="E65" s="110">
        <v>24</v>
      </c>
      <c r="F65" s="80" t="s">
        <v>213</v>
      </c>
      <c r="G65" s="81" t="s">
        <v>214</v>
      </c>
      <c r="H65" s="81" t="s">
        <v>294</v>
      </c>
      <c r="I65" s="80" t="s">
        <v>458</v>
      </c>
      <c r="J65" s="82">
        <f t="shared" si="112"/>
        <v>1</v>
      </c>
      <c r="K65" s="80">
        <v>1</v>
      </c>
      <c r="L65" s="57"/>
      <c r="M65" s="58"/>
      <c r="N65" s="59">
        <f t="shared" si="113"/>
        <v>1</v>
      </c>
      <c r="O65" s="60"/>
      <c r="P65" s="58"/>
      <c r="Q65" s="59">
        <f t="shared" si="114"/>
        <v>1</v>
      </c>
      <c r="R65" s="60"/>
      <c r="S65" s="58"/>
      <c r="T65" s="61">
        <f t="shared" si="115"/>
        <v>1</v>
      </c>
      <c r="U65" s="60"/>
      <c r="V65" s="58"/>
      <c r="W65" s="59">
        <f t="shared" si="116"/>
        <v>1</v>
      </c>
      <c r="X65" s="60"/>
      <c r="Y65" s="58"/>
      <c r="Z65" s="61">
        <f t="shared" si="117"/>
        <v>1</v>
      </c>
      <c r="AA65" s="60"/>
      <c r="AB65" s="58"/>
      <c r="AC65" s="59">
        <f t="shared" si="118"/>
        <v>1</v>
      </c>
      <c r="AD65" s="57"/>
      <c r="AE65" s="58"/>
      <c r="AF65" s="243">
        <f t="shared" si="119"/>
        <v>1</v>
      </c>
      <c r="AG65" s="60"/>
      <c r="AH65" s="58"/>
      <c r="AI65" s="62">
        <f t="shared" si="120"/>
        <v>1</v>
      </c>
      <c r="AJ65" s="60"/>
      <c r="AK65" s="58"/>
      <c r="AL65" s="62">
        <f t="shared" si="121"/>
        <v>1</v>
      </c>
      <c r="AM65" s="60"/>
      <c r="AN65" s="58"/>
      <c r="AO65" s="62">
        <f t="shared" si="122"/>
        <v>1</v>
      </c>
      <c r="AP65" s="60"/>
      <c r="AQ65" s="58"/>
      <c r="AR65" s="62">
        <f t="shared" si="123"/>
        <v>1</v>
      </c>
      <c r="AS65" s="60"/>
      <c r="AT65" s="58"/>
      <c r="AU65" s="62">
        <f t="shared" si="124"/>
        <v>1</v>
      </c>
      <c r="AV65" s="83">
        <f t="shared" si="132"/>
        <v>0</v>
      </c>
      <c r="AW65" s="83">
        <f t="shared" si="133"/>
        <v>0</v>
      </c>
      <c r="AX65" s="64">
        <f t="shared" si="127"/>
        <v>0</v>
      </c>
      <c r="AY65" s="65" t="e">
        <f t="shared" si="128"/>
        <v>#DIV/0!</v>
      </c>
      <c r="AZ65" s="66">
        <f t="shared" si="129"/>
        <v>0</v>
      </c>
      <c r="BA65" s="67">
        <f>MAX(0, Table176252626[[#This Row],[Column6]])</f>
        <v>1</v>
      </c>
      <c r="BB65" s="68">
        <v>0</v>
      </c>
      <c r="BC65" s="84">
        <f t="shared" si="5"/>
        <v>1</v>
      </c>
      <c r="BD65" s="83">
        <f t="shared" si="3"/>
        <v>1</v>
      </c>
      <c r="BE65" s="85">
        <v>2</v>
      </c>
      <c r="BF65" s="86">
        <v>45278.455243055556</v>
      </c>
      <c r="BG65" s="72">
        <f t="shared" si="6"/>
        <v>46265</v>
      </c>
      <c r="BH65" s="87">
        <f t="shared" si="130"/>
        <v>986.54475694444409</v>
      </c>
      <c r="BI65" s="80" t="str">
        <f t="shared" si="4"/>
        <v>Dead Stock</v>
      </c>
      <c r="BJ65" s="238">
        <v>2400</v>
      </c>
    </row>
    <row r="66" spans="1:293" ht="13">
      <c r="A66" s="75"/>
      <c r="B66" s="76"/>
      <c r="C66" s="77">
        <v>63</v>
      </c>
      <c r="D66" s="110" t="s">
        <v>723</v>
      </c>
      <c r="E66" s="110">
        <v>25</v>
      </c>
      <c r="F66" s="80" t="s">
        <v>492</v>
      </c>
      <c r="G66" s="81" t="s">
        <v>493</v>
      </c>
      <c r="H66" s="81" t="s">
        <v>294</v>
      </c>
      <c r="I66" s="80" t="s">
        <v>458</v>
      </c>
      <c r="J66" s="82">
        <f t="shared" si="112"/>
        <v>4</v>
      </c>
      <c r="K66" s="80">
        <v>5</v>
      </c>
      <c r="L66" s="57"/>
      <c r="M66" s="58"/>
      <c r="N66" s="59">
        <f t="shared" si="113"/>
        <v>5</v>
      </c>
      <c r="O66" s="60"/>
      <c r="P66" s="58"/>
      <c r="Q66" s="59">
        <f t="shared" si="114"/>
        <v>5</v>
      </c>
      <c r="R66" s="60"/>
      <c r="S66" s="58"/>
      <c r="T66" s="61">
        <f t="shared" si="115"/>
        <v>5</v>
      </c>
      <c r="U66" s="60"/>
      <c r="V66" s="58"/>
      <c r="W66" s="59">
        <f t="shared" si="116"/>
        <v>5</v>
      </c>
      <c r="X66" s="60"/>
      <c r="Y66" s="58"/>
      <c r="Z66" s="61">
        <f t="shared" si="117"/>
        <v>5</v>
      </c>
      <c r="AA66" s="60"/>
      <c r="AB66" s="58"/>
      <c r="AC66" s="59">
        <f t="shared" si="118"/>
        <v>5</v>
      </c>
      <c r="AD66" s="57"/>
      <c r="AE66" s="58"/>
      <c r="AF66" s="243">
        <f t="shared" si="119"/>
        <v>5</v>
      </c>
      <c r="AG66" s="60"/>
      <c r="AH66" s="58">
        <v>1</v>
      </c>
      <c r="AI66" s="62">
        <f t="shared" si="120"/>
        <v>4</v>
      </c>
      <c r="AJ66" s="60"/>
      <c r="AK66" s="58"/>
      <c r="AL66" s="62">
        <f t="shared" si="121"/>
        <v>4</v>
      </c>
      <c r="AM66" s="60"/>
      <c r="AN66" s="58"/>
      <c r="AO66" s="62">
        <f t="shared" si="122"/>
        <v>4</v>
      </c>
      <c r="AP66" s="60"/>
      <c r="AQ66" s="58"/>
      <c r="AR66" s="62">
        <f t="shared" si="123"/>
        <v>4</v>
      </c>
      <c r="AS66" s="60"/>
      <c r="AT66" s="58"/>
      <c r="AU66" s="62">
        <f t="shared" si="124"/>
        <v>4</v>
      </c>
      <c r="AV66" s="83">
        <f t="shared" si="132"/>
        <v>0</v>
      </c>
      <c r="AW66" s="83">
        <f t="shared" si="133"/>
        <v>1</v>
      </c>
      <c r="AX66" s="64">
        <f t="shared" si="127"/>
        <v>1</v>
      </c>
      <c r="AY66" s="65">
        <f t="shared" si="128"/>
        <v>1</v>
      </c>
      <c r="AZ66" s="66">
        <f t="shared" si="129"/>
        <v>1</v>
      </c>
      <c r="BA66" s="67">
        <v>5</v>
      </c>
      <c r="BB66" s="68">
        <v>1</v>
      </c>
      <c r="BC66" s="84">
        <f t="shared" si="5"/>
        <v>4</v>
      </c>
      <c r="BD66" s="83">
        <f t="shared" si="3"/>
        <v>3</v>
      </c>
      <c r="BE66" s="85">
        <v>2</v>
      </c>
      <c r="BF66" s="86">
        <v>45357.546168981484</v>
      </c>
      <c r="BG66" s="72">
        <f t="shared" si="6"/>
        <v>46265</v>
      </c>
      <c r="BH66" s="87">
        <f t="shared" si="130"/>
        <v>907.45383101851621</v>
      </c>
      <c r="BI66" s="80" t="str">
        <f t="shared" si="4"/>
        <v>Dead Stock</v>
      </c>
      <c r="BJ66" s="238">
        <v>9800</v>
      </c>
    </row>
    <row r="67" spans="1:293" ht="13">
      <c r="A67" s="75"/>
      <c r="B67" s="76"/>
      <c r="C67" s="51">
        <v>64</v>
      </c>
      <c r="D67" s="110" t="s">
        <v>723</v>
      </c>
      <c r="E67" s="110">
        <v>26</v>
      </c>
      <c r="F67" s="80" t="s">
        <v>280</v>
      </c>
      <c r="G67" s="81" t="s">
        <v>866</v>
      </c>
      <c r="H67" s="81" t="s">
        <v>294</v>
      </c>
      <c r="I67" s="88" t="s">
        <v>458</v>
      </c>
      <c r="J67" s="82">
        <f t="shared" si="112"/>
        <v>1</v>
      </c>
      <c r="K67" s="80">
        <v>1</v>
      </c>
      <c r="L67" s="57"/>
      <c r="M67" s="58"/>
      <c r="N67" s="59">
        <f t="shared" si="113"/>
        <v>1</v>
      </c>
      <c r="O67" s="60"/>
      <c r="P67" s="58"/>
      <c r="Q67" s="59">
        <f t="shared" si="114"/>
        <v>1</v>
      </c>
      <c r="R67" s="60"/>
      <c r="S67" s="58"/>
      <c r="T67" s="61">
        <f t="shared" si="115"/>
        <v>1</v>
      </c>
      <c r="U67" s="60"/>
      <c r="V67" s="58"/>
      <c r="W67" s="59">
        <f t="shared" si="116"/>
        <v>1</v>
      </c>
      <c r="X67" s="60"/>
      <c r="Y67" s="58"/>
      <c r="Z67" s="61">
        <f t="shared" si="117"/>
        <v>1</v>
      </c>
      <c r="AA67" s="60"/>
      <c r="AB67" s="58"/>
      <c r="AC67" s="59">
        <f t="shared" si="118"/>
        <v>1</v>
      </c>
      <c r="AD67" s="57"/>
      <c r="AE67" s="58"/>
      <c r="AF67" s="243">
        <f t="shared" si="119"/>
        <v>1</v>
      </c>
      <c r="AG67" s="60"/>
      <c r="AH67" s="58"/>
      <c r="AI67" s="62">
        <f t="shared" si="120"/>
        <v>1</v>
      </c>
      <c r="AJ67" s="60"/>
      <c r="AK67" s="58"/>
      <c r="AL67" s="62">
        <f t="shared" si="121"/>
        <v>1</v>
      </c>
      <c r="AM67" s="60"/>
      <c r="AN67" s="58"/>
      <c r="AO67" s="62">
        <f t="shared" si="122"/>
        <v>1</v>
      </c>
      <c r="AP67" s="60"/>
      <c r="AQ67" s="58"/>
      <c r="AR67" s="62">
        <f t="shared" si="123"/>
        <v>1</v>
      </c>
      <c r="AS67" s="60"/>
      <c r="AT67" s="58"/>
      <c r="AU67" s="62">
        <f t="shared" si="124"/>
        <v>1</v>
      </c>
      <c r="AV67" s="83">
        <f t="shared" si="132"/>
        <v>0</v>
      </c>
      <c r="AW67" s="83">
        <f t="shared" si="133"/>
        <v>0</v>
      </c>
      <c r="AX67" s="64">
        <f t="shared" si="127"/>
        <v>0</v>
      </c>
      <c r="AY67" s="65" t="e">
        <f t="shared" si="128"/>
        <v>#DIV/0!</v>
      </c>
      <c r="AZ67" s="66">
        <f t="shared" si="129"/>
        <v>0</v>
      </c>
      <c r="BA67" s="67">
        <f>MAX(0, Table176252626[[#This Row],[Column6]])</f>
        <v>1</v>
      </c>
      <c r="BB67" s="68">
        <v>0</v>
      </c>
      <c r="BC67" s="84">
        <f t="shared" si="5"/>
        <v>1</v>
      </c>
      <c r="BD67" s="83">
        <f t="shared" si="3"/>
        <v>1</v>
      </c>
      <c r="BE67" s="85">
        <v>2</v>
      </c>
      <c r="BF67" s="86">
        <v>43017.607407407406</v>
      </c>
      <c r="BG67" s="72">
        <f t="shared" si="6"/>
        <v>46265</v>
      </c>
      <c r="BH67" s="87">
        <f t="shared" si="130"/>
        <v>3247.3925925925942</v>
      </c>
      <c r="BI67" s="80" t="str">
        <f t="shared" si="4"/>
        <v>Dead Stock</v>
      </c>
      <c r="BJ67" s="238">
        <v>2500</v>
      </c>
    </row>
    <row r="68" spans="1:293" ht="13">
      <c r="A68" s="49"/>
      <c r="B68" s="76"/>
      <c r="C68" s="51">
        <v>65</v>
      </c>
      <c r="D68" s="110" t="s">
        <v>723</v>
      </c>
      <c r="E68" s="110">
        <v>27</v>
      </c>
      <c r="F68" s="80" t="s">
        <v>47</v>
      </c>
      <c r="G68" s="112" t="s">
        <v>2026</v>
      </c>
      <c r="H68" s="81" t="s">
        <v>294</v>
      </c>
      <c r="I68" s="88" t="s">
        <v>458</v>
      </c>
      <c r="J68" s="82">
        <f t="shared" si="112"/>
        <v>1</v>
      </c>
      <c r="K68" s="80">
        <v>1</v>
      </c>
      <c r="L68" s="57"/>
      <c r="M68" s="58"/>
      <c r="N68" s="59">
        <f t="shared" si="113"/>
        <v>1</v>
      </c>
      <c r="O68" s="60"/>
      <c r="P68" s="58"/>
      <c r="Q68" s="59">
        <f t="shared" si="114"/>
        <v>1</v>
      </c>
      <c r="R68" s="60"/>
      <c r="S68" s="58"/>
      <c r="T68" s="61">
        <f t="shared" si="115"/>
        <v>1</v>
      </c>
      <c r="U68" s="60"/>
      <c r="V68" s="58"/>
      <c r="W68" s="59">
        <f t="shared" si="116"/>
        <v>1</v>
      </c>
      <c r="X68" s="60"/>
      <c r="Y68" s="58"/>
      <c r="Z68" s="61">
        <f t="shared" si="117"/>
        <v>1</v>
      </c>
      <c r="AA68" s="60"/>
      <c r="AB68" s="58"/>
      <c r="AC68" s="59">
        <f t="shared" si="118"/>
        <v>1</v>
      </c>
      <c r="AD68" s="57"/>
      <c r="AE68" s="58"/>
      <c r="AF68" s="243">
        <f t="shared" si="119"/>
        <v>1</v>
      </c>
      <c r="AG68" s="60"/>
      <c r="AH68" s="58"/>
      <c r="AI68" s="62">
        <f t="shared" si="120"/>
        <v>1</v>
      </c>
      <c r="AJ68" s="60"/>
      <c r="AK68" s="58"/>
      <c r="AL68" s="62">
        <f t="shared" si="121"/>
        <v>1</v>
      </c>
      <c r="AM68" s="60"/>
      <c r="AN68" s="58"/>
      <c r="AO68" s="62">
        <f t="shared" si="122"/>
        <v>1</v>
      </c>
      <c r="AP68" s="60"/>
      <c r="AQ68" s="58"/>
      <c r="AR68" s="62">
        <f t="shared" si="123"/>
        <v>1</v>
      </c>
      <c r="AS68" s="60"/>
      <c r="AT68" s="58"/>
      <c r="AU68" s="62">
        <f t="shared" si="124"/>
        <v>1</v>
      </c>
      <c r="AV68" s="83">
        <f t="shared" si="132"/>
        <v>0</v>
      </c>
      <c r="AW68" s="83">
        <f t="shared" si="133"/>
        <v>0</v>
      </c>
      <c r="AX68" s="64">
        <f t="shared" si="127"/>
        <v>0</v>
      </c>
      <c r="AY68" s="65" t="e">
        <f t="shared" si="128"/>
        <v>#DIV/0!</v>
      </c>
      <c r="AZ68" s="66">
        <f t="shared" si="129"/>
        <v>0</v>
      </c>
      <c r="BA68" s="67">
        <f>MAX(0, Table176252626[[#This Row],[Column6]])</f>
        <v>1</v>
      </c>
      <c r="BB68" s="68">
        <v>0</v>
      </c>
      <c r="BC68" s="84">
        <f t="shared" si="5"/>
        <v>1</v>
      </c>
      <c r="BD68" s="83">
        <f t="shared" si="3"/>
        <v>1</v>
      </c>
      <c r="BE68" s="85">
        <v>2</v>
      </c>
      <c r="BF68" s="86">
        <v>43256.630486111113</v>
      </c>
      <c r="BG68" s="72">
        <f t="shared" si="6"/>
        <v>46265</v>
      </c>
      <c r="BH68" s="87">
        <f t="shared" si="130"/>
        <v>3008.369513888887</v>
      </c>
      <c r="BI68" s="80" t="str">
        <f t="shared" si="4"/>
        <v>Dead Stock</v>
      </c>
      <c r="BJ68" s="238">
        <v>12870</v>
      </c>
    </row>
    <row r="69" spans="1:293" s="48" customFormat="1" ht="13">
      <c r="A69" s="75"/>
      <c r="B69" s="76"/>
      <c r="C69" s="51">
        <v>66</v>
      </c>
      <c r="D69" s="110" t="s">
        <v>723</v>
      </c>
      <c r="E69" s="110">
        <v>28</v>
      </c>
      <c r="F69" s="80" t="s">
        <v>233</v>
      </c>
      <c r="G69" s="81" t="s">
        <v>702</v>
      </c>
      <c r="H69" s="81" t="s">
        <v>294</v>
      </c>
      <c r="I69" s="88" t="s">
        <v>458</v>
      </c>
      <c r="J69" s="82">
        <f t="shared" si="112"/>
        <v>1</v>
      </c>
      <c r="K69" s="80">
        <v>1</v>
      </c>
      <c r="L69" s="57"/>
      <c r="M69" s="58"/>
      <c r="N69" s="59">
        <f t="shared" si="113"/>
        <v>1</v>
      </c>
      <c r="O69" s="60"/>
      <c r="P69" s="58"/>
      <c r="Q69" s="59">
        <f t="shared" si="114"/>
        <v>1</v>
      </c>
      <c r="R69" s="60"/>
      <c r="S69" s="58"/>
      <c r="T69" s="61">
        <f t="shared" si="115"/>
        <v>1</v>
      </c>
      <c r="U69" s="60"/>
      <c r="V69" s="58"/>
      <c r="W69" s="59">
        <f t="shared" si="116"/>
        <v>1</v>
      </c>
      <c r="X69" s="60"/>
      <c r="Y69" s="58"/>
      <c r="Z69" s="61">
        <f t="shared" si="117"/>
        <v>1</v>
      </c>
      <c r="AA69" s="60"/>
      <c r="AB69" s="58"/>
      <c r="AC69" s="59">
        <f t="shared" si="118"/>
        <v>1</v>
      </c>
      <c r="AD69" s="57"/>
      <c r="AE69" s="58"/>
      <c r="AF69" s="243">
        <f t="shared" si="119"/>
        <v>1</v>
      </c>
      <c r="AG69" s="60"/>
      <c r="AH69" s="58"/>
      <c r="AI69" s="62">
        <f t="shared" si="120"/>
        <v>1</v>
      </c>
      <c r="AJ69" s="60"/>
      <c r="AK69" s="58"/>
      <c r="AL69" s="62">
        <f t="shared" si="121"/>
        <v>1</v>
      </c>
      <c r="AM69" s="60"/>
      <c r="AN69" s="58"/>
      <c r="AO69" s="62">
        <f t="shared" si="122"/>
        <v>1</v>
      </c>
      <c r="AP69" s="60"/>
      <c r="AQ69" s="58"/>
      <c r="AR69" s="62">
        <f t="shared" si="123"/>
        <v>1</v>
      </c>
      <c r="AS69" s="60"/>
      <c r="AT69" s="58"/>
      <c r="AU69" s="62">
        <f t="shared" si="124"/>
        <v>1</v>
      </c>
      <c r="AV69" s="83">
        <f t="shared" si="132"/>
        <v>0</v>
      </c>
      <c r="AW69" s="83">
        <f t="shared" si="133"/>
        <v>0</v>
      </c>
      <c r="AX69" s="64">
        <f t="shared" si="127"/>
        <v>0</v>
      </c>
      <c r="AY69" s="65" t="e">
        <f t="shared" si="128"/>
        <v>#DIV/0!</v>
      </c>
      <c r="AZ69" s="66">
        <f t="shared" si="129"/>
        <v>0</v>
      </c>
      <c r="BA69" s="67">
        <v>1</v>
      </c>
      <c r="BB69" s="68">
        <f>MIN(M69,P69,S69,V69,Y69,AB69,AE69,AH69,AK69,AN69,AQ69,AT69)</f>
        <v>0</v>
      </c>
      <c r="BC69" s="84">
        <f t="shared" si="5"/>
        <v>1</v>
      </c>
      <c r="BD69" s="83">
        <f t="shared" ref="BD69:BD133" si="134">SUM(BC69-BB69)</f>
        <v>1</v>
      </c>
      <c r="BE69" s="85">
        <v>2</v>
      </c>
      <c r="BF69" s="86">
        <v>45065.57739583333</v>
      </c>
      <c r="BG69" s="72">
        <f t="shared" si="6"/>
        <v>46265</v>
      </c>
      <c r="BH69" s="87">
        <f t="shared" si="130"/>
        <v>1199.4226041666698</v>
      </c>
      <c r="BI69" s="80" t="str">
        <f t="shared" ref="BI69:BI133" si="135">IF(AND(J69&gt;0,BH69&gt;365),"Dead Stock","")</f>
        <v>Dead Stock</v>
      </c>
      <c r="BJ69" s="238">
        <v>45430</v>
      </c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0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</row>
    <row r="70" spans="1:293" ht="13">
      <c r="A70" s="49"/>
      <c r="B70" s="50"/>
      <c r="C70" s="51">
        <v>67</v>
      </c>
      <c r="D70" s="110" t="s">
        <v>723</v>
      </c>
      <c r="E70" s="110">
        <v>29</v>
      </c>
      <c r="F70" s="80" t="s">
        <v>254</v>
      </c>
      <c r="G70" s="81" t="s">
        <v>965</v>
      </c>
      <c r="H70" s="81" t="s">
        <v>294</v>
      </c>
      <c r="I70" s="80" t="s">
        <v>458</v>
      </c>
      <c r="J70" s="82">
        <f t="shared" ref="J70" si="136">AU70</f>
        <v>1</v>
      </c>
      <c r="K70" s="80">
        <v>1</v>
      </c>
      <c r="L70" s="57"/>
      <c r="M70" s="58"/>
      <c r="N70" s="59">
        <f t="shared" si="113"/>
        <v>1</v>
      </c>
      <c r="O70" s="60"/>
      <c r="P70" s="58"/>
      <c r="Q70" s="59">
        <f t="shared" ref="Q70" si="137">SUM(N70+O70-P70)</f>
        <v>1</v>
      </c>
      <c r="R70" s="60"/>
      <c r="S70" s="58"/>
      <c r="T70" s="61">
        <f t="shared" ref="T70" si="138">SUM(Q70+R70-S70)</f>
        <v>1</v>
      </c>
      <c r="U70" s="60"/>
      <c r="V70" s="58"/>
      <c r="W70" s="59">
        <f t="shared" ref="W70" si="139">SUM(T70+U70-V70)</f>
        <v>1</v>
      </c>
      <c r="X70" s="60"/>
      <c r="Y70" s="58"/>
      <c r="Z70" s="61">
        <f t="shared" ref="Z70" si="140">SUM(W70+X70-Y70)</f>
        <v>1</v>
      </c>
      <c r="AA70" s="60"/>
      <c r="AB70" s="58"/>
      <c r="AC70" s="59">
        <f t="shared" ref="AC70" si="141">SUM(Z70+AA70-AB70)</f>
        <v>1</v>
      </c>
      <c r="AD70" s="57"/>
      <c r="AE70" s="58"/>
      <c r="AF70" s="243">
        <f t="shared" ref="AF70" si="142">SUM(AC70+AD70-AE70)</f>
        <v>1</v>
      </c>
      <c r="AG70" s="60"/>
      <c r="AH70" s="58"/>
      <c r="AI70" s="62">
        <f t="shared" ref="AI70" si="143">SUM(AF70+AG70-AH70)</f>
        <v>1</v>
      </c>
      <c r="AJ70" s="60"/>
      <c r="AK70" s="58"/>
      <c r="AL70" s="62">
        <f t="shared" ref="AL70" si="144">SUM(AI70+AJ70-AK70)</f>
        <v>1</v>
      </c>
      <c r="AM70" s="60"/>
      <c r="AN70" s="58"/>
      <c r="AO70" s="62">
        <f t="shared" ref="AO70" si="145">SUM(AL70+AM70-AN70)</f>
        <v>1</v>
      </c>
      <c r="AP70" s="60"/>
      <c r="AQ70" s="58"/>
      <c r="AR70" s="62">
        <f t="shared" si="123"/>
        <v>1</v>
      </c>
      <c r="AS70" s="60"/>
      <c r="AT70" s="58"/>
      <c r="AU70" s="62">
        <f t="shared" ref="AU70" si="146">SUM(AR70+AS70-AT70)</f>
        <v>1</v>
      </c>
      <c r="AV70" s="83">
        <f t="shared" ref="AV70" si="147">SUM(L70+O70+R70+U70+X70+AA70+AD70+AG70+AJ70+AM70+AP70+AS70)</f>
        <v>0</v>
      </c>
      <c r="AW70" s="83">
        <f>SUM(M70+P70+S70+V70+Y70+AB70+AE70+AH70+AK70+AN70+AQ70+AT70)</f>
        <v>0</v>
      </c>
      <c r="AX70" s="64">
        <f t="shared" ref="AX70" si="148">SUM(M70,P70,S70,V70,Y70,AB70,AE70,AH70,AK70,AN70,AQ70,AT70)</f>
        <v>0</v>
      </c>
      <c r="AY70" s="65" t="e">
        <f t="shared" si="128"/>
        <v>#DIV/0!</v>
      </c>
      <c r="AZ70" s="66">
        <f t="shared" si="129"/>
        <v>0</v>
      </c>
      <c r="BA70" s="67">
        <f>MAX(0, Table176252626[[#This Row],[Column6]])</f>
        <v>1</v>
      </c>
      <c r="BB70" s="68">
        <v>0</v>
      </c>
      <c r="BC70" s="84">
        <f t="shared" si="5"/>
        <v>1</v>
      </c>
      <c r="BD70" s="83">
        <f t="shared" si="134"/>
        <v>1</v>
      </c>
      <c r="BE70" s="85">
        <v>2</v>
      </c>
      <c r="BF70" s="86">
        <v>45468.683587962965</v>
      </c>
      <c r="BG70" s="72">
        <f t="shared" si="6"/>
        <v>46265</v>
      </c>
      <c r="BH70" s="87">
        <f t="shared" si="130"/>
        <v>796.31641203703475</v>
      </c>
      <c r="BI70" s="80" t="str">
        <f t="shared" si="135"/>
        <v>Dead Stock</v>
      </c>
      <c r="BJ70" s="238">
        <v>3700</v>
      </c>
    </row>
    <row r="71" spans="1:293" ht="13">
      <c r="A71" s="49"/>
      <c r="B71" s="50"/>
      <c r="C71" s="77">
        <v>68</v>
      </c>
      <c r="D71" s="110" t="s">
        <v>723</v>
      </c>
      <c r="E71" s="110">
        <v>30</v>
      </c>
      <c r="F71" s="80" t="s">
        <v>710</v>
      </c>
      <c r="G71" s="81" t="s">
        <v>711</v>
      </c>
      <c r="H71" s="81" t="s">
        <v>294</v>
      </c>
      <c r="I71" s="80" t="s">
        <v>458</v>
      </c>
      <c r="J71" s="82">
        <f>AU71</f>
        <v>1</v>
      </c>
      <c r="K71" s="80">
        <v>1</v>
      </c>
      <c r="L71" s="57"/>
      <c r="M71" s="58"/>
      <c r="N71" s="59">
        <f t="shared" si="113"/>
        <v>1</v>
      </c>
      <c r="O71" s="60"/>
      <c r="P71" s="58"/>
      <c r="Q71" s="59">
        <f>SUM(N71+O71-P71)</f>
        <v>1</v>
      </c>
      <c r="R71" s="60"/>
      <c r="S71" s="58"/>
      <c r="T71" s="61">
        <f>SUM(Q71+R71-S71)</f>
        <v>1</v>
      </c>
      <c r="U71" s="60"/>
      <c r="V71" s="58"/>
      <c r="W71" s="59">
        <f>SUM(T71+U71-V71)</f>
        <v>1</v>
      </c>
      <c r="X71" s="60"/>
      <c r="Y71" s="58"/>
      <c r="Z71" s="61">
        <f>SUM(W71+X71-Y71)</f>
        <v>1</v>
      </c>
      <c r="AA71" s="60"/>
      <c r="AB71" s="58"/>
      <c r="AC71" s="59">
        <f>SUM(Z71+AA71-AB71)</f>
        <v>1</v>
      </c>
      <c r="AD71" s="57"/>
      <c r="AE71" s="58"/>
      <c r="AF71" s="243">
        <f>SUM(AC71+AD71-AE71)</f>
        <v>1</v>
      </c>
      <c r="AG71" s="60"/>
      <c r="AH71" s="58"/>
      <c r="AI71" s="62">
        <f>SUM(AF71+AG71-AH71)</f>
        <v>1</v>
      </c>
      <c r="AJ71" s="60"/>
      <c r="AK71" s="58"/>
      <c r="AL71" s="62">
        <f>SUM(AI71+AJ71-AK71)</f>
        <v>1</v>
      </c>
      <c r="AM71" s="60"/>
      <c r="AN71" s="58"/>
      <c r="AO71" s="62">
        <f>SUM(AL71+AM71-AN71)</f>
        <v>1</v>
      </c>
      <c r="AP71" s="60"/>
      <c r="AQ71" s="58"/>
      <c r="AR71" s="62">
        <f t="shared" si="123"/>
        <v>1</v>
      </c>
      <c r="AS71" s="60"/>
      <c r="AT71" s="58"/>
      <c r="AU71" s="62">
        <f>SUM(AR71+AS71-AT71)</f>
        <v>1</v>
      </c>
      <c r="AV71" s="83">
        <f>SUM(L71+O71+R71+U71+X71+AA71+AD71+AG71+AJ71+AM71+AP71+AS71)</f>
        <v>0</v>
      </c>
      <c r="AW71" s="83">
        <f>SUM(M71+P71+S71+V71+Y71+AB71+AE71+AH71+AK71+AN71+AQ71+AT71)</f>
        <v>0</v>
      </c>
      <c r="AX71" s="64">
        <f>SUM(M71,P71,S71,V71,Y71,AB71,AE71,AH71,AK71,AN71,AQ71,AT71)</f>
        <v>0</v>
      </c>
      <c r="AY71" s="65" t="e">
        <f t="shared" si="128"/>
        <v>#DIV/0!</v>
      </c>
      <c r="AZ71" s="66">
        <f t="shared" si="129"/>
        <v>0</v>
      </c>
      <c r="BA71" s="67">
        <f>MAX(0, Table176252626[[#This Row],[Column6]])</f>
        <v>1</v>
      </c>
      <c r="BB71" s="68">
        <v>0</v>
      </c>
      <c r="BC71" s="84">
        <f t="shared" si="5"/>
        <v>1</v>
      </c>
      <c r="BD71" s="83">
        <f t="shared" si="134"/>
        <v>1</v>
      </c>
      <c r="BE71" s="85">
        <v>2</v>
      </c>
      <c r="BF71" s="86">
        <v>45316.682245370372</v>
      </c>
      <c r="BG71" s="72">
        <f t="shared" si="6"/>
        <v>46265</v>
      </c>
      <c r="BH71" s="87">
        <f t="shared" si="130"/>
        <v>948.31775462962833</v>
      </c>
      <c r="BI71" s="80" t="str">
        <f t="shared" si="135"/>
        <v>Dead Stock</v>
      </c>
      <c r="BJ71" s="238">
        <v>14100</v>
      </c>
    </row>
    <row r="72" spans="1:293" s="48" customFormat="1" ht="13">
      <c r="A72" s="75"/>
      <c r="B72" s="76"/>
      <c r="C72" s="77">
        <v>69</v>
      </c>
      <c r="D72" s="110" t="s">
        <v>723</v>
      </c>
      <c r="E72" s="110">
        <v>31</v>
      </c>
      <c r="F72" s="80" t="s">
        <v>25</v>
      </c>
      <c r="G72" s="81" t="s">
        <v>26</v>
      </c>
      <c r="H72" s="81" t="s">
        <v>294</v>
      </c>
      <c r="I72" s="80" t="s">
        <v>458</v>
      </c>
      <c r="J72" s="82">
        <f t="shared" si="94"/>
        <v>2</v>
      </c>
      <c r="K72" s="80">
        <v>0</v>
      </c>
      <c r="L72" s="57"/>
      <c r="M72" s="58"/>
      <c r="N72" s="59">
        <f t="shared" si="95"/>
        <v>0</v>
      </c>
      <c r="O72" s="60"/>
      <c r="P72" s="58"/>
      <c r="Q72" s="59">
        <f t="shared" si="96"/>
        <v>0</v>
      </c>
      <c r="R72" s="60"/>
      <c r="S72" s="58"/>
      <c r="T72" s="61">
        <f t="shared" si="97"/>
        <v>0</v>
      </c>
      <c r="U72" s="60">
        <v>2</v>
      </c>
      <c r="V72" s="58"/>
      <c r="W72" s="59">
        <f t="shared" si="98"/>
        <v>2</v>
      </c>
      <c r="X72" s="60"/>
      <c r="Y72" s="58"/>
      <c r="Z72" s="61">
        <f t="shared" si="99"/>
        <v>2</v>
      </c>
      <c r="AA72" s="60"/>
      <c r="AB72" s="58"/>
      <c r="AC72" s="59">
        <f t="shared" si="100"/>
        <v>2</v>
      </c>
      <c r="AD72" s="57"/>
      <c r="AE72" s="58"/>
      <c r="AF72" s="243">
        <f t="shared" si="101"/>
        <v>2</v>
      </c>
      <c r="AG72" s="60"/>
      <c r="AH72" s="58"/>
      <c r="AI72" s="62">
        <f t="shared" si="102"/>
        <v>2</v>
      </c>
      <c r="AJ72" s="60"/>
      <c r="AK72" s="58"/>
      <c r="AL72" s="62">
        <f t="shared" si="103"/>
        <v>2</v>
      </c>
      <c r="AM72" s="60"/>
      <c r="AN72" s="58"/>
      <c r="AO72" s="62">
        <f t="shared" si="104"/>
        <v>2</v>
      </c>
      <c r="AP72" s="60"/>
      <c r="AQ72" s="58"/>
      <c r="AR72" s="62">
        <f t="shared" si="105"/>
        <v>2</v>
      </c>
      <c r="AS72" s="60"/>
      <c r="AT72" s="58"/>
      <c r="AU72" s="62">
        <f t="shared" si="106"/>
        <v>2</v>
      </c>
      <c r="AV72" s="83">
        <f t="shared" ref="AV72:AW76" si="149">SUM(L72+O72+R72+U72+X72+AA72+AD72+AG72+AJ72+AM72+AP72+AS72)</f>
        <v>2</v>
      </c>
      <c r="AW72" s="83">
        <f t="shared" si="149"/>
        <v>0</v>
      </c>
      <c r="AX72" s="64">
        <f t="shared" si="108"/>
        <v>0</v>
      </c>
      <c r="AY72" s="65" t="e">
        <f t="shared" si="109"/>
        <v>#DIV/0!</v>
      </c>
      <c r="AZ72" s="66">
        <f t="shared" si="110"/>
        <v>0</v>
      </c>
      <c r="BA72" s="67">
        <f>MAX(0, Table176252626[[#This Row],[Column6]])</f>
        <v>2</v>
      </c>
      <c r="BB72" s="68">
        <v>1</v>
      </c>
      <c r="BC72" s="84">
        <f t="shared" si="5"/>
        <v>2</v>
      </c>
      <c r="BD72" s="83">
        <f t="shared" si="134"/>
        <v>1</v>
      </c>
      <c r="BE72" s="85">
        <v>2</v>
      </c>
      <c r="BF72" s="86">
        <v>46160.484571759262</v>
      </c>
      <c r="BG72" s="72">
        <f t="shared" si="6"/>
        <v>46265</v>
      </c>
      <c r="BH72" s="87">
        <f t="shared" si="111"/>
        <v>104.5154282407384</v>
      </c>
      <c r="BI72" s="80" t="str">
        <f t="shared" si="135"/>
        <v/>
      </c>
      <c r="BJ72" s="238">
        <v>9700</v>
      </c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0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</row>
    <row r="73" spans="1:293" ht="13">
      <c r="A73" s="49"/>
      <c r="B73" s="50"/>
      <c r="C73" s="51">
        <v>70</v>
      </c>
      <c r="D73" s="110" t="s">
        <v>723</v>
      </c>
      <c r="E73" s="110">
        <v>32</v>
      </c>
      <c r="F73" s="80" t="s">
        <v>700</v>
      </c>
      <c r="G73" s="81" t="s">
        <v>701</v>
      </c>
      <c r="H73" s="81" t="s">
        <v>294</v>
      </c>
      <c r="I73" s="80" t="s">
        <v>458</v>
      </c>
      <c r="J73" s="82">
        <f>AU73</f>
        <v>1</v>
      </c>
      <c r="K73" s="80">
        <v>2</v>
      </c>
      <c r="L73" s="57"/>
      <c r="M73" s="58"/>
      <c r="N73" s="59">
        <f>SUM(K73+L73-M73)</f>
        <v>2</v>
      </c>
      <c r="O73" s="60"/>
      <c r="P73" s="58"/>
      <c r="Q73" s="59">
        <f>SUM(N73+O73-P73)</f>
        <v>2</v>
      </c>
      <c r="R73" s="60"/>
      <c r="S73" s="58"/>
      <c r="T73" s="61">
        <f>SUM(Q73+R73-S73)</f>
        <v>2</v>
      </c>
      <c r="U73" s="60"/>
      <c r="V73" s="58"/>
      <c r="W73" s="59">
        <f>SUM(T73+U73-V73)</f>
        <v>2</v>
      </c>
      <c r="X73" s="60"/>
      <c r="Y73" s="58">
        <v>1</v>
      </c>
      <c r="Z73" s="61">
        <f>SUM(W73+X73-Y73)</f>
        <v>1</v>
      </c>
      <c r="AA73" s="60"/>
      <c r="AB73" s="58"/>
      <c r="AC73" s="59">
        <f>SUM(Z73+AA73-AB73)</f>
        <v>1</v>
      </c>
      <c r="AD73" s="57"/>
      <c r="AE73" s="58"/>
      <c r="AF73" s="243">
        <f>SUM(AC73+AD73-AE73)</f>
        <v>1</v>
      </c>
      <c r="AG73" s="60"/>
      <c r="AH73" s="58"/>
      <c r="AI73" s="62">
        <f>SUM(AF73+AG73-AH73)</f>
        <v>1</v>
      </c>
      <c r="AJ73" s="60"/>
      <c r="AK73" s="58"/>
      <c r="AL73" s="62">
        <f>SUM(AI73+AJ73-AK73)</f>
        <v>1</v>
      </c>
      <c r="AM73" s="60"/>
      <c r="AN73" s="58"/>
      <c r="AO73" s="62">
        <f>SUM(AL73+AM73-AN73)</f>
        <v>1</v>
      </c>
      <c r="AP73" s="60"/>
      <c r="AQ73" s="58"/>
      <c r="AR73" s="62">
        <f>SUM(AO73+AP73-AQ73)</f>
        <v>1</v>
      </c>
      <c r="AS73" s="60"/>
      <c r="AT73" s="58"/>
      <c r="AU73" s="62">
        <f>SUM(AR73+AS73-AT73)</f>
        <v>1</v>
      </c>
      <c r="AV73" s="83">
        <f t="shared" ref="AV73:AW75" si="150">SUM(L73+O73+R73+U73+X73+AA73+AD73+AG73+AJ73+AM73+AP73+AS73)</f>
        <v>0</v>
      </c>
      <c r="AW73" s="83">
        <f t="shared" si="150"/>
        <v>1</v>
      </c>
      <c r="AX73" s="64">
        <f>SUM(M73,P73,S73,V73,Y73,AB73,AE73,AH73,AK73,AN73,AQ73,AT73)</f>
        <v>1</v>
      </c>
      <c r="AY73" s="65">
        <f>AVERAGE(M73,P73,S73,V73,Y73,AB73,AE73,AH73,AK73,AN73,AQ73,AT73)</f>
        <v>1</v>
      </c>
      <c r="AZ73" s="66">
        <f>COUNT(M73,P73,S73,V73,Y73,AB73,AE73,AH73,AK73,AN73,AQ73,AT73)</f>
        <v>1</v>
      </c>
      <c r="BA73" s="67">
        <f>MAX(0, Table176252626[[#This Row],[Column6]])</f>
        <v>1</v>
      </c>
      <c r="BB73" s="68">
        <v>0</v>
      </c>
      <c r="BC73" s="84">
        <f t="shared" ref="BC73:BC136" si="151">J73</f>
        <v>1</v>
      </c>
      <c r="BD73" s="83">
        <f t="shared" si="134"/>
        <v>1</v>
      </c>
      <c r="BE73" s="85">
        <v>2</v>
      </c>
      <c r="BF73" s="86">
        <v>45561.576747685183</v>
      </c>
      <c r="BG73" s="72">
        <f t="shared" si="6"/>
        <v>46265</v>
      </c>
      <c r="BH73" s="87">
        <f>BG73-BF73</f>
        <v>703.42325231481664</v>
      </c>
      <c r="BI73" s="80" t="str">
        <f t="shared" si="135"/>
        <v>Dead Stock</v>
      </c>
      <c r="BJ73" s="238">
        <v>9305</v>
      </c>
    </row>
    <row r="74" spans="1:293" ht="13">
      <c r="A74" s="90"/>
      <c r="B74" s="91"/>
      <c r="C74" s="51">
        <v>71</v>
      </c>
      <c r="D74" s="110" t="s">
        <v>723</v>
      </c>
      <c r="E74" s="110">
        <v>33</v>
      </c>
      <c r="F74" s="80" t="s">
        <v>709</v>
      </c>
      <c r="G74" s="81" t="s">
        <v>1299</v>
      </c>
      <c r="H74" s="81" t="s">
        <v>294</v>
      </c>
      <c r="I74" s="80" t="s">
        <v>458</v>
      </c>
      <c r="J74" s="82">
        <f>AU74</f>
        <v>1</v>
      </c>
      <c r="K74" s="80">
        <v>2</v>
      </c>
      <c r="L74" s="57"/>
      <c r="M74" s="58"/>
      <c r="N74" s="59">
        <f>SUM(K74+L74-M74)</f>
        <v>2</v>
      </c>
      <c r="O74" s="60"/>
      <c r="P74" s="58"/>
      <c r="Q74" s="59">
        <f>SUM(N74+O74-P74)</f>
        <v>2</v>
      </c>
      <c r="R74" s="60"/>
      <c r="S74" s="58"/>
      <c r="T74" s="61">
        <f>SUM(Q74+R74-S74)</f>
        <v>2</v>
      </c>
      <c r="U74" s="60"/>
      <c r="V74" s="58"/>
      <c r="W74" s="59">
        <f>SUM(T74+U74-V74)</f>
        <v>2</v>
      </c>
      <c r="X74" s="60"/>
      <c r="Y74" s="58">
        <v>1</v>
      </c>
      <c r="Z74" s="61">
        <f>SUM(W74+X74-Y74)</f>
        <v>1</v>
      </c>
      <c r="AA74" s="60"/>
      <c r="AB74" s="58"/>
      <c r="AC74" s="59">
        <f>SUM(Z74+AA74-AB74)</f>
        <v>1</v>
      </c>
      <c r="AD74" s="57"/>
      <c r="AE74" s="58"/>
      <c r="AF74" s="243">
        <f>SUM(AC74+AD74-AE74)</f>
        <v>1</v>
      </c>
      <c r="AG74" s="60"/>
      <c r="AH74" s="58"/>
      <c r="AI74" s="62">
        <f>SUM(AF74+AG74-AH74)</f>
        <v>1</v>
      </c>
      <c r="AJ74" s="60"/>
      <c r="AK74" s="58"/>
      <c r="AL74" s="62">
        <f>SUM(AI74+AJ74-AK74)</f>
        <v>1</v>
      </c>
      <c r="AM74" s="60"/>
      <c r="AN74" s="58"/>
      <c r="AO74" s="62">
        <f>SUM(AL74+AM74-AN74)</f>
        <v>1</v>
      </c>
      <c r="AP74" s="60"/>
      <c r="AQ74" s="58"/>
      <c r="AR74" s="62">
        <f>SUM(AO74+AP74-AQ74)</f>
        <v>1</v>
      </c>
      <c r="AS74" s="60"/>
      <c r="AT74" s="58"/>
      <c r="AU74" s="62">
        <f>SUM(AR74+AS74-AT74)</f>
        <v>1</v>
      </c>
      <c r="AV74" s="83">
        <f t="shared" si="150"/>
        <v>0</v>
      </c>
      <c r="AW74" s="83">
        <f t="shared" si="150"/>
        <v>1</v>
      </c>
      <c r="AX74" s="64">
        <f>SUM(M74,P74,S74,V74,Y74,AB74,AE74,AH74,AK74,AN74,AQ74,AT74)</f>
        <v>1</v>
      </c>
      <c r="AY74" s="65">
        <f>AVERAGE(M74,P74,S74,V74,Y74,AB74,AE74,AH74,AK74,AN74,AQ74,AT74)</f>
        <v>1</v>
      </c>
      <c r="AZ74" s="66">
        <f>COUNT(M74,P74,S74,V74,Y74,AB74,AE74,AH74,AK74,AN74,AQ74,AT74)</f>
        <v>1</v>
      </c>
      <c r="BA74" s="67">
        <f>MAX(0, Table176252626[[#This Row],[Column6]])</f>
        <v>1</v>
      </c>
      <c r="BB74" s="68">
        <v>0</v>
      </c>
      <c r="BC74" s="84">
        <f t="shared" si="151"/>
        <v>1</v>
      </c>
      <c r="BD74" s="83">
        <f t="shared" si="134"/>
        <v>1</v>
      </c>
      <c r="BE74" s="85">
        <v>2</v>
      </c>
      <c r="BF74" s="86">
        <v>45065.579965277779</v>
      </c>
      <c r="BG74" s="72">
        <f t="shared" ref="BG74:BG137" si="152">BG73</f>
        <v>46265</v>
      </c>
      <c r="BH74" s="87">
        <f>BG74-BF74</f>
        <v>1199.4200347222213</v>
      </c>
      <c r="BI74" s="80" t="str">
        <f t="shared" si="135"/>
        <v>Dead Stock</v>
      </c>
      <c r="BJ74" s="238">
        <v>9250</v>
      </c>
    </row>
    <row r="75" spans="1:293" ht="13">
      <c r="A75" s="49"/>
      <c r="B75" s="50"/>
      <c r="C75" s="51">
        <v>72</v>
      </c>
      <c r="D75" s="110" t="s">
        <v>723</v>
      </c>
      <c r="E75" s="110">
        <v>34</v>
      </c>
      <c r="F75" s="88" t="s">
        <v>1285</v>
      </c>
      <c r="G75" s="89" t="s">
        <v>1286</v>
      </c>
      <c r="H75" s="89" t="s">
        <v>289</v>
      </c>
      <c r="I75" s="88" t="s">
        <v>458</v>
      </c>
      <c r="J75" s="93">
        <f>AU75</f>
        <v>1</v>
      </c>
      <c r="K75" s="88">
        <v>1</v>
      </c>
      <c r="L75" s="58"/>
      <c r="M75" s="58"/>
      <c r="N75" s="62">
        <f>SUM(K75+L75-M75)</f>
        <v>1</v>
      </c>
      <c r="O75" s="60"/>
      <c r="P75" s="58"/>
      <c r="Q75" s="62">
        <f>SUM(N75+O75-P75)</f>
        <v>1</v>
      </c>
      <c r="R75" s="60"/>
      <c r="S75" s="58"/>
      <c r="T75" s="94">
        <f>SUM(Q75+R75-S75)</f>
        <v>1</v>
      </c>
      <c r="U75" s="60"/>
      <c r="V75" s="58"/>
      <c r="W75" s="62">
        <f>SUM(T75+U75-V75)</f>
        <v>1</v>
      </c>
      <c r="X75" s="60"/>
      <c r="Y75" s="58"/>
      <c r="Z75" s="94">
        <f>SUM(W75+X75-Y75)</f>
        <v>1</v>
      </c>
      <c r="AA75" s="60"/>
      <c r="AB75" s="58"/>
      <c r="AC75" s="62">
        <f>SUM(Z75+AA75-AB75)</f>
        <v>1</v>
      </c>
      <c r="AD75" s="57"/>
      <c r="AE75" s="58"/>
      <c r="AF75" s="165">
        <f>SUM(AC75+AD75-AE75)</f>
        <v>1</v>
      </c>
      <c r="AG75" s="60"/>
      <c r="AH75" s="58"/>
      <c r="AI75" s="62">
        <f>SUM(AF75+AG75-AH75)</f>
        <v>1</v>
      </c>
      <c r="AJ75" s="60"/>
      <c r="AK75" s="58"/>
      <c r="AL75" s="62">
        <f>SUM(AI75+AJ75-AK75)</f>
        <v>1</v>
      </c>
      <c r="AM75" s="60"/>
      <c r="AN75" s="58"/>
      <c r="AO75" s="62">
        <f>SUM(AL75+AM75-AN75)</f>
        <v>1</v>
      </c>
      <c r="AP75" s="60"/>
      <c r="AQ75" s="58"/>
      <c r="AR75" s="62">
        <f>SUM(AO75+AP75-AQ75)</f>
        <v>1</v>
      </c>
      <c r="AS75" s="60"/>
      <c r="AT75" s="58"/>
      <c r="AU75" s="62">
        <f>SUM(AR75+AS75-AT75)</f>
        <v>1</v>
      </c>
      <c r="AV75" s="96">
        <f t="shared" si="150"/>
        <v>0</v>
      </c>
      <c r="AW75" s="97">
        <f t="shared" si="150"/>
        <v>0</v>
      </c>
      <c r="AX75" s="98">
        <f>SUM(M75,P75,S75,V75,Y75,AB75,AE75,AH75,AK75,AN75,AQ75,AT75)</f>
        <v>0</v>
      </c>
      <c r="AY75" s="99" t="e">
        <f>AVERAGE(M75,P75,S75,V75,Y75,AB75,AE75,AH75,AK75,AN75,AQ75,AT75)</f>
        <v>#DIV/0!</v>
      </c>
      <c r="AZ75" s="100">
        <f>COUNT(M75,P75,S75,V75,Y75,AB75,AE75,AH75,AK75,AN75,AQ75,AT75)</f>
        <v>0</v>
      </c>
      <c r="BA75" s="67">
        <f>MAX(0, Table176252626[[#This Row],[Column6]])</f>
        <v>1</v>
      </c>
      <c r="BB75" s="68">
        <v>0</v>
      </c>
      <c r="BC75" s="84">
        <f t="shared" si="151"/>
        <v>1</v>
      </c>
      <c r="BD75" s="83">
        <f t="shared" si="134"/>
        <v>1</v>
      </c>
      <c r="BE75" s="85">
        <v>2</v>
      </c>
      <c r="BF75" s="86">
        <v>45057.415844907409</v>
      </c>
      <c r="BG75" s="72">
        <f t="shared" si="152"/>
        <v>46265</v>
      </c>
      <c r="BH75" s="87">
        <f>BG75-BF75</f>
        <v>1207.5841550925907</v>
      </c>
      <c r="BI75" s="80" t="str">
        <f t="shared" si="135"/>
        <v>Dead Stock</v>
      </c>
      <c r="BJ75" s="238">
        <v>46035</v>
      </c>
    </row>
    <row r="76" spans="1:293" ht="13">
      <c r="A76" s="90"/>
      <c r="B76" s="91"/>
      <c r="C76" s="51">
        <v>73</v>
      </c>
      <c r="D76" s="110" t="s">
        <v>723</v>
      </c>
      <c r="E76" s="110">
        <v>35</v>
      </c>
      <c r="F76" s="80" t="s">
        <v>825</v>
      </c>
      <c r="G76" s="81" t="s">
        <v>826</v>
      </c>
      <c r="H76" s="81" t="s">
        <v>294</v>
      </c>
      <c r="I76" s="80" t="s">
        <v>458</v>
      </c>
      <c r="J76" s="82">
        <f t="shared" si="94"/>
        <v>2</v>
      </c>
      <c r="K76" s="80">
        <v>1</v>
      </c>
      <c r="L76" s="57">
        <f>1+2</f>
        <v>3</v>
      </c>
      <c r="M76" s="58"/>
      <c r="N76" s="59">
        <f t="shared" si="95"/>
        <v>4</v>
      </c>
      <c r="O76" s="60"/>
      <c r="P76" s="58"/>
      <c r="Q76" s="59">
        <f t="shared" si="96"/>
        <v>4</v>
      </c>
      <c r="R76" s="60"/>
      <c r="S76" s="58"/>
      <c r="T76" s="61">
        <f t="shared" si="97"/>
        <v>4</v>
      </c>
      <c r="U76" s="60"/>
      <c r="V76" s="58"/>
      <c r="W76" s="59">
        <f t="shared" si="98"/>
        <v>4</v>
      </c>
      <c r="X76" s="60"/>
      <c r="Y76" s="58"/>
      <c r="Z76" s="61">
        <f t="shared" si="99"/>
        <v>4</v>
      </c>
      <c r="AA76" s="60"/>
      <c r="AB76" s="58">
        <v>1</v>
      </c>
      <c r="AC76" s="59">
        <f t="shared" si="100"/>
        <v>3</v>
      </c>
      <c r="AD76" s="57"/>
      <c r="AE76" s="58">
        <v>1</v>
      </c>
      <c r="AF76" s="243">
        <f t="shared" si="101"/>
        <v>2</v>
      </c>
      <c r="AG76" s="60"/>
      <c r="AH76" s="58"/>
      <c r="AI76" s="62">
        <f t="shared" si="102"/>
        <v>2</v>
      </c>
      <c r="AJ76" s="60"/>
      <c r="AK76" s="58"/>
      <c r="AL76" s="62">
        <f t="shared" si="103"/>
        <v>2</v>
      </c>
      <c r="AM76" s="60"/>
      <c r="AN76" s="58"/>
      <c r="AO76" s="62">
        <f t="shared" si="104"/>
        <v>2</v>
      </c>
      <c r="AP76" s="60"/>
      <c r="AQ76" s="58"/>
      <c r="AR76" s="62">
        <f t="shared" si="105"/>
        <v>2</v>
      </c>
      <c r="AS76" s="60"/>
      <c r="AT76" s="58"/>
      <c r="AU76" s="62">
        <f t="shared" si="106"/>
        <v>2</v>
      </c>
      <c r="AV76" s="83">
        <f t="shared" si="149"/>
        <v>3</v>
      </c>
      <c r="AW76" s="83">
        <f t="shared" si="149"/>
        <v>2</v>
      </c>
      <c r="AX76" s="64">
        <f t="shared" si="108"/>
        <v>2</v>
      </c>
      <c r="AY76" s="65">
        <f t="shared" si="109"/>
        <v>1</v>
      </c>
      <c r="AZ76" s="66">
        <f t="shared" si="110"/>
        <v>2</v>
      </c>
      <c r="BA76" s="67">
        <f>MAX(0, Table176252626[[#This Row],[Column6]])</f>
        <v>2</v>
      </c>
      <c r="BB76" s="68">
        <v>1</v>
      </c>
      <c r="BC76" s="84">
        <f t="shared" si="151"/>
        <v>2</v>
      </c>
      <c r="BD76" s="83">
        <f t="shared" si="134"/>
        <v>1</v>
      </c>
      <c r="BE76" s="85">
        <v>2</v>
      </c>
      <c r="BF76" s="86">
        <v>46044.685127314813</v>
      </c>
      <c r="BG76" s="72">
        <f t="shared" si="152"/>
        <v>46265</v>
      </c>
      <c r="BH76" s="87">
        <f t="shared" si="111"/>
        <v>220.31487268518686</v>
      </c>
      <c r="BI76" s="80" t="str">
        <f t="shared" si="135"/>
        <v/>
      </c>
      <c r="BJ76" s="238">
        <v>11650</v>
      </c>
    </row>
    <row r="77" spans="1:293" s="48" customFormat="1" ht="13">
      <c r="A77" s="49"/>
      <c r="B77" s="76"/>
      <c r="C77" s="77">
        <v>74</v>
      </c>
      <c r="D77" s="110" t="s">
        <v>723</v>
      </c>
      <c r="E77" s="110">
        <v>36</v>
      </c>
      <c r="F77" s="80" t="s">
        <v>273</v>
      </c>
      <c r="G77" s="81" t="s">
        <v>274</v>
      </c>
      <c r="H77" s="81" t="s">
        <v>294</v>
      </c>
      <c r="I77" s="80" t="s">
        <v>458</v>
      </c>
      <c r="J77" s="82">
        <f t="shared" ref="J77" si="153">AU77</f>
        <v>2</v>
      </c>
      <c r="K77" s="80">
        <v>2</v>
      </c>
      <c r="L77" s="57"/>
      <c r="M77" s="58"/>
      <c r="N77" s="59">
        <f t="shared" ref="N77" si="154">SUM(K77+L77-M77)</f>
        <v>2</v>
      </c>
      <c r="O77" s="60"/>
      <c r="P77" s="58"/>
      <c r="Q77" s="59">
        <f t="shared" ref="Q77" si="155">SUM(N77+O77-P77)</f>
        <v>2</v>
      </c>
      <c r="R77" s="60"/>
      <c r="S77" s="58"/>
      <c r="T77" s="61">
        <f t="shared" ref="T77" si="156">SUM(Q77+R77-S77)</f>
        <v>2</v>
      </c>
      <c r="U77" s="60"/>
      <c r="V77" s="58"/>
      <c r="W77" s="59">
        <f t="shared" ref="W77" si="157">SUM(T77+U77-V77)</f>
        <v>2</v>
      </c>
      <c r="X77" s="60"/>
      <c r="Y77" s="58"/>
      <c r="Z77" s="61">
        <f t="shared" ref="Z77" si="158">SUM(W77+X77-Y77)</f>
        <v>2</v>
      </c>
      <c r="AA77" s="60"/>
      <c r="AB77" s="58"/>
      <c r="AC77" s="59">
        <f t="shared" ref="AC77" si="159">SUM(Z77+AA77-AB77)</f>
        <v>2</v>
      </c>
      <c r="AD77" s="57"/>
      <c r="AE77" s="58"/>
      <c r="AF77" s="243">
        <f t="shared" ref="AF77" si="160">SUM(AC77+AD77-AE77)</f>
        <v>2</v>
      </c>
      <c r="AG77" s="60"/>
      <c r="AH77" s="58"/>
      <c r="AI77" s="62">
        <f t="shared" ref="AI77" si="161">SUM(AF77+AG77-AH77)</f>
        <v>2</v>
      </c>
      <c r="AJ77" s="60"/>
      <c r="AK77" s="58"/>
      <c r="AL77" s="62">
        <f t="shared" ref="AL77" si="162">SUM(AI77+AJ77-AK77)</f>
        <v>2</v>
      </c>
      <c r="AM77" s="60"/>
      <c r="AN77" s="58"/>
      <c r="AO77" s="62">
        <f t="shared" ref="AO77" si="163">SUM(AL77+AM77-AN77)</f>
        <v>2</v>
      </c>
      <c r="AP77" s="60"/>
      <c r="AQ77" s="58"/>
      <c r="AR77" s="62">
        <f t="shared" ref="AR77" si="164">SUM(AO77+AP77-AQ77)</f>
        <v>2</v>
      </c>
      <c r="AS77" s="60"/>
      <c r="AT77" s="58"/>
      <c r="AU77" s="62">
        <f t="shared" ref="AU77" si="165">SUM(AR77+AS77-AT77)</f>
        <v>2</v>
      </c>
      <c r="AV77" s="83">
        <f t="shared" ref="AV77" si="166">SUM(L77+O77+R77+U77+X77+AA77+AD77+AG77+AJ77+AM77+AP77+AS77)</f>
        <v>0</v>
      </c>
      <c r="AW77" s="83">
        <f t="shared" ref="AW77" si="167">SUM(M77+P77+S77+V77+Y77+AB77+AE77+AH77+AK77+AN77+AQ77+AT77)</f>
        <v>0</v>
      </c>
      <c r="AX77" s="64">
        <f t="shared" ref="AX77" si="168">SUM(M77,P77,S77,V77,Y77,AB77,AE77,AH77,AK77,AN77,AQ77,AT77)</f>
        <v>0</v>
      </c>
      <c r="AY77" s="65" t="e">
        <f t="shared" ref="AY77" si="169">AVERAGE(M77,P77,S77,V77,Y77,AB77,AE77,AH77,AK77,AN77,AQ77,AT77)</f>
        <v>#DIV/0!</v>
      </c>
      <c r="AZ77" s="66">
        <f t="shared" ref="AZ77" si="170">COUNT(M77,P77,S77,V77,Y77,AB77,AE77,AH77,AK77,AN77,AQ77,AT77)</f>
        <v>0</v>
      </c>
      <c r="BA77" s="67">
        <f>MAX(0, Table176252626[[#This Row],[Column6]])</f>
        <v>2</v>
      </c>
      <c r="BB77" s="68">
        <v>1</v>
      </c>
      <c r="BC77" s="84">
        <f t="shared" si="151"/>
        <v>2</v>
      </c>
      <c r="BD77" s="83">
        <f t="shared" si="134"/>
        <v>1</v>
      </c>
      <c r="BE77" s="85">
        <v>2</v>
      </c>
      <c r="BF77" s="86">
        <v>45523.433819444443</v>
      </c>
      <c r="BG77" s="72">
        <f t="shared" si="152"/>
        <v>46265</v>
      </c>
      <c r="BH77" s="87">
        <f t="shared" ref="BH77" si="171">BG77-BF77</f>
        <v>741.56618055555737</v>
      </c>
      <c r="BI77" s="80" t="str">
        <f t="shared" si="135"/>
        <v>Dead Stock</v>
      </c>
      <c r="BJ77" s="238">
        <v>2420</v>
      </c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/>
      <c r="IN77" s="30"/>
      <c r="IO77" s="30"/>
      <c r="IP77" s="30"/>
      <c r="IQ77" s="30"/>
      <c r="IR77" s="30"/>
      <c r="IS77" s="30"/>
      <c r="IT77" s="30"/>
      <c r="IU77" s="30"/>
      <c r="IV77" s="30"/>
      <c r="IW77" s="30"/>
      <c r="IX77" s="30"/>
      <c r="IY77" s="30"/>
      <c r="IZ77" s="30"/>
      <c r="JA77" s="30"/>
      <c r="JB77" s="30"/>
      <c r="JC77" s="30"/>
      <c r="JD77" s="30"/>
      <c r="JE77" s="30"/>
      <c r="JF77" s="30"/>
      <c r="JG77" s="30"/>
      <c r="JH77" s="30"/>
      <c r="JI77" s="30"/>
      <c r="JJ77" s="30"/>
      <c r="JK77" s="30"/>
      <c r="JL77" s="30"/>
      <c r="JM77" s="30"/>
      <c r="JN77" s="30"/>
      <c r="JO77" s="30"/>
      <c r="JP77" s="30"/>
      <c r="JQ77" s="30"/>
      <c r="JR77" s="30"/>
      <c r="JS77" s="30"/>
      <c r="JT77" s="30"/>
      <c r="JU77" s="30"/>
      <c r="JV77" s="30"/>
      <c r="JW77" s="30"/>
      <c r="JX77" s="30"/>
      <c r="JY77" s="30"/>
      <c r="JZ77" s="30"/>
      <c r="KA77" s="30"/>
      <c r="KB77" s="30"/>
      <c r="KC77" s="30"/>
      <c r="KD77" s="30"/>
      <c r="KE77" s="30"/>
      <c r="KF77" s="30"/>
      <c r="KG77" s="30"/>
    </row>
    <row r="78" spans="1:293" s="48" customFormat="1" ht="13">
      <c r="A78" s="49"/>
      <c r="B78" s="76"/>
      <c r="C78" s="77">
        <v>75</v>
      </c>
      <c r="D78" s="110" t="s">
        <v>723</v>
      </c>
      <c r="E78" s="110">
        <v>37</v>
      </c>
      <c r="F78" s="80" t="s">
        <v>1357</v>
      </c>
      <c r="G78" s="81" t="s">
        <v>1356</v>
      </c>
      <c r="H78" s="81" t="s">
        <v>295</v>
      </c>
      <c r="I78" s="80" t="s">
        <v>458</v>
      </c>
      <c r="J78" s="82">
        <f>AU78</f>
        <v>1</v>
      </c>
      <c r="K78" s="80">
        <v>1</v>
      </c>
      <c r="L78" s="57"/>
      <c r="M78" s="58"/>
      <c r="N78" s="59">
        <f>SUM(K78+L78-M78)</f>
        <v>1</v>
      </c>
      <c r="O78" s="60"/>
      <c r="P78" s="58"/>
      <c r="Q78" s="59">
        <f>SUM(N78+O78-P78)</f>
        <v>1</v>
      </c>
      <c r="R78" s="60"/>
      <c r="S78" s="58"/>
      <c r="T78" s="61">
        <f>SUM(Q78+R78-S78)</f>
        <v>1</v>
      </c>
      <c r="U78" s="60"/>
      <c r="V78" s="58"/>
      <c r="W78" s="59">
        <f>SUM(T78+U78-V78)</f>
        <v>1</v>
      </c>
      <c r="X78" s="60"/>
      <c r="Y78" s="58"/>
      <c r="Z78" s="61">
        <f>SUM(W78+X78-Y78)</f>
        <v>1</v>
      </c>
      <c r="AA78" s="60"/>
      <c r="AB78" s="58"/>
      <c r="AC78" s="59">
        <f>SUM(Z78+AA78-AB78)</f>
        <v>1</v>
      </c>
      <c r="AD78" s="57"/>
      <c r="AE78" s="58"/>
      <c r="AF78" s="243">
        <f>SUM(AC78+AD78-AE78)</f>
        <v>1</v>
      </c>
      <c r="AG78" s="60"/>
      <c r="AH78" s="58"/>
      <c r="AI78" s="62">
        <f>SUM(AF78+AG78-AH78)</f>
        <v>1</v>
      </c>
      <c r="AJ78" s="60"/>
      <c r="AK78" s="58"/>
      <c r="AL78" s="62">
        <f>SUM(AI78+AJ78-AK78)</f>
        <v>1</v>
      </c>
      <c r="AM78" s="60"/>
      <c r="AN78" s="58"/>
      <c r="AO78" s="62">
        <f>SUM(AL78+AM78-AN78)</f>
        <v>1</v>
      </c>
      <c r="AP78" s="60"/>
      <c r="AQ78" s="58"/>
      <c r="AR78" s="62">
        <f>SUM(AO78+AP78-AQ78)</f>
        <v>1</v>
      </c>
      <c r="AS78" s="60"/>
      <c r="AT78" s="58"/>
      <c r="AU78" s="62">
        <f>SUM(AR78+AS78-AT78)</f>
        <v>1</v>
      </c>
      <c r="AV78" s="83">
        <f>SUM(L78+O78+R78+U78+X78+AA78+AD78+AG78+AJ78+AM78+AP78+AS78)</f>
        <v>0</v>
      </c>
      <c r="AW78" s="83">
        <f>SUM(M78+P78+S78+V78+Y78+AB78+AE78+AH78+AK78+AN78+AQ78+AT78)</f>
        <v>0</v>
      </c>
      <c r="AX78" s="64">
        <f>SUM(M78,P78,S78,V78,Y78,AB78,AE78,AH78,AK78,AN78,AQ78,AT78)</f>
        <v>0</v>
      </c>
      <c r="AY78" s="65" t="e">
        <f>AVERAGE(M78,P78,S78,V78,Y78,AB78,AE78,AH78,AK78,AN78,AQ78,AT78)</f>
        <v>#DIV/0!</v>
      </c>
      <c r="AZ78" s="66">
        <f>COUNT(M78,P78,S78,V78,Y78,AB78,AE78,AH78,AK78,AN78,AQ78,AT78)</f>
        <v>0</v>
      </c>
      <c r="BA78" s="67">
        <v>1</v>
      </c>
      <c r="BB78" s="68">
        <f>MIN(M78,P78,S78,V78,Y78,AB78,AE78,AH78,AK78,AN78,AQ78,AT78)</f>
        <v>0</v>
      </c>
      <c r="BC78" s="84">
        <f t="shared" si="151"/>
        <v>1</v>
      </c>
      <c r="BD78" s="83">
        <f t="shared" si="134"/>
        <v>1</v>
      </c>
      <c r="BE78" s="85">
        <v>2</v>
      </c>
      <c r="BF78" s="86">
        <v>45201.436944444446</v>
      </c>
      <c r="BG78" s="72">
        <f t="shared" si="152"/>
        <v>46265</v>
      </c>
      <c r="BH78" s="87">
        <f>BG78-BF78</f>
        <v>1063.5630555555545</v>
      </c>
      <c r="BI78" s="80" t="str">
        <f t="shared" si="135"/>
        <v>Dead Stock</v>
      </c>
      <c r="BJ78" s="238">
        <v>5005</v>
      </c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</row>
    <row r="79" spans="1:293" s="48" customFormat="1" ht="13">
      <c r="A79" s="49"/>
      <c r="B79" s="50"/>
      <c r="C79" s="51">
        <v>76</v>
      </c>
      <c r="D79" s="110" t="s">
        <v>723</v>
      </c>
      <c r="E79" s="110">
        <v>38</v>
      </c>
      <c r="F79" s="80" t="s">
        <v>196</v>
      </c>
      <c r="G79" s="81" t="s">
        <v>1023</v>
      </c>
      <c r="H79" s="81" t="s">
        <v>294</v>
      </c>
      <c r="I79" s="80" t="s">
        <v>458</v>
      </c>
      <c r="J79" s="82">
        <f t="shared" ref="J79:J80" si="172">AU79</f>
        <v>1</v>
      </c>
      <c r="K79" s="80">
        <v>1</v>
      </c>
      <c r="L79" s="57"/>
      <c r="M79" s="58"/>
      <c r="N79" s="59">
        <f t="shared" ref="N79:N80" si="173">SUM(K79+L79-M79)</f>
        <v>1</v>
      </c>
      <c r="O79" s="60"/>
      <c r="P79" s="58"/>
      <c r="Q79" s="59">
        <f t="shared" ref="Q79:Q80" si="174">SUM(N79+O79-P79)</f>
        <v>1</v>
      </c>
      <c r="R79" s="60"/>
      <c r="S79" s="58"/>
      <c r="T79" s="61">
        <f t="shared" ref="T79:T80" si="175">SUM(Q79+R79-S79)</f>
        <v>1</v>
      </c>
      <c r="U79" s="60"/>
      <c r="V79" s="58"/>
      <c r="W79" s="59">
        <f t="shared" ref="W79:W80" si="176">SUM(T79+U79-V79)</f>
        <v>1</v>
      </c>
      <c r="X79" s="60"/>
      <c r="Y79" s="58"/>
      <c r="Z79" s="61">
        <f t="shared" ref="Z79:Z80" si="177">SUM(W79+X79-Y79)</f>
        <v>1</v>
      </c>
      <c r="AA79" s="60"/>
      <c r="AB79" s="58"/>
      <c r="AC79" s="59">
        <f t="shared" ref="AC79:AC80" si="178">SUM(Z79+AA79-AB79)</f>
        <v>1</v>
      </c>
      <c r="AD79" s="57"/>
      <c r="AE79" s="58"/>
      <c r="AF79" s="243">
        <f t="shared" ref="AF79:AF80" si="179">SUM(AC79+AD79-AE79)</f>
        <v>1</v>
      </c>
      <c r="AG79" s="60"/>
      <c r="AH79" s="58"/>
      <c r="AI79" s="62">
        <f t="shared" ref="AI79:AI80" si="180">SUM(AF79+AG79-AH79)</f>
        <v>1</v>
      </c>
      <c r="AJ79" s="60"/>
      <c r="AK79" s="58"/>
      <c r="AL79" s="62">
        <f t="shared" ref="AL79:AL80" si="181">SUM(AI79+AJ79-AK79)</f>
        <v>1</v>
      </c>
      <c r="AM79" s="60"/>
      <c r="AN79" s="58"/>
      <c r="AO79" s="62">
        <f t="shared" ref="AO79:AO80" si="182">SUM(AL79+AM79-AN79)</f>
        <v>1</v>
      </c>
      <c r="AP79" s="60"/>
      <c r="AQ79" s="58"/>
      <c r="AR79" s="62">
        <f t="shared" ref="AR79:AR80" si="183">SUM(AO79+AP79-AQ79)</f>
        <v>1</v>
      </c>
      <c r="AS79" s="60"/>
      <c r="AT79" s="58"/>
      <c r="AU79" s="62">
        <f t="shared" ref="AU79:AU80" si="184">SUM(AR79+AS79-AT79)</f>
        <v>1</v>
      </c>
      <c r="AV79" s="83">
        <f t="shared" ref="AV79:AV80" si="185">SUM(L79+O79+R79+U79+X79+AA79+AD79+AG79+AJ79+AM79+AP79+AS79)</f>
        <v>0</v>
      </c>
      <c r="AW79" s="83">
        <f t="shared" ref="AW79:AW81" si="186">SUM(M79+P79+S79+V79+Y79+AB79+AE79+AH79+AK79+AN79+AQ79+AT79)</f>
        <v>0</v>
      </c>
      <c r="AX79" s="64">
        <f t="shared" ref="AX79:AX80" si="187">SUM(M79,P79,S79,V79,Y79,AB79,AE79,AH79,AK79,AN79,AQ79,AT79)</f>
        <v>0</v>
      </c>
      <c r="AY79" s="65" t="e">
        <f t="shared" ref="AY79:AY80" si="188">AVERAGE(M79,P79,S79,V79,Y79,AB79,AE79,AH79,AK79,AN79,AQ79,AT79)</f>
        <v>#DIV/0!</v>
      </c>
      <c r="AZ79" s="66">
        <f t="shared" ref="AZ79:AZ80" si="189">COUNT(M79,P79,S79,V79,Y79,AB79,AE79,AH79,AK79,AN79,AQ79,AT79)</f>
        <v>0</v>
      </c>
      <c r="BA79" s="67">
        <f>MAX(0, Table176252626[[#This Row],[Column6]])</f>
        <v>1</v>
      </c>
      <c r="BB79" s="68">
        <v>0</v>
      </c>
      <c r="BC79" s="84">
        <f t="shared" si="151"/>
        <v>1</v>
      </c>
      <c r="BD79" s="83">
        <f t="shared" si="134"/>
        <v>1</v>
      </c>
      <c r="BE79" s="85">
        <v>2</v>
      </c>
      <c r="BF79" s="86">
        <v>42726.689293981479</v>
      </c>
      <c r="BG79" s="72">
        <f t="shared" si="152"/>
        <v>46265</v>
      </c>
      <c r="BH79" s="87">
        <f t="shared" ref="BH79:BH80" si="190">BG79-BF79</f>
        <v>3538.3107060185212</v>
      </c>
      <c r="BI79" s="80" t="str">
        <f>IF(AND(J79&gt;0,BH79&gt;365),"Dead Stock","")</f>
        <v>Dead Stock</v>
      </c>
      <c r="BJ79" s="238">
        <v>9730</v>
      </c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/>
      <c r="IN79" s="30"/>
      <c r="IO79" s="30"/>
      <c r="IP79" s="30"/>
      <c r="IQ79" s="30"/>
      <c r="IR79" s="30"/>
      <c r="IS79" s="30"/>
      <c r="IT79" s="30"/>
      <c r="IU79" s="30"/>
      <c r="IV79" s="30"/>
      <c r="IW79" s="30"/>
      <c r="IX79" s="30"/>
      <c r="IY79" s="30"/>
      <c r="IZ79" s="30"/>
      <c r="JA79" s="30"/>
      <c r="JB79" s="30"/>
      <c r="JC79" s="30"/>
      <c r="JD79" s="30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</row>
    <row r="80" spans="1:293" ht="13">
      <c r="A80" s="49"/>
      <c r="B80" s="50"/>
      <c r="C80" s="51">
        <v>77</v>
      </c>
      <c r="D80" s="110" t="s">
        <v>723</v>
      </c>
      <c r="E80" s="110">
        <v>39</v>
      </c>
      <c r="F80" s="80" t="s">
        <v>415</v>
      </c>
      <c r="G80" s="81" t="s">
        <v>418</v>
      </c>
      <c r="H80" s="81" t="s">
        <v>294</v>
      </c>
      <c r="I80" s="88" t="s">
        <v>458</v>
      </c>
      <c r="J80" s="82">
        <f t="shared" si="172"/>
        <v>2</v>
      </c>
      <c r="K80" s="80">
        <v>2</v>
      </c>
      <c r="L80" s="57"/>
      <c r="M80" s="58"/>
      <c r="N80" s="59">
        <f t="shared" si="173"/>
        <v>2</v>
      </c>
      <c r="O80" s="60"/>
      <c r="P80" s="58"/>
      <c r="Q80" s="59">
        <f t="shared" si="174"/>
        <v>2</v>
      </c>
      <c r="R80" s="60"/>
      <c r="S80" s="58"/>
      <c r="T80" s="61">
        <f t="shared" si="175"/>
        <v>2</v>
      </c>
      <c r="U80" s="60"/>
      <c r="V80" s="58"/>
      <c r="W80" s="59">
        <f t="shared" si="176"/>
        <v>2</v>
      </c>
      <c r="X80" s="60"/>
      <c r="Y80" s="58"/>
      <c r="Z80" s="61">
        <f t="shared" si="177"/>
        <v>2</v>
      </c>
      <c r="AA80" s="60"/>
      <c r="AB80" s="58"/>
      <c r="AC80" s="59">
        <f t="shared" si="178"/>
        <v>2</v>
      </c>
      <c r="AD80" s="57"/>
      <c r="AE80" s="58"/>
      <c r="AF80" s="243">
        <f t="shared" si="179"/>
        <v>2</v>
      </c>
      <c r="AG80" s="60"/>
      <c r="AH80" s="58"/>
      <c r="AI80" s="62">
        <f t="shared" si="180"/>
        <v>2</v>
      </c>
      <c r="AJ80" s="60"/>
      <c r="AK80" s="58"/>
      <c r="AL80" s="62">
        <f t="shared" si="181"/>
        <v>2</v>
      </c>
      <c r="AM80" s="60"/>
      <c r="AN80" s="58"/>
      <c r="AO80" s="62">
        <f t="shared" si="182"/>
        <v>2</v>
      </c>
      <c r="AP80" s="60"/>
      <c r="AQ80" s="58"/>
      <c r="AR80" s="62">
        <f t="shared" si="183"/>
        <v>2</v>
      </c>
      <c r="AS80" s="60"/>
      <c r="AT80" s="58"/>
      <c r="AU80" s="62">
        <f t="shared" si="184"/>
        <v>2</v>
      </c>
      <c r="AV80" s="83">
        <f t="shared" si="185"/>
        <v>0</v>
      </c>
      <c r="AW80" s="83">
        <f t="shared" si="186"/>
        <v>0</v>
      </c>
      <c r="AX80" s="64">
        <f t="shared" si="187"/>
        <v>0</v>
      </c>
      <c r="AY80" s="65" t="e">
        <f t="shared" si="188"/>
        <v>#DIV/0!</v>
      </c>
      <c r="AZ80" s="66">
        <f t="shared" si="189"/>
        <v>0</v>
      </c>
      <c r="BA80" s="67">
        <f>MAX(0, Table176252626[[#This Row],[Column6]])</f>
        <v>2</v>
      </c>
      <c r="BB80" s="68">
        <v>1</v>
      </c>
      <c r="BC80" s="84">
        <f t="shared" si="151"/>
        <v>2</v>
      </c>
      <c r="BD80" s="83">
        <f t="shared" si="134"/>
        <v>1</v>
      </c>
      <c r="BE80" s="85">
        <v>2</v>
      </c>
      <c r="BF80" s="86">
        <v>45701</v>
      </c>
      <c r="BG80" s="72">
        <f t="shared" si="152"/>
        <v>46265</v>
      </c>
      <c r="BH80" s="87">
        <f t="shared" si="190"/>
        <v>564</v>
      </c>
      <c r="BI80" s="80" t="str">
        <f t="shared" si="135"/>
        <v>Dead Stock</v>
      </c>
      <c r="BJ80" s="238">
        <v>3135</v>
      </c>
    </row>
    <row r="81" spans="1:293" ht="13">
      <c r="A81" s="75"/>
      <c r="B81" s="76"/>
      <c r="C81" s="51">
        <v>78</v>
      </c>
      <c r="D81" s="110" t="s">
        <v>723</v>
      </c>
      <c r="E81" s="110">
        <v>40</v>
      </c>
      <c r="F81" s="80" t="s">
        <v>1079</v>
      </c>
      <c r="G81" s="81" t="s">
        <v>1078</v>
      </c>
      <c r="H81" s="81" t="s">
        <v>289</v>
      </c>
      <c r="I81" s="80" t="s">
        <v>458</v>
      </c>
      <c r="J81" s="82">
        <f>AU81</f>
        <v>1</v>
      </c>
      <c r="K81" s="80">
        <v>0</v>
      </c>
      <c r="L81" s="57">
        <v>1</v>
      </c>
      <c r="M81" s="58"/>
      <c r="N81" s="59">
        <f>SUM(K81+L81-M81)</f>
        <v>1</v>
      </c>
      <c r="O81" s="60"/>
      <c r="P81" s="58"/>
      <c r="Q81" s="59">
        <f>SUM(N81+O81-P81)</f>
        <v>1</v>
      </c>
      <c r="R81" s="60"/>
      <c r="S81" s="58"/>
      <c r="T81" s="61">
        <f>SUM(Q81+R81-S81)</f>
        <v>1</v>
      </c>
      <c r="U81" s="60"/>
      <c r="V81" s="58"/>
      <c r="W81" s="59">
        <f>SUM(T81+U81-V81)</f>
        <v>1</v>
      </c>
      <c r="X81" s="60"/>
      <c r="Y81" s="58"/>
      <c r="Z81" s="61">
        <f>SUM(W81+X81-Y81)</f>
        <v>1</v>
      </c>
      <c r="AA81" s="60"/>
      <c r="AB81" s="58"/>
      <c r="AC81" s="59">
        <f>SUM(Z81+AA81-AB81)</f>
        <v>1</v>
      </c>
      <c r="AD81" s="57"/>
      <c r="AE81" s="58"/>
      <c r="AF81" s="243">
        <f>SUM(AC81+AD81-AE81)</f>
        <v>1</v>
      </c>
      <c r="AG81" s="60"/>
      <c r="AH81" s="58"/>
      <c r="AI81" s="62">
        <f>SUM(AF81+AG81-AH81)</f>
        <v>1</v>
      </c>
      <c r="AJ81" s="60"/>
      <c r="AK81" s="58"/>
      <c r="AL81" s="62">
        <f>SUM(AI81+AJ81-AK81)</f>
        <v>1</v>
      </c>
      <c r="AM81" s="60"/>
      <c r="AN81" s="58"/>
      <c r="AO81" s="62">
        <f>SUM(AL81+AM81-AN81)</f>
        <v>1</v>
      </c>
      <c r="AP81" s="60"/>
      <c r="AQ81" s="58"/>
      <c r="AR81" s="104">
        <f>SUM(AO81+AP81-AQ81)</f>
        <v>1</v>
      </c>
      <c r="AS81" s="57"/>
      <c r="AT81" s="58"/>
      <c r="AU81" s="62">
        <f>SUM(AR81+AS81-AT81)</f>
        <v>1</v>
      </c>
      <c r="AV81" s="84">
        <f>SUM(L81+O81+R81+U81+X81+AA81+AD81+AG81+AJ81+AM81+AP81+AS81)</f>
        <v>1</v>
      </c>
      <c r="AW81" s="83">
        <f t="shared" si="186"/>
        <v>0</v>
      </c>
      <c r="AX81" s="64">
        <f>SUM(M81,P81,S81,V81,Y81,AB81,AE81,AH81,AK81,AN81,AQ81,AT81)</f>
        <v>0</v>
      </c>
      <c r="AY81" s="65" t="e">
        <f>AVERAGE(M81,P81,S81,V81,Y81,AB81,AE81,AH81,AK81,AN81,AQ81,AT81)</f>
        <v>#DIV/0!</v>
      </c>
      <c r="AZ81" s="66">
        <f>COUNT(M81,P81,S81,V81,Y81,AB81,AE81,AH81,AK81,AN81,AQ81,AT81)</f>
        <v>0</v>
      </c>
      <c r="BA81" s="67">
        <f>MAX(0, Table176252626[[#This Row],[Column6]])</f>
        <v>1</v>
      </c>
      <c r="BB81" s="68">
        <v>0</v>
      </c>
      <c r="BC81" s="84">
        <f t="shared" si="151"/>
        <v>1</v>
      </c>
      <c r="BD81" s="83">
        <f t="shared" si="134"/>
        <v>1</v>
      </c>
      <c r="BE81" s="85">
        <v>2</v>
      </c>
      <c r="BF81" s="86">
        <v>46039.490682870368</v>
      </c>
      <c r="BG81" s="72">
        <f t="shared" si="152"/>
        <v>46265</v>
      </c>
      <c r="BH81" s="87">
        <f>BG81-BF81</f>
        <v>225.50931712963211</v>
      </c>
      <c r="BI81" s="80" t="str">
        <f t="shared" si="135"/>
        <v/>
      </c>
      <c r="BJ81" s="238">
        <v>18000</v>
      </c>
    </row>
    <row r="82" spans="1:293" ht="13">
      <c r="A82" s="49"/>
      <c r="B82" s="50"/>
      <c r="C82" s="51">
        <v>79</v>
      </c>
      <c r="D82" s="110" t="s">
        <v>723</v>
      </c>
      <c r="E82" s="110">
        <v>41</v>
      </c>
      <c r="F82" s="80" t="s">
        <v>195</v>
      </c>
      <c r="G82" s="81" t="s">
        <v>1250</v>
      </c>
      <c r="H82" s="81" t="s">
        <v>294</v>
      </c>
      <c r="I82" s="88" t="s">
        <v>458</v>
      </c>
      <c r="J82" s="82">
        <f>AU82</f>
        <v>2</v>
      </c>
      <c r="K82" s="80">
        <v>5</v>
      </c>
      <c r="L82" s="57"/>
      <c r="M82" s="58"/>
      <c r="N82" s="59">
        <f>SUM(K82+L82-M82)</f>
        <v>5</v>
      </c>
      <c r="O82" s="60"/>
      <c r="P82" s="58"/>
      <c r="Q82" s="59">
        <f>SUM(N82+O82-P82)</f>
        <v>5</v>
      </c>
      <c r="R82" s="60"/>
      <c r="S82" s="58"/>
      <c r="T82" s="61">
        <f>SUM(Q82+R82-S82)</f>
        <v>5</v>
      </c>
      <c r="U82" s="60"/>
      <c r="V82" s="58"/>
      <c r="W82" s="59">
        <f>SUM(T82+U82-V82)</f>
        <v>5</v>
      </c>
      <c r="X82" s="60"/>
      <c r="Y82" s="58">
        <v>3</v>
      </c>
      <c r="Z82" s="61">
        <f>SUM(W82+X82-Y82)</f>
        <v>2</v>
      </c>
      <c r="AA82" s="60"/>
      <c r="AB82" s="58"/>
      <c r="AC82" s="59">
        <f>SUM(Z82+AA82-AB82)</f>
        <v>2</v>
      </c>
      <c r="AD82" s="57"/>
      <c r="AE82" s="58"/>
      <c r="AF82" s="243">
        <f>SUM(AC82+AD82-AE82)</f>
        <v>2</v>
      </c>
      <c r="AG82" s="60"/>
      <c r="AH82" s="58"/>
      <c r="AI82" s="62">
        <f>SUM(AF82+AG82-AH82)</f>
        <v>2</v>
      </c>
      <c r="AJ82" s="60"/>
      <c r="AK82" s="58"/>
      <c r="AL82" s="62">
        <f>SUM(AI82+AJ82-AK82)</f>
        <v>2</v>
      </c>
      <c r="AM82" s="60"/>
      <c r="AN82" s="58"/>
      <c r="AO82" s="62">
        <f>SUM(AL82+AM82-AN82)</f>
        <v>2</v>
      </c>
      <c r="AP82" s="60"/>
      <c r="AQ82" s="58"/>
      <c r="AR82" s="62">
        <f>SUM(AO82+AP82-AQ82)</f>
        <v>2</v>
      </c>
      <c r="AS82" s="60"/>
      <c r="AT82" s="58"/>
      <c r="AU82" s="62">
        <f>SUM(AR82+AS82-AT82)</f>
        <v>2</v>
      </c>
      <c r="AV82" s="83">
        <f>SUM(L82+O82+R82+U82+X82+AA82+AD82+AG82+AJ82+AM82+AP82+AS82)</f>
        <v>0</v>
      </c>
      <c r="AW82" s="83">
        <f>SUM(M82+P82+S82+V82+Y82+AB82+AE82+AH82+AK82+AN82+AQ82+AT82)</f>
        <v>3</v>
      </c>
      <c r="AX82" s="64">
        <f>SUM(M82,P82,S82,V82,Y82,AB82,AE82,AH82,AK82,AN82,AQ82,AT82)</f>
        <v>3</v>
      </c>
      <c r="AY82" s="65">
        <f t="shared" ref="AY82:AY86" si="191">AVERAGE(M82,P82,S82,V82,Y82,AB82,AE82,AH82,AK82,AN82,AQ82,AT82)</f>
        <v>3</v>
      </c>
      <c r="AZ82" s="66">
        <f t="shared" ref="AZ82:AZ86" si="192">COUNT(M82,P82,S82,V82,Y82,AB82,AE82,AH82,AK82,AN82,AQ82,AT82)</f>
        <v>1</v>
      </c>
      <c r="BA82" s="67">
        <f>MAX(0, Table176252626[[#This Row],[Column6]])</f>
        <v>2</v>
      </c>
      <c r="BB82" s="68">
        <v>1</v>
      </c>
      <c r="BC82" s="84">
        <f t="shared" si="151"/>
        <v>2</v>
      </c>
      <c r="BD82" s="83">
        <f t="shared" si="134"/>
        <v>1</v>
      </c>
      <c r="BE82" s="85">
        <v>2</v>
      </c>
      <c r="BF82" s="86">
        <v>45349.473437499997</v>
      </c>
      <c r="BG82" s="72">
        <f t="shared" si="152"/>
        <v>46265</v>
      </c>
      <c r="BH82" s="87">
        <f t="shared" ref="BH82:BH86" si="193">BG82-BF82</f>
        <v>915.52656250000291</v>
      </c>
      <c r="BI82" s="80" t="str">
        <f t="shared" si="135"/>
        <v>Dead Stock</v>
      </c>
      <c r="BJ82" s="238">
        <v>550</v>
      </c>
    </row>
    <row r="83" spans="1:293" ht="13">
      <c r="A83" s="90"/>
      <c r="B83" s="91"/>
      <c r="C83" s="77">
        <v>80</v>
      </c>
      <c r="D83" s="110" t="s">
        <v>723</v>
      </c>
      <c r="E83" s="110">
        <v>42</v>
      </c>
      <c r="F83" s="80" t="s">
        <v>122</v>
      </c>
      <c r="G83" s="81" t="s">
        <v>862</v>
      </c>
      <c r="H83" s="81" t="s">
        <v>294</v>
      </c>
      <c r="I83" s="88" t="s">
        <v>458</v>
      </c>
      <c r="J83" s="82">
        <f t="shared" ref="J83" si="194">AU83</f>
        <v>7</v>
      </c>
      <c r="K83" s="80">
        <v>3</v>
      </c>
      <c r="L83" s="57"/>
      <c r="M83" s="58"/>
      <c r="N83" s="59">
        <f t="shared" ref="N83" si="195">SUM(K83+L83-M83)</f>
        <v>3</v>
      </c>
      <c r="O83" s="60"/>
      <c r="P83" s="58"/>
      <c r="Q83" s="59">
        <f t="shared" ref="Q83" si="196">SUM(N83+O83-P83)</f>
        <v>3</v>
      </c>
      <c r="R83" s="60"/>
      <c r="S83" s="58"/>
      <c r="T83" s="61">
        <f t="shared" ref="T83" si="197">SUM(Q83+R83-S83)</f>
        <v>3</v>
      </c>
      <c r="U83" s="60"/>
      <c r="V83" s="58"/>
      <c r="W83" s="59">
        <f t="shared" ref="W83" si="198">SUM(T83+U83-V83)</f>
        <v>3</v>
      </c>
      <c r="X83" s="60"/>
      <c r="Y83" s="58">
        <v>1</v>
      </c>
      <c r="Z83" s="61">
        <f t="shared" ref="Z83" si="199">SUM(W83+X83-Y83)</f>
        <v>2</v>
      </c>
      <c r="AA83" s="60"/>
      <c r="AB83" s="58"/>
      <c r="AC83" s="59">
        <f t="shared" ref="AC83" si="200">SUM(Z83+AA83-AB83)</f>
        <v>2</v>
      </c>
      <c r="AD83" s="57">
        <v>5</v>
      </c>
      <c r="AE83" s="58"/>
      <c r="AF83" s="243">
        <f t="shared" ref="AF83" si="201">SUM(AC83+AD83-AE83)</f>
        <v>7</v>
      </c>
      <c r="AG83" s="60"/>
      <c r="AH83" s="58"/>
      <c r="AI83" s="62">
        <f t="shared" ref="AI83" si="202">SUM(AF83+AG83-AH83)</f>
        <v>7</v>
      </c>
      <c r="AJ83" s="60"/>
      <c r="AK83" s="58"/>
      <c r="AL83" s="62">
        <f t="shared" ref="AL83" si="203">SUM(AI83+AJ83-AK83)</f>
        <v>7</v>
      </c>
      <c r="AM83" s="60"/>
      <c r="AN83" s="58"/>
      <c r="AO83" s="62">
        <f t="shared" ref="AO83" si="204">SUM(AL83+AM83-AN83)</f>
        <v>7</v>
      </c>
      <c r="AP83" s="60"/>
      <c r="AQ83" s="58"/>
      <c r="AR83" s="62">
        <f t="shared" ref="AR83" si="205">SUM(AO83+AP83-AQ83)</f>
        <v>7</v>
      </c>
      <c r="AS83" s="60"/>
      <c r="AT83" s="58"/>
      <c r="AU83" s="62">
        <f t="shared" ref="AU83" si="206">SUM(AR83+AS83-AT83)</f>
        <v>7</v>
      </c>
      <c r="AV83" s="83">
        <f t="shared" ref="AV83:AW83" si="207">SUM(L83+O83+R83+U83+X83+AA83+AD83+AG83+AJ83+AM83+AP83+AS83)</f>
        <v>5</v>
      </c>
      <c r="AW83" s="83">
        <f t="shared" si="207"/>
        <v>1</v>
      </c>
      <c r="AX83" s="64">
        <f t="shared" ref="AX83" si="208">SUM(M83,P83,S83,V83,Y83,AB83,AE83,AH83,AK83,AN83,AQ83,AT83)</f>
        <v>1</v>
      </c>
      <c r="AY83" s="65">
        <f t="shared" si="191"/>
        <v>1</v>
      </c>
      <c r="AZ83" s="66">
        <f t="shared" si="192"/>
        <v>1</v>
      </c>
      <c r="BA83" s="67">
        <v>7</v>
      </c>
      <c r="BB83" s="68">
        <v>1</v>
      </c>
      <c r="BC83" s="84">
        <f t="shared" si="151"/>
        <v>7</v>
      </c>
      <c r="BD83" s="83">
        <f t="shared" si="134"/>
        <v>6</v>
      </c>
      <c r="BE83" s="85">
        <v>2</v>
      </c>
      <c r="BF83" s="86">
        <v>46226.447430555556</v>
      </c>
      <c r="BG83" s="72">
        <f t="shared" si="152"/>
        <v>46265</v>
      </c>
      <c r="BH83" s="107">
        <f t="shared" si="193"/>
        <v>38.552569444444089</v>
      </c>
      <c r="BI83" s="80" t="str">
        <f t="shared" si="135"/>
        <v/>
      </c>
      <c r="BJ83" s="238">
        <v>690</v>
      </c>
    </row>
    <row r="84" spans="1:293" s="48" customFormat="1" ht="13">
      <c r="A84" s="49"/>
      <c r="B84" s="50"/>
      <c r="C84" s="77">
        <v>81</v>
      </c>
      <c r="D84" s="110" t="s">
        <v>723</v>
      </c>
      <c r="E84" s="110">
        <v>43</v>
      </c>
      <c r="F84" s="80" t="s">
        <v>1359</v>
      </c>
      <c r="G84" s="81" t="s">
        <v>1358</v>
      </c>
      <c r="H84" s="81" t="s">
        <v>295</v>
      </c>
      <c r="I84" s="80" t="s">
        <v>458</v>
      </c>
      <c r="J84" s="82">
        <f>AU84</f>
        <v>1</v>
      </c>
      <c r="K84" s="80">
        <v>1</v>
      </c>
      <c r="L84" s="57"/>
      <c r="M84" s="58"/>
      <c r="N84" s="59">
        <f>SUM(K84+L84-M84)</f>
        <v>1</v>
      </c>
      <c r="O84" s="60"/>
      <c r="P84" s="58"/>
      <c r="Q84" s="59">
        <f>SUM(N84+O84-P84)</f>
        <v>1</v>
      </c>
      <c r="R84" s="60"/>
      <c r="S84" s="58"/>
      <c r="T84" s="61">
        <f>SUM(Q84+R84-S84)</f>
        <v>1</v>
      </c>
      <c r="U84" s="60"/>
      <c r="V84" s="58"/>
      <c r="W84" s="59">
        <f>SUM(T84+U84-V84)</f>
        <v>1</v>
      </c>
      <c r="X84" s="60"/>
      <c r="Y84" s="58"/>
      <c r="Z84" s="61">
        <f>SUM(W84+X84-Y84)</f>
        <v>1</v>
      </c>
      <c r="AA84" s="60"/>
      <c r="AB84" s="58"/>
      <c r="AC84" s="59">
        <f>SUM(Z84+AA84-AB84)</f>
        <v>1</v>
      </c>
      <c r="AD84" s="57"/>
      <c r="AE84" s="58"/>
      <c r="AF84" s="243">
        <f>SUM(AC84+AD84-AE84)</f>
        <v>1</v>
      </c>
      <c r="AG84" s="60"/>
      <c r="AH84" s="58"/>
      <c r="AI84" s="62">
        <f>SUM(AF84+AG84-AH84)</f>
        <v>1</v>
      </c>
      <c r="AJ84" s="60"/>
      <c r="AK84" s="58"/>
      <c r="AL84" s="62">
        <f>SUM(AI84+AJ84-AK84)</f>
        <v>1</v>
      </c>
      <c r="AM84" s="60"/>
      <c r="AN84" s="58"/>
      <c r="AO84" s="62">
        <f>SUM(AL84+AM84-AN84)</f>
        <v>1</v>
      </c>
      <c r="AP84" s="60"/>
      <c r="AQ84" s="58"/>
      <c r="AR84" s="62">
        <f>SUM(AO84+AP84-AQ84)</f>
        <v>1</v>
      </c>
      <c r="AS84" s="60"/>
      <c r="AT84" s="58"/>
      <c r="AU84" s="62">
        <f>SUM(AR84+AS84-AT84)</f>
        <v>1</v>
      </c>
      <c r="AV84" s="83">
        <f t="shared" ref="AV84:AW86" si="209">SUM(L84+O84+R84+U84+X84+AA84+AD84+AG84+AJ84+AM84+AP84+AS84)</f>
        <v>0</v>
      </c>
      <c r="AW84" s="83">
        <f t="shared" si="209"/>
        <v>0</v>
      </c>
      <c r="AX84" s="64">
        <f>SUM(M84,P84,S84,V84,Y84,AB84,AE84,AH84,AK84,AN84,AQ84,AT84)</f>
        <v>0</v>
      </c>
      <c r="AY84" s="65" t="e">
        <f t="shared" si="191"/>
        <v>#DIV/0!</v>
      </c>
      <c r="AZ84" s="66">
        <f t="shared" si="192"/>
        <v>0</v>
      </c>
      <c r="BA84" s="67">
        <f>MAX(0, Table176252626[[#This Row],[Column6]])</f>
        <v>1</v>
      </c>
      <c r="BB84" s="68">
        <v>0</v>
      </c>
      <c r="BC84" s="84">
        <f t="shared" si="151"/>
        <v>1</v>
      </c>
      <c r="BD84" s="83">
        <f t="shared" si="134"/>
        <v>1</v>
      </c>
      <c r="BE84" s="85">
        <v>2</v>
      </c>
      <c r="BF84" s="86">
        <v>45201.43855324074</v>
      </c>
      <c r="BG84" s="72">
        <f t="shared" si="152"/>
        <v>46265</v>
      </c>
      <c r="BH84" s="87">
        <f t="shared" si="193"/>
        <v>1063.5614467592604</v>
      </c>
      <c r="BI84" s="80" t="str">
        <f t="shared" si="135"/>
        <v>Dead Stock</v>
      </c>
      <c r="BJ84" s="238">
        <v>15647</v>
      </c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/>
      <c r="IN84" s="30"/>
      <c r="IO84" s="30"/>
      <c r="IP84" s="30"/>
      <c r="IQ84" s="30"/>
      <c r="IR84" s="30"/>
      <c r="IS84" s="30"/>
      <c r="IT84" s="30"/>
      <c r="IU84" s="30"/>
      <c r="IV84" s="30"/>
      <c r="IW84" s="30"/>
      <c r="IX84" s="30"/>
      <c r="IY84" s="30"/>
      <c r="IZ84" s="30"/>
      <c r="JA84" s="30"/>
      <c r="JB84" s="30"/>
      <c r="JC84" s="30"/>
      <c r="JD84" s="30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</row>
    <row r="85" spans="1:293" ht="13">
      <c r="A85" s="75"/>
      <c r="B85" s="76"/>
      <c r="C85" s="51">
        <v>82</v>
      </c>
      <c r="D85" s="110" t="s">
        <v>723</v>
      </c>
      <c r="E85" s="110">
        <v>44</v>
      </c>
      <c r="F85" s="80" t="s">
        <v>1077</v>
      </c>
      <c r="G85" s="81" t="s">
        <v>1076</v>
      </c>
      <c r="H85" s="81" t="s">
        <v>289</v>
      </c>
      <c r="I85" s="80" t="s">
        <v>458</v>
      </c>
      <c r="J85" s="82">
        <f>AU85</f>
        <v>2</v>
      </c>
      <c r="K85" s="80">
        <v>2</v>
      </c>
      <c r="L85" s="57"/>
      <c r="M85" s="58">
        <v>1</v>
      </c>
      <c r="N85" s="59">
        <f>SUM(K85+L85-M85)</f>
        <v>1</v>
      </c>
      <c r="O85" s="60">
        <v>1</v>
      </c>
      <c r="P85" s="58"/>
      <c r="Q85" s="59">
        <f>SUM(N85+O85-P85)</f>
        <v>2</v>
      </c>
      <c r="R85" s="60"/>
      <c r="S85" s="58"/>
      <c r="T85" s="61">
        <f>SUM(Q85+R85-S85)</f>
        <v>2</v>
      </c>
      <c r="U85" s="60"/>
      <c r="V85" s="58"/>
      <c r="W85" s="59">
        <f>SUM(T85+U85-V85)</f>
        <v>2</v>
      </c>
      <c r="X85" s="60"/>
      <c r="Y85" s="58"/>
      <c r="Z85" s="61">
        <f>SUM(W85+X85-Y85)</f>
        <v>2</v>
      </c>
      <c r="AA85" s="60"/>
      <c r="AB85" s="58"/>
      <c r="AC85" s="59">
        <f>SUM(Z85+AA85-AB85)</f>
        <v>2</v>
      </c>
      <c r="AD85" s="57"/>
      <c r="AE85" s="58"/>
      <c r="AF85" s="243">
        <f>SUM(AC85+AD85-AE85)</f>
        <v>2</v>
      </c>
      <c r="AG85" s="60"/>
      <c r="AH85" s="58"/>
      <c r="AI85" s="62">
        <f>SUM(AF85+AG85-AH85)</f>
        <v>2</v>
      </c>
      <c r="AJ85" s="60"/>
      <c r="AK85" s="58"/>
      <c r="AL85" s="62">
        <f>SUM(AI85+AJ85-AK85)</f>
        <v>2</v>
      </c>
      <c r="AM85" s="60"/>
      <c r="AN85" s="58"/>
      <c r="AO85" s="62">
        <f>SUM(AL85+AM85-AN85)</f>
        <v>2</v>
      </c>
      <c r="AP85" s="60"/>
      <c r="AQ85" s="58"/>
      <c r="AR85" s="104">
        <f>SUM(AO85+AP85-AQ85)</f>
        <v>2</v>
      </c>
      <c r="AS85" s="57"/>
      <c r="AT85" s="58"/>
      <c r="AU85" s="62">
        <f>SUM(AR85+AS85-AT85)</f>
        <v>2</v>
      </c>
      <c r="AV85" s="84">
        <f t="shared" si="209"/>
        <v>1</v>
      </c>
      <c r="AW85" s="84">
        <f t="shared" si="209"/>
        <v>1</v>
      </c>
      <c r="AX85" s="64">
        <f>SUM(M85,P85,S85,V85,Y85,AB85,AE85,AH85,AK85,AN85,AQ85,AT85)</f>
        <v>1</v>
      </c>
      <c r="AY85" s="65">
        <f t="shared" si="191"/>
        <v>1</v>
      </c>
      <c r="AZ85" s="66">
        <f t="shared" si="192"/>
        <v>1</v>
      </c>
      <c r="BA85" s="67">
        <f>MAX(0, Table176252626[[#This Row],[Column6]])</f>
        <v>2</v>
      </c>
      <c r="BB85" s="68">
        <v>1</v>
      </c>
      <c r="BC85" s="84">
        <f t="shared" si="151"/>
        <v>2</v>
      </c>
      <c r="BD85" s="83">
        <f t="shared" si="134"/>
        <v>1</v>
      </c>
      <c r="BE85" s="85">
        <v>2</v>
      </c>
      <c r="BF85" s="86">
        <v>46057.643935185188</v>
      </c>
      <c r="BG85" s="72">
        <f t="shared" si="152"/>
        <v>46265</v>
      </c>
      <c r="BH85" s="87">
        <f t="shared" si="193"/>
        <v>207.35606481481227</v>
      </c>
      <c r="BI85" s="80" t="str">
        <f t="shared" si="135"/>
        <v/>
      </c>
      <c r="BJ85" s="238">
        <v>13500</v>
      </c>
    </row>
    <row r="86" spans="1:293" ht="13">
      <c r="A86" s="49"/>
      <c r="B86" s="76"/>
      <c r="C86" s="51">
        <v>83</v>
      </c>
      <c r="D86" s="110" t="s">
        <v>723</v>
      </c>
      <c r="E86" s="110">
        <v>45</v>
      </c>
      <c r="F86" s="88" t="s">
        <v>1656</v>
      </c>
      <c r="G86" s="89" t="s">
        <v>1657</v>
      </c>
      <c r="H86" s="89" t="s">
        <v>294</v>
      </c>
      <c r="I86" s="88" t="s">
        <v>458</v>
      </c>
      <c r="J86" s="93">
        <f>AU86</f>
        <v>1</v>
      </c>
      <c r="K86" s="88">
        <v>1</v>
      </c>
      <c r="L86" s="58"/>
      <c r="M86" s="58"/>
      <c r="N86" s="62">
        <f>SUM(K86+L86-M86)</f>
        <v>1</v>
      </c>
      <c r="O86" s="60"/>
      <c r="P86" s="58"/>
      <c r="Q86" s="62">
        <f>SUM(N86+O86-P86)</f>
        <v>1</v>
      </c>
      <c r="R86" s="60"/>
      <c r="S86" s="58"/>
      <c r="T86" s="94">
        <f>SUM(Q86+R86-S86)</f>
        <v>1</v>
      </c>
      <c r="U86" s="60"/>
      <c r="V86" s="58"/>
      <c r="W86" s="62">
        <f>SUM(T86+U86-V86)</f>
        <v>1</v>
      </c>
      <c r="X86" s="60"/>
      <c r="Y86" s="58"/>
      <c r="Z86" s="94">
        <f>SUM(W86+X86-Y86)</f>
        <v>1</v>
      </c>
      <c r="AA86" s="60"/>
      <c r="AB86" s="58"/>
      <c r="AC86" s="62">
        <f>SUM(Z86+AA86-AB86)</f>
        <v>1</v>
      </c>
      <c r="AD86" s="57"/>
      <c r="AE86" s="58"/>
      <c r="AF86" s="165">
        <f>SUM(AC86+AD86-AE86)</f>
        <v>1</v>
      </c>
      <c r="AG86" s="60"/>
      <c r="AH86" s="58"/>
      <c r="AI86" s="62">
        <f>SUM(AF86+AG86-AH86)</f>
        <v>1</v>
      </c>
      <c r="AJ86" s="60"/>
      <c r="AK86" s="58"/>
      <c r="AL86" s="62">
        <f>SUM(AI86+AJ86-AK86)</f>
        <v>1</v>
      </c>
      <c r="AM86" s="60"/>
      <c r="AN86" s="58"/>
      <c r="AO86" s="62">
        <f>SUM(AL86+AM86-AN86)</f>
        <v>1</v>
      </c>
      <c r="AP86" s="60"/>
      <c r="AQ86" s="58"/>
      <c r="AR86" s="62">
        <f>SUM(AO86+AP86-AQ86)</f>
        <v>1</v>
      </c>
      <c r="AS86" s="60"/>
      <c r="AT86" s="58"/>
      <c r="AU86" s="62">
        <f>SUM(AR86+AS86-AT86)</f>
        <v>1</v>
      </c>
      <c r="AV86" s="96">
        <f t="shared" si="209"/>
        <v>0</v>
      </c>
      <c r="AW86" s="97">
        <f t="shared" si="209"/>
        <v>0</v>
      </c>
      <c r="AX86" s="98">
        <f>SUM(M86,P86,S86,V86,Y86,AB86,AE86,AH86,AK86,AN86,AQ86,AT86)</f>
        <v>0</v>
      </c>
      <c r="AY86" s="99" t="e">
        <f t="shared" si="191"/>
        <v>#DIV/0!</v>
      </c>
      <c r="AZ86" s="100">
        <f t="shared" si="192"/>
        <v>0</v>
      </c>
      <c r="BA86" s="101">
        <v>1</v>
      </c>
      <c r="BB86" s="102">
        <v>0</v>
      </c>
      <c r="BC86" s="84">
        <f t="shared" si="151"/>
        <v>1</v>
      </c>
      <c r="BD86" s="83">
        <f t="shared" si="134"/>
        <v>1</v>
      </c>
      <c r="BE86" s="85">
        <v>2</v>
      </c>
      <c r="BF86" s="86">
        <v>45645.682743055557</v>
      </c>
      <c r="BG86" s="72">
        <f t="shared" si="152"/>
        <v>46265</v>
      </c>
      <c r="BH86" s="103">
        <f t="shared" si="193"/>
        <v>619.31725694444322</v>
      </c>
      <c r="BI86" s="80" t="str">
        <f t="shared" si="135"/>
        <v>Dead Stock</v>
      </c>
      <c r="BJ86" s="238">
        <v>23150</v>
      </c>
    </row>
    <row r="87" spans="1:293" ht="13">
      <c r="A87" s="49"/>
      <c r="B87" s="50"/>
      <c r="C87" s="51">
        <v>84</v>
      </c>
      <c r="D87" s="113" t="s">
        <v>1514</v>
      </c>
      <c r="E87" s="114">
        <v>1</v>
      </c>
      <c r="F87" s="88" t="s">
        <v>147</v>
      </c>
      <c r="G87" s="89" t="s">
        <v>148</v>
      </c>
      <c r="H87" s="81" t="s">
        <v>289</v>
      </c>
      <c r="I87" s="80" t="s">
        <v>458</v>
      </c>
      <c r="J87" s="82">
        <f t="shared" ref="J87:J103" si="210">AU87</f>
        <v>1</v>
      </c>
      <c r="K87" s="80">
        <v>1</v>
      </c>
      <c r="L87" s="57"/>
      <c r="M87" s="58"/>
      <c r="N87" s="59">
        <f t="shared" ref="N87:N115" si="211">SUM(K87+L87-M87)</f>
        <v>1</v>
      </c>
      <c r="O87" s="60"/>
      <c r="P87" s="58"/>
      <c r="Q87" s="59">
        <f t="shared" ref="Q87:Q106" si="212">SUM(N87+O87-P87)</f>
        <v>1</v>
      </c>
      <c r="R87" s="60"/>
      <c r="S87" s="58"/>
      <c r="T87" s="61">
        <f t="shared" ref="T87:T115" si="213">SUM(Q87+R87-S87)</f>
        <v>1</v>
      </c>
      <c r="U87" s="60"/>
      <c r="V87" s="58"/>
      <c r="W87" s="59">
        <f t="shared" ref="W87:W115" si="214">SUM(T87+U87-V87)</f>
        <v>1</v>
      </c>
      <c r="X87" s="60"/>
      <c r="Y87" s="58"/>
      <c r="Z87" s="61">
        <f t="shared" ref="Z87:Z115" si="215">SUM(W87+X87-Y87)</f>
        <v>1</v>
      </c>
      <c r="AA87" s="60"/>
      <c r="AB87" s="58"/>
      <c r="AC87" s="59">
        <f t="shared" ref="AC87:AC115" si="216">SUM(Z87+AA87-AB87)</f>
        <v>1</v>
      </c>
      <c r="AD87" s="57"/>
      <c r="AE87" s="58"/>
      <c r="AF87" s="243">
        <f t="shared" ref="AF87:AF106" si="217">SUM(AC87+AD87-AE87)</f>
        <v>1</v>
      </c>
      <c r="AG87" s="60"/>
      <c r="AH87" s="58"/>
      <c r="AI87" s="62">
        <f t="shared" ref="AI87:AI106" si="218">SUM(AF87+AG87-AH87)</f>
        <v>1</v>
      </c>
      <c r="AJ87" s="60"/>
      <c r="AK87" s="58"/>
      <c r="AL87" s="62">
        <f t="shared" ref="AL87:AL106" si="219">SUM(AI87+AJ87-AK87)</f>
        <v>1</v>
      </c>
      <c r="AM87" s="60"/>
      <c r="AN87" s="58"/>
      <c r="AO87" s="62">
        <f t="shared" ref="AO87:AO115" si="220">SUM(AL87+AM87-AN87)</f>
        <v>1</v>
      </c>
      <c r="AP87" s="60"/>
      <c r="AQ87" s="58"/>
      <c r="AR87" s="62">
        <f t="shared" ref="AR87:AR115" si="221">SUM(AO87+AP87-AQ87)</f>
        <v>1</v>
      </c>
      <c r="AS87" s="60"/>
      <c r="AT87" s="58"/>
      <c r="AU87" s="62">
        <f t="shared" ref="AU87:AU115" si="222">SUM(AR87+AS87-AT87)</f>
        <v>1</v>
      </c>
      <c r="AV87" s="83">
        <f t="shared" ref="AV87:AV106" si="223">SUM(L87+O87+R87+U87+X87+AA87+AD87+AG87+AJ87+AM87+AP87+AS87)</f>
        <v>0</v>
      </c>
      <c r="AW87" s="83">
        <f t="shared" ref="AW87:AW106" si="224">SUM(M87+P87+S87+V87+Y87+AB87+AE87+AH87+AK87+AN87+AQ87+AT87)</f>
        <v>0</v>
      </c>
      <c r="AX87" s="64">
        <f t="shared" ref="AX87:AX115" si="225">SUM(M87,P87,S87,V87,Y87,AB87,AE87,AH87,AK87,AN87,AQ87,AT87)</f>
        <v>0</v>
      </c>
      <c r="AY87" s="65" t="e">
        <f t="shared" ref="AY87:AY115" si="226">AVERAGE(M87,P87,S87,V87,Y87,AB87,AE87,AH87,AK87,AN87,AQ87,AT87)</f>
        <v>#DIV/0!</v>
      </c>
      <c r="AZ87" s="66">
        <f t="shared" ref="AZ87:AZ115" si="227">COUNT(M87,P87,S87,V87,Y87,AB87,AE87,AH87,AK87,AN87,AQ87,AT87)</f>
        <v>0</v>
      </c>
      <c r="BA87" s="67">
        <f>MAX(0, Table176252626[[#This Row],[Column6]])</f>
        <v>1</v>
      </c>
      <c r="BB87" s="68">
        <v>0</v>
      </c>
      <c r="BC87" s="84">
        <f t="shared" si="151"/>
        <v>1</v>
      </c>
      <c r="BD87" s="83">
        <f t="shared" si="134"/>
        <v>1</v>
      </c>
      <c r="BE87" s="85">
        <v>2</v>
      </c>
      <c r="BF87" s="86">
        <v>42518.390289351853</v>
      </c>
      <c r="BG87" s="72">
        <f t="shared" si="152"/>
        <v>46265</v>
      </c>
      <c r="BH87" s="87">
        <f t="shared" ref="BH87:BH106" si="228">BG87-BF87</f>
        <v>3746.6097106481466</v>
      </c>
      <c r="BI87" s="80" t="str">
        <f t="shared" si="135"/>
        <v>Dead Stock</v>
      </c>
      <c r="BJ87" s="238">
        <v>1727.25</v>
      </c>
    </row>
    <row r="88" spans="1:293" ht="13">
      <c r="A88" s="90"/>
      <c r="B88" s="91"/>
      <c r="C88" s="51">
        <v>85</v>
      </c>
      <c r="D88" s="113" t="s">
        <v>1514</v>
      </c>
      <c r="E88" s="114">
        <v>2</v>
      </c>
      <c r="F88" s="80" t="s">
        <v>1934</v>
      </c>
      <c r="G88" s="81" t="s">
        <v>1935</v>
      </c>
      <c r="H88" s="81" t="s">
        <v>842</v>
      </c>
      <c r="I88" s="80" t="s">
        <v>458</v>
      </c>
      <c r="J88" s="93">
        <f>AU88</f>
        <v>1</v>
      </c>
      <c r="K88" s="80">
        <v>0</v>
      </c>
      <c r="L88" s="58">
        <v>2</v>
      </c>
      <c r="M88" s="58"/>
      <c r="N88" s="62">
        <f>SUM(K88+L88-M88)</f>
        <v>2</v>
      </c>
      <c r="O88" s="60"/>
      <c r="P88" s="58"/>
      <c r="Q88" s="62">
        <f>SUM(N88+O88-P88)</f>
        <v>2</v>
      </c>
      <c r="R88" s="60"/>
      <c r="S88" s="58"/>
      <c r="T88" s="94">
        <f>SUM(Q88+R88-S88)</f>
        <v>2</v>
      </c>
      <c r="U88" s="60"/>
      <c r="V88" s="58"/>
      <c r="W88" s="62">
        <f>SUM(T88+U88-V88)</f>
        <v>2</v>
      </c>
      <c r="X88" s="60"/>
      <c r="Y88" s="58"/>
      <c r="Z88" s="94">
        <f>SUM(W88+X88-Y88)</f>
        <v>2</v>
      </c>
      <c r="AA88" s="60"/>
      <c r="AB88" s="58">
        <v>2</v>
      </c>
      <c r="AC88" s="62">
        <f>SUM(Z88+AA88-AB88)</f>
        <v>0</v>
      </c>
      <c r="AD88" s="57">
        <v>1</v>
      </c>
      <c r="AE88" s="58"/>
      <c r="AF88" s="165">
        <f>SUM(AC88+AD88-AE88)</f>
        <v>1</v>
      </c>
      <c r="AG88" s="60"/>
      <c r="AH88" s="58"/>
      <c r="AI88" s="62">
        <f>SUM(AF88+AG88-AH88)</f>
        <v>1</v>
      </c>
      <c r="AJ88" s="60"/>
      <c r="AK88" s="58"/>
      <c r="AL88" s="62">
        <f>SUM(AI88+AJ88-AK88)</f>
        <v>1</v>
      </c>
      <c r="AM88" s="60"/>
      <c r="AN88" s="58"/>
      <c r="AO88" s="62">
        <f>SUM(AL88+AM88-AN88)</f>
        <v>1</v>
      </c>
      <c r="AP88" s="60"/>
      <c r="AQ88" s="58"/>
      <c r="AR88" s="62">
        <f>SUM(AO88+AP88-AQ88)</f>
        <v>1</v>
      </c>
      <c r="AS88" s="60"/>
      <c r="AT88" s="58"/>
      <c r="AU88" s="62">
        <f>SUM(AR88+AS88-AT88)</f>
        <v>1</v>
      </c>
      <c r="AV88" s="96">
        <f>SUM(L88+O88+R88+U88+X88+AA88+AD88+AG88+AJ88+AM88+AP88+AS88)</f>
        <v>3</v>
      </c>
      <c r="AW88" s="97">
        <f>SUM(M88+P88+S88+V88+Y88+AB88+AE88+AH88+AK88+AN88+AQ88+AT88)</f>
        <v>2</v>
      </c>
      <c r="AX88" s="98">
        <f>SUM(M88,P88,S88,V88,Y88,AB88,AE88,AH88,AK88,AN88,AQ88,AT88)</f>
        <v>2</v>
      </c>
      <c r="AY88" s="99">
        <f>AVERAGE(M88,P88,S88,V88,Y88,AB88,AE88,AH88,AK88,AN88,AQ88,AT88)</f>
        <v>2</v>
      </c>
      <c r="AZ88" s="100">
        <f>COUNT(M88,P88,S88,V88,Y88,AB88,AE88,AH88,AK88,AN88,AQ88,AT88)</f>
        <v>1</v>
      </c>
      <c r="BA88" s="101">
        <v>1</v>
      </c>
      <c r="BB88" s="102">
        <v>0</v>
      </c>
      <c r="BC88" s="84">
        <f t="shared" si="151"/>
        <v>1</v>
      </c>
      <c r="BD88" s="83">
        <f t="shared" si="134"/>
        <v>1</v>
      </c>
      <c r="BE88" s="85">
        <v>2</v>
      </c>
      <c r="BF88" s="86">
        <v>46042</v>
      </c>
      <c r="BG88" s="72">
        <f t="shared" si="152"/>
        <v>46265</v>
      </c>
      <c r="BH88" s="109">
        <f>BG88-BF88</f>
        <v>223</v>
      </c>
      <c r="BI88" s="80" t="str">
        <f t="shared" si="135"/>
        <v/>
      </c>
      <c r="BJ88" s="238">
        <v>1983</v>
      </c>
    </row>
    <row r="89" spans="1:293" ht="13">
      <c r="A89" s="49"/>
      <c r="B89" s="50"/>
      <c r="C89" s="77">
        <v>86</v>
      </c>
      <c r="D89" s="113" t="s">
        <v>1514</v>
      </c>
      <c r="E89" s="114">
        <v>3</v>
      </c>
      <c r="F89" s="80" t="s">
        <v>39</v>
      </c>
      <c r="G89" s="81" t="s">
        <v>40</v>
      </c>
      <c r="H89" s="81" t="s">
        <v>289</v>
      </c>
      <c r="I89" s="80" t="s">
        <v>458</v>
      </c>
      <c r="J89" s="82">
        <f t="shared" si="210"/>
        <v>2</v>
      </c>
      <c r="K89" s="80">
        <v>2</v>
      </c>
      <c r="L89" s="57"/>
      <c r="M89" s="58"/>
      <c r="N89" s="59">
        <f t="shared" si="211"/>
        <v>2</v>
      </c>
      <c r="O89" s="60"/>
      <c r="P89" s="58"/>
      <c r="Q89" s="59">
        <f t="shared" si="212"/>
        <v>2</v>
      </c>
      <c r="R89" s="60"/>
      <c r="S89" s="58"/>
      <c r="T89" s="61">
        <f t="shared" si="213"/>
        <v>2</v>
      </c>
      <c r="U89" s="60"/>
      <c r="V89" s="58"/>
      <c r="W89" s="59">
        <f t="shared" si="214"/>
        <v>2</v>
      </c>
      <c r="X89" s="60"/>
      <c r="Y89" s="58"/>
      <c r="Z89" s="61">
        <f t="shared" si="215"/>
        <v>2</v>
      </c>
      <c r="AA89" s="60"/>
      <c r="AB89" s="58"/>
      <c r="AC89" s="59">
        <f t="shared" si="216"/>
        <v>2</v>
      </c>
      <c r="AD89" s="57"/>
      <c r="AE89" s="58"/>
      <c r="AF89" s="243">
        <f t="shared" si="217"/>
        <v>2</v>
      </c>
      <c r="AG89" s="60"/>
      <c r="AH89" s="58"/>
      <c r="AI89" s="62">
        <f t="shared" si="218"/>
        <v>2</v>
      </c>
      <c r="AJ89" s="60"/>
      <c r="AK89" s="58"/>
      <c r="AL89" s="62">
        <f t="shared" si="219"/>
        <v>2</v>
      </c>
      <c r="AM89" s="60"/>
      <c r="AN89" s="58"/>
      <c r="AO89" s="62">
        <f t="shared" si="220"/>
        <v>2</v>
      </c>
      <c r="AP89" s="60"/>
      <c r="AQ89" s="58"/>
      <c r="AR89" s="62">
        <f t="shared" si="221"/>
        <v>2</v>
      </c>
      <c r="AS89" s="60"/>
      <c r="AT89" s="58"/>
      <c r="AU89" s="62">
        <f t="shared" si="222"/>
        <v>2</v>
      </c>
      <c r="AV89" s="83">
        <f t="shared" si="223"/>
        <v>0</v>
      </c>
      <c r="AW89" s="83">
        <f t="shared" si="224"/>
        <v>0</v>
      </c>
      <c r="AX89" s="64">
        <f t="shared" si="225"/>
        <v>0</v>
      </c>
      <c r="AY89" s="65" t="e">
        <f t="shared" si="226"/>
        <v>#DIV/0!</v>
      </c>
      <c r="AZ89" s="66">
        <f t="shared" si="227"/>
        <v>0</v>
      </c>
      <c r="BA89" s="67">
        <f>MAX(0, Table176252626[[#This Row],[Column6]])</f>
        <v>2</v>
      </c>
      <c r="BB89" s="68">
        <v>1</v>
      </c>
      <c r="BC89" s="84">
        <f t="shared" si="151"/>
        <v>2</v>
      </c>
      <c r="BD89" s="83">
        <f t="shared" si="134"/>
        <v>1</v>
      </c>
      <c r="BE89" s="85">
        <v>2</v>
      </c>
      <c r="BF89" s="86">
        <v>44596.438969907409</v>
      </c>
      <c r="BG89" s="72">
        <f t="shared" si="152"/>
        <v>46265</v>
      </c>
      <c r="BH89" s="87">
        <f t="shared" si="228"/>
        <v>1668.561030092591</v>
      </c>
      <c r="BI89" s="80" t="str">
        <f t="shared" si="135"/>
        <v>Dead Stock</v>
      </c>
      <c r="BJ89" s="238">
        <v>260.10000000000002</v>
      </c>
    </row>
    <row r="90" spans="1:293" ht="13">
      <c r="A90" s="75"/>
      <c r="B90" s="76"/>
      <c r="C90" s="77">
        <v>87</v>
      </c>
      <c r="D90" s="113" t="s">
        <v>1514</v>
      </c>
      <c r="E90" s="114">
        <v>4</v>
      </c>
      <c r="F90" s="80" t="s">
        <v>258</v>
      </c>
      <c r="G90" s="81" t="s">
        <v>259</v>
      </c>
      <c r="H90" s="81" t="s">
        <v>289</v>
      </c>
      <c r="I90" s="80" t="s">
        <v>458</v>
      </c>
      <c r="J90" s="82">
        <f t="shared" si="210"/>
        <v>1</v>
      </c>
      <c r="K90" s="80">
        <v>1</v>
      </c>
      <c r="L90" s="57"/>
      <c r="M90" s="58"/>
      <c r="N90" s="59">
        <f t="shared" si="211"/>
        <v>1</v>
      </c>
      <c r="O90" s="60"/>
      <c r="P90" s="58"/>
      <c r="Q90" s="59">
        <f t="shared" si="212"/>
        <v>1</v>
      </c>
      <c r="R90" s="60"/>
      <c r="S90" s="58"/>
      <c r="T90" s="61">
        <f t="shared" si="213"/>
        <v>1</v>
      </c>
      <c r="U90" s="60"/>
      <c r="V90" s="58"/>
      <c r="W90" s="59">
        <f t="shared" si="214"/>
        <v>1</v>
      </c>
      <c r="X90" s="60"/>
      <c r="Y90" s="58"/>
      <c r="Z90" s="61">
        <f t="shared" si="215"/>
        <v>1</v>
      </c>
      <c r="AA90" s="60"/>
      <c r="AB90" s="58"/>
      <c r="AC90" s="59">
        <f t="shared" si="216"/>
        <v>1</v>
      </c>
      <c r="AD90" s="57"/>
      <c r="AE90" s="58"/>
      <c r="AF90" s="243">
        <f t="shared" si="217"/>
        <v>1</v>
      </c>
      <c r="AG90" s="60"/>
      <c r="AH90" s="58"/>
      <c r="AI90" s="62">
        <f t="shared" si="218"/>
        <v>1</v>
      </c>
      <c r="AJ90" s="60"/>
      <c r="AK90" s="58"/>
      <c r="AL90" s="62">
        <f t="shared" si="219"/>
        <v>1</v>
      </c>
      <c r="AM90" s="60"/>
      <c r="AN90" s="58"/>
      <c r="AO90" s="62">
        <f t="shared" si="220"/>
        <v>1</v>
      </c>
      <c r="AP90" s="60"/>
      <c r="AQ90" s="58"/>
      <c r="AR90" s="62">
        <f t="shared" si="221"/>
        <v>1</v>
      </c>
      <c r="AS90" s="60"/>
      <c r="AT90" s="58"/>
      <c r="AU90" s="62">
        <f t="shared" si="222"/>
        <v>1</v>
      </c>
      <c r="AV90" s="83">
        <f t="shared" si="223"/>
        <v>0</v>
      </c>
      <c r="AW90" s="83">
        <f t="shared" si="224"/>
        <v>0</v>
      </c>
      <c r="AX90" s="64">
        <f t="shared" si="225"/>
        <v>0</v>
      </c>
      <c r="AY90" s="65" t="e">
        <f t="shared" si="226"/>
        <v>#DIV/0!</v>
      </c>
      <c r="AZ90" s="66">
        <f t="shared" si="227"/>
        <v>0</v>
      </c>
      <c r="BA90" s="67">
        <f>MAX(0, Table176252626[[#This Row],[Column6]])</f>
        <v>1</v>
      </c>
      <c r="BB90" s="68">
        <v>0</v>
      </c>
      <c r="BC90" s="84">
        <f t="shared" si="151"/>
        <v>1</v>
      </c>
      <c r="BD90" s="83">
        <f t="shared" si="134"/>
        <v>1</v>
      </c>
      <c r="BE90" s="85">
        <v>2</v>
      </c>
      <c r="BF90" s="86">
        <v>43223.430486111109</v>
      </c>
      <c r="BG90" s="72">
        <f t="shared" si="152"/>
        <v>46265</v>
      </c>
      <c r="BH90" s="87">
        <f t="shared" si="228"/>
        <v>3041.5695138888914</v>
      </c>
      <c r="BI90" s="80" t="str">
        <f t="shared" si="135"/>
        <v>Dead Stock</v>
      </c>
      <c r="BJ90" s="238">
        <v>2200</v>
      </c>
    </row>
    <row r="91" spans="1:293" ht="13">
      <c r="A91" s="49"/>
      <c r="B91" s="50"/>
      <c r="C91" s="51">
        <v>88</v>
      </c>
      <c r="D91" s="114" t="s">
        <v>1514</v>
      </c>
      <c r="E91" s="114">
        <v>4</v>
      </c>
      <c r="F91" s="88" t="s">
        <v>1996</v>
      </c>
      <c r="G91" s="118" t="s">
        <v>1997</v>
      </c>
      <c r="H91" s="81" t="s">
        <v>1998</v>
      </c>
      <c r="I91" s="80" t="s">
        <v>458</v>
      </c>
      <c r="J91" s="82">
        <f t="shared" ref="J91" si="229">AU91</f>
        <v>1</v>
      </c>
      <c r="K91" s="88">
        <v>0</v>
      </c>
      <c r="L91" s="57"/>
      <c r="M91" s="58"/>
      <c r="N91" s="59">
        <f t="shared" ref="N91" si="230">SUM(K91+L91-M91)</f>
        <v>0</v>
      </c>
      <c r="O91" s="60"/>
      <c r="P91" s="58"/>
      <c r="Q91" s="59">
        <f t="shared" ref="Q91" si="231">SUM(N91+O91-P91)</f>
        <v>0</v>
      </c>
      <c r="R91" s="60"/>
      <c r="S91" s="58"/>
      <c r="T91" s="61">
        <f t="shared" ref="T91" si="232">SUM(Q91+R91-S91)</f>
        <v>0</v>
      </c>
      <c r="U91" s="60"/>
      <c r="V91" s="58"/>
      <c r="W91" s="59">
        <f t="shared" ref="W91" si="233">SUM(T91+U91-V91)</f>
        <v>0</v>
      </c>
      <c r="X91" s="60"/>
      <c r="Y91" s="58"/>
      <c r="Z91" s="61">
        <f t="shared" ref="Z91" si="234">SUM(W91+X91-Y91)</f>
        <v>0</v>
      </c>
      <c r="AA91" s="60"/>
      <c r="AB91" s="58"/>
      <c r="AC91" s="59">
        <f t="shared" ref="AC91" si="235">SUM(Z91+AA91-AB91)</f>
        <v>0</v>
      </c>
      <c r="AD91" s="57"/>
      <c r="AE91" s="58"/>
      <c r="AF91" s="243">
        <f t="shared" ref="AF91" si="236">SUM(AC91+AD91-AE91)</f>
        <v>0</v>
      </c>
      <c r="AG91" s="60">
        <v>2</v>
      </c>
      <c r="AH91" s="58">
        <v>1</v>
      </c>
      <c r="AI91" s="62">
        <f t="shared" ref="AI91" si="237">SUM(AF91+AG91-AH91)</f>
        <v>1</v>
      </c>
      <c r="AJ91" s="60"/>
      <c r="AK91" s="58"/>
      <c r="AL91" s="62">
        <f t="shared" ref="AL91" si="238">SUM(AI91+AJ91-AK91)</f>
        <v>1</v>
      </c>
      <c r="AM91" s="60"/>
      <c r="AN91" s="58"/>
      <c r="AO91" s="62">
        <f t="shared" ref="AO91" si="239">SUM(AL91+AM91-AN91)</f>
        <v>1</v>
      </c>
      <c r="AP91" s="60"/>
      <c r="AQ91" s="58"/>
      <c r="AR91" s="62">
        <f t="shared" ref="AR91" si="240">SUM(AO91+AP91-AQ91)</f>
        <v>1</v>
      </c>
      <c r="AS91" s="60"/>
      <c r="AT91" s="58"/>
      <c r="AU91" s="62">
        <f t="shared" ref="AU91" si="241">SUM(AR91+AS91-AT91)</f>
        <v>1</v>
      </c>
      <c r="AV91" s="83">
        <f t="shared" ref="AV91" si="242">SUM(L91+O91+R91+U91+X91+AA91+AD91+AG91+AJ91+AM91+AP91+AS91)</f>
        <v>2</v>
      </c>
      <c r="AW91" s="83">
        <f>SUM(M91+P91+S91+V91+Y91+AB91+AE91+AH91+AK91+AN91+AQ91+AT91)</f>
        <v>1</v>
      </c>
      <c r="AX91" s="64">
        <f t="shared" ref="AX91" si="243">SUM(M91,P91,S91,V91,Y91,AB91,AE91,AH91,AK91,AN91,AQ91,AT91)</f>
        <v>1</v>
      </c>
      <c r="AY91" s="65">
        <f t="shared" ref="AY91" si="244">AVERAGE(M91,P91,S91,V91,Y91,AB91,AE91,AH91,AK91,AN91,AQ91,AT91)</f>
        <v>1</v>
      </c>
      <c r="AZ91" s="66">
        <f t="shared" ref="AZ91" si="245">COUNT(M91,P91,S91,V91,Y91,AB91,AE91,AH91,AK91,AN91,AQ91,AT91)</f>
        <v>1</v>
      </c>
      <c r="BA91" s="67">
        <v>2</v>
      </c>
      <c r="BB91" s="68">
        <v>1</v>
      </c>
      <c r="BC91" s="84">
        <f>J91</f>
        <v>1</v>
      </c>
      <c r="BD91" s="83">
        <f>SUM(BC91-BB91)</f>
        <v>0</v>
      </c>
      <c r="BE91" s="85">
        <v>2</v>
      </c>
      <c r="BF91" s="86">
        <v>46237</v>
      </c>
      <c r="BG91" s="72">
        <f t="shared" si="152"/>
        <v>46265</v>
      </c>
      <c r="BH91" s="87">
        <f t="shared" ref="BH91" si="246">BG91-BF91</f>
        <v>28</v>
      </c>
      <c r="BI91" s="80" t="str">
        <f>IF(AND(J91&gt;0,BH91&gt;365),"Dead Stock","")</f>
        <v/>
      </c>
      <c r="BJ91" s="238">
        <v>11742.25</v>
      </c>
    </row>
    <row r="92" spans="1:293" ht="13">
      <c r="A92" s="49"/>
      <c r="B92" s="76"/>
      <c r="C92" s="51">
        <v>89</v>
      </c>
      <c r="D92" s="113" t="s">
        <v>1514</v>
      </c>
      <c r="E92" s="114">
        <v>5</v>
      </c>
      <c r="F92" s="115" t="s">
        <v>594</v>
      </c>
      <c r="G92" s="81" t="s">
        <v>1265</v>
      </c>
      <c r="H92" s="81" t="s">
        <v>289</v>
      </c>
      <c r="I92" s="80" t="s">
        <v>458</v>
      </c>
      <c r="J92" s="82">
        <f t="shared" si="210"/>
        <v>2</v>
      </c>
      <c r="K92" s="80">
        <v>1</v>
      </c>
      <c r="L92" s="57"/>
      <c r="M92" s="58"/>
      <c r="N92" s="59">
        <f t="shared" si="211"/>
        <v>1</v>
      </c>
      <c r="O92" s="60"/>
      <c r="P92" s="58">
        <v>1</v>
      </c>
      <c r="Q92" s="59">
        <f t="shared" si="212"/>
        <v>0</v>
      </c>
      <c r="R92" s="60"/>
      <c r="S92" s="58"/>
      <c r="T92" s="61">
        <f t="shared" si="213"/>
        <v>0</v>
      </c>
      <c r="U92" s="60">
        <v>2</v>
      </c>
      <c r="V92" s="58"/>
      <c r="W92" s="59">
        <f t="shared" si="214"/>
        <v>2</v>
      </c>
      <c r="X92" s="60"/>
      <c r="Y92" s="58"/>
      <c r="Z92" s="61">
        <f t="shared" si="215"/>
        <v>2</v>
      </c>
      <c r="AA92" s="60"/>
      <c r="AB92" s="58"/>
      <c r="AC92" s="59">
        <f t="shared" si="216"/>
        <v>2</v>
      </c>
      <c r="AD92" s="57"/>
      <c r="AE92" s="58"/>
      <c r="AF92" s="243">
        <f t="shared" si="217"/>
        <v>2</v>
      </c>
      <c r="AG92" s="60"/>
      <c r="AH92" s="58"/>
      <c r="AI92" s="62">
        <f t="shared" si="218"/>
        <v>2</v>
      </c>
      <c r="AJ92" s="60"/>
      <c r="AK92" s="58"/>
      <c r="AL92" s="62">
        <f t="shared" si="219"/>
        <v>2</v>
      </c>
      <c r="AM92" s="60"/>
      <c r="AN92" s="58"/>
      <c r="AO92" s="62">
        <f t="shared" si="220"/>
        <v>2</v>
      </c>
      <c r="AP92" s="60"/>
      <c r="AQ92" s="58"/>
      <c r="AR92" s="62">
        <f t="shared" si="221"/>
        <v>2</v>
      </c>
      <c r="AS92" s="60"/>
      <c r="AT92" s="58"/>
      <c r="AU92" s="62">
        <f t="shared" si="222"/>
        <v>2</v>
      </c>
      <c r="AV92" s="83">
        <f t="shared" si="223"/>
        <v>2</v>
      </c>
      <c r="AW92" s="83">
        <f t="shared" si="224"/>
        <v>1</v>
      </c>
      <c r="AX92" s="64">
        <f t="shared" si="225"/>
        <v>1</v>
      </c>
      <c r="AY92" s="65">
        <f t="shared" si="226"/>
        <v>1</v>
      </c>
      <c r="AZ92" s="66">
        <f t="shared" si="227"/>
        <v>1</v>
      </c>
      <c r="BA92" s="67">
        <f>MAX(0, Table176252626[[#This Row],[Column6]])</f>
        <v>2</v>
      </c>
      <c r="BB92" s="68">
        <v>1</v>
      </c>
      <c r="BC92" s="84">
        <f t="shared" si="151"/>
        <v>2</v>
      </c>
      <c r="BD92" s="83">
        <f t="shared" si="134"/>
        <v>1</v>
      </c>
      <c r="BE92" s="85">
        <v>2</v>
      </c>
      <c r="BF92" s="86">
        <v>46139.485324074078</v>
      </c>
      <c r="BG92" s="72">
        <f t="shared" si="152"/>
        <v>46265</v>
      </c>
      <c r="BH92" s="87">
        <f t="shared" si="228"/>
        <v>125.51467592592235</v>
      </c>
      <c r="BI92" s="80" t="str">
        <f t="shared" si="135"/>
        <v/>
      </c>
      <c r="BJ92" s="238">
        <v>2206.5</v>
      </c>
    </row>
    <row r="93" spans="1:293" ht="13">
      <c r="A93" s="49"/>
      <c r="B93" s="76"/>
      <c r="C93" s="51">
        <v>90</v>
      </c>
      <c r="D93" s="113" t="s">
        <v>1514</v>
      </c>
      <c r="E93" s="114">
        <v>6</v>
      </c>
      <c r="F93" s="80" t="s">
        <v>714</v>
      </c>
      <c r="G93" s="81" t="s">
        <v>715</v>
      </c>
      <c r="H93" s="81" t="s">
        <v>289</v>
      </c>
      <c r="I93" s="80" t="s">
        <v>458</v>
      </c>
      <c r="J93" s="82">
        <f t="shared" si="210"/>
        <v>1</v>
      </c>
      <c r="K93" s="80">
        <v>1</v>
      </c>
      <c r="L93" s="57"/>
      <c r="M93" s="58"/>
      <c r="N93" s="59">
        <f t="shared" si="211"/>
        <v>1</v>
      </c>
      <c r="O93" s="60"/>
      <c r="P93" s="58"/>
      <c r="Q93" s="59">
        <f t="shared" si="212"/>
        <v>1</v>
      </c>
      <c r="R93" s="60"/>
      <c r="S93" s="58"/>
      <c r="T93" s="61">
        <f t="shared" si="213"/>
        <v>1</v>
      </c>
      <c r="U93" s="60"/>
      <c r="V93" s="58"/>
      <c r="W93" s="59">
        <f t="shared" si="214"/>
        <v>1</v>
      </c>
      <c r="X93" s="60"/>
      <c r="Y93" s="58"/>
      <c r="Z93" s="61">
        <f t="shared" si="215"/>
        <v>1</v>
      </c>
      <c r="AA93" s="60"/>
      <c r="AB93" s="58"/>
      <c r="AC93" s="59">
        <f t="shared" si="216"/>
        <v>1</v>
      </c>
      <c r="AD93" s="57"/>
      <c r="AE93" s="58"/>
      <c r="AF93" s="243">
        <f t="shared" si="217"/>
        <v>1</v>
      </c>
      <c r="AG93" s="60"/>
      <c r="AH93" s="58"/>
      <c r="AI93" s="62">
        <f t="shared" si="218"/>
        <v>1</v>
      </c>
      <c r="AJ93" s="60"/>
      <c r="AK93" s="58"/>
      <c r="AL93" s="62">
        <f t="shared" si="219"/>
        <v>1</v>
      </c>
      <c r="AM93" s="60"/>
      <c r="AN93" s="58"/>
      <c r="AO93" s="62">
        <f t="shared" si="220"/>
        <v>1</v>
      </c>
      <c r="AP93" s="60"/>
      <c r="AQ93" s="58"/>
      <c r="AR93" s="62">
        <f t="shared" si="221"/>
        <v>1</v>
      </c>
      <c r="AS93" s="60"/>
      <c r="AT93" s="58"/>
      <c r="AU93" s="62">
        <f t="shared" si="222"/>
        <v>1</v>
      </c>
      <c r="AV93" s="83">
        <f t="shared" si="223"/>
        <v>0</v>
      </c>
      <c r="AW93" s="83">
        <f t="shared" si="224"/>
        <v>0</v>
      </c>
      <c r="AX93" s="64">
        <f t="shared" si="225"/>
        <v>0</v>
      </c>
      <c r="AY93" s="65" t="e">
        <f t="shared" si="226"/>
        <v>#DIV/0!</v>
      </c>
      <c r="AZ93" s="66">
        <f t="shared" si="227"/>
        <v>0</v>
      </c>
      <c r="BA93" s="67">
        <f>MAX(0, Table176252626[[#This Row],[Column6]])</f>
        <v>1</v>
      </c>
      <c r="BB93" s="68">
        <v>0</v>
      </c>
      <c r="BC93" s="84">
        <f t="shared" si="151"/>
        <v>1</v>
      </c>
      <c r="BD93" s="83">
        <f t="shared" si="134"/>
        <v>1</v>
      </c>
      <c r="BE93" s="85">
        <v>2</v>
      </c>
      <c r="BF93" s="86">
        <v>43550.604733796295</v>
      </c>
      <c r="BG93" s="72">
        <f t="shared" si="152"/>
        <v>46265</v>
      </c>
      <c r="BH93" s="87">
        <f t="shared" si="228"/>
        <v>2714.3952662037045</v>
      </c>
      <c r="BI93" s="80" t="str">
        <f t="shared" si="135"/>
        <v>Dead Stock</v>
      </c>
      <c r="BJ93" s="238">
        <v>25000</v>
      </c>
    </row>
    <row r="94" spans="1:293" ht="13">
      <c r="A94" s="49"/>
      <c r="B94" s="50"/>
      <c r="C94" s="51">
        <v>91</v>
      </c>
      <c r="D94" s="113" t="s">
        <v>1514</v>
      </c>
      <c r="E94" s="114">
        <v>7</v>
      </c>
      <c r="F94" s="80" t="s">
        <v>162</v>
      </c>
      <c r="G94" s="81" t="s">
        <v>163</v>
      </c>
      <c r="H94" s="81" t="s">
        <v>289</v>
      </c>
      <c r="I94" s="80" t="s">
        <v>458</v>
      </c>
      <c r="J94" s="82">
        <f t="shared" si="210"/>
        <v>1</v>
      </c>
      <c r="K94" s="80">
        <v>1</v>
      </c>
      <c r="L94" s="57"/>
      <c r="M94" s="58"/>
      <c r="N94" s="59">
        <f t="shared" si="211"/>
        <v>1</v>
      </c>
      <c r="O94" s="60"/>
      <c r="P94" s="58"/>
      <c r="Q94" s="59">
        <f t="shared" si="212"/>
        <v>1</v>
      </c>
      <c r="R94" s="60"/>
      <c r="S94" s="58"/>
      <c r="T94" s="61">
        <f t="shared" si="213"/>
        <v>1</v>
      </c>
      <c r="U94" s="60"/>
      <c r="V94" s="58"/>
      <c r="W94" s="59">
        <f t="shared" si="214"/>
        <v>1</v>
      </c>
      <c r="X94" s="60"/>
      <c r="Y94" s="58"/>
      <c r="Z94" s="61">
        <f t="shared" si="215"/>
        <v>1</v>
      </c>
      <c r="AA94" s="60"/>
      <c r="AB94" s="58"/>
      <c r="AC94" s="59">
        <f t="shared" si="216"/>
        <v>1</v>
      </c>
      <c r="AD94" s="57"/>
      <c r="AE94" s="58"/>
      <c r="AF94" s="243">
        <f t="shared" si="217"/>
        <v>1</v>
      </c>
      <c r="AG94" s="60"/>
      <c r="AH94" s="58"/>
      <c r="AI94" s="62">
        <f t="shared" si="218"/>
        <v>1</v>
      </c>
      <c r="AJ94" s="60"/>
      <c r="AK94" s="58"/>
      <c r="AL94" s="62">
        <f t="shared" si="219"/>
        <v>1</v>
      </c>
      <c r="AM94" s="60"/>
      <c r="AN94" s="58"/>
      <c r="AO94" s="62">
        <f t="shared" si="220"/>
        <v>1</v>
      </c>
      <c r="AP94" s="60"/>
      <c r="AQ94" s="58"/>
      <c r="AR94" s="62">
        <f t="shared" si="221"/>
        <v>1</v>
      </c>
      <c r="AS94" s="60"/>
      <c r="AT94" s="58"/>
      <c r="AU94" s="62">
        <f t="shared" si="222"/>
        <v>1</v>
      </c>
      <c r="AV94" s="83">
        <f t="shared" si="223"/>
        <v>0</v>
      </c>
      <c r="AW94" s="83">
        <f t="shared" si="224"/>
        <v>0</v>
      </c>
      <c r="AX94" s="64">
        <f t="shared" si="225"/>
        <v>0</v>
      </c>
      <c r="AY94" s="65" t="e">
        <f t="shared" si="226"/>
        <v>#DIV/0!</v>
      </c>
      <c r="AZ94" s="66">
        <f t="shared" si="227"/>
        <v>0</v>
      </c>
      <c r="BA94" s="67">
        <f>MAX(0, Table176252626[[#This Row],[Column6]])</f>
        <v>1</v>
      </c>
      <c r="BB94" s="68">
        <v>0</v>
      </c>
      <c r="BC94" s="84">
        <f t="shared" si="151"/>
        <v>1</v>
      </c>
      <c r="BD94" s="83">
        <f t="shared" si="134"/>
        <v>1</v>
      </c>
      <c r="BE94" s="85">
        <v>2</v>
      </c>
      <c r="BF94" s="86">
        <v>44532.571863425925</v>
      </c>
      <c r="BG94" s="72">
        <f t="shared" si="152"/>
        <v>46265</v>
      </c>
      <c r="BH94" s="87">
        <f t="shared" si="228"/>
        <v>1732.4281365740753</v>
      </c>
      <c r="BI94" s="80" t="str">
        <f t="shared" si="135"/>
        <v>Dead Stock</v>
      </c>
      <c r="BJ94" s="238">
        <v>8000</v>
      </c>
    </row>
    <row r="95" spans="1:293" ht="13">
      <c r="A95" s="75"/>
      <c r="B95" s="76"/>
      <c r="C95" s="77">
        <v>92</v>
      </c>
      <c r="D95" s="113" t="s">
        <v>1514</v>
      </c>
      <c r="E95" s="114">
        <v>8</v>
      </c>
      <c r="F95" s="105" t="s">
        <v>638</v>
      </c>
      <c r="G95" s="81" t="s">
        <v>887</v>
      </c>
      <c r="H95" s="81" t="s">
        <v>289</v>
      </c>
      <c r="I95" s="80" t="s">
        <v>458</v>
      </c>
      <c r="J95" s="82">
        <f t="shared" si="210"/>
        <v>1</v>
      </c>
      <c r="K95" s="80">
        <v>1</v>
      </c>
      <c r="L95" s="57"/>
      <c r="M95" s="58"/>
      <c r="N95" s="59">
        <f t="shared" si="211"/>
        <v>1</v>
      </c>
      <c r="O95" s="60"/>
      <c r="P95" s="58"/>
      <c r="Q95" s="59">
        <f t="shared" si="212"/>
        <v>1</v>
      </c>
      <c r="R95" s="60"/>
      <c r="S95" s="58"/>
      <c r="T95" s="61">
        <f t="shared" si="213"/>
        <v>1</v>
      </c>
      <c r="U95" s="60"/>
      <c r="V95" s="58"/>
      <c r="W95" s="59">
        <f t="shared" si="214"/>
        <v>1</v>
      </c>
      <c r="X95" s="60"/>
      <c r="Y95" s="58"/>
      <c r="Z95" s="61">
        <f t="shared" si="215"/>
        <v>1</v>
      </c>
      <c r="AA95" s="60"/>
      <c r="AB95" s="58"/>
      <c r="AC95" s="59">
        <f t="shared" si="216"/>
        <v>1</v>
      </c>
      <c r="AD95" s="57"/>
      <c r="AE95" s="58"/>
      <c r="AF95" s="243">
        <f t="shared" si="217"/>
        <v>1</v>
      </c>
      <c r="AG95" s="60"/>
      <c r="AH95" s="58"/>
      <c r="AI95" s="62">
        <f t="shared" si="218"/>
        <v>1</v>
      </c>
      <c r="AJ95" s="60"/>
      <c r="AK95" s="58"/>
      <c r="AL95" s="62">
        <f t="shared" si="219"/>
        <v>1</v>
      </c>
      <c r="AM95" s="60"/>
      <c r="AN95" s="58"/>
      <c r="AO95" s="62">
        <f t="shared" si="220"/>
        <v>1</v>
      </c>
      <c r="AP95" s="60"/>
      <c r="AQ95" s="58"/>
      <c r="AR95" s="62">
        <f t="shared" si="221"/>
        <v>1</v>
      </c>
      <c r="AS95" s="60"/>
      <c r="AT95" s="58"/>
      <c r="AU95" s="62">
        <f t="shared" si="222"/>
        <v>1</v>
      </c>
      <c r="AV95" s="83">
        <f t="shared" si="223"/>
        <v>0</v>
      </c>
      <c r="AW95" s="83">
        <f t="shared" si="224"/>
        <v>0</v>
      </c>
      <c r="AX95" s="64">
        <f t="shared" si="225"/>
        <v>0</v>
      </c>
      <c r="AY95" s="65" t="e">
        <f t="shared" si="226"/>
        <v>#DIV/0!</v>
      </c>
      <c r="AZ95" s="66">
        <f t="shared" si="227"/>
        <v>0</v>
      </c>
      <c r="BA95" s="67">
        <f>MAX(0, Table176252626[[#This Row],[Column6]])</f>
        <v>1</v>
      </c>
      <c r="BB95" s="68">
        <v>0</v>
      </c>
      <c r="BC95" s="84">
        <f t="shared" si="151"/>
        <v>1</v>
      </c>
      <c r="BD95" s="83">
        <f t="shared" si="134"/>
        <v>1</v>
      </c>
      <c r="BE95" s="85">
        <v>2</v>
      </c>
      <c r="BF95" s="86">
        <v>44442.568611111114</v>
      </c>
      <c r="BG95" s="72">
        <f t="shared" si="152"/>
        <v>46265</v>
      </c>
      <c r="BH95" s="87">
        <f t="shared" si="228"/>
        <v>1822.4313888888864</v>
      </c>
      <c r="BI95" s="80" t="str">
        <f t="shared" si="135"/>
        <v>Dead Stock</v>
      </c>
      <c r="BJ95" s="238">
        <v>21000</v>
      </c>
    </row>
    <row r="96" spans="1:293" ht="13">
      <c r="A96" s="49"/>
      <c r="B96" s="76"/>
      <c r="C96" s="77">
        <v>93</v>
      </c>
      <c r="D96" s="113" t="s">
        <v>1514</v>
      </c>
      <c r="E96" s="114">
        <v>9</v>
      </c>
      <c r="F96" s="105" t="s">
        <v>4</v>
      </c>
      <c r="G96" s="81" t="s">
        <v>5</v>
      </c>
      <c r="H96" s="81" t="s">
        <v>289</v>
      </c>
      <c r="I96" s="80" t="s">
        <v>458</v>
      </c>
      <c r="J96" s="82">
        <f t="shared" si="210"/>
        <v>2</v>
      </c>
      <c r="K96" s="80">
        <v>2</v>
      </c>
      <c r="L96" s="57"/>
      <c r="M96" s="58"/>
      <c r="N96" s="59">
        <f t="shared" si="211"/>
        <v>2</v>
      </c>
      <c r="O96" s="60"/>
      <c r="P96" s="58"/>
      <c r="Q96" s="59">
        <f t="shared" si="212"/>
        <v>2</v>
      </c>
      <c r="R96" s="60"/>
      <c r="S96" s="58"/>
      <c r="T96" s="61">
        <f t="shared" si="213"/>
        <v>2</v>
      </c>
      <c r="U96" s="60"/>
      <c r="V96" s="58"/>
      <c r="W96" s="59">
        <f t="shared" si="214"/>
        <v>2</v>
      </c>
      <c r="X96" s="60"/>
      <c r="Y96" s="58"/>
      <c r="Z96" s="61">
        <f t="shared" si="215"/>
        <v>2</v>
      </c>
      <c r="AA96" s="60"/>
      <c r="AB96" s="58"/>
      <c r="AC96" s="59">
        <f t="shared" si="216"/>
        <v>2</v>
      </c>
      <c r="AD96" s="57"/>
      <c r="AE96" s="58"/>
      <c r="AF96" s="243">
        <f t="shared" si="217"/>
        <v>2</v>
      </c>
      <c r="AG96" s="60"/>
      <c r="AH96" s="58"/>
      <c r="AI96" s="62">
        <f t="shared" si="218"/>
        <v>2</v>
      </c>
      <c r="AJ96" s="60"/>
      <c r="AK96" s="58"/>
      <c r="AL96" s="62">
        <f t="shared" si="219"/>
        <v>2</v>
      </c>
      <c r="AM96" s="60"/>
      <c r="AN96" s="58"/>
      <c r="AO96" s="62">
        <f t="shared" si="220"/>
        <v>2</v>
      </c>
      <c r="AP96" s="60"/>
      <c r="AQ96" s="58"/>
      <c r="AR96" s="62">
        <f t="shared" si="221"/>
        <v>2</v>
      </c>
      <c r="AS96" s="60"/>
      <c r="AT96" s="58"/>
      <c r="AU96" s="62">
        <f t="shared" si="222"/>
        <v>2</v>
      </c>
      <c r="AV96" s="83">
        <f t="shared" si="223"/>
        <v>0</v>
      </c>
      <c r="AW96" s="83">
        <f t="shared" si="224"/>
        <v>0</v>
      </c>
      <c r="AX96" s="64">
        <f t="shared" si="225"/>
        <v>0</v>
      </c>
      <c r="AY96" s="65" t="e">
        <f t="shared" si="226"/>
        <v>#DIV/0!</v>
      </c>
      <c r="AZ96" s="66">
        <f t="shared" si="227"/>
        <v>0</v>
      </c>
      <c r="BA96" s="67">
        <f>MAX(0, Table176252626[[#This Row],[Column6]])</f>
        <v>2</v>
      </c>
      <c r="BB96" s="68">
        <v>1</v>
      </c>
      <c r="BC96" s="84">
        <f t="shared" si="151"/>
        <v>2</v>
      </c>
      <c r="BD96" s="83">
        <f t="shared" si="134"/>
        <v>1</v>
      </c>
      <c r="BE96" s="85">
        <v>2</v>
      </c>
      <c r="BF96" s="86">
        <v>44082.396863425929</v>
      </c>
      <c r="BG96" s="72">
        <f t="shared" si="152"/>
        <v>46265</v>
      </c>
      <c r="BH96" s="87">
        <f t="shared" si="228"/>
        <v>2182.603136574071</v>
      </c>
      <c r="BI96" s="80" t="str">
        <f t="shared" si="135"/>
        <v>Dead Stock</v>
      </c>
      <c r="BJ96" s="238">
        <v>625</v>
      </c>
    </row>
    <row r="97" spans="1:62" ht="13">
      <c r="A97" s="49"/>
      <c r="B97" s="50"/>
      <c r="C97" s="51">
        <v>94</v>
      </c>
      <c r="D97" s="113" t="s">
        <v>1514</v>
      </c>
      <c r="E97" s="114">
        <v>10</v>
      </c>
      <c r="F97" s="80" t="s">
        <v>484</v>
      </c>
      <c r="G97" s="81" t="s">
        <v>483</v>
      </c>
      <c r="H97" s="81" t="s">
        <v>289</v>
      </c>
      <c r="I97" s="80" t="s">
        <v>458</v>
      </c>
      <c r="J97" s="82">
        <f t="shared" si="210"/>
        <v>1</v>
      </c>
      <c r="K97" s="80">
        <v>2</v>
      </c>
      <c r="L97" s="57"/>
      <c r="M97" s="58"/>
      <c r="N97" s="59">
        <f t="shared" si="211"/>
        <v>2</v>
      </c>
      <c r="O97" s="60"/>
      <c r="P97" s="58"/>
      <c r="Q97" s="59">
        <f t="shared" si="212"/>
        <v>2</v>
      </c>
      <c r="R97" s="60"/>
      <c r="S97" s="58"/>
      <c r="T97" s="61">
        <f t="shared" si="213"/>
        <v>2</v>
      </c>
      <c r="U97" s="60"/>
      <c r="V97" s="58"/>
      <c r="W97" s="59">
        <f t="shared" si="214"/>
        <v>2</v>
      </c>
      <c r="X97" s="60"/>
      <c r="Y97" s="58"/>
      <c r="Z97" s="61">
        <f t="shared" si="215"/>
        <v>2</v>
      </c>
      <c r="AA97" s="60"/>
      <c r="AB97" s="58">
        <v>1</v>
      </c>
      <c r="AC97" s="59">
        <f t="shared" si="216"/>
        <v>1</v>
      </c>
      <c r="AD97" s="57"/>
      <c r="AE97" s="58"/>
      <c r="AF97" s="243">
        <f t="shared" si="217"/>
        <v>1</v>
      </c>
      <c r="AG97" s="60"/>
      <c r="AH97" s="58"/>
      <c r="AI97" s="62">
        <f t="shared" si="218"/>
        <v>1</v>
      </c>
      <c r="AJ97" s="60"/>
      <c r="AK97" s="58"/>
      <c r="AL97" s="62">
        <f t="shared" si="219"/>
        <v>1</v>
      </c>
      <c r="AM97" s="60"/>
      <c r="AN97" s="58"/>
      <c r="AO97" s="62">
        <f t="shared" si="220"/>
        <v>1</v>
      </c>
      <c r="AP97" s="60"/>
      <c r="AQ97" s="58"/>
      <c r="AR97" s="62">
        <f t="shared" si="221"/>
        <v>1</v>
      </c>
      <c r="AS97" s="60"/>
      <c r="AT97" s="58"/>
      <c r="AU97" s="62">
        <f t="shared" si="222"/>
        <v>1</v>
      </c>
      <c r="AV97" s="83">
        <f t="shared" si="223"/>
        <v>0</v>
      </c>
      <c r="AW97" s="83">
        <f t="shared" si="224"/>
        <v>1</v>
      </c>
      <c r="AX97" s="64">
        <f t="shared" si="225"/>
        <v>1</v>
      </c>
      <c r="AY97" s="65">
        <f t="shared" si="226"/>
        <v>1</v>
      </c>
      <c r="AZ97" s="66">
        <f t="shared" si="227"/>
        <v>1</v>
      </c>
      <c r="BA97" s="67">
        <v>1</v>
      </c>
      <c r="BB97" s="68">
        <v>0</v>
      </c>
      <c r="BC97" s="84">
        <f t="shared" si="151"/>
        <v>1</v>
      </c>
      <c r="BD97" s="83">
        <f t="shared" si="134"/>
        <v>1</v>
      </c>
      <c r="BE97" s="85">
        <v>2</v>
      </c>
      <c r="BF97" s="86">
        <v>43215.610879629632</v>
      </c>
      <c r="BG97" s="72">
        <f t="shared" si="152"/>
        <v>46265</v>
      </c>
      <c r="BH97" s="87">
        <f t="shared" si="228"/>
        <v>3049.3891203703679</v>
      </c>
      <c r="BI97" s="80" t="str">
        <f t="shared" si="135"/>
        <v>Dead Stock</v>
      </c>
      <c r="BJ97" s="238">
        <v>3965.25</v>
      </c>
    </row>
    <row r="98" spans="1:62" ht="13">
      <c r="A98" s="90"/>
      <c r="B98" s="91"/>
      <c r="C98" s="51">
        <v>95</v>
      </c>
      <c r="D98" s="113" t="s">
        <v>1514</v>
      </c>
      <c r="E98" s="114">
        <v>11</v>
      </c>
      <c r="F98" s="80" t="s">
        <v>509</v>
      </c>
      <c r="G98" s="81" t="s">
        <v>508</v>
      </c>
      <c r="H98" s="81" t="s">
        <v>289</v>
      </c>
      <c r="I98" s="80" t="s">
        <v>458</v>
      </c>
      <c r="J98" s="82">
        <f t="shared" si="210"/>
        <v>1</v>
      </c>
      <c r="K98" s="80">
        <v>1</v>
      </c>
      <c r="L98" s="57"/>
      <c r="M98" s="58"/>
      <c r="N98" s="59">
        <f t="shared" si="211"/>
        <v>1</v>
      </c>
      <c r="O98" s="60"/>
      <c r="P98" s="58"/>
      <c r="Q98" s="59">
        <f t="shared" si="212"/>
        <v>1</v>
      </c>
      <c r="R98" s="60"/>
      <c r="S98" s="58"/>
      <c r="T98" s="61">
        <f t="shared" si="213"/>
        <v>1</v>
      </c>
      <c r="U98" s="60"/>
      <c r="V98" s="58"/>
      <c r="W98" s="59">
        <f t="shared" si="214"/>
        <v>1</v>
      </c>
      <c r="X98" s="60"/>
      <c r="Y98" s="58"/>
      <c r="Z98" s="61">
        <f t="shared" si="215"/>
        <v>1</v>
      </c>
      <c r="AA98" s="60"/>
      <c r="AB98" s="58"/>
      <c r="AC98" s="59">
        <f t="shared" si="216"/>
        <v>1</v>
      </c>
      <c r="AD98" s="57"/>
      <c r="AE98" s="58"/>
      <c r="AF98" s="243">
        <f t="shared" si="217"/>
        <v>1</v>
      </c>
      <c r="AG98" s="60"/>
      <c r="AH98" s="58"/>
      <c r="AI98" s="62">
        <f t="shared" si="218"/>
        <v>1</v>
      </c>
      <c r="AJ98" s="60"/>
      <c r="AK98" s="58"/>
      <c r="AL98" s="62">
        <f t="shared" si="219"/>
        <v>1</v>
      </c>
      <c r="AM98" s="60"/>
      <c r="AN98" s="58"/>
      <c r="AO98" s="62">
        <f t="shared" si="220"/>
        <v>1</v>
      </c>
      <c r="AP98" s="60"/>
      <c r="AQ98" s="58"/>
      <c r="AR98" s="62">
        <f t="shared" si="221"/>
        <v>1</v>
      </c>
      <c r="AS98" s="60"/>
      <c r="AT98" s="58"/>
      <c r="AU98" s="62">
        <f t="shared" si="222"/>
        <v>1</v>
      </c>
      <c r="AV98" s="83">
        <f t="shared" si="223"/>
        <v>0</v>
      </c>
      <c r="AW98" s="83">
        <f t="shared" si="224"/>
        <v>0</v>
      </c>
      <c r="AX98" s="64">
        <f t="shared" si="225"/>
        <v>0</v>
      </c>
      <c r="AY98" s="65" t="e">
        <f t="shared" si="226"/>
        <v>#DIV/0!</v>
      </c>
      <c r="AZ98" s="66">
        <f t="shared" si="227"/>
        <v>0</v>
      </c>
      <c r="BA98" s="67">
        <f>MAX(0, Table176252626[[#This Row],[Column6]])</f>
        <v>1</v>
      </c>
      <c r="BB98" s="68">
        <v>0</v>
      </c>
      <c r="BC98" s="84">
        <f t="shared" si="151"/>
        <v>1</v>
      </c>
      <c r="BD98" s="83">
        <f t="shared" si="134"/>
        <v>1</v>
      </c>
      <c r="BE98" s="85">
        <v>2</v>
      </c>
      <c r="BF98" s="86">
        <v>44767.551307870373</v>
      </c>
      <c r="BG98" s="72">
        <f t="shared" si="152"/>
        <v>46265</v>
      </c>
      <c r="BH98" s="87">
        <f t="shared" si="228"/>
        <v>1497.4486921296266</v>
      </c>
      <c r="BI98" s="80" t="str">
        <f t="shared" si="135"/>
        <v>Dead Stock</v>
      </c>
      <c r="BJ98" s="238">
        <v>4050</v>
      </c>
    </row>
    <row r="99" spans="1:62" ht="13">
      <c r="A99" s="49"/>
      <c r="B99" s="50"/>
      <c r="C99" s="51">
        <v>96</v>
      </c>
      <c r="D99" s="113" t="s">
        <v>1514</v>
      </c>
      <c r="E99" s="114">
        <v>12</v>
      </c>
      <c r="F99" s="80" t="s">
        <v>643</v>
      </c>
      <c r="G99" s="81" t="s">
        <v>644</v>
      </c>
      <c r="H99" s="81" t="s">
        <v>289</v>
      </c>
      <c r="I99" s="80" t="s">
        <v>458</v>
      </c>
      <c r="J99" s="82">
        <f t="shared" si="210"/>
        <v>1</v>
      </c>
      <c r="K99" s="80">
        <v>1</v>
      </c>
      <c r="L99" s="57"/>
      <c r="M99" s="58"/>
      <c r="N99" s="59">
        <f t="shared" si="211"/>
        <v>1</v>
      </c>
      <c r="O99" s="60"/>
      <c r="P99" s="58"/>
      <c r="Q99" s="59">
        <f t="shared" si="212"/>
        <v>1</v>
      </c>
      <c r="R99" s="60"/>
      <c r="S99" s="58"/>
      <c r="T99" s="61">
        <f t="shared" si="213"/>
        <v>1</v>
      </c>
      <c r="U99" s="60"/>
      <c r="V99" s="58"/>
      <c r="W99" s="59">
        <f t="shared" si="214"/>
        <v>1</v>
      </c>
      <c r="X99" s="60"/>
      <c r="Y99" s="58"/>
      <c r="Z99" s="61">
        <f t="shared" si="215"/>
        <v>1</v>
      </c>
      <c r="AA99" s="60"/>
      <c r="AB99" s="58"/>
      <c r="AC99" s="59">
        <f t="shared" si="216"/>
        <v>1</v>
      </c>
      <c r="AD99" s="57"/>
      <c r="AE99" s="58"/>
      <c r="AF99" s="243">
        <f t="shared" si="217"/>
        <v>1</v>
      </c>
      <c r="AG99" s="60"/>
      <c r="AH99" s="58"/>
      <c r="AI99" s="62">
        <f t="shared" si="218"/>
        <v>1</v>
      </c>
      <c r="AJ99" s="60"/>
      <c r="AK99" s="58"/>
      <c r="AL99" s="62">
        <f t="shared" si="219"/>
        <v>1</v>
      </c>
      <c r="AM99" s="60"/>
      <c r="AN99" s="58"/>
      <c r="AO99" s="62">
        <f t="shared" si="220"/>
        <v>1</v>
      </c>
      <c r="AP99" s="60"/>
      <c r="AQ99" s="58"/>
      <c r="AR99" s="104">
        <f t="shared" si="221"/>
        <v>1</v>
      </c>
      <c r="AS99" s="57"/>
      <c r="AT99" s="58"/>
      <c r="AU99" s="62">
        <f t="shared" si="222"/>
        <v>1</v>
      </c>
      <c r="AV99" s="83">
        <f t="shared" si="223"/>
        <v>0</v>
      </c>
      <c r="AW99" s="83">
        <f t="shared" si="224"/>
        <v>0</v>
      </c>
      <c r="AX99" s="64">
        <f t="shared" si="225"/>
        <v>0</v>
      </c>
      <c r="AY99" s="65" t="e">
        <f t="shared" si="226"/>
        <v>#DIV/0!</v>
      </c>
      <c r="AZ99" s="66">
        <f t="shared" si="227"/>
        <v>0</v>
      </c>
      <c r="BA99" s="67">
        <f>MAX(0, Table176252626[[#This Row],[Column6]])</f>
        <v>1</v>
      </c>
      <c r="BB99" s="68">
        <v>0</v>
      </c>
      <c r="BC99" s="84">
        <f t="shared" si="151"/>
        <v>1</v>
      </c>
      <c r="BD99" s="83">
        <f t="shared" si="134"/>
        <v>1</v>
      </c>
      <c r="BE99" s="85">
        <v>2</v>
      </c>
      <c r="BF99" s="86">
        <v>44162.624803240738</v>
      </c>
      <c r="BG99" s="72">
        <f t="shared" si="152"/>
        <v>46265</v>
      </c>
      <c r="BH99" s="87">
        <f t="shared" si="228"/>
        <v>2102.3751967592616</v>
      </c>
      <c r="BI99" s="80" t="str">
        <f t="shared" si="135"/>
        <v>Dead Stock</v>
      </c>
      <c r="BJ99" s="238">
        <v>3555</v>
      </c>
    </row>
    <row r="100" spans="1:62" ht="13">
      <c r="A100" s="49"/>
      <c r="B100" s="76"/>
      <c r="C100" s="51">
        <v>97</v>
      </c>
      <c r="D100" s="113" t="s">
        <v>1514</v>
      </c>
      <c r="E100" s="114">
        <v>13</v>
      </c>
      <c r="F100" s="80" t="s">
        <v>113</v>
      </c>
      <c r="G100" s="81" t="s">
        <v>114</v>
      </c>
      <c r="H100" s="81" t="s">
        <v>289</v>
      </c>
      <c r="I100" s="80" t="s">
        <v>458</v>
      </c>
      <c r="J100" s="82">
        <f t="shared" si="210"/>
        <v>1</v>
      </c>
      <c r="K100" s="80">
        <v>1</v>
      </c>
      <c r="L100" s="57"/>
      <c r="M100" s="58"/>
      <c r="N100" s="59">
        <f t="shared" si="211"/>
        <v>1</v>
      </c>
      <c r="O100" s="60"/>
      <c r="P100" s="58"/>
      <c r="Q100" s="59">
        <f t="shared" si="212"/>
        <v>1</v>
      </c>
      <c r="R100" s="60"/>
      <c r="S100" s="58"/>
      <c r="T100" s="61">
        <f t="shared" si="213"/>
        <v>1</v>
      </c>
      <c r="U100" s="60"/>
      <c r="V100" s="58"/>
      <c r="W100" s="59">
        <f t="shared" si="214"/>
        <v>1</v>
      </c>
      <c r="X100" s="60"/>
      <c r="Y100" s="58"/>
      <c r="Z100" s="61">
        <f t="shared" si="215"/>
        <v>1</v>
      </c>
      <c r="AA100" s="60"/>
      <c r="AB100" s="58"/>
      <c r="AC100" s="59">
        <f t="shared" si="216"/>
        <v>1</v>
      </c>
      <c r="AD100" s="57"/>
      <c r="AE100" s="58"/>
      <c r="AF100" s="243">
        <f t="shared" si="217"/>
        <v>1</v>
      </c>
      <c r="AG100" s="60"/>
      <c r="AH100" s="58"/>
      <c r="AI100" s="62">
        <f t="shared" si="218"/>
        <v>1</v>
      </c>
      <c r="AJ100" s="60"/>
      <c r="AK100" s="58"/>
      <c r="AL100" s="62">
        <f t="shared" si="219"/>
        <v>1</v>
      </c>
      <c r="AM100" s="60"/>
      <c r="AN100" s="58"/>
      <c r="AO100" s="62">
        <f t="shared" si="220"/>
        <v>1</v>
      </c>
      <c r="AP100" s="60"/>
      <c r="AQ100" s="58"/>
      <c r="AR100" s="62">
        <f t="shared" si="221"/>
        <v>1</v>
      </c>
      <c r="AS100" s="60"/>
      <c r="AT100" s="58"/>
      <c r="AU100" s="62">
        <f t="shared" si="222"/>
        <v>1</v>
      </c>
      <c r="AV100" s="83">
        <f t="shared" si="223"/>
        <v>0</v>
      </c>
      <c r="AW100" s="83">
        <f t="shared" si="224"/>
        <v>0</v>
      </c>
      <c r="AX100" s="64">
        <f t="shared" si="225"/>
        <v>0</v>
      </c>
      <c r="AY100" s="65" t="e">
        <f t="shared" si="226"/>
        <v>#DIV/0!</v>
      </c>
      <c r="AZ100" s="66">
        <f t="shared" si="227"/>
        <v>0</v>
      </c>
      <c r="BA100" s="67">
        <f>MAX(0, Table176252626[[#This Row],[Column6]])</f>
        <v>1</v>
      </c>
      <c r="BB100" s="68">
        <v>0</v>
      </c>
      <c r="BC100" s="84">
        <f t="shared" si="151"/>
        <v>1</v>
      </c>
      <c r="BD100" s="83">
        <f t="shared" si="134"/>
        <v>1</v>
      </c>
      <c r="BE100" s="85">
        <v>2</v>
      </c>
      <c r="BF100" s="86">
        <v>42440.576620370368</v>
      </c>
      <c r="BG100" s="72">
        <f t="shared" si="152"/>
        <v>46265</v>
      </c>
      <c r="BH100" s="87">
        <f t="shared" si="228"/>
        <v>3824.4233796296321</v>
      </c>
      <c r="BI100" s="80" t="str">
        <f t="shared" si="135"/>
        <v>Dead Stock</v>
      </c>
      <c r="BJ100" s="238">
        <v>2750</v>
      </c>
    </row>
    <row r="101" spans="1:62" ht="13">
      <c r="A101" s="49"/>
      <c r="B101" s="76"/>
      <c r="C101" s="77">
        <v>98</v>
      </c>
      <c r="D101" s="113" t="s">
        <v>1514</v>
      </c>
      <c r="E101" s="114">
        <v>14</v>
      </c>
      <c r="F101" s="80" t="s">
        <v>827</v>
      </c>
      <c r="G101" s="81" t="s">
        <v>828</v>
      </c>
      <c r="H101" s="81" t="s">
        <v>289</v>
      </c>
      <c r="I101" s="80" t="s">
        <v>458</v>
      </c>
      <c r="J101" s="82">
        <f t="shared" si="210"/>
        <v>2</v>
      </c>
      <c r="K101" s="80">
        <v>2</v>
      </c>
      <c r="L101" s="57"/>
      <c r="M101" s="58"/>
      <c r="N101" s="59">
        <f t="shared" si="211"/>
        <v>2</v>
      </c>
      <c r="O101" s="60"/>
      <c r="P101" s="58"/>
      <c r="Q101" s="59">
        <f t="shared" si="212"/>
        <v>2</v>
      </c>
      <c r="R101" s="60"/>
      <c r="S101" s="58"/>
      <c r="T101" s="61">
        <f t="shared" si="213"/>
        <v>2</v>
      </c>
      <c r="U101" s="60"/>
      <c r="V101" s="58"/>
      <c r="W101" s="59">
        <f t="shared" si="214"/>
        <v>2</v>
      </c>
      <c r="X101" s="60"/>
      <c r="Y101" s="58"/>
      <c r="Z101" s="61">
        <f t="shared" si="215"/>
        <v>2</v>
      </c>
      <c r="AA101" s="60"/>
      <c r="AB101" s="58"/>
      <c r="AC101" s="59">
        <f t="shared" si="216"/>
        <v>2</v>
      </c>
      <c r="AD101" s="57"/>
      <c r="AE101" s="58"/>
      <c r="AF101" s="243">
        <f t="shared" si="217"/>
        <v>2</v>
      </c>
      <c r="AG101" s="60"/>
      <c r="AH101" s="58"/>
      <c r="AI101" s="62">
        <f t="shared" si="218"/>
        <v>2</v>
      </c>
      <c r="AJ101" s="60"/>
      <c r="AK101" s="58"/>
      <c r="AL101" s="62">
        <f t="shared" si="219"/>
        <v>2</v>
      </c>
      <c r="AM101" s="60"/>
      <c r="AN101" s="58"/>
      <c r="AO101" s="62">
        <f t="shared" si="220"/>
        <v>2</v>
      </c>
      <c r="AP101" s="60"/>
      <c r="AQ101" s="58"/>
      <c r="AR101" s="62">
        <f t="shared" si="221"/>
        <v>2</v>
      </c>
      <c r="AS101" s="60"/>
      <c r="AT101" s="58"/>
      <c r="AU101" s="62">
        <f t="shared" si="222"/>
        <v>2</v>
      </c>
      <c r="AV101" s="83">
        <f t="shared" si="223"/>
        <v>0</v>
      </c>
      <c r="AW101" s="83">
        <f t="shared" si="224"/>
        <v>0</v>
      </c>
      <c r="AX101" s="64">
        <f t="shared" si="225"/>
        <v>0</v>
      </c>
      <c r="AY101" s="65" t="e">
        <f t="shared" si="226"/>
        <v>#DIV/0!</v>
      </c>
      <c r="AZ101" s="66">
        <f t="shared" si="227"/>
        <v>0</v>
      </c>
      <c r="BA101" s="67">
        <f>MAX(0, Table176252626[[#This Row],[Column6]])</f>
        <v>2</v>
      </c>
      <c r="BB101" s="68">
        <v>1</v>
      </c>
      <c r="BC101" s="84">
        <f t="shared" si="151"/>
        <v>2</v>
      </c>
      <c r="BD101" s="83">
        <f t="shared" si="134"/>
        <v>1</v>
      </c>
      <c r="BE101" s="85">
        <v>2</v>
      </c>
      <c r="BF101" s="86">
        <v>44069.61141203704</v>
      </c>
      <c r="BG101" s="72">
        <f t="shared" si="152"/>
        <v>46265</v>
      </c>
      <c r="BH101" s="87">
        <f t="shared" si="228"/>
        <v>2195.3885879629597</v>
      </c>
      <c r="BI101" s="80" t="str">
        <f t="shared" si="135"/>
        <v>Dead Stock</v>
      </c>
      <c r="BJ101" s="238">
        <v>6000</v>
      </c>
    </row>
    <row r="102" spans="1:62" ht="13">
      <c r="A102" s="49"/>
      <c r="B102" s="50"/>
      <c r="C102" s="77">
        <v>99</v>
      </c>
      <c r="D102" s="113" t="s">
        <v>1514</v>
      </c>
      <c r="E102" s="114">
        <v>15</v>
      </c>
      <c r="F102" s="80" t="s">
        <v>829</v>
      </c>
      <c r="G102" s="81" t="s">
        <v>830</v>
      </c>
      <c r="H102" s="81" t="s">
        <v>289</v>
      </c>
      <c r="I102" s="80" t="s">
        <v>458</v>
      </c>
      <c r="J102" s="82">
        <f t="shared" si="210"/>
        <v>2</v>
      </c>
      <c r="K102" s="80">
        <v>2</v>
      </c>
      <c r="L102" s="57"/>
      <c r="M102" s="58"/>
      <c r="N102" s="59">
        <f t="shared" si="211"/>
        <v>2</v>
      </c>
      <c r="O102" s="60"/>
      <c r="P102" s="58"/>
      <c r="Q102" s="59">
        <f t="shared" si="212"/>
        <v>2</v>
      </c>
      <c r="R102" s="60"/>
      <c r="S102" s="58"/>
      <c r="T102" s="61">
        <f t="shared" si="213"/>
        <v>2</v>
      </c>
      <c r="U102" s="60"/>
      <c r="V102" s="58"/>
      <c r="W102" s="59">
        <f t="shared" si="214"/>
        <v>2</v>
      </c>
      <c r="X102" s="60"/>
      <c r="Y102" s="58"/>
      <c r="Z102" s="61">
        <f t="shared" si="215"/>
        <v>2</v>
      </c>
      <c r="AA102" s="60"/>
      <c r="AB102" s="58"/>
      <c r="AC102" s="59">
        <f t="shared" si="216"/>
        <v>2</v>
      </c>
      <c r="AD102" s="57"/>
      <c r="AE102" s="58"/>
      <c r="AF102" s="243">
        <f t="shared" si="217"/>
        <v>2</v>
      </c>
      <c r="AG102" s="60"/>
      <c r="AH102" s="58"/>
      <c r="AI102" s="62">
        <f t="shared" si="218"/>
        <v>2</v>
      </c>
      <c r="AJ102" s="60"/>
      <c r="AK102" s="58"/>
      <c r="AL102" s="62">
        <f t="shared" si="219"/>
        <v>2</v>
      </c>
      <c r="AM102" s="60"/>
      <c r="AN102" s="58"/>
      <c r="AO102" s="62">
        <f t="shared" si="220"/>
        <v>2</v>
      </c>
      <c r="AP102" s="60"/>
      <c r="AQ102" s="58"/>
      <c r="AR102" s="62">
        <f t="shared" si="221"/>
        <v>2</v>
      </c>
      <c r="AS102" s="60"/>
      <c r="AT102" s="58"/>
      <c r="AU102" s="62">
        <f t="shared" si="222"/>
        <v>2</v>
      </c>
      <c r="AV102" s="83">
        <f t="shared" si="223"/>
        <v>0</v>
      </c>
      <c r="AW102" s="83">
        <f t="shared" si="224"/>
        <v>0</v>
      </c>
      <c r="AX102" s="64">
        <f t="shared" si="225"/>
        <v>0</v>
      </c>
      <c r="AY102" s="65" t="e">
        <f t="shared" si="226"/>
        <v>#DIV/0!</v>
      </c>
      <c r="AZ102" s="66">
        <f t="shared" si="227"/>
        <v>0</v>
      </c>
      <c r="BA102" s="67">
        <f>MAX(0, Table176252626[[#This Row],[Column6]])</f>
        <v>2</v>
      </c>
      <c r="BB102" s="68">
        <v>1</v>
      </c>
      <c r="BC102" s="84">
        <f t="shared" si="151"/>
        <v>2</v>
      </c>
      <c r="BD102" s="83">
        <f t="shared" si="134"/>
        <v>1</v>
      </c>
      <c r="BE102" s="85">
        <v>2</v>
      </c>
      <c r="BF102" s="86">
        <v>44069.61141203704</v>
      </c>
      <c r="BG102" s="72">
        <f t="shared" si="152"/>
        <v>46265</v>
      </c>
      <c r="BH102" s="87">
        <f t="shared" si="228"/>
        <v>2195.3885879629597</v>
      </c>
      <c r="BI102" s="80" t="str">
        <f t="shared" si="135"/>
        <v>Dead Stock</v>
      </c>
      <c r="BJ102" s="238">
        <v>2000</v>
      </c>
    </row>
    <row r="103" spans="1:62" ht="13">
      <c r="A103" s="75"/>
      <c r="B103" s="76"/>
      <c r="C103" s="51">
        <v>100</v>
      </c>
      <c r="D103" s="113" t="s">
        <v>1514</v>
      </c>
      <c r="E103" s="114">
        <v>16</v>
      </c>
      <c r="F103" s="80" t="s">
        <v>84</v>
      </c>
      <c r="G103" s="81" t="s">
        <v>85</v>
      </c>
      <c r="H103" s="81" t="s">
        <v>289</v>
      </c>
      <c r="I103" s="80" t="s">
        <v>458</v>
      </c>
      <c r="J103" s="82">
        <f t="shared" si="210"/>
        <v>9</v>
      </c>
      <c r="K103" s="80">
        <v>9</v>
      </c>
      <c r="L103" s="57"/>
      <c r="M103" s="58"/>
      <c r="N103" s="59">
        <f t="shared" si="211"/>
        <v>9</v>
      </c>
      <c r="O103" s="60"/>
      <c r="P103" s="58"/>
      <c r="Q103" s="59">
        <f t="shared" si="212"/>
        <v>9</v>
      </c>
      <c r="R103" s="60"/>
      <c r="S103" s="58"/>
      <c r="T103" s="61">
        <f t="shared" si="213"/>
        <v>9</v>
      </c>
      <c r="U103" s="60"/>
      <c r="V103" s="58"/>
      <c r="W103" s="59">
        <f t="shared" si="214"/>
        <v>9</v>
      </c>
      <c r="X103" s="60"/>
      <c r="Y103" s="58"/>
      <c r="Z103" s="61">
        <f t="shared" si="215"/>
        <v>9</v>
      </c>
      <c r="AA103" s="60"/>
      <c r="AB103" s="58"/>
      <c r="AC103" s="59">
        <f t="shared" si="216"/>
        <v>9</v>
      </c>
      <c r="AD103" s="57"/>
      <c r="AE103" s="58"/>
      <c r="AF103" s="243">
        <f t="shared" si="217"/>
        <v>9</v>
      </c>
      <c r="AG103" s="60"/>
      <c r="AH103" s="58"/>
      <c r="AI103" s="62">
        <f t="shared" si="218"/>
        <v>9</v>
      </c>
      <c r="AJ103" s="60"/>
      <c r="AK103" s="58"/>
      <c r="AL103" s="62">
        <f t="shared" si="219"/>
        <v>9</v>
      </c>
      <c r="AM103" s="60"/>
      <c r="AN103" s="58"/>
      <c r="AO103" s="62">
        <f t="shared" si="220"/>
        <v>9</v>
      </c>
      <c r="AP103" s="60"/>
      <c r="AQ103" s="58"/>
      <c r="AR103" s="62">
        <f t="shared" si="221"/>
        <v>9</v>
      </c>
      <c r="AS103" s="60"/>
      <c r="AT103" s="58"/>
      <c r="AU103" s="62">
        <f t="shared" si="222"/>
        <v>9</v>
      </c>
      <c r="AV103" s="83">
        <f t="shared" si="223"/>
        <v>0</v>
      </c>
      <c r="AW103" s="83">
        <f t="shared" si="224"/>
        <v>0</v>
      </c>
      <c r="AX103" s="64">
        <f t="shared" si="225"/>
        <v>0</v>
      </c>
      <c r="AY103" s="65" t="e">
        <f t="shared" si="226"/>
        <v>#DIV/0!</v>
      </c>
      <c r="AZ103" s="66">
        <f t="shared" si="227"/>
        <v>0</v>
      </c>
      <c r="BA103" s="67">
        <v>9</v>
      </c>
      <c r="BB103" s="68">
        <v>1</v>
      </c>
      <c r="BC103" s="84">
        <f t="shared" si="151"/>
        <v>9</v>
      </c>
      <c r="BD103" s="83">
        <f t="shared" si="134"/>
        <v>8</v>
      </c>
      <c r="BE103" s="85">
        <v>2</v>
      </c>
      <c r="BF103" s="86">
        <v>42332.440312500003</v>
      </c>
      <c r="BG103" s="72">
        <f t="shared" si="152"/>
        <v>46265</v>
      </c>
      <c r="BH103" s="87">
        <f t="shared" si="228"/>
        <v>3932.5596874999974</v>
      </c>
      <c r="BI103" s="80" t="str">
        <f t="shared" si="135"/>
        <v>Dead Stock</v>
      </c>
      <c r="BJ103" s="238">
        <v>200</v>
      </c>
    </row>
    <row r="104" spans="1:62" ht="13">
      <c r="A104" s="49"/>
      <c r="B104" s="50"/>
      <c r="C104" s="51">
        <v>101</v>
      </c>
      <c r="D104" s="113" t="s">
        <v>1514</v>
      </c>
      <c r="E104" s="114">
        <v>17</v>
      </c>
      <c r="F104" s="80" t="s">
        <v>0</v>
      </c>
      <c r="G104" s="81" t="s">
        <v>1</v>
      </c>
      <c r="H104" s="81" t="s">
        <v>289</v>
      </c>
      <c r="I104" s="80" t="s">
        <v>458</v>
      </c>
      <c r="J104" s="82">
        <f t="shared" ref="J104" si="247">AU104</f>
        <v>3</v>
      </c>
      <c r="K104" s="80">
        <v>3</v>
      </c>
      <c r="L104" s="57"/>
      <c r="M104" s="58"/>
      <c r="N104" s="59">
        <f t="shared" si="211"/>
        <v>3</v>
      </c>
      <c r="O104" s="60"/>
      <c r="P104" s="58"/>
      <c r="Q104" s="59">
        <f t="shared" si="212"/>
        <v>3</v>
      </c>
      <c r="R104" s="60"/>
      <c r="S104" s="58"/>
      <c r="T104" s="61">
        <f t="shared" si="213"/>
        <v>3</v>
      </c>
      <c r="U104" s="60"/>
      <c r="V104" s="58"/>
      <c r="W104" s="59">
        <f t="shared" si="214"/>
        <v>3</v>
      </c>
      <c r="X104" s="60"/>
      <c r="Y104" s="58"/>
      <c r="Z104" s="61">
        <f t="shared" si="215"/>
        <v>3</v>
      </c>
      <c r="AA104" s="60"/>
      <c r="AB104" s="58"/>
      <c r="AC104" s="59">
        <f t="shared" si="216"/>
        <v>3</v>
      </c>
      <c r="AD104" s="57"/>
      <c r="AE104" s="58"/>
      <c r="AF104" s="243">
        <f t="shared" si="217"/>
        <v>3</v>
      </c>
      <c r="AG104" s="60"/>
      <c r="AH104" s="58"/>
      <c r="AI104" s="62">
        <f t="shared" si="218"/>
        <v>3</v>
      </c>
      <c r="AJ104" s="60"/>
      <c r="AK104" s="58"/>
      <c r="AL104" s="62">
        <f t="shared" si="219"/>
        <v>3</v>
      </c>
      <c r="AM104" s="60"/>
      <c r="AN104" s="58"/>
      <c r="AO104" s="62">
        <f t="shared" si="220"/>
        <v>3</v>
      </c>
      <c r="AP104" s="60"/>
      <c r="AQ104" s="58"/>
      <c r="AR104" s="62">
        <f t="shared" si="221"/>
        <v>3</v>
      </c>
      <c r="AS104" s="60"/>
      <c r="AT104" s="58"/>
      <c r="AU104" s="62">
        <f t="shared" si="222"/>
        <v>3</v>
      </c>
      <c r="AV104" s="83">
        <f t="shared" si="223"/>
        <v>0</v>
      </c>
      <c r="AW104" s="83">
        <f t="shared" si="224"/>
        <v>0</v>
      </c>
      <c r="AX104" s="64">
        <f t="shared" si="225"/>
        <v>0</v>
      </c>
      <c r="AY104" s="65" t="e">
        <f t="shared" si="226"/>
        <v>#DIV/0!</v>
      </c>
      <c r="AZ104" s="66">
        <f t="shared" si="227"/>
        <v>0</v>
      </c>
      <c r="BA104" s="67">
        <v>3</v>
      </c>
      <c r="BB104" s="68">
        <v>1</v>
      </c>
      <c r="BC104" s="84">
        <f t="shared" si="151"/>
        <v>3</v>
      </c>
      <c r="BD104" s="83">
        <f t="shared" si="134"/>
        <v>2</v>
      </c>
      <c r="BE104" s="85">
        <v>2</v>
      </c>
      <c r="BF104" s="86">
        <v>41906.664976851855</v>
      </c>
      <c r="BG104" s="72">
        <f t="shared" si="152"/>
        <v>46265</v>
      </c>
      <c r="BH104" s="87">
        <f t="shared" si="228"/>
        <v>4358.3350231481454</v>
      </c>
      <c r="BI104" s="80" t="str">
        <f t="shared" si="135"/>
        <v>Dead Stock</v>
      </c>
      <c r="BJ104" s="238">
        <v>4038.75</v>
      </c>
    </row>
    <row r="105" spans="1:62" ht="13">
      <c r="A105" s="90"/>
      <c r="B105" s="91"/>
      <c r="C105" s="51">
        <v>102</v>
      </c>
      <c r="D105" s="113" t="s">
        <v>1514</v>
      </c>
      <c r="E105" s="114">
        <v>18</v>
      </c>
      <c r="F105" s="80" t="s">
        <v>27</v>
      </c>
      <c r="G105" s="81" t="s">
        <v>28</v>
      </c>
      <c r="H105" s="81" t="s">
        <v>289</v>
      </c>
      <c r="I105" s="80" t="s">
        <v>458</v>
      </c>
      <c r="J105" s="82">
        <f t="shared" ref="J105:J115" si="248">AU105</f>
        <v>2</v>
      </c>
      <c r="K105" s="80">
        <v>2</v>
      </c>
      <c r="L105" s="57"/>
      <c r="M105" s="58"/>
      <c r="N105" s="59">
        <f t="shared" si="211"/>
        <v>2</v>
      </c>
      <c r="O105" s="60"/>
      <c r="P105" s="58"/>
      <c r="Q105" s="59">
        <f t="shared" si="212"/>
        <v>2</v>
      </c>
      <c r="R105" s="60"/>
      <c r="S105" s="58"/>
      <c r="T105" s="61">
        <f t="shared" si="213"/>
        <v>2</v>
      </c>
      <c r="U105" s="60"/>
      <c r="V105" s="58"/>
      <c r="W105" s="59">
        <f t="shared" si="214"/>
        <v>2</v>
      </c>
      <c r="X105" s="60"/>
      <c r="Y105" s="58"/>
      <c r="Z105" s="61">
        <f t="shared" si="215"/>
        <v>2</v>
      </c>
      <c r="AA105" s="60"/>
      <c r="AB105" s="58"/>
      <c r="AC105" s="59">
        <f t="shared" si="216"/>
        <v>2</v>
      </c>
      <c r="AD105" s="57"/>
      <c r="AE105" s="58"/>
      <c r="AF105" s="243">
        <f t="shared" si="217"/>
        <v>2</v>
      </c>
      <c r="AG105" s="60"/>
      <c r="AH105" s="58"/>
      <c r="AI105" s="62">
        <f t="shared" si="218"/>
        <v>2</v>
      </c>
      <c r="AJ105" s="60"/>
      <c r="AK105" s="58"/>
      <c r="AL105" s="62">
        <f t="shared" si="219"/>
        <v>2</v>
      </c>
      <c r="AM105" s="60"/>
      <c r="AN105" s="58"/>
      <c r="AO105" s="62">
        <f t="shared" si="220"/>
        <v>2</v>
      </c>
      <c r="AP105" s="60"/>
      <c r="AQ105" s="58"/>
      <c r="AR105" s="62">
        <f t="shared" si="221"/>
        <v>2</v>
      </c>
      <c r="AS105" s="60"/>
      <c r="AT105" s="58"/>
      <c r="AU105" s="62">
        <f t="shared" si="222"/>
        <v>2</v>
      </c>
      <c r="AV105" s="83">
        <f t="shared" si="223"/>
        <v>0</v>
      </c>
      <c r="AW105" s="83">
        <f t="shared" si="224"/>
        <v>0</v>
      </c>
      <c r="AX105" s="64">
        <f t="shared" si="225"/>
        <v>0</v>
      </c>
      <c r="AY105" s="65" t="e">
        <f t="shared" si="226"/>
        <v>#DIV/0!</v>
      </c>
      <c r="AZ105" s="66">
        <f t="shared" si="227"/>
        <v>0</v>
      </c>
      <c r="BA105" s="67">
        <f>MAX(0, Table176252626[[#This Row],[Column6]])</f>
        <v>2</v>
      </c>
      <c r="BB105" s="68">
        <v>1</v>
      </c>
      <c r="BC105" s="84">
        <f t="shared" si="151"/>
        <v>2</v>
      </c>
      <c r="BD105" s="83">
        <f t="shared" si="134"/>
        <v>1</v>
      </c>
      <c r="BE105" s="85">
        <v>2</v>
      </c>
      <c r="BF105" s="86">
        <v>42075.693425925929</v>
      </c>
      <c r="BG105" s="72">
        <f t="shared" si="152"/>
        <v>46265</v>
      </c>
      <c r="BH105" s="87">
        <f t="shared" si="228"/>
        <v>4189.3065740740712</v>
      </c>
      <c r="BI105" s="80" t="str">
        <f t="shared" si="135"/>
        <v>Dead Stock</v>
      </c>
      <c r="BJ105" s="238">
        <v>660</v>
      </c>
    </row>
    <row r="106" spans="1:62" ht="13">
      <c r="A106" s="49"/>
      <c r="B106" s="50"/>
      <c r="C106" s="51">
        <v>103</v>
      </c>
      <c r="D106" s="113" t="s">
        <v>1514</v>
      </c>
      <c r="E106" s="114">
        <v>19</v>
      </c>
      <c r="F106" s="80" t="s">
        <v>51</v>
      </c>
      <c r="G106" s="81" t="s">
        <v>52</v>
      </c>
      <c r="H106" s="81" t="s">
        <v>289</v>
      </c>
      <c r="I106" s="80" t="s">
        <v>458</v>
      </c>
      <c r="J106" s="82">
        <f t="shared" si="248"/>
        <v>1</v>
      </c>
      <c r="K106" s="80">
        <v>1</v>
      </c>
      <c r="L106" s="57"/>
      <c r="M106" s="58"/>
      <c r="N106" s="59">
        <f t="shared" si="211"/>
        <v>1</v>
      </c>
      <c r="O106" s="60"/>
      <c r="P106" s="58"/>
      <c r="Q106" s="59">
        <f t="shared" si="212"/>
        <v>1</v>
      </c>
      <c r="R106" s="60"/>
      <c r="S106" s="58"/>
      <c r="T106" s="61">
        <f t="shared" si="213"/>
        <v>1</v>
      </c>
      <c r="U106" s="60"/>
      <c r="V106" s="58"/>
      <c r="W106" s="59">
        <f t="shared" si="214"/>
        <v>1</v>
      </c>
      <c r="X106" s="60"/>
      <c r="Y106" s="58"/>
      <c r="Z106" s="61">
        <f t="shared" si="215"/>
        <v>1</v>
      </c>
      <c r="AA106" s="60"/>
      <c r="AB106" s="58"/>
      <c r="AC106" s="59">
        <f t="shared" si="216"/>
        <v>1</v>
      </c>
      <c r="AD106" s="57"/>
      <c r="AE106" s="58"/>
      <c r="AF106" s="243">
        <f t="shared" si="217"/>
        <v>1</v>
      </c>
      <c r="AG106" s="60"/>
      <c r="AH106" s="58"/>
      <c r="AI106" s="62">
        <f t="shared" si="218"/>
        <v>1</v>
      </c>
      <c r="AJ106" s="60"/>
      <c r="AK106" s="58"/>
      <c r="AL106" s="62">
        <f t="shared" si="219"/>
        <v>1</v>
      </c>
      <c r="AM106" s="60"/>
      <c r="AN106" s="58"/>
      <c r="AO106" s="62">
        <f t="shared" si="220"/>
        <v>1</v>
      </c>
      <c r="AP106" s="60"/>
      <c r="AQ106" s="58"/>
      <c r="AR106" s="62">
        <f t="shared" si="221"/>
        <v>1</v>
      </c>
      <c r="AS106" s="60"/>
      <c r="AT106" s="58"/>
      <c r="AU106" s="62">
        <f t="shared" si="222"/>
        <v>1</v>
      </c>
      <c r="AV106" s="83">
        <f t="shared" si="223"/>
        <v>0</v>
      </c>
      <c r="AW106" s="83">
        <f t="shared" si="224"/>
        <v>0</v>
      </c>
      <c r="AX106" s="64">
        <f t="shared" si="225"/>
        <v>0</v>
      </c>
      <c r="AY106" s="65" t="e">
        <f t="shared" si="226"/>
        <v>#DIV/0!</v>
      </c>
      <c r="AZ106" s="66">
        <f t="shared" si="227"/>
        <v>0</v>
      </c>
      <c r="BA106" s="67">
        <f>MAX(0, Table176252626[[#This Row],[Column6]])</f>
        <v>1</v>
      </c>
      <c r="BB106" s="68">
        <v>0</v>
      </c>
      <c r="BC106" s="84">
        <f t="shared" si="151"/>
        <v>1</v>
      </c>
      <c r="BD106" s="83">
        <f t="shared" si="134"/>
        <v>1</v>
      </c>
      <c r="BE106" s="85">
        <v>2</v>
      </c>
      <c r="BF106" s="86">
        <v>43739.384652777779</v>
      </c>
      <c r="BG106" s="72">
        <f t="shared" si="152"/>
        <v>46265</v>
      </c>
      <c r="BH106" s="87">
        <f t="shared" si="228"/>
        <v>2525.6153472222213</v>
      </c>
      <c r="BI106" s="80" t="str">
        <f t="shared" si="135"/>
        <v>Dead Stock</v>
      </c>
      <c r="BJ106" s="238">
        <v>1803</v>
      </c>
    </row>
    <row r="107" spans="1:62" ht="13">
      <c r="A107" s="75"/>
      <c r="B107" s="76"/>
      <c r="C107" s="77">
        <v>104</v>
      </c>
      <c r="D107" s="113" t="s">
        <v>1514</v>
      </c>
      <c r="E107" s="114">
        <v>20</v>
      </c>
      <c r="F107" s="80" t="s">
        <v>245</v>
      </c>
      <c r="G107" s="81" t="s">
        <v>246</v>
      </c>
      <c r="H107" s="81" t="s">
        <v>289</v>
      </c>
      <c r="I107" s="80" t="s">
        <v>458</v>
      </c>
      <c r="J107" s="82">
        <f t="shared" si="248"/>
        <v>3</v>
      </c>
      <c r="K107" s="80">
        <v>3</v>
      </c>
      <c r="L107" s="57"/>
      <c r="M107" s="58"/>
      <c r="N107" s="59">
        <f t="shared" si="211"/>
        <v>3</v>
      </c>
      <c r="O107" s="60"/>
      <c r="P107" s="58"/>
      <c r="Q107" s="59">
        <f t="shared" ref="Q107" si="249">SUM(N107+O107-P107)</f>
        <v>3</v>
      </c>
      <c r="R107" s="60"/>
      <c r="S107" s="58"/>
      <c r="T107" s="61">
        <f t="shared" si="213"/>
        <v>3</v>
      </c>
      <c r="U107" s="60"/>
      <c r="V107" s="58"/>
      <c r="W107" s="59">
        <f t="shared" si="214"/>
        <v>3</v>
      </c>
      <c r="X107" s="60"/>
      <c r="Y107" s="58"/>
      <c r="Z107" s="61">
        <f t="shared" si="215"/>
        <v>3</v>
      </c>
      <c r="AA107" s="60"/>
      <c r="AB107" s="58"/>
      <c r="AC107" s="59">
        <f t="shared" si="216"/>
        <v>3</v>
      </c>
      <c r="AD107" s="57"/>
      <c r="AE107" s="58"/>
      <c r="AF107" s="243">
        <f t="shared" ref="AF107" si="250">SUM(AC107+AD107-AE107)</f>
        <v>3</v>
      </c>
      <c r="AG107" s="60"/>
      <c r="AH107" s="58"/>
      <c r="AI107" s="62">
        <f t="shared" ref="AI107" si="251">SUM(AF107+AG107-AH107)</f>
        <v>3</v>
      </c>
      <c r="AJ107" s="60"/>
      <c r="AK107" s="58"/>
      <c r="AL107" s="62">
        <f t="shared" ref="AL107" si="252">SUM(AI107+AJ107-AK107)</f>
        <v>3</v>
      </c>
      <c r="AM107" s="60"/>
      <c r="AN107" s="58"/>
      <c r="AO107" s="62">
        <f t="shared" si="220"/>
        <v>3</v>
      </c>
      <c r="AP107" s="60"/>
      <c r="AQ107" s="58"/>
      <c r="AR107" s="62">
        <f t="shared" si="221"/>
        <v>3</v>
      </c>
      <c r="AS107" s="60"/>
      <c r="AT107" s="58"/>
      <c r="AU107" s="62">
        <f t="shared" si="222"/>
        <v>3</v>
      </c>
      <c r="AV107" s="83">
        <f t="shared" ref="AV107:AW107" si="253">SUM(L107+O107+R107+U107+X107+AA107+AD107+AG107+AJ107+AM107+AP107+AS107)</f>
        <v>0</v>
      </c>
      <c r="AW107" s="83">
        <f t="shared" si="253"/>
        <v>0</v>
      </c>
      <c r="AX107" s="64">
        <f t="shared" si="225"/>
        <v>0</v>
      </c>
      <c r="AY107" s="65" t="e">
        <f t="shared" si="226"/>
        <v>#DIV/0!</v>
      </c>
      <c r="AZ107" s="66">
        <f t="shared" si="227"/>
        <v>0</v>
      </c>
      <c r="BA107" s="67">
        <v>3</v>
      </c>
      <c r="BB107" s="68">
        <v>1</v>
      </c>
      <c r="BC107" s="84">
        <f t="shared" si="151"/>
        <v>3</v>
      </c>
      <c r="BD107" s="83">
        <f t="shared" si="134"/>
        <v>2</v>
      </c>
      <c r="BE107" s="85">
        <v>2</v>
      </c>
      <c r="BF107" s="86">
        <v>43266.423750000002</v>
      </c>
      <c r="BG107" s="72">
        <f t="shared" si="152"/>
        <v>46265</v>
      </c>
      <c r="BH107" s="87">
        <f t="shared" ref="BH107" si="254">BG107-BF107</f>
        <v>2998.5762499999983</v>
      </c>
      <c r="BI107" s="80" t="str">
        <f t="shared" si="135"/>
        <v>Dead Stock</v>
      </c>
      <c r="BJ107" s="238">
        <v>1165</v>
      </c>
    </row>
    <row r="108" spans="1:62" ht="13">
      <c r="A108" s="75"/>
      <c r="B108" s="76"/>
      <c r="C108" s="77">
        <v>105</v>
      </c>
      <c r="D108" s="113" t="s">
        <v>1514</v>
      </c>
      <c r="E108" s="114">
        <v>21</v>
      </c>
      <c r="F108" s="80" t="s">
        <v>124</v>
      </c>
      <c r="G108" s="81" t="s">
        <v>125</v>
      </c>
      <c r="H108" s="81" t="s">
        <v>289</v>
      </c>
      <c r="I108" s="80" t="s">
        <v>458</v>
      </c>
      <c r="J108" s="82">
        <f t="shared" si="248"/>
        <v>2</v>
      </c>
      <c r="K108" s="80">
        <v>2</v>
      </c>
      <c r="L108" s="57"/>
      <c r="M108" s="58"/>
      <c r="N108" s="59">
        <f t="shared" si="211"/>
        <v>2</v>
      </c>
      <c r="O108" s="60"/>
      <c r="P108" s="58"/>
      <c r="Q108" s="59">
        <f t="shared" ref="Q108:Q115" si="255">SUM(N108+O108-P108)</f>
        <v>2</v>
      </c>
      <c r="R108" s="60"/>
      <c r="S108" s="58"/>
      <c r="T108" s="61">
        <f t="shared" si="213"/>
        <v>2</v>
      </c>
      <c r="U108" s="60"/>
      <c r="V108" s="58"/>
      <c r="W108" s="59">
        <f t="shared" si="214"/>
        <v>2</v>
      </c>
      <c r="X108" s="60"/>
      <c r="Y108" s="58"/>
      <c r="Z108" s="61">
        <f t="shared" si="215"/>
        <v>2</v>
      </c>
      <c r="AA108" s="60"/>
      <c r="AB108" s="58"/>
      <c r="AC108" s="59">
        <f t="shared" si="216"/>
        <v>2</v>
      </c>
      <c r="AD108" s="57"/>
      <c r="AE108" s="58"/>
      <c r="AF108" s="243">
        <f t="shared" ref="AF108:AF115" si="256">SUM(AC108+AD108-AE108)</f>
        <v>2</v>
      </c>
      <c r="AG108" s="60"/>
      <c r="AH108" s="58"/>
      <c r="AI108" s="62">
        <f t="shared" ref="AI108:AI115" si="257">SUM(AF108+AG108-AH108)</f>
        <v>2</v>
      </c>
      <c r="AJ108" s="60"/>
      <c r="AK108" s="58"/>
      <c r="AL108" s="62">
        <f t="shared" ref="AL108:AL115" si="258">SUM(AI108+AJ108-AK108)</f>
        <v>2</v>
      </c>
      <c r="AM108" s="60"/>
      <c r="AN108" s="58"/>
      <c r="AO108" s="62">
        <f t="shared" si="220"/>
        <v>2</v>
      </c>
      <c r="AP108" s="60"/>
      <c r="AQ108" s="58"/>
      <c r="AR108" s="62">
        <f t="shared" si="221"/>
        <v>2</v>
      </c>
      <c r="AS108" s="60"/>
      <c r="AT108" s="58"/>
      <c r="AU108" s="62">
        <f t="shared" si="222"/>
        <v>2</v>
      </c>
      <c r="AV108" s="83">
        <f t="shared" ref="AV108:AW112" si="259">SUM(L108+O108+R108+U108+X108+AA108+AD108+AG108+AJ108+AM108+AP108+AS108)</f>
        <v>0</v>
      </c>
      <c r="AW108" s="83">
        <f t="shared" si="259"/>
        <v>0</v>
      </c>
      <c r="AX108" s="64">
        <f t="shared" si="225"/>
        <v>0</v>
      </c>
      <c r="AY108" s="65" t="e">
        <f t="shared" si="226"/>
        <v>#DIV/0!</v>
      </c>
      <c r="AZ108" s="66">
        <f t="shared" si="227"/>
        <v>0</v>
      </c>
      <c r="BA108" s="67">
        <f>MAX(0, Table176252626[[#This Row],[Column6]])</f>
        <v>2</v>
      </c>
      <c r="BB108" s="68">
        <v>1</v>
      </c>
      <c r="BC108" s="84">
        <f t="shared" si="151"/>
        <v>2</v>
      </c>
      <c r="BD108" s="83">
        <f t="shared" si="134"/>
        <v>1</v>
      </c>
      <c r="BE108" s="85">
        <v>2</v>
      </c>
      <c r="BF108" s="86">
        <v>42927.670358796298</v>
      </c>
      <c r="BG108" s="72">
        <f t="shared" si="152"/>
        <v>46265</v>
      </c>
      <c r="BH108" s="87">
        <f t="shared" ref="BH108:BH115" si="260">BG108-BF108</f>
        <v>3337.3296412037016</v>
      </c>
      <c r="BI108" s="80" t="str">
        <f t="shared" si="135"/>
        <v>Dead Stock</v>
      </c>
      <c r="BJ108" s="238">
        <v>3744</v>
      </c>
    </row>
    <row r="109" spans="1:62" ht="13">
      <c r="A109" s="75"/>
      <c r="B109" s="76"/>
      <c r="C109" s="51">
        <v>106</v>
      </c>
      <c r="D109" s="113" t="s">
        <v>1514</v>
      </c>
      <c r="E109" s="114">
        <v>22</v>
      </c>
      <c r="F109" s="80" t="s">
        <v>589</v>
      </c>
      <c r="G109" s="81" t="s">
        <v>1180</v>
      </c>
      <c r="H109" s="81" t="s">
        <v>289</v>
      </c>
      <c r="I109" s="80" t="s">
        <v>458</v>
      </c>
      <c r="J109" s="82">
        <f t="shared" si="248"/>
        <v>1</v>
      </c>
      <c r="K109" s="80">
        <v>1</v>
      </c>
      <c r="L109" s="57"/>
      <c r="M109" s="58"/>
      <c r="N109" s="59">
        <f t="shared" si="211"/>
        <v>1</v>
      </c>
      <c r="O109" s="60"/>
      <c r="P109" s="58"/>
      <c r="Q109" s="59">
        <f t="shared" si="255"/>
        <v>1</v>
      </c>
      <c r="R109" s="60"/>
      <c r="S109" s="58"/>
      <c r="T109" s="61">
        <f t="shared" si="213"/>
        <v>1</v>
      </c>
      <c r="U109" s="60"/>
      <c r="V109" s="58"/>
      <c r="W109" s="59">
        <f t="shared" si="214"/>
        <v>1</v>
      </c>
      <c r="X109" s="60"/>
      <c r="Y109" s="58"/>
      <c r="Z109" s="61">
        <f t="shared" si="215"/>
        <v>1</v>
      </c>
      <c r="AA109" s="60"/>
      <c r="AB109" s="58"/>
      <c r="AC109" s="59">
        <f t="shared" si="216"/>
        <v>1</v>
      </c>
      <c r="AD109" s="57"/>
      <c r="AE109" s="58"/>
      <c r="AF109" s="243">
        <f t="shared" si="256"/>
        <v>1</v>
      </c>
      <c r="AG109" s="60"/>
      <c r="AH109" s="58"/>
      <c r="AI109" s="62">
        <f t="shared" si="257"/>
        <v>1</v>
      </c>
      <c r="AJ109" s="60"/>
      <c r="AK109" s="58"/>
      <c r="AL109" s="62">
        <f t="shared" si="258"/>
        <v>1</v>
      </c>
      <c r="AM109" s="60"/>
      <c r="AN109" s="58"/>
      <c r="AO109" s="62">
        <f t="shared" si="220"/>
        <v>1</v>
      </c>
      <c r="AP109" s="60"/>
      <c r="AQ109" s="58"/>
      <c r="AR109" s="62">
        <f t="shared" si="221"/>
        <v>1</v>
      </c>
      <c r="AS109" s="60"/>
      <c r="AT109" s="58"/>
      <c r="AU109" s="62">
        <f t="shared" si="222"/>
        <v>1</v>
      </c>
      <c r="AV109" s="83">
        <f t="shared" si="259"/>
        <v>0</v>
      </c>
      <c r="AW109" s="83">
        <f t="shared" si="259"/>
        <v>0</v>
      </c>
      <c r="AX109" s="64">
        <f t="shared" si="225"/>
        <v>0</v>
      </c>
      <c r="AY109" s="65" t="e">
        <f t="shared" si="226"/>
        <v>#DIV/0!</v>
      </c>
      <c r="AZ109" s="66">
        <f t="shared" si="227"/>
        <v>0</v>
      </c>
      <c r="BA109" s="67">
        <f>MAX(0, Table176252626[[#This Row],[Column6]])</f>
        <v>1</v>
      </c>
      <c r="BB109" s="68">
        <v>0</v>
      </c>
      <c r="BC109" s="84">
        <f t="shared" si="151"/>
        <v>1</v>
      </c>
      <c r="BD109" s="83">
        <f t="shared" si="134"/>
        <v>1</v>
      </c>
      <c r="BE109" s="85">
        <v>2</v>
      </c>
      <c r="BF109" s="86">
        <v>43306.657592592594</v>
      </c>
      <c r="BG109" s="72">
        <f t="shared" si="152"/>
        <v>46265</v>
      </c>
      <c r="BH109" s="87">
        <f t="shared" si="260"/>
        <v>2958.3424074074064</v>
      </c>
      <c r="BI109" s="80" t="str">
        <f t="shared" si="135"/>
        <v>Dead Stock</v>
      </c>
      <c r="BJ109" s="238">
        <v>3000</v>
      </c>
    </row>
    <row r="110" spans="1:62" ht="13">
      <c r="A110" s="49"/>
      <c r="B110" s="50"/>
      <c r="C110" s="51">
        <v>107</v>
      </c>
      <c r="D110" s="113" t="s">
        <v>1514</v>
      </c>
      <c r="E110" s="114">
        <v>23</v>
      </c>
      <c r="F110" s="80" t="s">
        <v>621</v>
      </c>
      <c r="G110" s="81" t="s">
        <v>622</v>
      </c>
      <c r="H110" s="81" t="s">
        <v>289</v>
      </c>
      <c r="I110" s="80" t="s">
        <v>458</v>
      </c>
      <c r="J110" s="82">
        <f t="shared" si="248"/>
        <v>2</v>
      </c>
      <c r="K110" s="80">
        <v>2</v>
      </c>
      <c r="L110" s="57"/>
      <c r="M110" s="58"/>
      <c r="N110" s="59">
        <f t="shared" si="211"/>
        <v>2</v>
      </c>
      <c r="O110" s="60"/>
      <c r="P110" s="58"/>
      <c r="Q110" s="59">
        <f t="shared" si="255"/>
        <v>2</v>
      </c>
      <c r="R110" s="60"/>
      <c r="S110" s="58"/>
      <c r="T110" s="61">
        <f t="shared" si="213"/>
        <v>2</v>
      </c>
      <c r="U110" s="60"/>
      <c r="V110" s="58"/>
      <c r="W110" s="59">
        <f t="shared" si="214"/>
        <v>2</v>
      </c>
      <c r="X110" s="60"/>
      <c r="Y110" s="58"/>
      <c r="Z110" s="61">
        <f t="shared" si="215"/>
        <v>2</v>
      </c>
      <c r="AA110" s="60"/>
      <c r="AB110" s="58"/>
      <c r="AC110" s="59">
        <f t="shared" si="216"/>
        <v>2</v>
      </c>
      <c r="AD110" s="57"/>
      <c r="AE110" s="58"/>
      <c r="AF110" s="243">
        <f t="shared" si="256"/>
        <v>2</v>
      </c>
      <c r="AG110" s="60"/>
      <c r="AH110" s="58"/>
      <c r="AI110" s="62">
        <f t="shared" si="257"/>
        <v>2</v>
      </c>
      <c r="AJ110" s="60"/>
      <c r="AK110" s="58"/>
      <c r="AL110" s="62">
        <f t="shared" si="258"/>
        <v>2</v>
      </c>
      <c r="AM110" s="60"/>
      <c r="AN110" s="58"/>
      <c r="AO110" s="62">
        <f t="shared" si="220"/>
        <v>2</v>
      </c>
      <c r="AP110" s="60"/>
      <c r="AQ110" s="58"/>
      <c r="AR110" s="62">
        <f t="shared" si="221"/>
        <v>2</v>
      </c>
      <c r="AS110" s="60"/>
      <c r="AT110" s="58"/>
      <c r="AU110" s="62">
        <f t="shared" si="222"/>
        <v>2</v>
      </c>
      <c r="AV110" s="83">
        <f t="shared" si="259"/>
        <v>0</v>
      </c>
      <c r="AW110" s="83">
        <f t="shared" si="259"/>
        <v>0</v>
      </c>
      <c r="AX110" s="64">
        <f t="shared" si="225"/>
        <v>0</v>
      </c>
      <c r="AY110" s="65" t="e">
        <f t="shared" si="226"/>
        <v>#DIV/0!</v>
      </c>
      <c r="AZ110" s="66">
        <f t="shared" si="227"/>
        <v>0</v>
      </c>
      <c r="BA110" s="67">
        <f>MAX(0, Table176252626[[#This Row],[Column6]])</f>
        <v>2</v>
      </c>
      <c r="BB110" s="68">
        <v>1</v>
      </c>
      <c r="BC110" s="84">
        <f t="shared" si="151"/>
        <v>2</v>
      </c>
      <c r="BD110" s="83">
        <f t="shared" si="134"/>
        <v>1</v>
      </c>
      <c r="BE110" s="85">
        <v>2</v>
      </c>
      <c r="BF110" s="86">
        <v>43374.68953703704</v>
      </c>
      <c r="BG110" s="72">
        <f t="shared" si="152"/>
        <v>46265</v>
      </c>
      <c r="BH110" s="87">
        <f t="shared" si="260"/>
        <v>2890.3104629629597</v>
      </c>
      <c r="BI110" s="80" t="str">
        <f t="shared" si="135"/>
        <v>Dead Stock</v>
      </c>
      <c r="BJ110" s="238">
        <v>995</v>
      </c>
    </row>
    <row r="111" spans="1:62" ht="13">
      <c r="A111" s="49"/>
      <c r="B111" s="50"/>
      <c r="C111" s="51">
        <v>108</v>
      </c>
      <c r="D111" s="113" t="s">
        <v>1514</v>
      </c>
      <c r="E111" s="114">
        <v>24</v>
      </c>
      <c r="F111" s="80" t="s">
        <v>86</v>
      </c>
      <c r="G111" s="81" t="s">
        <v>1070</v>
      </c>
      <c r="H111" s="81" t="s">
        <v>289</v>
      </c>
      <c r="I111" s="80" t="s">
        <v>458</v>
      </c>
      <c r="J111" s="82">
        <f t="shared" si="248"/>
        <v>3</v>
      </c>
      <c r="K111" s="80">
        <v>5</v>
      </c>
      <c r="L111" s="57"/>
      <c r="M111" s="58"/>
      <c r="N111" s="59">
        <f t="shared" si="211"/>
        <v>5</v>
      </c>
      <c r="O111" s="60"/>
      <c r="P111" s="58"/>
      <c r="Q111" s="59">
        <f t="shared" si="255"/>
        <v>5</v>
      </c>
      <c r="R111" s="60"/>
      <c r="S111" s="58"/>
      <c r="T111" s="61">
        <f t="shared" si="213"/>
        <v>5</v>
      </c>
      <c r="U111" s="60"/>
      <c r="V111" s="58"/>
      <c r="W111" s="59">
        <f t="shared" si="214"/>
        <v>5</v>
      </c>
      <c r="X111" s="60"/>
      <c r="Y111" s="58">
        <v>2</v>
      </c>
      <c r="Z111" s="61">
        <f t="shared" si="215"/>
        <v>3</v>
      </c>
      <c r="AA111" s="60"/>
      <c r="AB111" s="58"/>
      <c r="AC111" s="59">
        <f t="shared" si="216"/>
        <v>3</v>
      </c>
      <c r="AD111" s="57"/>
      <c r="AE111" s="58"/>
      <c r="AF111" s="243">
        <f t="shared" si="256"/>
        <v>3</v>
      </c>
      <c r="AG111" s="60"/>
      <c r="AH111" s="58"/>
      <c r="AI111" s="62">
        <f t="shared" si="257"/>
        <v>3</v>
      </c>
      <c r="AJ111" s="60"/>
      <c r="AK111" s="58"/>
      <c r="AL111" s="62">
        <f t="shared" si="258"/>
        <v>3</v>
      </c>
      <c r="AM111" s="60"/>
      <c r="AN111" s="58"/>
      <c r="AO111" s="62">
        <f t="shared" si="220"/>
        <v>3</v>
      </c>
      <c r="AP111" s="60"/>
      <c r="AQ111" s="58"/>
      <c r="AR111" s="62">
        <f t="shared" si="221"/>
        <v>3</v>
      </c>
      <c r="AS111" s="60"/>
      <c r="AT111" s="58"/>
      <c r="AU111" s="62">
        <f t="shared" si="222"/>
        <v>3</v>
      </c>
      <c r="AV111" s="83">
        <f t="shared" si="259"/>
        <v>0</v>
      </c>
      <c r="AW111" s="83">
        <f t="shared" si="259"/>
        <v>2</v>
      </c>
      <c r="AX111" s="64">
        <f t="shared" si="225"/>
        <v>2</v>
      </c>
      <c r="AY111" s="65">
        <f t="shared" si="226"/>
        <v>2</v>
      </c>
      <c r="AZ111" s="66">
        <f t="shared" si="227"/>
        <v>1</v>
      </c>
      <c r="BA111" s="67">
        <v>3</v>
      </c>
      <c r="BB111" s="68">
        <v>1</v>
      </c>
      <c r="BC111" s="84">
        <f t="shared" si="151"/>
        <v>3</v>
      </c>
      <c r="BD111" s="83">
        <f t="shared" si="134"/>
        <v>2</v>
      </c>
      <c r="BE111" s="85">
        <v>2</v>
      </c>
      <c r="BF111" s="86">
        <v>43290.692303240743</v>
      </c>
      <c r="BG111" s="72">
        <f t="shared" si="152"/>
        <v>46265</v>
      </c>
      <c r="BH111" s="87">
        <f t="shared" si="260"/>
        <v>2974.3076967592569</v>
      </c>
      <c r="BI111" s="80" t="str">
        <f t="shared" si="135"/>
        <v>Dead Stock</v>
      </c>
      <c r="BJ111" s="238">
        <v>1733</v>
      </c>
    </row>
    <row r="112" spans="1:62" ht="13">
      <c r="A112" s="49"/>
      <c r="B112" s="76"/>
      <c r="C112" s="51">
        <v>109</v>
      </c>
      <c r="D112" s="113" t="s">
        <v>1514</v>
      </c>
      <c r="E112" s="114">
        <v>25</v>
      </c>
      <c r="F112" s="80" t="s">
        <v>730</v>
      </c>
      <c r="G112" s="81" t="s">
        <v>731</v>
      </c>
      <c r="H112" s="81" t="s">
        <v>294</v>
      </c>
      <c r="I112" s="80" t="s">
        <v>458</v>
      </c>
      <c r="J112" s="82">
        <f t="shared" si="248"/>
        <v>1</v>
      </c>
      <c r="K112" s="80">
        <v>1</v>
      </c>
      <c r="L112" s="57"/>
      <c r="M112" s="58"/>
      <c r="N112" s="59">
        <f t="shared" si="211"/>
        <v>1</v>
      </c>
      <c r="O112" s="60"/>
      <c r="P112" s="58"/>
      <c r="Q112" s="59">
        <f t="shared" si="255"/>
        <v>1</v>
      </c>
      <c r="R112" s="60"/>
      <c r="S112" s="58"/>
      <c r="T112" s="61">
        <f t="shared" si="213"/>
        <v>1</v>
      </c>
      <c r="U112" s="60"/>
      <c r="V112" s="58"/>
      <c r="W112" s="59">
        <f t="shared" si="214"/>
        <v>1</v>
      </c>
      <c r="X112" s="60"/>
      <c r="Y112" s="58"/>
      <c r="Z112" s="61">
        <f t="shared" si="215"/>
        <v>1</v>
      </c>
      <c r="AA112" s="60"/>
      <c r="AB112" s="58"/>
      <c r="AC112" s="59">
        <f t="shared" si="216"/>
        <v>1</v>
      </c>
      <c r="AD112" s="57"/>
      <c r="AE112" s="58"/>
      <c r="AF112" s="243">
        <f t="shared" si="256"/>
        <v>1</v>
      </c>
      <c r="AG112" s="60"/>
      <c r="AH112" s="58"/>
      <c r="AI112" s="62">
        <f t="shared" si="257"/>
        <v>1</v>
      </c>
      <c r="AJ112" s="60"/>
      <c r="AK112" s="58"/>
      <c r="AL112" s="62">
        <f t="shared" si="258"/>
        <v>1</v>
      </c>
      <c r="AM112" s="60"/>
      <c r="AN112" s="58"/>
      <c r="AO112" s="62">
        <f t="shared" si="220"/>
        <v>1</v>
      </c>
      <c r="AP112" s="60"/>
      <c r="AQ112" s="58"/>
      <c r="AR112" s="62">
        <f t="shared" si="221"/>
        <v>1</v>
      </c>
      <c r="AS112" s="60"/>
      <c r="AT112" s="58"/>
      <c r="AU112" s="62">
        <f t="shared" si="222"/>
        <v>1</v>
      </c>
      <c r="AV112" s="83">
        <f t="shared" si="259"/>
        <v>0</v>
      </c>
      <c r="AW112" s="83">
        <f t="shared" si="259"/>
        <v>0</v>
      </c>
      <c r="AX112" s="64">
        <f t="shared" si="225"/>
        <v>0</v>
      </c>
      <c r="AY112" s="65" t="e">
        <f t="shared" si="226"/>
        <v>#DIV/0!</v>
      </c>
      <c r="AZ112" s="66">
        <f t="shared" si="227"/>
        <v>0</v>
      </c>
      <c r="BA112" s="67">
        <f>MAX(0, Table176252626[[#This Row],[Column6]])</f>
        <v>1</v>
      </c>
      <c r="BB112" s="68">
        <v>0</v>
      </c>
      <c r="BC112" s="84">
        <f t="shared" si="151"/>
        <v>1</v>
      </c>
      <c r="BD112" s="83">
        <f t="shared" si="134"/>
        <v>1</v>
      </c>
      <c r="BE112" s="85">
        <v>2</v>
      </c>
      <c r="BF112" s="86">
        <v>45013.646319444444</v>
      </c>
      <c r="BG112" s="72">
        <f t="shared" si="152"/>
        <v>46265</v>
      </c>
      <c r="BH112" s="87">
        <f t="shared" si="260"/>
        <v>1251.3536805555559</v>
      </c>
      <c r="BI112" s="80" t="str">
        <f t="shared" si="135"/>
        <v>Dead Stock</v>
      </c>
      <c r="BJ112" s="238">
        <v>24510</v>
      </c>
    </row>
    <row r="113" spans="1:62" ht="13">
      <c r="A113" s="49"/>
      <c r="B113" s="76"/>
      <c r="C113" s="77">
        <v>110</v>
      </c>
      <c r="D113" s="113" t="s">
        <v>1514</v>
      </c>
      <c r="E113" s="114">
        <v>26</v>
      </c>
      <c r="F113" s="105" t="s">
        <v>115</v>
      </c>
      <c r="G113" s="81" t="s">
        <v>116</v>
      </c>
      <c r="H113" s="81" t="s">
        <v>289</v>
      </c>
      <c r="I113" s="80" t="s">
        <v>458</v>
      </c>
      <c r="J113" s="82">
        <f t="shared" si="248"/>
        <v>2</v>
      </c>
      <c r="K113" s="80">
        <v>2</v>
      </c>
      <c r="L113" s="57"/>
      <c r="M113" s="58"/>
      <c r="N113" s="59">
        <f t="shared" si="211"/>
        <v>2</v>
      </c>
      <c r="O113" s="60"/>
      <c r="P113" s="58"/>
      <c r="Q113" s="59">
        <f t="shared" si="255"/>
        <v>2</v>
      </c>
      <c r="R113" s="60"/>
      <c r="S113" s="58"/>
      <c r="T113" s="61">
        <f t="shared" si="213"/>
        <v>2</v>
      </c>
      <c r="U113" s="60"/>
      <c r="V113" s="58"/>
      <c r="W113" s="59">
        <f t="shared" si="214"/>
        <v>2</v>
      </c>
      <c r="X113" s="60"/>
      <c r="Y113" s="58"/>
      <c r="Z113" s="61">
        <f t="shared" si="215"/>
        <v>2</v>
      </c>
      <c r="AA113" s="60"/>
      <c r="AB113" s="58"/>
      <c r="AC113" s="59">
        <f t="shared" si="216"/>
        <v>2</v>
      </c>
      <c r="AD113" s="57"/>
      <c r="AE113" s="58"/>
      <c r="AF113" s="243">
        <f t="shared" si="256"/>
        <v>2</v>
      </c>
      <c r="AG113" s="60"/>
      <c r="AH113" s="58"/>
      <c r="AI113" s="62">
        <f t="shared" si="257"/>
        <v>2</v>
      </c>
      <c r="AJ113" s="60"/>
      <c r="AK113" s="58"/>
      <c r="AL113" s="62">
        <f t="shared" si="258"/>
        <v>2</v>
      </c>
      <c r="AM113" s="60"/>
      <c r="AN113" s="58"/>
      <c r="AO113" s="62">
        <f t="shared" si="220"/>
        <v>2</v>
      </c>
      <c r="AP113" s="60"/>
      <c r="AQ113" s="58"/>
      <c r="AR113" s="62">
        <f t="shared" si="221"/>
        <v>2</v>
      </c>
      <c r="AS113" s="60"/>
      <c r="AT113" s="58"/>
      <c r="AU113" s="62">
        <f t="shared" si="222"/>
        <v>2</v>
      </c>
      <c r="AV113" s="83">
        <f t="shared" ref="AV113:AW113" si="261">SUM(L113+O113+R113+U113+X113+AA113+AD113+AG113+AJ113+AM113+AP113+AS113)</f>
        <v>0</v>
      </c>
      <c r="AW113" s="83">
        <f t="shared" si="261"/>
        <v>0</v>
      </c>
      <c r="AX113" s="64">
        <f t="shared" si="225"/>
        <v>0</v>
      </c>
      <c r="AY113" s="65" t="e">
        <f t="shared" si="226"/>
        <v>#DIV/0!</v>
      </c>
      <c r="AZ113" s="66">
        <f t="shared" si="227"/>
        <v>0</v>
      </c>
      <c r="BA113" s="67">
        <f>MAX(0, Table176252626[[#This Row],[Column6]])</f>
        <v>2</v>
      </c>
      <c r="BB113" s="68">
        <v>1</v>
      </c>
      <c r="BC113" s="84">
        <f t="shared" si="151"/>
        <v>2</v>
      </c>
      <c r="BD113" s="83">
        <f t="shared" si="134"/>
        <v>1</v>
      </c>
      <c r="BE113" s="85">
        <v>2</v>
      </c>
      <c r="BF113" s="86">
        <v>43784.609467592592</v>
      </c>
      <c r="BG113" s="72">
        <f t="shared" si="152"/>
        <v>46265</v>
      </c>
      <c r="BH113" s="87">
        <f t="shared" si="260"/>
        <v>2480.3905324074076</v>
      </c>
      <c r="BI113" s="80" t="str">
        <f t="shared" si="135"/>
        <v>Dead Stock</v>
      </c>
      <c r="BJ113" s="238">
        <v>4093.5</v>
      </c>
    </row>
    <row r="114" spans="1:62" ht="13">
      <c r="A114" s="49"/>
      <c r="B114" s="50"/>
      <c r="C114" s="77">
        <v>111</v>
      </c>
      <c r="D114" s="113" t="s">
        <v>1514</v>
      </c>
      <c r="E114" s="114">
        <v>27</v>
      </c>
      <c r="F114" s="88" t="s">
        <v>1369</v>
      </c>
      <c r="G114" s="89" t="s">
        <v>1370</v>
      </c>
      <c r="H114" s="89" t="s">
        <v>289</v>
      </c>
      <c r="I114" s="80" t="s">
        <v>458</v>
      </c>
      <c r="J114" s="93">
        <f t="shared" si="248"/>
        <v>7</v>
      </c>
      <c r="K114" s="88">
        <v>7</v>
      </c>
      <c r="L114" s="58"/>
      <c r="M114" s="58"/>
      <c r="N114" s="62">
        <f t="shared" si="211"/>
        <v>7</v>
      </c>
      <c r="O114" s="60"/>
      <c r="P114" s="58"/>
      <c r="Q114" s="62">
        <f t="shared" si="255"/>
        <v>7</v>
      </c>
      <c r="R114" s="60"/>
      <c r="S114" s="58"/>
      <c r="T114" s="94">
        <f t="shared" si="213"/>
        <v>7</v>
      </c>
      <c r="U114" s="60"/>
      <c r="V114" s="58"/>
      <c r="W114" s="62">
        <f t="shared" si="214"/>
        <v>7</v>
      </c>
      <c r="X114" s="60"/>
      <c r="Y114" s="58"/>
      <c r="Z114" s="94">
        <f t="shared" si="215"/>
        <v>7</v>
      </c>
      <c r="AA114" s="60"/>
      <c r="AB114" s="58"/>
      <c r="AC114" s="62">
        <f t="shared" si="216"/>
        <v>7</v>
      </c>
      <c r="AD114" s="57"/>
      <c r="AE114" s="58"/>
      <c r="AF114" s="165">
        <f t="shared" si="256"/>
        <v>7</v>
      </c>
      <c r="AG114" s="60"/>
      <c r="AH114" s="58"/>
      <c r="AI114" s="62">
        <f t="shared" si="257"/>
        <v>7</v>
      </c>
      <c r="AJ114" s="60"/>
      <c r="AK114" s="58"/>
      <c r="AL114" s="62">
        <f t="shared" si="258"/>
        <v>7</v>
      </c>
      <c r="AM114" s="60"/>
      <c r="AN114" s="58"/>
      <c r="AO114" s="62">
        <f t="shared" si="220"/>
        <v>7</v>
      </c>
      <c r="AP114" s="60"/>
      <c r="AQ114" s="58"/>
      <c r="AR114" s="62">
        <f t="shared" si="221"/>
        <v>7</v>
      </c>
      <c r="AS114" s="60"/>
      <c r="AT114" s="58"/>
      <c r="AU114" s="62">
        <f t="shared" si="222"/>
        <v>7</v>
      </c>
      <c r="AV114" s="96">
        <f>SUM(L114+O114+R114+U114+X114+AA114+AD114+AG114+AJ114+AM114+AP114+AS114)</f>
        <v>0</v>
      </c>
      <c r="AW114" s="97">
        <f>SUM(M114+P114+S114+V114+Y114+AB114+AE114+AH114+AK114+AN114+AQ114+AT114)</f>
        <v>0</v>
      </c>
      <c r="AX114" s="98">
        <f t="shared" si="225"/>
        <v>0</v>
      </c>
      <c r="AY114" s="99" t="e">
        <f t="shared" si="226"/>
        <v>#DIV/0!</v>
      </c>
      <c r="AZ114" s="100">
        <f t="shared" si="227"/>
        <v>0</v>
      </c>
      <c r="BA114" s="101">
        <v>7</v>
      </c>
      <c r="BB114" s="102">
        <v>1</v>
      </c>
      <c r="BC114" s="84">
        <f t="shared" si="151"/>
        <v>7</v>
      </c>
      <c r="BD114" s="83">
        <f t="shared" si="134"/>
        <v>6</v>
      </c>
      <c r="BE114" s="85">
        <v>2</v>
      </c>
      <c r="BF114" s="86">
        <v>45215.483171296299</v>
      </c>
      <c r="BG114" s="72">
        <f t="shared" si="152"/>
        <v>46265</v>
      </c>
      <c r="BH114" s="109">
        <f t="shared" si="260"/>
        <v>1049.5168287037013</v>
      </c>
      <c r="BI114" s="80" t="str">
        <f t="shared" si="135"/>
        <v>Dead Stock</v>
      </c>
      <c r="BJ114" s="238">
        <v>850</v>
      </c>
    </row>
    <row r="115" spans="1:62" ht="13">
      <c r="A115" s="49"/>
      <c r="B115" s="76"/>
      <c r="C115" s="51">
        <v>112</v>
      </c>
      <c r="D115" s="113" t="s">
        <v>1514</v>
      </c>
      <c r="E115" s="114">
        <v>28</v>
      </c>
      <c r="F115" s="88" t="s">
        <v>265</v>
      </c>
      <c r="G115" s="89" t="s">
        <v>266</v>
      </c>
      <c r="H115" s="81" t="s">
        <v>289</v>
      </c>
      <c r="I115" s="80" t="s">
        <v>458</v>
      </c>
      <c r="J115" s="82">
        <f t="shared" si="248"/>
        <v>4</v>
      </c>
      <c r="K115" s="80">
        <v>4</v>
      </c>
      <c r="L115" s="57"/>
      <c r="M115" s="58"/>
      <c r="N115" s="59">
        <f t="shared" si="211"/>
        <v>4</v>
      </c>
      <c r="O115" s="60"/>
      <c r="P115" s="58"/>
      <c r="Q115" s="59">
        <f t="shared" si="255"/>
        <v>4</v>
      </c>
      <c r="R115" s="60"/>
      <c r="S115" s="58"/>
      <c r="T115" s="61">
        <f t="shared" si="213"/>
        <v>4</v>
      </c>
      <c r="U115" s="60"/>
      <c r="V115" s="58"/>
      <c r="W115" s="59">
        <f t="shared" si="214"/>
        <v>4</v>
      </c>
      <c r="X115" s="60"/>
      <c r="Y115" s="58"/>
      <c r="Z115" s="61">
        <f t="shared" si="215"/>
        <v>4</v>
      </c>
      <c r="AA115" s="60"/>
      <c r="AB115" s="58"/>
      <c r="AC115" s="59">
        <f t="shared" si="216"/>
        <v>4</v>
      </c>
      <c r="AD115" s="57"/>
      <c r="AE115" s="58"/>
      <c r="AF115" s="243">
        <f t="shared" si="256"/>
        <v>4</v>
      </c>
      <c r="AG115" s="60"/>
      <c r="AH115" s="58"/>
      <c r="AI115" s="62">
        <f t="shared" si="257"/>
        <v>4</v>
      </c>
      <c r="AJ115" s="60"/>
      <c r="AK115" s="58"/>
      <c r="AL115" s="62">
        <f t="shared" si="258"/>
        <v>4</v>
      </c>
      <c r="AM115" s="60"/>
      <c r="AN115" s="58"/>
      <c r="AO115" s="62">
        <f t="shared" si="220"/>
        <v>4</v>
      </c>
      <c r="AP115" s="60"/>
      <c r="AQ115" s="58"/>
      <c r="AR115" s="62">
        <f t="shared" si="221"/>
        <v>4</v>
      </c>
      <c r="AS115" s="60"/>
      <c r="AT115" s="58"/>
      <c r="AU115" s="62">
        <f t="shared" si="222"/>
        <v>4</v>
      </c>
      <c r="AV115" s="83">
        <f>SUM(L115+O115+R115+U115+X115+AA115+AD115+AG115+AJ115+AM115+AP115+AS115)</f>
        <v>0</v>
      </c>
      <c r="AW115" s="83">
        <f>SUM(M115+P115+S115+V115+Y115+AB115+AE115+AH115+AK115+AN115+AQ115+AT115)</f>
        <v>0</v>
      </c>
      <c r="AX115" s="64">
        <f t="shared" si="225"/>
        <v>0</v>
      </c>
      <c r="AY115" s="65" t="e">
        <f t="shared" si="226"/>
        <v>#DIV/0!</v>
      </c>
      <c r="AZ115" s="66">
        <f t="shared" si="227"/>
        <v>0</v>
      </c>
      <c r="BA115" s="67">
        <f>MAX(0, Table176252626[[#This Row],[Column6]])</f>
        <v>4</v>
      </c>
      <c r="BB115" s="68">
        <v>1</v>
      </c>
      <c r="BC115" s="84">
        <f t="shared" si="151"/>
        <v>4</v>
      </c>
      <c r="BD115" s="83">
        <f t="shared" si="134"/>
        <v>3</v>
      </c>
      <c r="BE115" s="85">
        <v>2</v>
      </c>
      <c r="BF115" s="86">
        <v>44825.55667824074</v>
      </c>
      <c r="BG115" s="72">
        <f t="shared" si="152"/>
        <v>46265</v>
      </c>
      <c r="BH115" s="87">
        <f t="shared" si="260"/>
        <v>1439.4433217592596</v>
      </c>
      <c r="BI115" s="80" t="str">
        <f t="shared" si="135"/>
        <v>Dead Stock</v>
      </c>
      <c r="BJ115" s="238">
        <v>2070</v>
      </c>
    </row>
    <row r="116" spans="1:62" ht="13">
      <c r="A116" s="90"/>
      <c r="B116" s="91"/>
      <c r="C116" s="51">
        <v>113</v>
      </c>
      <c r="D116" s="113" t="s">
        <v>1514</v>
      </c>
      <c r="E116" s="114">
        <v>29</v>
      </c>
      <c r="F116" s="80" t="s">
        <v>252</v>
      </c>
      <c r="G116" s="81" t="s">
        <v>1836</v>
      </c>
      <c r="H116" s="81" t="s">
        <v>289</v>
      </c>
      <c r="I116" s="80" t="s">
        <v>458</v>
      </c>
      <c r="J116" s="82">
        <f t="shared" ref="J116" si="262">AU116</f>
        <v>2</v>
      </c>
      <c r="K116" s="80">
        <v>4</v>
      </c>
      <c r="L116" s="57"/>
      <c r="M116" s="58"/>
      <c r="N116" s="59">
        <f t="shared" ref="N116" si="263">SUM(K116+L116-M116)</f>
        <v>4</v>
      </c>
      <c r="O116" s="60"/>
      <c r="P116" s="58">
        <v>1</v>
      </c>
      <c r="Q116" s="59">
        <f t="shared" ref="Q116" si="264">SUM(N116+O116-P116)</f>
        <v>3</v>
      </c>
      <c r="R116" s="60"/>
      <c r="S116" s="58"/>
      <c r="T116" s="61">
        <f t="shared" ref="T116" si="265">SUM(Q116+R116-S116)</f>
        <v>3</v>
      </c>
      <c r="U116" s="60"/>
      <c r="V116" s="58"/>
      <c r="W116" s="59">
        <f t="shared" ref="W116" si="266">SUM(T116+U116-V116)</f>
        <v>3</v>
      </c>
      <c r="X116" s="60"/>
      <c r="Y116" s="58"/>
      <c r="Z116" s="61">
        <f t="shared" ref="Z116" si="267">SUM(W116+X116-Y116)</f>
        <v>3</v>
      </c>
      <c r="AA116" s="60"/>
      <c r="AB116" s="58"/>
      <c r="AC116" s="59">
        <f t="shared" ref="AC116" si="268">SUM(Z116+AA116-AB116)</f>
        <v>3</v>
      </c>
      <c r="AD116" s="57"/>
      <c r="AE116" s="58"/>
      <c r="AF116" s="243">
        <f t="shared" ref="AF116" si="269">SUM(AC116+AD116-AE116)</f>
        <v>3</v>
      </c>
      <c r="AG116" s="60"/>
      <c r="AH116" s="58">
        <v>1</v>
      </c>
      <c r="AI116" s="62">
        <f t="shared" ref="AI116" si="270">SUM(AF116+AG116-AH116)</f>
        <v>2</v>
      </c>
      <c r="AJ116" s="60"/>
      <c r="AK116" s="58"/>
      <c r="AL116" s="62">
        <f t="shared" ref="AL116" si="271">SUM(AI116+AJ116-AK116)</f>
        <v>2</v>
      </c>
      <c r="AM116" s="60"/>
      <c r="AN116" s="58"/>
      <c r="AO116" s="62">
        <f t="shared" ref="AO116" si="272">SUM(AL116+AM116-AN116)</f>
        <v>2</v>
      </c>
      <c r="AP116" s="60"/>
      <c r="AQ116" s="58"/>
      <c r="AR116" s="62">
        <f t="shared" ref="AR116" si="273">SUM(AO116+AP116-AQ116)</f>
        <v>2</v>
      </c>
      <c r="AS116" s="60"/>
      <c r="AT116" s="58"/>
      <c r="AU116" s="62">
        <f t="shared" ref="AU116" si="274">SUM(AR116+AS116-AT116)</f>
        <v>2</v>
      </c>
      <c r="AV116" s="83">
        <f t="shared" ref="AV116" si="275">SUM(L116+O116+R116+U116+X116+AA116+AD116+AG116+AJ116+AM116+AP116+AS116)</f>
        <v>0</v>
      </c>
      <c r="AW116" s="83">
        <f>SUM(M116+P116+S116+V116+Y116+AB116+AE116+AH116+AK116+AN116+AQ116+AT116)</f>
        <v>2</v>
      </c>
      <c r="AX116" s="64">
        <f t="shared" ref="AX116" si="276">SUM(M116,P116,S116,V116,Y116,AB116,AE116,AH116,AK116,AN116,AQ116,AT116)</f>
        <v>2</v>
      </c>
      <c r="AY116" s="65">
        <f t="shared" ref="AY116" si="277">AVERAGE(M116,P116,S116,V116,Y116,AB116,AE116,AH116,AK116,AN116,AQ116,AT116)</f>
        <v>1</v>
      </c>
      <c r="AZ116" s="66">
        <f t="shared" ref="AZ116" si="278">COUNT(M116,P116,S116,V116,Y116,AB116,AE116,AH116,AK116,AN116,AQ116,AT116)</f>
        <v>2</v>
      </c>
      <c r="BA116" s="67">
        <v>2</v>
      </c>
      <c r="BB116" s="68">
        <v>1</v>
      </c>
      <c r="BC116" s="84">
        <f t="shared" si="151"/>
        <v>2</v>
      </c>
      <c r="BD116" s="83">
        <f t="shared" si="134"/>
        <v>1</v>
      </c>
      <c r="BE116" s="85">
        <v>2</v>
      </c>
      <c r="BF116" s="86">
        <v>44753.532268518517</v>
      </c>
      <c r="BG116" s="72">
        <f t="shared" si="152"/>
        <v>46265</v>
      </c>
      <c r="BH116" s="87">
        <f t="shared" ref="BH116" si="279">BG116-BF116</f>
        <v>1511.4677314814835</v>
      </c>
      <c r="BI116" s="80" t="str">
        <f t="shared" si="135"/>
        <v>Dead Stock</v>
      </c>
      <c r="BJ116" s="238">
        <v>3400</v>
      </c>
    </row>
    <row r="117" spans="1:62" ht="13">
      <c r="A117" s="49"/>
      <c r="B117" s="76"/>
      <c r="C117" s="51">
        <v>114</v>
      </c>
      <c r="D117" s="113" t="s">
        <v>1514</v>
      </c>
      <c r="E117" s="114">
        <v>30</v>
      </c>
      <c r="F117" s="88" t="s">
        <v>1746</v>
      </c>
      <c r="G117" s="89" t="s">
        <v>1745</v>
      </c>
      <c r="H117" s="89" t="s">
        <v>294</v>
      </c>
      <c r="I117" s="88" t="s">
        <v>458</v>
      </c>
      <c r="J117" s="93">
        <f t="shared" ref="J117" si="280">AU117</f>
        <v>1</v>
      </c>
      <c r="K117" s="88">
        <v>1</v>
      </c>
      <c r="L117" s="58"/>
      <c r="M117" s="58"/>
      <c r="N117" s="62">
        <f t="shared" ref="N117" si="281">SUM(K117+L117-M117)</f>
        <v>1</v>
      </c>
      <c r="O117" s="60"/>
      <c r="P117" s="58"/>
      <c r="Q117" s="62">
        <f t="shared" ref="Q117" si="282">SUM(N117+O117-P117)</f>
        <v>1</v>
      </c>
      <c r="R117" s="60"/>
      <c r="S117" s="58"/>
      <c r="T117" s="94">
        <f t="shared" ref="T117" si="283">SUM(Q117+R117-S117)</f>
        <v>1</v>
      </c>
      <c r="U117" s="60"/>
      <c r="V117" s="58"/>
      <c r="W117" s="62">
        <f t="shared" ref="W117" si="284">SUM(T117+U117-V117)</f>
        <v>1</v>
      </c>
      <c r="X117" s="60"/>
      <c r="Y117" s="58"/>
      <c r="Z117" s="94">
        <f t="shared" ref="Z117" si="285">SUM(W117+X117-Y117)</f>
        <v>1</v>
      </c>
      <c r="AA117" s="60"/>
      <c r="AB117" s="58"/>
      <c r="AC117" s="62">
        <f t="shared" ref="AC117" si="286">SUM(Z117+AA117-AB117)</f>
        <v>1</v>
      </c>
      <c r="AD117" s="57"/>
      <c r="AE117" s="58"/>
      <c r="AF117" s="165">
        <f t="shared" ref="AF117" si="287">SUM(AC117+AD117-AE117)</f>
        <v>1</v>
      </c>
      <c r="AG117" s="60"/>
      <c r="AH117" s="58"/>
      <c r="AI117" s="62">
        <f t="shared" ref="AI117" si="288">SUM(AF117+AG117-AH117)</f>
        <v>1</v>
      </c>
      <c r="AJ117" s="60"/>
      <c r="AK117" s="58"/>
      <c r="AL117" s="62">
        <f t="shared" ref="AL117" si="289">SUM(AI117+AJ117-AK117)</f>
        <v>1</v>
      </c>
      <c r="AM117" s="60"/>
      <c r="AN117" s="58"/>
      <c r="AO117" s="62">
        <f t="shared" ref="AO117" si="290">SUM(AL117+AM117-AN117)</f>
        <v>1</v>
      </c>
      <c r="AP117" s="60"/>
      <c r="AQ117" s="58"/>
      <c r="AR117" s="62">
        <f t="shared" ref="AR117" si="291">SUM(AO117+AP117-AQ117)</f>
        <v>1</v>
      </c>
      <c r="AS117" s="60"/>
      <c r="AT117" s="58"/>
      <c r="AU117" s="62">
        <f t="shared" ref="AU117" si="292">SUM(AR117+AS117-AT117)</f>
        <v>1</v>
      </c>
      <c r="AV117" s="96">
        <f t="shared" ref="AV117:AW117" si="293">SUM(L117+O117+R117+U117+X117+AA117+AD117+AG117+AJ117+AM117+AP117+AS117)</f>
        <v>0</v>
      </c>
      <c r="AW117" s="97">
        <f t="shared" si="293"/>
        <v>0</v>
      </c>
      <c r="AX117" s="98">
        <f t="shared" ref="AX117" si="294">SUM(M117,P117,S117,V117,Y117,AB117,AE117,AH117,AK117,AN117,AQ117,AT117)</f>
        <v>0</v>
      </c>
      <c r="AY117" s="99" t="e">
        <f t="shared" ref="AY117" si="295">AVERAGE(M117,P117,S117,V117,Y117,AB117,AE117,AH117,AK117,AN117,AQ117,AT117)</f>
        <v>#DIV/0!</v>
      </c>
      <c r="AZ117" s="100">
        <f t="shared" ref="AZ117" si="296">COUNT(M117,P117,S117,V117,Y117,AB117,AE117,AH117,AK117,AN117,AQ117,AT117)</f>
        <v>0</v>
      </c>
      <c r="BA117" s="101">
        <v>1</v>
      </c>
      <c r="BB117" s="102">
        <v>0</v>
      </c>
      <c r="BC117" s="84">
        <f t="shared" si="151"/>
        <v>1</v>
      </c>
      <c r="BD117" s="83">
        <f t="shared" si="134"/>
        <v>1</v>
      </c>
      <c r="BE117" s="85">
        <v>2</v>
      </c>
      <c r="BF117" s="86">
        <v>45832</v>
      </c>
      <c r="BG117" s="72">
        <f t="shared" si="152"/>
        <v>46265</v>
      </c>
      <c r="BH117" s="103">
        <f t="shared" ref="BH117" si="297">BG117-BF117</f>
        <v>433</v>
      </c>
      <c r="BI117" s="80" t="str">
        <f t="shared" si="135"/>
        <v>Dead Stock</v>
      </c>
      <c r="BJ117" s="238">
        <v>3117.75</v>
      </c>
    </row>
    <row r="118" spans="1:62" ht="13">
      <c r="A118" s="49"/>
      <c r="B118" s="50"/>
      <c r="C118" s="51">
        <v>115</v>
      </c>
      <c r="D118" s="113" t="s">
        <v>1514</v>
      </c>
      <c r="E118" s="114">
        <v>31</v>
      </c>
      <c r="F118" s="80" t="s">
        <v>1103</v>
      </c>
      <c r="G118" s="106" t="s">
        <v>1104</v>
      </c>
      <c r="H118" s="81" t="s">
        <v>294</v>
      </c>
      <c r="I118" s="80" t="s">
        <v>458</v>
      </c>
      <c r="J118" s="82">
        <f t="shared" ref="J118" si="298">AU118</f>
        <v>1</v>
      </c>
      <c r="K118" s="80">
        <v>1</v>
      </c>
      <c r="L118" s="57"/>
      <c r="M118" s="58"/>
      <c r="N118" s="59">
        <f t="shared" ref="N118" si="299">SUM(K118+L118-M118)</f>
        <v>1</v>
      </c>
      <c r="O118" s="60"/>
      <c r="P118" s="58"/>
      <c r="Q118" s="59">
        <f t="shared" ref="Q118" si="300">SUM(N118+O118-P118)</f>
        <v>1</v>
      </c>
      <c r="R118" s="60"/>
      <c r="S118" s="58"/>
      <c r="T118" s="61">
        <f t="shared" ref="T118" si="301">SUM(Q118+R118-S118)</f>
        <v>1</v>
      </c>
      <c r="U118" s="60"/>
      <c r="V118" s="58"/>
      <c r="W118" s="59">
        <f t="shared" ref="W118" si="302">SUM(T118+U118-V118)</f>
        <v>1</v>
      </c>
      <c r="X118" s="60"/>
      <c r="Y118" s="58"/>
      <c r="Z118" s="61">
        <f t="shared" ref="Z118" si="303">SUM(W118+X118-Y118)</f>
        <v>1</v>
      </c>
      <c r="AA118" s="60"/>
      <c r="AB118" s="58"/>
      <c r="AC118" s="59">
        <f t="shared" ref="AC118" si="304">SUM(Z118+AA118-AB118)</f>
        <v>1</v>
      </c>
      <c r="AD118" s="57"/>
      <c r="AE118" s="58"/>
      <c r="AF118" s="243">
        <f t="shared" ref="AF118" si="305">SUM(AC118+AD118-AE118)</f>
        <v>1</v>
      </c>
      <c r="AG118" s="60"/>
      <c r="AH118" s="58"/>
      <c r="AI118" s="62">
        <f t="shared" ref="AI118" si="306">SUM(AF118+AG118-AH118)</f>
        <v>1</v>
      </c>
      <c r="AJ118" s="60"/>
      <c r="AK118" s="58"/>
      <c r="AL118" s="62">
        <f t="shared" ref="AL118" si="307">SUM(AI118+AJ118-AK118)</f>
        <v>1</v>
      </c>
      <c r="AM118" s="60"/>
      <c r="AN118" s="58"/>
      <c r="AO118" s="62">
        <f t="shared" ref="AO118" si="308">SUM(AL118+AM118-AN118)</f>
        <v>1</v>
      </c>
      <c r="AP118" s="60"/>
      <c r="AQ118" s="58"/>
      <c r="AR118" s="62">
        <f t="shared" ref="AR118" si="309">SUM(AO118+AP118-AQ118)</f>
        <v>1</v>
      </c>
      <c r="AS118" s="60"/>
      <c r="AT118" s="58"/>
      <c r="AU118" s="62">
        <f t="shared" ref="AU118" si="310">SUM(AR118+AS118-AT118)</f>
        <v>1</v>
      </c>
      <c r="AV118" s="83">
        <f t="shared" ref="AV118" si="311">SUM(L118+O118+R118+U118+X118+AA118+AD118+AG118+AJ118+AM118+AP118+AS118)</f>
        <v>0</v>
      </c>
      <c r="AW118" s="83">
        <f t="shared" ref="AW118" si="312">SUM(M118+P118+S118+V118+Y118+AB118+AE118+AH118+AK118+AN118+AQ118+AT118)</f>
        <v>0</v>
      </c>
      <c r="AX118" s="64">
        <f t="shared" ref="AX118" si="313">SUM(M118,P118,S118,V118,Y118,AB118,AE118,AH118,AK118,AN118,AQ118,AT118)</f>
        <v>0</v>
      </c>
      <c r="AY118" s="65" t="e">
        <f t="shared" ref="AY118:AY129" si="314">AVERAGE(M118,P118,S118,V118,Y118,AB118,AE118,AH118,AK118,AN118,AQ118,AT118)</f>
        <v>#DIV/0!</v>
      </c>
      <c r="AZ118" s="66">
        <f t="shared" ref="AZ118:AZ129" si="315">COUNT(M118,P118,S118,V118,Y118,AB118,AE118,AH118,AK118,AN118,AQ118,AT118)</f>
        <v>0</v>
      </c>
      <c r="BA118" s="67">
        <f>MAX(0, Table176252626[[#This Row],[Column6]])</f>
        <v>1</v>
      </c>
      <c r="BB118" s="68">
        <v>0</v>
      </c>
      <c r="BC118" s="84">
        <f t="shared" si="151"/>
        <v>1</v>
      </c>
      <c r="BD118" s="83">
        <f t="shared" si="134"/>
        <v>1</v>
      </c>
      <c r="BE118" s="85">
        <v>2</v>
      </c>
      <c r="BF118" s="86">
        <v>44803.429479166669</v>
      </c>
      <c r="BG118" s="72">
        <f t="shared" si="152"/>
        <v>46265</v>
      </c>
      <c r="BH118" s="87">
        <f t="shared" ref="BH118:BH129" si="316">BG118-BF118</f>
        <v>1461.5705208333311</v>
      </c>
      <c r="BI118" s="80" t="str">
        <f t="shared" si="135"/>
        <v>Dead Stock</v>
      </c>
      <c r="BJ118" s="238">
        <v>11000</v>
      </c>
    </row>
    <row r="119" spans="1:62" ht="13">
      <c r="A119" s="49"/>
      <c r="B119" s="50"/>
      <c r="C119" s="77">
        <v>116</v>
      </c>
      <c r="D119" s="113" t="s">
        <v>1514</v>
      </c>
      <c r="E119" s="114">
        <v>32</v>
      </c>
      <c r="F119" s="88" t="s">
        <v>1553</v>
      </c>
      <c r="G119" s="89" t="s">
        <v>1554</v>
      </c>
      <c r="H119" s="89" t="s">
        <v>289</v>
      </c>
      <c r="I119" s="88" t="s">
        <v>458</v>
      </c>
      <c r="J119" s="93">
        <f t="shared" ref="J119:J129" si="317">AU119</f>
        <v>4</v>
      </c>
      <c r="K119" s="80">
        <v>4</v>
      </c>
      <c r="L119" s="58"/>
      <c r="M119" s="58"/>
      <c r="N119" s="62">
        <f t="shared" ref="N119:N129" si="318">SUM(K119+L119-M119)</f>
        <v>4</v>
      </c>
      <c r="O119" s="60"/>
      <c r="P119" s="58"/>
      <c r="Q119" s="62">
        <f t="shared" ref="Q119:Q129" si="319">SUM(N119+O119-P119)</f>
        <v>4</v>
      </c>
      <c r="R119" s="60"/>
      <c r="S119" s="58"/>
      <c r="T119" s="94">
        <f t="shared" ref="T119:T129" si="320">SUM(Q119+R119-S119)</f>
        <v>4</v>
      </c>
      <c r="U119" s="60"/>
      <c r="V119" s="58"/>
      <c r="W119" s="62">
        <f t="shared" ref="W119:W129" si="321">SUM(T119+U119-V119)</f>
        <v>4</v>
      </c>
      <c r="X119" s="60"/>
      <c r="Y119" s="58"/>
      <c r="Z119" s="94">
        <f t="shared" ref="Z119:Z129" si="322">SUM(W119+X119-Y119)</f>
        <v>4</v>
      </c>
      <c r="AA119" s="60"/>
      <c r="AB119" s="58"/>
      <c r="AC119" s="62">
        <f t="shared" ref="AC119:AC129" si="323">SUM(Z119+AA119-AB119)</f>
        <v>4</v>
      </c>
      <c r="AD119" s="57"/>
      <c r="AE119" s="58"/>
      <c r="AF119" s="165">
        <f t="shared" ref="AF119:AF129" si="324">SUM(AC119+AD119-AE119)</f>
        <v>4</v>
      </c>
      <c r="AG119" s="60"/>
      <c r="AH119" s="58"/>
      <c r="AI119" s="62">
        <f t="shared" ref="AI119:AI129" si="325">SUM(AF119+AG119-AH119)</f>
        <v>4</v>
      </c>
      <c r="AJ119" s="60"/>
      <c r="AK119" s="58"/>
      <c r="AL119" s="62">
        <f t="shared" ref="AL119:AL129" si="326">SUM(AI119+AJ119-AK119)</f>
        <v>4</v>
      </c>
      <c r="AM119" s="60"/>
      <c r="AN119" s="58"/>
      <c r="AO119" s="62">
        <f t="shared" ref="AO119:AO129" si="327">SUM(AL119+AM119-AN119)</f>
        <v>4</v>
      </c>
      <c r="AP119" s="60"/>
      <c r="AQ119" s="58"/>
      <c r="AR119" s="62">
        <f t="shared" ref="AR119:AR129" si="328">SUM(AO119+AP119-AQ119)</f>
        <v>4</v>
      </c>
      <c r="AS119" s="60"/>
      <c r="AT119" s="58"/>
      <c r="AU119" s="62">
        <f t="shared" ref="AU119:AU129" si="329">SUM(AR119+AS119-AT119)</f>
        <v>4</v>
      </c>
      <c r="AV119" s="96">
        <f>SUM(L119+O119+R119+U119+X119+AA119+AD119+AG119+AJ119+AM119+AP119+AS119)</f>
        <v>0</v>
      </c>
      <c r="AW119" s="97">
        <f>SUM(M119+P119+S119+V119+Y119+AB119+AE119+AH119+AK119+AN119+AQ119+AT119)</f>
        <v>0</v>
      </c>
      <c r="AX119" s="98">
        <f t="shared" ref="AX119:AX129" si="330">SUM(M119,P119,S119,V119,Y119,AB119,AE119,AH119,AK119,AN119,AQ119,AT119)</f>
        <v>0</v>
      </c>
      <c r="AY119" s="99" t="e">
        <f t="shared" si="314"/>
        <v>#DIV/0!</v>
      </c>
      <c r="AZ119" s="100">
        <f t="shared" si="315"/>
        <v>0</v>
      </c>
      <c r="BA119" s="101">
        <v>4</v>
      </c>
      <c r="BB119" s="102">
        <v>1</v>
      </c>
      <c r="BC119" s="84">
        <f t="shared" si="151"/>
        <v>4</v>
      </c>
      <c r="BD119" s="83">
        <f t="shared" si="134"/>
        <v>3</v>
      </c>
      <c r="BE119" s="85">
        <v>2</v>
      </c>
      <c r="BF119" s="86">
        <v>45387.566747685189</v>
      </c>
      <c r="BG119" s="72">
        <f t="shared" si="152"/>
        <v>46265</v>
      </c>
      <c r="BH119" s="103">
        <f t="shared" si="316"/>
        <v>877.4332523148114</v>
      </c>
      <c r="BI119" s="80" t="str">
        <f t="shared" si="135"/>
        <v>Dead Stock</v>
      </c>
      <c r="BJ119" s="238">
        <v>1100</v>
      </c>
    </row>
    <row r="120" spans="1:62" ht="13">
      <c r="A120" s="90"/>
      <c r="B120" s="91"/>
      <c r="C120" s="77">
        <v>117</v>
      </c>
      <c r="D120" s="113" t="s">
        <v>1514</v>
      </c>
      <c r="E120" s="114">
        <v>33</v>
      </c>
      <c r="F120" s="88" t="s">
        <v>1853</v>
      </c>
      <c r="G120" s="89" t="s">
        <v>1854</v>
      </c>
      <c r="H120" s="89" t="s">
        <v>289</v>
      </c>
      <c r="I120" s="80" t="s">
        <v>458</v>
      </c>
      <c r="J120" s="93">
        <f t="shared" si="317"/>
        <v>1</v>
      </c>
      <c r="K120" s="88">
        <v>2</v>
      </c>
      <c r="L120" s="58"/>
      <c r="M120" s="58"/>
      <c r="N120" s="62">
        <f t="shared" si="318"/>
        <v>2</v>
      </c>
      <c r="O120" s="60"/>
      <c r="P120" s="58"/>
      <c r="Q120" s="62">
        <f t="shared" si="319"/>
        <v>2</v>
      </c>
      <c r="R120" s="60"/>
      <c r="S120" s="58"/>
      <c r="T120" s="94">
        <f t="shared" si="320"/>
        <v>2</v>
      </c>
      <c r="U120" s="60"/>
      <c r="V120" s="58">
        <v>1</v>
      </c>
      <c r="W120" s="62">
        <f t="shared" si="321"/>
        <v>1</v>
      </c>
      <c r="X120" s="60"/>
      <c r="Y120" s="58"/>
      <c r="Z120" s="94">
        <f t="shared" si="322"/>
        <v>1</v>
      </c>
      <c r="AA120" s="60"/>
      <c r="AB120" s="58"/>
      <c r="AC120" s="62">
        <f t="shared" si="323"/>
        <v>1</v>
      </c>
      <c r="AD120" s="57"/>
      <c r="AE120" s="58"/>
      <c r="AF120" s="165">
        <f t="shared" si="324"/>
        <v>1</v>
      </c>
      <c r="AG120" s="60"/>
      <c r="AH120" s="58"/>
      <c r="AI120" s="62">
        <f t="shared" si="325"/>
        <v>1</v>
      </c>
      <c r="AJ120" s="60"/>
      <c r="AK120" s="58"/>
      <c r="AL120" s="62">
        <f t="shared" si="326"/>
        <v>1</v>
      </c>
      <c r="AM120" s="60"/>
      <c r="AN120" s="58"/>
      <c r="AO120" s="62">
        <f t="shared" si="327"/>
        <v>1</v>
      </c>
      <c r="AP120" s="60"/>
      <c r="AQ120" s="58"/>
      <c r="AR120" s="62">
        <f t="shared" si="328"/>
        <v>1</v>
      </c>
      <c r="AS120" s="60"/>
      <c r="AT120" s="58"/>
      <c r="AU120" s="62">
        <f t="shared" si="329"/>
        <v>1</v>
      </c>
      <c r="AV120" s="96">
        <f>SUM(L120+O120+R120+U120+X120+AA120+AD120+AG120+AJ120+AM120+AP120+AS120)</f>
        <v>0</v>
      </c>
      <c r="AW120" s="97">
        <f>SUM(M120+P120+S120+V120+Y120+AB120+AE120+AH120+AK120+AN120+AQ120+AT120)</f>
        <v>1</v>
      </c>
      <c r="AX120" s="98">
        <f t="shared" si="330"/>
        <v>1</v>
      </c>
      <c r="AY120" s="99">
        <f t="shared" si="314"/>
        <v>1</v>
      </c>
      <c r="AZ120" s="100">
        <f t="shared" si="315"/>
        <v>1</v>
      </c>
      <c r="BA120" s="101">
        <f>MAX(M120,P120,S120,V120,Y120,AB120,AE120,AH120,AK120,AN120,AQ120,AT120)</f>
        <v>1</v>
      </c>
      <c r="BB120" s="102">
        <v>0</v>
      </c>
      <c r="BC120" s="84">
        <f t="shared" si="151"/>
        <v>1</v>
      </c>
      <c r="BD120" s="83">
        <f t="shared" si="134"/>
        <v>1</v>
      </c>
      <c r="BE120" s="85">
        <v>2</v>
      </c>
      <c r="BF120" s="86">
        <v>45968</v>
      </c>
      <c r="BG120" s="72">
        <f t="shared" si="152"/>
        <v>46265</v>
      </c>
      <c r="BH120" s="103">
        <f t="shared" si="316"/>
        <v>297</v>
      </c>
      <c r="BI120" s="80" t="str">
        <f t="shared" si="135"/>
        <v/>
      </c>
      <c r="BJ120" s="238">
        <v>19800</v>
      </c>
    </row>
    <row r="121" spans="1:62" ht="13">
      <c r="A121" s="49"/>
      <c r="B121" s="50"/>
      <c r="C121" s="51">
        <v>118</v>
      </c>
      <c r="D121" s="113" t="s">
        <v>1514</v>
      </c>
      <c r="E121" s="114">
        <v>34</v>
      </c>
      <c r="F121" s="80" t="s">
        <v>500</v>
      </c>
      <c r="G121" s="81" t="s">
        <v>501</v>
      </c>
      <c r="H121" s="81" t="s">
        <v>289</v>
      </c>
      <c r="I121" s="80" t="s">
        <v>458</v>
      </c>
      <c r="J121" s="82">
        <f t="shared" si="317"/>
        <v>2</v>
      </c>
      <c r="K121" s="80">
        <v>2</v>
      </c>
      <c r="L121" s="57"/>
      <c r="M121" s="58"/>
      <c r="N121" s="59">
        <f t="shared" si="318"/>
        <v>2</v>
      </c>
      <c r="O121" s="60"/>
      <c r="P121" s="58"/>
      <c r="Q121" s="59">
        <f t="shared" si="319"/>
        <v>2</v>
      </c>
      <c r="R121" s="60"/>
      <c r="S121" s="58"/>
      <c r="T121" s="61">
        <f t="shared" si="320"/>
        <v>2</v>
      </c>
      <c r="U121" s="60"/>
      <c r="V121" s="58"/>
      <c r="W121" s="59">
        <f t="shared" si="321"/>
        <v>2</v>
      </c>
      <c r="X121" s="60"/>
      <c r="Y121" s="58"/>
      <c r="Z121" s="61">
        <f t="shared" si="322"/>
        <v>2</v>
      </c>
      <c r="AA121" s="60"/>
      <c r="AB121" s="58"/>
      <c r="AC121" s="59">
        <f t="shared" si="323"/>
        <v>2</v>
      </c>
      <c r="AD121" s="57"/>
      <c r="AE121" s="58"/>
      <c r="AF121" s="243">
        <f t="shared" si="324"/>
        <v>2</v>
      </c>
      <c r="AG121" s="60"/>
      <c r="AH121" s="58"/>
      <c r="AI121" s="62">
        <f t="shared" si="325"/>
        <v>2</v>
      </c>
      <c r="AJ121" s="60"/>
      <c r="AK121" s="58"/>
      <c r="AL121" s="62">
        <f t="shared" si="326"/>
        <v>2</v>
      </c>
      <c r="AM121" s="60"/>
      <c r="AN121" s="58"/>
      <c r="AO121" s="62">
        <f t="shared" si="327"/>
        <v>2</v>
      </c>
      <c r="AP121" s="60"/>
      <c r="AQ121" s="58"/>
      <c r="AR121" s="62">
        <f t="shared" si="328"/>
        <v>2</v>
      </c>
      <c r="AS121" s="60"/>
      <c r="AT121" s="58"/>
      <c r="AU121" s="62">
        <f t="shared" si="329"/>
        <v>2</v>
      </c>
      <c r="AV121" s="83">
        <f t="shared" ref="AV121:AW121" si="331">SUM(L121+O121+R121+U121+X121+AA121+AD121+AG121+AJ121+AM121+AP121+AS121)</f>
        <v>0</v>
      </c>
      <c r="AW121" s="83">
        <f t="shared" si="331"/>
        <v>0</v>
      </c>
      <c r="AX121" s="64">
        <f t="shared" si="330"/>
        <v>0</v>
      </c>
      <c r="AY121" s="65" t="e">
        <f t="shared" si="314"/>
        <v>#DIV/0!</v>
      </c>
      <c r="AZ121" s="66">
        <f t="shared" si="315"/>
        <v>0</v>
      </c>
      <c r="BA121" s="67">
        <f>MAX(0, Table176252626[[#This Row],[Column6]])</f>
        <v>2</v>
      </c>
      <c r="BB121" s="68">
        <v>1</v>
      </c>
      <c r="BC121" s="84">
        <f t="shared" si="151"/>
        <v>2</v>
      </c>
      <c r="BD121" s="83">
        <f t="shared" si="134"/>
        <v>1</v>
      </c>
      <c r="BE121" s="85">
        <v>2</v>
      </c>
      <c r="BF121" s="86">
        <v>44270.629907407405</v>
      </c>
      <c r="BG121" s="72">
        <f t="shared" si="152"/>
        <v>46265</v>
      </c>
      <c r="BH121" s="87">
        <f t="shared" si="316"/>
        <v>1994.370092592595</v>
      </c>
      <c r="BI121" s="80" t="str">
        <f t="shared" si="135"/>
        <v>Dead Stock</v>
      </c>
      <c r="BJ121" s="238">
        <v>1647</v>
      </c>
    </row>
    <row r="122" spans="1:62" ht="13">
      <c r="A122" s="49"/>
      <c r="B122" s="50"/>
      <c r="C122" s="51">
        <v>119</v>
      </c>
      <c r="D122" s="113" t="s">
        <v>1514</v>
      </c>
      <c r="E122" s="114">
        <v>35</v>
      </c>
      <c r="F122" s="80" t="s">
        <v>306</v>
      </c>
      <c r="G122" s="81" t="s">
        <v>307</v>
      </c>
      <c r="H122" s="81" t="s">
        <v>289</v>
      </c>
      <c r="I122" s="80" t="s">
        <v>458</v>
      </c>
      <c r="J122" s="82">
        <f t="shared" si="317"/>
        <v>1</v>
      </c>
      <c r="K122" s="80">
        <v>1</v>
      </c>
      <c r="L122" s="57">
        <v>1</v>
      </c>
      <c r="M122" s="58">
        <v>1</v>
      </c>
      <c r="N122" s="59">
        <f t="shared" si="318"/>
        <v>1</v>
      </c>
      <c r="O122" s="60"/>
      <c r="P122" s="58">
        <v>1</v>
      </c>
      <c r="Q122" s="59">
        <f t="shared" si="319"/>
        <v>0</v>
      </c>
      <c r="R122" s="60"/>
      <c r="S122" s="58"/>
      <c r="T122" s="61">
        <f t="shared" si="320"/>
        <v>0</v>
      </c>
      <c r="U122" s="60">
        <v>2</v>
      </c>
      <c r="V122" s="58">
        <v>2</v>
      </c>
      <c r="W122" s="59">
        <f t="shared" si="321"/>
        <v>0</v>
      </c>
      <c r="X122" s="60">
        <v>1</v>
      </c>
      <c r="Y122" s="58"/>
      <c r="Z122" s="61">
        <f t="shared" si="322"/>
        <v>1</v>
      </c>
      <c r="AA122" s="60"/>
      <c r="AB122" s="58"/>
      <c r="AC122" s="59">
        <f t="shared" si="323"/>
        <v>1</v>
      </c>
      <c r="AD122" s="57"/>
      <c r="AE122" s="58"/>
      <c r="AF122" s="243">
        <f t="shared" si="324"/>
        <v>1</v>
      </c>
      <c r="AG122" s="60"/>
      <c r="AH122" s="58"/>
      <c r="AI122" s="62">
        <f t="shared" si="325"/>
        <v>1</v>
      </c>
      <c r="AJ122" s="60"/>
      <c r="AK122" s="58"/>
      <c r="AL122" s="62">
        <f t="shared" si="326"/>
        <v>1</v>
      </c>
      <c r="AM122" s="60"/>
      <c r="AN122" s="58"/>
      <c r="AO122" s="62">
        <f t="shared" si="327"/>
        <v>1</v>
      </c>
      <c r="AP122" s="60"/>
      <c r="AQ122" s="58"/>
      <c r="AR122" s="62">
        <f t="shared" si="328"/>
        <v>1</v>
      </c>
      <c r="AS122" s="60"/>
      <c r="AT122" s="58"/>
      <c r="AU122" s="62">
        <f t="shared" si="329"/>
        <v>1</v>
      </c>
      <c r="AV122" s="83">
        <f t="shared" ref="AV122:AW129" si="332">SUM(L122+O122+R122+U122+X122+AA122+AD122+AG122+AJ122+AM122+AP122+AS122)</f>
        <v>4</v>
      </c>
      <c r="AW122" s="83">
        <f t="shared" si="332"/>
        <v>4</v>
      </c>
      <c r="AX122" s="64">
        <f t="shared" si="330"/>
        <v>4</v>
      </c>
      <c r="AY122" s="65">
        <f t="shared" si="314"/>
        <v>1.3333333333333333</v>
      </c>
      <c r="AZ122" s="66">
        <f t="shared" si="315"/>
        <v>3</v>
      </c>
      <c r="BA122" s="67">
        <f>MAX(0, Table176252626[[#This Row],[Column6]])</f>
        <v>1</v>
      </c>
      <c r="BB122" s="68">
        <v>0</v>
      </c>
      <c r="BC122" s="84">
        <f t="shared" si="151"/>
        <v>1</v>
      </c>
      <c r="BD122" s="83">
        <f t="shared" si="134"/>
        <v>1</v>
      </c>
      <c r="BE122" s="85">
        <v>2</v>
      </c>
      <c r="BF122" s="86">
        <v>46161.489039351851</v>
      </c>
      <c r="BG122" s="72">
        <f t="shared" si="152"/>
        <v>46265</v>
      </c>
      <c r="BH122" s="87">
        <f t="shared" si="316"/>
        <v>103.51096064814919</v>
      </c>
      <c r="BI122" s="80" t="str">
        <f t="shared" si="135"/>
        <v/>
      </c>
      <c r="BJ122" s="238">
        <v>31781.63</v>
      </c>
    </row>
    <row r="123" spans="1:62" ht="13">
      <c r="A123" s="49"/>
      <c r="B123" s="50"/>
      <c r="C123" s="51">
        <v>120</v>
      </c>
      <c r="D123" s="113" t="s">
        <v>1514</v>
      </c>
      <c r="E123" s="114">
        <v>36</v>
      </c>
      <c r="F123" s="105" t="s">
        <v>831</v>
      </c>
      <c r="G123" s="116" t="s">
        <v>832</v>
      </c>
      <c r="H123" s="89" t="s">
        <v>289</v>
      </c>
      <c r="I123" s="80" t="s">
        <v>458</v>
      </c>
      <c r="J123" s="82">
        <f t="shared" si="317"/>
        <v>1</v>
      </c>
      <c r="K123" s="80">
        <v>1</v>
      </c>
      <c r="L123" s="57"/>
      <c r="M123" s="58"/>
      <c r="N123" s="59">
        <f t="shared" si="318"/>
        <v>1</v>
      </c>
      <c r="O123" s="60"/>
      <c r="P123" s="58"/>
      <c r="Q123" s="59">
        <f t="shared" si="319"/>
        <v>1</v>
      </c>
      <c r="R123" s="60"/>
      <c r="S123" s="58"/>
      <c r="T123" s="61">
        <f t="shared" si="320"/>
        <v>1</v>
      </c>
      <c r="U123" s="60"/>
      <c r="V123" s="58"/>
      <c r="W123" s="59">
        <f t="shared" si="321"/>
        <v>1</v>
      </c>
      <c r="X123" s="60"/>
      <c r="Y123" s="58"/>
      <c r="Z123" s="61">
        <f t="shared" si="322"/>
        <v>1</v>
      </c>
      <c r="AA123" s="60"/>
      <c r="AB123" s="58"/>
      <c r="AC123" s="59">
        <f t="shared" si="323"/>
        <v>1</v>
      </c>
      <c r="AD123" s="57"/>
      <c r="AE123" s="58"/>
      <c r="AF123" s="243">
        <f t="shared" si="324"/>
        <v>1</v>
      </c>
      <c r="AG123" s="60"/>
      <c r="AH123" s="58"/>
      <c r="AI123" s="62">
        <f t="shared" si="325"/>
        <v>1</v>
      </c>
      <c r="AJ123" s="60"/>
      <c r="AK123" s="58"/>
      <c r="AL123" s="62">
        <f t="shared" si="326"/>
        <v>1</v>
      </c>
      <c r="AM123" s="60"/>
      <c r="AN123" s="58"/>
      <c r="AO123" s="62">
        <f t="shared" si="327"/>
        <v>1</v>
      </c>
      <c r="AP123" s="60"/>
      <c r="AQ123" s="58"/>
      <c r="AR123" s="62">
        <f t="shared" si="328"/>
        <v>1</v>
      </c>
      <c r="AS123" s="60"/>
      <c r="AT123" s="58"/>
      <c r="AU123" s="62">
        <f t="shared" si="329"/>
        <v>1</v>
      </c>
      <c r="AV123" s="83">
        <f t="shared" si="332"/>
        <v>0</v>
      </c>
      <c r="AW123" s="83">
        <f t="shared" si="332"/>
        <v>0</v>
      </c>
      <c r="AX123" s="64">
        <f t="shared" si="330"/>
        <v>0</v>
      </c>
      <c r="AY123" s="65" t="e">
        <f t="shared" si="314"/>
        <v>#DIV/0!</v>
      </c>
      <c r="AZ123" s="66">
        <f t="shared" si="315"/>
        <v>0</v>
      </c>
      <c r="BA123" s="67">
        <v>1</v>
      </c>
      <c r="BB123" s="68">
        <v>0</v>
      </c>
      <c r="BC123" s="84">
        <f t="shared" si="151"/>
        <v>1</v>
      </c>
      <c r="BD123" s="83">
        <f t="shared" si="134"/>
        <v>1</v>
      </c>
      <c r="BE123" s="85">
        <v>2</v>
      </c>
      <c r="BF123" s="86">
        <v>45779</v>
      </c>
      <c r="BG123" s="72">
        <f t="shared" si="152"/>
        <v>46265</v>
      </c>
      <c r="BH123" s="87">
        <f t="shared" si="316"/>
        <v>486</v>
      </c>
      <c r="BI123" s="80" t="str">
        <f t="shared" si="135"/>
        <v>Dead Stock</v>
      </c>
      <c r="BJ123" s="238">
        <v>1460</v>
      </c>
    </row>
    <row r="124" spans="1:62" ht="12.75" customHeight="1">
      <c r="A124" s="49"/>
      <c r="B124" s="50"/>
      <c r="C124" s="51">
        <v>121</v>
      </c>
      <c r="D124" s="113" t="s">
        <v>1514</v>
      </c>
      <c r="E124" s="114">
        <v>37</v>
      </c>
      <c r="F124" s="80" t="s">
        <v>102</v>
      </c>
      <c r="G124" s="81" t="s">
        <v>103</v>
      </c>
      <c r="H124" s="81" t="s">
        <v>289</v>
      </c>
      <c r="I124" s="80" t="s">
        <v>458</v>
      </c>
      <c r="J124" s="82">
        <f>AU124</f>
        <v>2</v>
      </c>
      <c r="K124" s="80">
        <v>2</v>
      </c>
      <c r="L124" s="58"/>
      <c r="M124" s="58"/>
      <c r="N124" s="59">
        <f>SUM(K124+L124-M124)</f>
        <v>2</v>
      </c>
      <c r="O124" s="58"/>
      <c r="P124" s="58"/>
      <c r="Q124" s="59">
        <f>SUM(N124+O124-P124)</f>
        <v>2</v>
      </c>
      <c r="R124" s="58"/>
      <c r="S124" s="58"/>
      <c r="T124" s="61">
        <f>SUM(Q124+R124-S124)</f>
        <v>2</v>
      </c>
      <c r="U124" s="58"/>
      <c r="V124" s="58"/>
      <c r="W124" s="59">
        <f>SUM(T124+U124-V124)</f>
        <v>2</v>
      </c>
      <c r="X124" s="58"/>
      <c r="Y124" s="58"/>
      <c r="Z124" s="61">
        <f>SUM(W124+X124-Y124)</f>
        <v>2</v>
      </c>
      <c r="AA124" s="58"/>
      <c r="AB124" s="58"/>
      <c r="AC124" s="59">
        <f>SUM(Z124+AA124-AB124)</f>
        <v>2</v>
      </c>
      <c r="AD124" s="58"/>
      <c r="AE124" s="58"/>
      <c r="AF124" s="243">
        <f>SUM(AC124+AD124-AE124)</f>
        <v>2</v>
      </c>
      <c r="AG124" s="58"/>
      <c r="AH124" s="58"/>
      <c r="AI124" s="62">
        <f>SUM(AF124+AG124-AH124)</f>
        <v>2</v>
      </c>
      <c r="AJ124" s="58"/>
      <c r="AK124" s="58"/>
      <c r="AL124" s="62">
        <f>SUM(AI124+AJ124-AK124)</f>
        <v>2</v>
      </c>
      <c r="AM124" s="58"/>
      <c r="AN124" s="58"/>
      <c r="AO124" s="62">
        <f>SUM(AL124+AM124-AN124)</f>
        <v>2</v>
      </c>
      <c r="AP124" s="58"/>
      <c r="AQ124" s="58"/>
      <c r="AR124" s="62">
        <f>SUM(AO124+AP124-AQ124)</f>
        <v>2</v>
      </c>
      <c r="AS124" s="58"/>
      <c r="AT124" s="58"/>
      <c r="AU124" s="62">
        <f>SUM(AR124+AS124-AT124)</f>
        <v>2</v>
      </c>
      <c r="AV124" s="83">
        <f>SUM(L124+O124+R124+U124+X124+AA124+AD124+AG124+AJ124+AM124+AP124+AS124)</f>
        <v>0</v>
      </c>
      <c r="AW124" s="83">
        <f>SUM(M124+P124+S124+V124+Y124+AB124+AE124+AH124+AK124+AN124+AQ124+AT124)</f>
        <v>0</v>
      </c>
      <c r="AX124" s="64">
        <f>SUM(M124,P124,S124,V124,Y124,AB124,AE124,AH124,AK124,AN124,AQ124,AT124)</f>
        <v>0</v>
      </c>
      <c r="AY124" s="65" t="e">
        <f>AVERAGE(M124,P124,S124,V124,Y124,AB124,AE124,AH124,AK124,AN124,AQ124,AT124)</f>
        <v>#DIV/0!</v>
      </c>
      <c r="AZ124" s="66">
        <f>COUNT(M124,P124,S124,V124,Y124,AB124,AE124,AH124,AK124,AN124,AQ124,AT124)</f>
        <v>0</v>
      </c>
      <c r="BA124" s="67">
        <f>MAX(0, Table176252626[[#This Row],[Column6]])</f>
        <v>2</v>
      </c>
      <c r="BB124" s="68">
        <v>2</v>
      </c>
      <c r="BC124" s="84">
        <f t="shared" si="151"/>
        <v>2</v>
      </c>
      <c r="BD124" s="83">
        <f t="shared" si="134"/>
        <v>0</v>
      </c>
      <c r="BE124" s="85">
        <v>2</v>
      </c>
      <c r="BF124" s="86">
        <v>44964.389780092592</v>
      </c>
      <c r="BG124" s="72">
        <f t="shared" si="152"/>
        <v>46265</v>
      </c>
      <c r="BH124" s="87">
        <f>BG124-BF124</f>
        <v>1300.6102199074085</v>
      </c>
      <c r="BI124" s="80" t="str">
        <f t="shared" si="135"/>
        <v>Dead Stock</v>
      </c>
      <c r="BJ124" s="238">
        <v>18000</v>
      </c>
    </row>
    <row r="125" spans="1:62" ht="13">
      <c r="A125" s="75"/>
      <c r="B125" s="76"/>
      <c r="C125" s="77">
        <v>122</v>
      </c>
      <c r="D125" s="113" t="s">
        <v>1514</v>
      </c>
      <c r="E125" s="114">
        <v>38</v>
      </c>
      <c r="F125" s="80" t="s">
        <v>203</v>
      </c>
      <c r="G125" s="81" t="s">
        <v>204</v>
      </c>
      <c r="H125" s="81" t="s">
        <v>289</v>
      </c>
      <c r="I125" s="80" t="s">
        <v>458</v>
      </c>
      <c r="J125" s="82">
        <f>AU125</f>
        <v>2</v>
      </c>
      <c r="K125" s="80">
        <v>1</v>
      </c>
      <c r="L125" s="57"/>
      <c r="M125" s="58"/>
      <c r="N125" s="59">
        <f>SUM(K125+L125-M125)</f>
        <v>1</v>
      </c>
      <c r="O125" s="60"/>
      <c r="P125" s="58"/>
      <c r="Q125" s="59">
        <f>SUM(N125+O125-P125)</f>
        <v>1</v>
      </c>
      <c r="R125" s="60"/>
      <c r="S125" s="58"/>
      <c r="T125" s="61">
        <f>SUM(Q125+R125-S125)</f>
        <v>1</v>
      </c>
      <c r="U125" s="60"/>
      <c r="V125" s="58"/>
      <c r="W125" s="59">
        <f>SUM(T125+U125-V125)</f>
        <v>1</v>
      </c>
      <c r="X125" s="60"/>
      <c r="Y125" s="58"/>
      <c r="Z125" s="61">
        <f>SUM(W125+X125-Y125)</f>
        <v>1</v>
      </c>
      <c r="AA125" s="60"/>
      <c r="AB125" s="58">
        <v>1</v>
      </c>
      <c r="AC125" s="59">
        <f>SUM(Z125+AA125-AB125)</f>
        <v>0</v>
      </c>
      <c r="AD125" s="57"/>
      <c r="AE125" s="58"/>
      <c r="AF125" s="243">
        <f>SUM(AC125+AD125-AE125)</f>
        <v>0</v>
      </c>
      <c r="AG125" s="60">
        <v>2</v>
      </c>
      <c r="AH125" s="58"/>
      <c r="AI125" s="62">
        <f>SUM(AF125+AG125-AH125)</f>
        <v>2</v>
      </c>
      <c r="AJ125" s="60"/>
      <c r="AK125" s="58"/>
      <c r="AL125" s="62">
        <f>SUM(AI125+AJ125-AK125)</f>
        <v>2</v>
      </c>
      <c r="AM125" s="60"/>
      <c r="AN125" s="58"/>
      <c r="AO125" s="62">
        <f>SUM(AL125+AM125-AN125)</f>
        <v>2</v>
      </c>
      <c r="AP125" s="60"/>
      <c r="AQ125" s="58"/>
      <c r="AR125" s="62">
        <f>SUM(AO125+AP125-AQ125)</f>
        <v>2</v>
      </c>
      <c r="AS125" s="60"/>
      <c r="AT125" s="58"/>
      <c r="AU125" s="62">
        <f>SUM(AR125+AS125-AT125)</f>
        <v>2</v>
      </c>
      <c r="AV125" s="83">
        <f>SUM(L125+O125+R125+U125+X125+AA125+AD125+AG125+AJ125+AM125+AP125+AS125)</f>
        <v>2</v>
      </c>
      <c r="AW125" s="83">
        <f>SUM(M125+P125+S125+V125+Y125+AB125+AE125+AH125+AK125+AN125+AQ125+AT125)</f>
        <v>1</v>
      </c>
      <c r="AX125" s="64">
        <f>SUM(M125,P125,S125,V125,Y125,AB125,AE125,AH125,AK125,AN125,AQ125,AT125)</f>
        <v>1</v>
      </c>
      <c r="AY125" s="65">
        <f>AVERAGE(M125,P125,S125,V125,Y125,AB125,AE125,AH125,AK125,AN125,AQ125,AT125)</f>
        <v>1</v>
      </c>
      <c r="AZ125" s="66">
        <f>COUNT(M125,P125,S125,V125,Y125,AB125,AE125,AH125,AK125,AN125,AQ125,AT125)</f>
        <v>1</v>
      </c>
      <c r="BA125" s="67">
        <v>1</v>
      </c>
      <c r="BB125" s="68">
        <v>0</v>
      </c>
      <c r="BC125" s="84">
        <f t="shared" si="151"/>
        <v>2</v>
      </c>
      <c r="BD125" s="83">
        <f t="shared" si="134"/>
        <v>2</v>
      </c>
      <c r="BE125" s="85">
        <v>2</v>
      </c>
      <c r="BF125" s="86">
        <v>46253</v>
      </c>
      <c r="BG125" s="72">
        <f t="shared" si="152"/>
        <v>46265</v>
      </c>
      <c r="BH125" s="87">
        <f>BG125-BF125</f>
        <v>12</v>
      </c>
      <c r="BI125" s="80" t="str">
        <f t="shared" si="135"/>
        <v/>
      </c>
      <c r="BJ125" s="238">
        <v>3446.55</v>
      </c>
    </row>
    <row r="126" spans="1:62" ht="13">
      <c r="A126" s="49"/>
      <c r="B126" s="76"/>
      <c r="C126" s="77">
        <v>123</v>
      </c>
      <c r="D126" s="113" t="s">
        <v>1514</v>
      </c>
      <c r="E126" s="114">
        <v>39</v>
      </c>
      <c r="F126" s="80" t="s">
        <v>797</v>
      </c>
      <c r="G126" s="81" t="s">
        <v>798</v>
      </c>
      <c r="H126" s="81" t="s">
        <v>294</v>
      </c>
      <c r="I126" s="80" t="s">
        <v>458</v>
      </c>
      <c r="J126" s="82">
        <f>AU126</f>
        <v>4</v>
      </c>
      <c r="K126" s="80">
        <v>4</v>
      </c>
      <c r="L126" s="57"/>
      <c r="M126" s="58"/>
      <c r="N126" s="59">
        <f>SUM(K126+L126-M126)</f>
        <v>4</v>
      </c>
      <c r="O126" s="60"/>
      <c r="P126" s="58"/>
      <c r="Q126" s="59">
        <f>SUM(N126+O126-P126)</f>
        <v>4</v>
      </c>
      <c r="R126" s="60"/>
      <c r="S126" s="58"/>
      <c r="T126" s="61">
        <f>SUM(Q126+R126-S126)</f>
        <v>4</v>
      </c>
      <c r="U126" s="60"/>
      <c r="V126" s="58"/>
      <c r="W126" s="59">
        <f>SUM(T126+U126-V126)</f>
        <v>4</v>
      </c>
      <c r="X126" s="60"/>
      <c r="Y126" s="58"/>
      <c r="Z126" s="61">
        <f>SUM(W126+X126-Y126)</f>
        <v>4</v>
      </c>
      <c r="AA126" s="60"/>
      <c r="AB126" s="58"/>
      <c r="AC126" s="59">
        <f>SUM(Z126+AA126-AB126)</f>
        <v>4</v>
      </c>
      <c r="AD126" s="57"/>
      <c r="AE126" s="58"/>
      <c r="AF126" s="243">
        <f>SUM(AC126+AD126-AE126)</f>
        <v>4</v>
      </c>
      <c r="AG126" s="60"/>
      <c r="AH126" s="58"/>
      <c r="AI126" s="62">
        <f>SUM(AF126+AG126-AH126)</f>
        <v>4</v>
      </c>
      <c r="AJ126" s="60"/>
      <c r="AK126" s="58"/>
      <c r="AL126" s="62">
        <f>SUM(AI126+AJ126-AK126)</f>
        <v>4</v>
      </c>
      <c r="AM126" s="60"/>
      <c r="AN126" s="58"/>
      <c r="AO126" s="62">
        <f>SUM(AL126+AM126-AN126)</f>
        <v>4</v>
      </c>
      <c r="AP126" s="60"/>
      <c r="AQ126" s="58"/>
      <c r="AR126" s="62">
        <f>SUM(AO126+AP126-AQ126)</f>
        <v>4</v>
      </c>
      <c r="AS126" s="60"/>
      <c r="AT126" s="58"/>
      <c r="AU126" s="62">
        <f>SUM(AR126+AS126-AT126)</f>
        <v>4</v>
      </c>
      <c r="AV126" s="83">
        <f t="shared" ref="AV126:AW126" si="333">SUM(L126+O126+R126+U126+X126+AA126+AD126+AG126+AJ126+AM126+AP126+AS126)</f>
        <v>0</v>
      </c>
      <c r="AW126" s="83">
        <f t="shared" si="333"/>
        <v>0</v>
      </c>
      <c r="AX126" s="64">
        <f>SUM(M126,P126,S126,V126,Y126,AB126,AE126,AH126,AK126,AN126,AQ126,AT126)</f>
        <v>0</v>
      </c>
      <c r="AY126" s="65" t="e">
        <f>AVERAGE(M126,P126,S126,V126,Y126,AB126,AE126,AH126,AK126,AN126,AQ126,AT126)</f>
        <v>#DIV/0!</v>
      </c>
      <c r="AZ126" s="66">
        <f>COUNT(M126,P126,S126,V126,Y126,AB126,AE126,AH126,AK126,AN126,AQ126,AT126)</f>
        <v>0</v>
      </c>
      <c r="BA126" s="67">
        <f>MAX(0, Table176252626[[#This Row],[Column6]])</f>
        <v>4</v>
      </c>
      <c r="BB126" s="68">
        <v>1</v>
      </c>
      <c r="BC126" s="84">
        <f t="shared" si="151"/>
        <v>4</v>
      </c>
      <c r="BD126" s="83">
        <f t="shared" si="134"/>
        <v>3</v>
      </c>
      <c r="BE126" s="85">
        <v>2</v>
      </c>
      <c r="BF126" s="86">
        <v>43840.647210648145</v>
      </c>
      <c r="BG126" s="72">
        <f t="shared" si="152"/>
        <v>46265</v>
      </c>
      <c r="BH126" s="87">
        <f>BG126-BF126</f>
        <v>2424.3527893518549</v>
      </c>
      <c r="BI126" s="80" t="str">
        <f t="shared" si="135"/>
        <v>Dead Stock</v>
      </c>
      <c r="BJ126" s="238">
        <v>179.25</v>
      </c>
    </row>
    <row r="127" spans="1:62" ht="13">
      <c r="A127" s="75"/>
      <c r="B127" s="76"/>
      <c r="C127" s="51">
        <v>124</v>
      </c>
      <c r="D127" s="113" t="s">
        <v>1514</v>
      </c>
      <c r="E127" s="114">
        <v>40</v>
      </c>
      <c r="F127" s="105" t="s">
        <v>264</v>
      </c>
      <c r="G127" s="81" t="s">
        <v>1556</v>
      </c>
      <c r="H127" s="81" t="s">
        <v>294</v>
      </c>
      <c r="I127" s="80" t="s">
        <v>458</v>
      </c>
      <c r="J127" s="82">
        <f t="shared" si="317"/>
        <v>5</v>
      </c>
      <c r="K127" s="80">
        <v>2</v>
      </c>
      <c r="L127" s="57">
        <v>2</v>
      </c>
      <c r="M127" s="58">
        <v>1</v>
      </c>
      <c r="N127" s="59">
        <f t="shared" si="318"/>
        <v>3</v>
      </c>
      <c r="O127" s="60"/>
      <c r="P127" s="58"/>
      <c r="Q127" s="59">
        <f t="shared" si="319"/>
        <v>3</v>
      </c>
      <c r="R127" s="60"/>
      <c r="S127" s="58"/>
      <c r="T127" s="61">
        <f t="shared" si="320"/>
        <v>3</v>
      </c>
      <c r="U127" s="60"/>
      <c r="V127" s="58">
        <v>1</v>
      </c>
      <c r="W127" s="59">
        <f t="shared" si="321"/>
        <v>2</v>
      </c>
      <c r="X127" s="60"/>
      <c r="Y127" s="58"/>
      <c r="Z127" s="61">
        <f t="shared" si="322"/>
        <v>2</v>
      </c>
      <c r="AA127" s="60"/>
      <c r="AB127" s="58">
        <v>2</v>
      </c>
      <c r="AC127" s="59">
        <f t="shared" si="323"/>
        <v>0</v>
      </c>
      <c r="AD127" s="57">
        <v>5</v>
      </c>
      <c r="AE127" s="58"/>
      <c r="AF127" s="243">
        <f t="shared" si="324"/>
        <v>5</v>
      </c>
      <c r="AG127" s="60"/>
      <c r="AH127" s="58"/>
      <c r="AI127" s="62">
        <f t="shared" si="325"/>
        <v>5</v>
      </c>
      <c r="AJ127" s="60"/>
      <c r="AK127" s="58"/>
      <c r="AL127" s="62">
        <f t="shared" si="326"/>
        <v>5</v>
      </c>
      <c r="AM127" s="60"/>
      <c r="AN127" s="58"/>
      <c r="AO127" s="62">
        <f t="shared" si="327"/>
        <v>5</v>
      </c>
      <c r="AP127" s="60"/>
      <c r="AQ127" s="58"/>
      <c r="AR127" s="62">
        <f t="shared" si="328"/>
        <v>5</v>
      </c>
      <c r="AS127" s="60"/>
      <c r="AT127" s="58"/>
      <c r="AU127" s="62">
        <f t="shared" si="329"/>
        <v>5</v>
      </c>
      <c r="AV127" s="83">
        <f t="shared" si="332"/>
        <v>7</v>
      </c>
      <c r="AW127" s="83">
        <f t="shared" si="332"/>
        <v>4</v>
      </c>
      <c r="AX127" s="64">
        <f t="shared" si="330"/>
        <v>4</v>
      </c>
      <c r="AY127" s="65">
        <f t="shared" si="314"/>
        <v>1.3333333333333333</v>
      </c>
      <c r="AZ127" s="66">
        <f t="shared" si="315"/>
        <v>3</v>
      </c>
      <c r="BA127" s="67">
        <f>MAX(0, Table176252626[[#This Row],[Column6]])</f>
        <v>5</v>
      </c>
      <c r="BB127" s="68">
        <v>1</v>
      </c>
      <c r="BC127" s="84">
        <f t="shared" si="151"/>
        <v>5</v>
      </c>
      <c r="BD127" s="83">
        <f t="shared" si="134"/>
        <v>4</v>
      </c>
      <c r="BE127" s="85">
        <v>2</v>
      </c>
      <c r="BF127" s="86">
        <v>46212.456458333334</v>
      </c>
      <c r="BG127" s="72">
        <f t="shared" si="152"/>
        <v>46265</v>
      </c>
      <c r="BH127" s="87">
        <f t="shared" si="316"/>
        <v>52.543541666665988</v>
      </c>
      <c r="BI127" s="80" t="str">
        <f t="shared" si="135"/>
        <v/>
      </c>
      <c r="BJ127" s="238">
        <v>431</v>
      </c>
    </row>
    <row r="128" spans="1:62" ht="13">
      <c r="A128" s="90"/>
      <c r="B128" s="91"/>
      <c r="C128" s="51">
        <v>125</v>
      </c>
      <c r="D128" s="113" t="s">
        <v>1514</v>
      </c>
      <c r="E128" s="114">
        <v>41</v>
      </c>
      <c r="F128" s="88" t="s">
        <v>1877</v>
      </c>
      <c r="G128" s="89" t="s">
        <v>1878</v>
      </c>
      <c r="H128" s="89" t="s">
        <v>294</v>
      </c>
      <c r="I128" s="88" t="s">
        <v>458</v>
      </c>
      <c r="J128" s="93">
        <f>AU128</f>
        <v>2</v>
      </c>
      <c r="K128" s="80">
        <v>2</v>
      </c>
      <c r="L128" s="58"/>
      <c r="M128" s="58"/>
      <c r="N128" s="62">
        <f>SUM(K128+L128-M128)</f>
        <v>2</v>
      </c>
      <c r="O128" s="60"/>
      <c r="P128" s="58"/>
      <c r="Q128" s="62">
        <f>SUM(N128+O128-P128)</f>
        <v>2</v>
      </c>
      <c r="R128" s="60"/>
      <c r="S128" s="58"/>
      <c r="T128" s="94">
        <f>SUM(Q128+R128-S128)</f>
        <v>2</v>
      </c>
      <c r="U128" s="60"/>
      <c r="V128" s="58"/>
      <c r="W128" s="62">
        <f>SUM(T128+U128-V128)</f>
        <v>2</v>
      </c>
      <c r="X128" s="60"/>
      <c r="Y128" s="58"/>
      <c r="Z128" s="94">
        <f>SUM(W128+X128-Y128)</f>
        <v>2</v>
      </c>
      <c r="AA128" s="60"/>
      <c r="AB128" s="58"/>
      <c r="AC128" s="62">
        <f>SUM(Z128+AA128-AB128)</f>
        <v>2</v>
      </c>
      <c r="AD128" s="57"/>
      <c r="AE128" s="58"/>
      <c r="AF128" s="165">
        <f>SUM(AC128+AD128-AE128)</f>
        <v>2</v>
      </c>
      <c r="AG128" s="60"/>
      <c r="AH128" s="58"/>
      <c r="AI128" s="62">
        <f>SUM(AF128+AG128-AH128)</f>
        <v>2</v>
      </c>
      <c r="AJ128" s="60"/>
      <c r="AK128" s="58"/>
      <c r="AL128" s="62">
        <f>SUM(AI128+AJ128-AK128)</f>
        <v>2</v>
      </c>
      <c r="AM128" s="60"/>
      <c r="AN128" s="58"/>
      <c r="AO128" s="62">
        <f>SUM(AL128+AM128-AN128)</f>
        <v>2</v>
      </c>
      <c r="AP128" s="60"/>
      <c r="AQ128" s="58"/>
      <c r="AR128" s="62">
        <f>SUM(AO128+AP128-AQ128)</f>
        <v>2</v>
      </c>
      <c r="AS128" s="60"/>
      <c r="AT128" s="58"/>
      <c r="AU128" s="62">
        <f>SUM(AR128+AS128-AT128)</f>
        <v>2</v>
      </c>
      <c r="AV128" s="96">
        <f>SUM(L128+O128+R128+U128+X128+AA128+AD128+AG128+AJ128+AM128+AP128+AS128)</f>
        <v>0</v>
      </c>
      <c r="AW128" s="97">
        <f>SUM(M128+P128+S128+V128+Y128+AB128+AE128+AH128+AK128+AN128+AQ128+AT128)</f>
        <v>0</v>
      </c>
      <c r="AX128" s="98">
        <f>SUM(M128,P128,S128,V128,Y128,AB128,AE128,AH128,AK128,AN128,AQ128,AT128)</f>
        <v>0</v>
      </c>
      <c r="AY128" s="99" t="e">
        <f>AVERAGE(M128,P128,S128,V128,Y128,AB128,AE128,AH128,AK128,AN128,AQ128,AT128)</f>
        <v>#DIV/0!</v>
      </c>
      <c r="AZ128" s="100">
        <f>COUNT(M128,P128,S128,V128,Y128,AB128,AE128,AH128,AK128,AN128,AQ128,AT128)</f>
        <v>0</v>
      </c>
      <c r="BA128" s="101">
        <v>2</v>
      </c>
      <c r="BB128" s="102">
        <v>1</v>
      </c>
      <c r="BC128" s="84">
        <f t="shared" si="151"/>
        <v>2</v>
      </c>
      <c r="BD128" s="83">
        <f t="shared" si="134"/>
        <v>1</v>
      </c>
      <c r="BE128" s="85">
        <v>2</v>
      </c>
      <c r="BF128" s="86">
        <v>46003</v>
      </c>
      <c r="BG128" s="72">
        <f t="shared" si="152"/>
        <v>46265</v>
      </c>
      <c r="BH128" s="103">
        <f>BG128-BF128</f>
        <v>262</v>
      </c>
      <c r="BI128" s="80" t="str">
        <f t="shared" si="135"/>
        <v/>
      </c>
      <c r="BJ128" s="238">
        <v>670</v>
      </c>
    </row>
    <row r="129" spans="1:62" ht="13">
      <c r="A129" s="90"/>
      <c r="B129" s="91"/>
      <c r="C129" s="51">
        <v>126</v>
      </c>
      <c r="D129" s="113" t="s">
        <v>1514</v>
      </c>
      <c r="E129" s="114">
        <v>42</v>
      </c>
      <c r="F129" s="88" t="s">
        <v>1903</v>
      </c>
      <c r="G129" s="89" t="s">
        <v>1904</v>
      </c>
      <c r="H129" s="89" t="s">
        <v>294</v>
      </c>
      <c r="I129" s="88" t="s">
        <v>458</v>
      </c>
      <c r="J129" s="93">
        <f t="shared" si="317"/>
        <v>1</v>
      </c>
      <c r="K129" s="88">
        <v>1</v>
      </c>
      <c r="L129" s="58"/>
      <c r="M129" s="58"/>
      <c r="N129" s="62">
        <f t="shared" si="318"/>
        <v>1</v>
      </c>
      <c r="O129" s="60"/>
      <c r="P129" s="58"/>
      <c r="Q129" s="62">
        <f t="shared" si="319"/>
        <v>1</v>
      </c>
      <c r="R129" s="60"/>
      <c r="S129" s="58"/>
      <c r="T129" s="94">
        <f t="shared" si="320"/>
        <v>1</v>
      </c>
      <c r="U129" s="60"/>
      <c r="V129" s="58"/>
      <c r="W129" s="62">
        <f t="shared" si="321"/>
        <v>1</v>
      </c>
      <c r="X129" s="60"/>
      <c r="Y129" s="58"/>
      <c r="Z129" s="94">
        <f t="shared" si="322"/>
        <v>1</v>
      </c>
      <c r="AA129" s="60"/>
      <c r="AB129" s="58"/>
      <c r="AC129" s="62">
        <f t="shared" si="323"/>
        <v>1</v>
      </c>
      <c r="AD129" s="57"/>
      <c r="AE129" s="58"/>
      <c r="AF129" s="165">
        <f t="shared" si="324"/>
        <v>1</v>
      </c>
      <c r="AG129" s="60"/>
      <c r="AH129" s="58"/>
      <c r="AI129" s="62">
        <f t="shared" si="325"/>
        <v>1</v>
      </c>
      <c r="AJ129" s="60"/>
      <c r="AK129" s="58"/>
      <c r="AL129" s="62">
        <f t="shared" si="326"/>
        <v>1</v>
      </c>
      <c r="AM129" s="60"/>
      <c r="AN129" s="58"/>
      <c r="AO129" s="62">
        <f t="shared" si="327"/>
        <v>1</v>
      </c>
      <c r="AP129" s="60"/>
      <c r="AQ129" s="58"/>
      <c r="AR129" s="62">
        <f t="shared" si="328"/>
        <v>1</v>
      </c>
      <c r="AS129" s="60"/>
      <c r="AT129" s="58"/>
      <c r="AU129" s="62">
        <f t="shared" si="329"/>
        <v>1</v>
      </c>
      <c r="AV129" s="96">
        <f t="shared" si="332"/>
        <v>0</v>
      </c>
      <c r="AW129" s="97">
        <f t="shared" si="332"/>
        <v>0</v>
      </c>
      <c r="AX129" s="98">
        <f t="shared" si="330"/>
        <v>0</v>
      </c>
      <c r="AY129" s="99" t="e">
        <f t="shared" si="314"/>
        <v>#DIV/0!</v>
      </c>
      <c r="AZ129" s="100">
        <f t="shared" si="315"/>
        <v>0</v>
      </c>
      <c r="BA129" s="101">
        <v>1</v>
      </c>
      <c r="BB129" s="102">
        <v>0</v>
      </c>
      <c r="BC129" s="84">
        <f t="shared" si="151"/>
        <v>1</v>
      </c>
      <c r="BD129" s="83">
        <f t="shared" si="134"/>
        <v>1</v>
      </c>
      <c r="BE129" s="85">
        <v>2</v>
      </c>
      <c r="BF129" s="86">
        <v>45972</v>
      </c>
      <c r="BG129" s="72">
        <f t="shared" si="152"/>
        <v>46265</v>
      </c>
      <c r="BH129" s="103">
        <f t="shared" si="316"/>
        <v>293</v>
      </c>
      <c r="BI129" s="80" t="str">
        <f t="shared" si="135"/>
        <v/>
      </c>
      <c r="BJ129" s="238">
        <v>8529</v>
      </c>
    </row>
    <row r="130" spans="1:62" ht="13">
      <c r="A130" s="49"/>
      <c r="B130" s="50"/>
      <c r="C130" s="51">
        <v>127</v>
      </c>
      <c r="D130" s="113" t="s">
        <v>1514</v>
      </c>
      <c r="E130" s="114">
        <v>44</v>
      </c>
      <c r="F130" s="80" t="s">
        <v>219</v>
      </c>
      <c r="G130" s="106" t="s">
        <v>699</v>
      </c>
      <c r="H130" s="81" t="s">
        <v>294</v>
      </c>
      <c r="I130" s="80" t="s">
        <v>458</v>
      </c>
      <c r="J130" s="82">
        <f>AU130</f>
        <v>1</v>
      </c>
      <c r="K130" s="80">
        <v>1</v>
      </c>
      <c r="L130" s="57"/>
      <c r="M130" s="58"/>
      <c r="N130" s="59">
        <f>SUM(K130+L130-M130)</f>
        <v>1</v>
      </c>
      <c r="O130" s="60"/>
      <c r="P130" s="58"/>
      <c r="Q130" s="59">
        <f>SUM(N130+O130-P130)</f>
        <v>1</v>
      </c>
      <c r="R130" s="60"/>
      <c r="S130" s="58"/>
      <c r="T130" s="61">
        <f>SUM(Q130+R130-S130)</f>
        <v>1</v>
      </c>
      <c r="U130" s="60"/>
      <c r="V130" s="58"/>
      <c r="W130" s="59">
        <f>SUM(T130+U130-V130)</f>
        <v>1</v>
      </c>
      <c r="X130" s="60"/>
      <c r="Y130" s="58"/>
      <c r="Z130" s="61">
        <f>SUM(W130+X130-Y130)</f>
        <v>1</v>
      </c>
      <c r="AA130" s="60"/>
      <c r="AB130" s="58"/>
      <c r="AC130" s="59">
        <f>SUM(Z130+AA130-AB130)</f>
        <v>1</v>
      </c>
      <c r="AD130" s="57"/>
      <c r="AE130" s="58"/>
      <c r="AF130" s="243">
        <f>SUM(AC130+AD130-AE130)</f>
        <v>1</v>
      </c>
      <c r="AG130" s="60"/>
      <c r="AH130" s="58"/>
      <c r="AI130" s="62">
        <f>SUM(AF130+AG130-AH130)</f>
        <v>1</v>
      </c>
      <c r="AJ130" s="60"/>
      <c r="AK130" s="58"/>
      <c r="AL130" s="62">
        <f>SUM(AI130+AJ130-AK130)</f>
        <v>1</v>
      </c>
      <c r="AM130" s="60"/>
      <c r="AN130" s="58"/>
      <c r="AO130" s="62">
        <f>SUM(AL130+AM130-AN130)</f>
        <v>1</v>
      </c>
      <c r="AP130" s="60"/>
      <c r="AQ130" s="58"/>
      <c r="AR130" s="62">
        <f>SUM(AO130+AP130-AQ130)</f>
        <v>1</v>
      </c>
      <c r="AS130" s="60"/>
      <c r="AT130" s="58"/>
      <c r="AU130" s="62">
        <f>SUM(AR130+AS130-AT130)</f>
        <v>1</v>
      </c>
      <c r="AV130" s="83">
        <f>SUM(L130+O130+R130+U130+X130+AA130+AD130+AG130+AJ130+AM130+AP130+AS130)</f>
        <v>0</v>
      </c>
      <c r="AW130" s="83">
        <f>SUM(M130+P130+S130+V130+Y130+AB130+AE130+AH130+AK130+AN130+AQ130+AT130)</f>
        <v>0</v>
      </c>
      <c r="AX130" s="64">
        <f>SUM(M130,P130,S130,V130,Y130,AB130,AE130,AH130,AK130,AN130,AQ130,AT130)</f>
        <v>0</v>
      </c>
      <c r="AY130" s="65" t="e">
        <f>AVERAGE(M130,P130,S130,V130,Y130,AB130,AE130,AH130,AK130,AN130,AQ130,AT130)</f>
        <v>#DIV/0!</v>
      </c>
      <c r="AZ130" s="66">
        <f>COUNT(M130,P130,S130,V130,Y130,AB130,AE130,AH130,AK130,AN130,AQ130,AT130)</f>
        <v>0</v>
      </c>
      <c r="BA130" s="67">
        <v>1</v>
      </c>
      <c r="BB130" s="68">
        <v>0</v>
      </c>
      <c r="BC130" s="84">
        <f t="shared" si="151"/>
        <v>1</v>
      </c>
      <c r="BD130" s="83">
        <f t="shared" si="134"/>
        <v>1</v>
      </c>
      <c r="BE130" s="85">
        <v>2</v>
      </c>
      <c r="BF130" s="86">
        <v>45184.436956018515</v>
      </c>
      <c r="BG130" s="72">
        <f t="shared" si="152"/>
        <v>46265</v>
      </c>
      <c r="BH130" s="87">
        <f>BG130-BF130</f>
        <v>1080.563043981485</v>
      </c>
      <c r="BI130" s="80" t="str">
        <f t="shared" si="135"/>
        <v>Dead Stock</v>
      </c>
      <c r="BJ130" s="238">
        <v>14200</v>
      </c>
    </row>
    <row r="131" spans="1:62" ht="13">
      <c r="A131" s="75"/>
      <c r="B131" s="76"/>
      <c r="C131" s="77">
        <v>128</v>
      </c>
      <c r="D131" s="113" t="s">
        <v>1514</v>
      </c>
      <c r="E131" s="114">
        <v>45</v>
      </c>
      <c r="F131" s="105" t="s">
        <v>411</v>
      </c>
      <c r="G131" s="81" t="s">
        <v>412</v>
      </c>
      <c r="H131" s="81" t="s">
        <v>294</v>
      </c>
      <c r="I131" s="80" t="s">
        <v>458</v>
      </c>
      <c r="J131" s="82">
        <f t="shared" ref="J131" si="334">AU131</f>
        <v>1</v>
      </c>
      <c r="K131" s="80">
        <v>1</v>
      </c>
      <c r="L131" s="57"/>
      <c r="M131" s="58"/>
      <c r="N131" s="59">
        <f t="shared" ref="N131" si="335">SUM(K131+L131-M131)</f>
        <v>1</v>
      </c>
      <c r="O131" s="60"/>
      <c r="P131" s="58"/>
      <c r="Q131" s="59">
        <f t="shared" ref="Q131" si="336">SUM(N131+O131-P131)</f>
        <v>1</v>
      </c>
      <c r="R131" s="60"/>
      <c r="S131" s="58"/>
      <c r="T131" s="61">
        <f t="shared" ref="T131" si="337">SUM(Q131+R131-S131)</f>
        <v>1</v>
      </c>
      <c r="U131" s="60"/>
      <c r="V131" s="58"/>
      <c r="W131" s="59">
        <f t="shared" ref="W131" si="338">SUM(T131+U131-V131)</f>
        <v>1</v>
      </c>
      <c r="X131" s="60"/>
      <c r="Y131" s="58"/>
      <c r="Z131" s="61">
        <f t="shared" ref="Z131" si="339">SUM(W131+X131-Y131)</f>
        <v>1</v>
      </c>
      <c r="AA131" s="60"/>
      <c r="AB131" s="58"/>
      <c r="AC131" s="59">
        <f t="shared" ref="AC131" si="340">SUM(Z131+AA131-AB131)</f>
        <v>1</v>
      </c>
      <c r="AD131" s="57"/>
      <c r="AE131" s="58"/>
      <c r="AF131" s="243">
        <f t="shared" ref="AF131" si="341">SUM(AC131+AD131-AE131)</f>
        <v>1</v>
      </c>
      <c r="AG131" s="60"/>
      <c r="AH131" s="58"/>
      <c r="AI131" s="62">
        <f t="shared" ref="AI131" si="342">SUM(AF131+AG131-AH131)</f>
        <v>1</v>
      </c>
      <c r="AJ131" s="60"/>
      <c r="AK131" s="58"/>
      <c r="AL131" s="62">
        <f t="shared" ref="AL131" si="343">SUM(AI131+AJ131-AK131)</f>
        <v>1</v>
      </c>
      <c r="AM131" s="60"/>
      <c r="AN131" s="58"/>
      <c r="AO131" s="62">
        <f t="shared" ref="AO131" si="344">SUM(AL131+AM131-AN131)</f>
        <v>1</v>
      </c>
      <c r="AP131" s="60"/>
      <c r="AQ131" s="58"/>
      <c r="AR131" s="62">
        <f t="shared" ref="AR131" si="345">SUM(AO131+AP131-AQ131)</f>
        <v>1</v>
      </c>
      <c r="AS131" s="60"/>
      <c r="AT131" s="58"/>
      <c r="AU131" s="62">
        <f t="shared" ref="AU131" si="346">SUM(AR131+AS131-AT131)</f>
        <v>1</v>
      </c>
      <c r="AV131" s="83">
        <f t="shared" ref="AV131" si="347">SUM(L131+O131+R131+U131+X131+AA131+AD131+AG131+AJ131+AM131+AP131+AS131)</f>
        <v>0</v>
      </c>
      <c r="AW131" s="83">
        <f t="shared" ref="AW131" si="348">SUM(M131+P131+S131+V131+Y131+AB131+AE131+AH131+AK131+AN131+AQ131+AT131)</f>
        <v>0</v>
      </c>
      <c r="AX131" s="64">
        <f t="shared" ref="AX131" si="349">SUM(M131,P131,S131,V131,Y131,AB131,AE131,AH131,AK131,AN131,AQ131,AT131)</f>
        <v>0</v>
      </c>
      <c r="AY131" s="65" t="e">
        <f>AVERAGE(M131,P131,S131,V131,Y131,AB131,AE131,AH131,AK131,AN131,AQ131,AT131)</f>
        <v>#DIV/0!</v>
      </c>
      <c r="AZ131" s="66">
        <f>COUNT(M131,P131,S131,V131,Y131,AB131,AE131,AH131,AK131,AN131,AQ131,AT131)</f>
        <v>0</v>
      </c>
      <c r="BA131" s="67">
        <f>MAX(0, Table176252626[[#This Row],[Column6]])</f>
        <v>1</v>
      </c>
      <c r="BB131" s="68">
        <v>0</v>
      </c>
      <c r="BC131" s="84">
        <f t="shared" si="151"/>
        <v>1</v>
      </c>
      <c r="BD131" s="83">
        <f t="shared" si="134"/>
        <v>1</v>
      </c>
      <c r="BE131" s="85">
        <v>2</v>
      </c>
      <c r="BF131" s="86">
        <v>45316.637650462966</v>
      </c>
      <c r="BG131" s="72">
        <f t="shared" si="152"/>
        <v>46265</v>
      </c>
      <c r="BH131" s="87">
        <f>BG131-BF131</f>
        <v>948.36234953703388</v>
      </c>
      <c r="BI131" s="80" t="str">
        <f t="shared" si="135"/>
        <v>Dead Stock</v>
      </c>
      <c r="BJ131" s="238">
        <v>1881.46</v>
      </c>
    </row>
    <row r="132" spans="1:62" ht="13">
      <c r="A132" s="90"/>
      <c r="B132" s="91"/>
      <c r="C132" s="77">
        <v>129</v>
      </c>
      <c r="D132" s="113" t="s">
        <v>1514</v>
      </c>
      <c r="E132" s="114">
        <v>46</v>
      </c>
      <c r="F132" s="80" t="s">
        <v>1027</v>
      </c>
      <c r="G132" s="81" t="s">
        <v>741</v>
      </c>
      <c r="H132" s="81" t="s">
        <v>294</v>
      </c>
      <c r="I132" s="80" t="s">
        <v>458</v>
      </c>
      <c r="J132" s="82">
        <f>AU132</f>
        <v>1</v>
      </c>
      <c r="K132" s="80">
        <v>1</v>
      </c>
      <c r="L132" s="57"/>
      <c r="M132" s="58"/>
      <c r="N132" s="59">
        <f>SUM(K132+L132-M132)</f>
        <v>1</v>
      </c>
      <c r="O132" s="60"/>
      <c r="P132" s="58"/>
      <c r="Q132" s="59">
        <f>SUM(N132+O132-P132)</f>
        <v>1</v>
      </c>
      <c r="R132" s="60"/>
      <c r="S132" s="58"/>
      <c r="T132" s="61">
        <f>SUM(Q132+R132-S132)</f>
        <v>1</v>
      </c>
      <c r="U132" s="60"/>
      <c r="V132" s="58"/>
      <c r="W132" s="59">
        <f>SUM(T132+U132-V132)</f>
        <v>1</v>
      </c>
      <c r="X132" s="60"/>
      <c r="Y132" s="58"/>
      <c r="Z132" s="61">
        <f>SUM(W132+X132-Y132)</f>
        <v>1</v>
      </c>
      <c r="AA132" s="60"/>
      <c r="AB132" s="58"/>
      <c r="AC132" s="59">
        <f>SUM(Z132+AA132-AB132)</f>
        <v>1</v>
      </c>
      <c r="AD132" s="57"/>
      <c r="AE132" s="58"/>
      <c r="AF132" s="243">
        <f>SUM(AC132+AD132-AE132)</f>
        <v>1</v>
      </c>
      <c r="AG132" s="60"/>
      <c r="AH132" s="58"/>
      <c r="AI132" s="62">
        <f>SUM(AF132+AG132-AH132)</f>
        <v>1</v>
      </c>
      <c r="AJ132" s="60"/>
      <c r="AK132" s="58"/>
      <c r="AL132" s="62">
        <f>SUM(AI132+AJ132-AK132)</f>
        <v>1</v>
      </c>
      <c r="AM132" s="60"/>
      <c r="AN132" s="58"/>
      <c r="AO132" s="62">
        <f>SUM(AL132+AM132-AN132)</f>
        <v>1</v>
      </c>
      <c r="AP132" s="60"/>
      <c r="AQ132" s="58"/>
      <c r="AR132" s="62">
        <f>SUM(AO132+AP132-AQ132)</f>
        <v>1</v>
      </c>
      <c r="AS132" s="60"/>
      <c r="AT132" s="58"/>
      <c r="AU132" s="62">
        <f>SUM(AR132+AS132-AT132)</f>
        <v>1</v>
      </c>
      <c r="AV132" s="83">
        <f t="shared" ref="AV132:AW132" si="350">SUM(L132+O132+R132+U132+X132+AA132+AD132+AG132+AJ132+AM132+AP132+AS132)</f>
        <v>0</v>
      </c>
      <c r="AW132" s="83">
        <f t="shared" si="350"/>
        <v>0</v>
      </c>
      <c r="AX132" s="64">
        <f>SUM(M132,P132,S132,V132,Y132,AB132,AE132,AH132,AK132,AN132,AQ132,AT132)</f>
        <v>0</v>
      </c>
      <c r="AY132" s="65" t="e">
        <f>AVERAGE(M132,P132,S132,V132,Y132,AB132,AE132,AH132,AK132,AN132,AQ132,AT132)</f>
        <v>#DIV/0!</v>
      </c>
      <c r="AZ132" s="66">
        <f>COUNT(M132,P132,S132,V132,Y132,AB132,AE132,AH132,AK132,AN132,AQ132,AT132)</f>
        <v>0</v>
      </c>
      <c r="BA132" s="67">
        <f>MAX(0, Table176252626[[#This Row],[Column6]])</f>
        <v>1</v>
      </c>
      <c r="BB132" s="68">
        <v>0</v>
      </c>
      <c r="BC132" s="84">
        <f t="shared" si="151"/>
        <v>1</v>
      </c>
      <c r="BD132" s="83">
        <f t="shared" si="134"/>
        <v>1</v>
      </c>
      <c r="BE132" s="85">
        <v>2</v>
      </c>
      <c r="BF132" s="86">
        <v>44968.786180555559</v>
      </c>
      <c r="BG132" s="72">
        <f t="shared" si="152"/>
        <v>46265</v>
      </c>
      <c r="BH132" s="87">
        <f>BG132-BF132</f>
        <v>1296.2138194444415</v>
      </c>
      <c r="BI132" s="80" t="str">
        <f t="shared" si="135"/>
        <v>Dead Stock</v>
      </c>
      <c r="BJ132" s="238">
        <v>11880</v>
      </c>
    </row>
    <row r="133" spans="1:62" ht="13">
      <c r="A133" s="49"/>
      <c r="B133" s="76"/>
      <c r="C133" s="51">
        <v>130</v>
      </c>
      <c r="D133" s="113" t="s">
        <v>1514</v>
      </c>
      <c r="E133" s="114">
        <v>47</v>
      </c>
      <c r="F133" s="80" t="s">
        <v>652</v>
      </c>
      <c r="G133" s="81" t="s">
        <v>2027</v>
      </c>
      <c r="H133" s="81" t="s">
        <v>294</v>
      </c>
      <c r="I133" s="80" t="s">
        <v>458</v>
      </c>
      <c r="J133" s="82">
        <f>AU133</f>
        <v>2</v>
      </c>
      <c r="K133" s="80">
        <v>2</v>
      </c>
      <c r="L133" s="57"/>
      <c r="M133" s="58"/>
      <c r="N133" s="59">
        <f t="shared" ref="N133" si="351">SUM(K133+L133-M133)</f>
        <v>2</v>
      </c>
      <c r="O133" s="60"/>
      <c r="P133" s="58"/>
      <c r="Q133" s="59">
        <f>SUM(N133+O133-P133)</f>
        <v>2</v>
      </c>
      <c r="R133" s="60"/>
      <c r="S133" s="58"/>
      <c r="T133" s="61">
        <f>SUM(Q133+R133-S133)</f>
        <v>2</v>
      </c>
      <c r="U133" s="60"/>
      <c r="V133" s="58"/>
      <c r="W133" s="59">
        <f>SUM(T133+U133-V133)</f>
        <v>2</v>
      </c>
      <c r="X133" s="60"/>
      <c r="Y133" s="58"/>
      <c r="Z133" s="61">
        <f>SUM(W133+X133-Y133)</f>
        <v>2</v>
      </c>
      <c r="AA133" s="60"/>
      <c r="AB133" s="58"/>
      <c r="AC133" s="59">
        <f>SUM(Z133+AA133-AB133)</f>
        <v>2</v>
      </c>
      <c r="AD133" s="57"/>
      <c r="AE133" s="58"/>
      <c r="AF133" s="243">
        <f>SUM(AC133+AD133-AE133)</f>
        <v>2</v>
      </c>
      <c r="AG133" s="60"/>
      <c r="AH133" s="58"/>
      <c r="AI133" s="62">
        <f>SUM(AF133+AG133-AH133)</f>
        <v>2</v>
      </c>
      <c r="AJ133" s="60"/>
      <c r="AK133" s="58"/>
      <c r="AL133" s="62">
        <f>SUM(AI133+AJ133-AK133)</f>
        <v>2</v>
      </c>
      <c r="AM133" s="60"/>
      <c r="AN133" s="58"/>
      <c r="AO133" s="62">
        <f>SUM(AL133+AM133-AN133)</f>
        <v>2</v>
      </c>
      <c r="AP133" s="60"/>
      <c r="AQ133" s="58"/>
      <c r="AR133" s="62">
        <f t="shared" ref="AR133" si="352">SUM(AO133+AP133-AQ133)</f>
        <v>2</v>
      </c>
      <c r="AS133" s="60"/>
      <c r="AT133" s="58"/>
      <c r="AU133" s="62">
        <f>SUM(AR133+AS133-AT133)</f>
        <v>2</v>
      </c>
      <c r="AV133" s="83">
        <f t="shared" ref="AV133:AW133" si="353">SUM(L133+O133+R133+U133+X133+AA133+AD133+AG133+AJ133+AM133+AP133+AS133)</f>
        <v>0</v>
      </c>
      <c r="AW133" s="83">
        <f t="shared" si="353"/>
        <v>0</v>
      </c>
      <c r="AX133" s="64">
        <f>SUM(M133,P133,S133,V133,Y133,AB133,AE133,AH133,AK133,AN133,AQ133,AT133)</f>
        <v>0</v>
      </c>
      <c r="AY133" s="65" t="e">
        <f t="shared" ref="AY133" si="354">AVERAGE(M133,P133,S133,V133,Y133,AB133,AE133,AH133,AK133,AN133,AQ133,AT133)</f>
        <v>#DIV/0!</v>
      </c>
      <c r="AZ133" s="66">
        <f t="shared" ref="AZ133" si="355">COUNT(M133,P133,S133,V133,Y133,AB133,AE133,AH133,AK133,AN133,AQ133,AT133)</f>
        <v>0</v>
      </c>
      <c r="BA133" s="67">
        <f>MAX(0, Table176252626[[#This Row],[Column6]])</f>
        <v>2</v>
      </c>
      <c r="BB133" s="68">
        <v>1</v>
      </c>
      <c r="BC133" s="84">
        <f t="shared" si="151"/>
        <v>2</v>
      </c>
      <c r="BD133" s="83">
        <f t="shared" si="134"/>
        <v>1</v>
      </c>
      <c r="BE133" s="85">
        <v>2</v>
      </c>
      <c r="BF133" s="86">
        <v>43409.731851851851</v>
      </c>
      <c r="BG133" s="72">
        <f t="shared" si="152"/>
        <v>46265</v>
      </c>
      <c r="BH133" s="87">
        <f t="shared" ref="BH133" si="356">BG133-BF133</f>
        <v>2855.2681481481486</v>
      </c>
      <c r="BI133" s="80" t="str">
        <f t="shared" si="135"/>
        <v>Dead Stock</v>
      </c>
      <c r="BJ133" s="238">
        <v>1946.25</v>
      </c>
    </row>
    <row r="134" spans="1:62" ht="13">
      <c r="A134" s="75"/>
      <c r="B134" s="76"/>
      <c r="C134" s="51">
        <v>131</v>
      </c>
      <c r="D134" s="113" t="s">
        <v>1514</v>
      </c>
      <c r="E134" s="114">
        <v>48</v>
      </c>
      <c r="F134" s="80" t="s">
        <v>383</v>
      </c>
      <c r="G134" s="81" t="s">
        <v>384</v>
      </c>
      <c r="H134" s="81" t="s">
        <v>294</v>
      </c>
      <c r="I134" s="80" t="s">
        <v>458</v>
      </c>
      <c r="J134" s="82">
        <f>AU134</f>
        <v>2</v>
      </c>
      <c r="K134" s="80">
        <v>2</v>
      </c>
      <c r="L134" s="57"/>
      <c r="M134" s="58"/>
      <c r="N134" s="59">
        <f>SUM(K134+L134-M134)</f>
        <v>2</v>
      </c>
      <c r="O134" s="60"/>
      <c r="P134" s="58"/>
      <c r="Q134" s="59">
        <f>SUM(N134+O134-P134)</f>
        <v>2</v>
      </c>
      <c r="R134" s="60"/>
      <c r="S134" s="58"/>
      <c r="T134" s="61">
        <f>SUM(Q134+R134-S134)</f>
        <v>2</v>
      </c>
      <c r="U134" s="60"/>
      <c r="V134" s="58"/>
      <c r="W134" s="59">
        <f>SUM(T134+U134-V134)</f>
        <v>2</v>
      </c>
      <c r="X134" s="60"/>
      <c r="Y134" s="58"/>
      <c r="Z134" s="61">
        <f>SUM(W134+X134-Y134)</f>
        <v>2</v>
      </c>
      <c r="AA134" s="60"/>
      <c r="AB134" s="58"/>
      <c r="AC134" s="59">
        <f>SUM(Z134+AA134-AB134)</f>
        <v>2</v>
      </c>
      <c r="AD134" s="57"/>
      <c r="AE134" s="58"/>
      <c r="AF134" s="243">
        <f>SUM(AC134+AD134-AE134)</f>
        <v>2</v>
      </c>
      <c r="AG134" s="60"/>
      <c r="AH134" s="58"/>
      <c r="AI134" s="62">
        <f>SUM(AF134+AG134-AH134)</f>
        <v>2</v>
      </c>
      <c r="AJ134" s="60"/>
      <c r="AK134" s="58"/>
      <c r="AL134" s="62">
        <f>SUM(AI134+AJ134-AK134)</f>
        <v>2</v>
      </c>
      <c r="AM134" s="60"/>
      <c r="AN134" s="58"/>
      <c r="AO134" s="62">
        <f>SUM(AL134+AM134-AN134)</f>
        <v>2</v>
      </c>
      <c r="AP134" s="60"/>
      <c r="AQ134" s="58"/>
      <c r="AR134" s="62">
        <f>SUM(AO134+AP134-AQ134)</f>
        <v>2</v>
      </c>
      <c r="AS134" s="60"/>
      <c r="AT134" s="58"/>
      <c r="AU134" s="62">
        <f>SUM(AR134+AS134-AT134)</f>
        <v>2</v>
      </c>
      <c r="AV134" s="83">
        <f t="shared" ref="AV134:AW136" si="357">SUM(L134+O134+R134+U134+X134+AA134+AD134+AG134+AJ134+AM134+AP134+AS134)</f>
        <v>0</v>
      </c>
      <c r="AW134" s="83">
        <f t="shared" si="357"/>
        <v>0</v>
      </c>
      <c r="AX134" s="64">
        <f>SUM(M134,P134,S134,V134,Y134,AB134,AE134,AH134,AK134,AN134,AQ134,AT134)</f>
        <v>0</v>
      </c>
      <c r="AY134" s="65" t="e">
        <f>AVERAGE(M134,P134,S134,V134,Y134,AB134,AE134,AH134,AK134,AN134,AQ134,AT134)</f>
        <v>#DIV/0!</v>
      </c>
      <c r="AZ134" s="66">
        <f>COUNT(M134,P134,S134,V134,Y134,AB134,AE134,AH134,AK134,AN134,AQ134,AT134)</f>
        <v>0</v>
      </c>
      <c r="BA134" s="67">
        <f>MAX(0, Table176252626[[#This Row],[Column6]])</f>
        <v>2</v>
      </c>
      <c r="BB134" s="68">
        <v>1</v>
      </c>
      <c r="BC134" s="84">
        <f t="shared" si="151"/>
        <v>2</v>
      </c>
      <c r="BD134" s="83">
        <f t="shared" ref="BD134:BD195" si="358">SUM(BC134-BB134)</f>
        <v>1</v>
      </c>
      <c r="BE134" s="85">
        <v>2</v>
      </c>
      <c r="BF134" s="86">
        <v>45546.613194444442</v>
      </c>
      <c r="BG134" s="72">
        <f t="shared" si="152"/>
        <v>46265</v>
      </c>
      <c r="BH134" s="87">
        <f>BG134-BF134</f>
        <v>718.38680555555766</v>
      </c>
      <c r="BI134" s="80" t="str">
        <f t="shared" ref="BI134:BI195" si="359">IF(AND(J134&gt;0,BH134&gt;365),"Dead Stock","")</f>
        <v>Dead Stock</v>
      </c>
      <c r="BJ134" s="238">
        <v>17000</v>
      </c>
    </row>
    <row r="135" spans="1:62" ht="13">
      <c r="A135" s="90"/>
      <c r="B135" s="91"/>
      <c r="C135" s="51">
        <v>132</v>
      </c>
      <c r="D135" s="113" t="s">
        <v>1514</v>
      </c>
      <c r="E135" s="114">
        <v>49</v>
      </c>
      <c r="F135" s="54" t="s">
        <v>775</v>
      </c>
      <c r="G135" s="55" t="s">
        <v>777</v>
      </c>
      <c r="H135" s="81" t="s">
        <v>294</v>
      </c>
      <c r="I135" s="90" t="s">
        <v>458</v>
      </c>
      <c r="J135" s="56">
        <f>AU135</f>
        <v>8</v>
      </c>
      <c r="K135" s="80">
        <v>10</v>
      </c>
      <c r="L135" s="57"/>
      <c r="M135" s="58">
        <v>2</v>
      </c>
      <c r="N135" s="59">
        <f>SUM(K135+L135-M135)</f>
        <v>8</v>
      </c>
      <c r="O135" s="60"/>
      <c r="P135" s="58"/>
      <c r="Q135" s="59">
        <f>SUM(N135+O135-P135)</f>
        <v>8</v>
      </c>
      <c r="R135" s="60"/>
      <c r="S135" s="58"/>
      <c r="T135" s="61">
        <f>SUM(Q135+R135-S135)</f>
        <v>8</v>
      </c>
      <c r="U135" s="60"/>
      <c r="V135" s="58"/>
      <c r="W135" s="59">
        <f>SUM(T135+U135-V135)</f>
        <v>8</v>
      </c>
      <c r="X135" s="60"/>
      <c r="Y135" s="58"/>
      <c r="Z135" s="61">
        <f>SUM(W135+X135-Y135)</f>
        <v>8</v>
      </c>
      <c r="AA135" s="60"/>
      <c r="AB135" s="58"/>
      <c r="AC135" s="59">
        <f>SUM(Z135+AA135-AB135)</f>
        <v>8</v>
      </c>
      <c r="AD135" s="57"/>
      <c r="AE135" s="58"/>
      <c r="AF135" s="243">
        <f>SUM(AC135+AD135-AE135)</f>
        <v>8</v>
      </c>
      <c r="AG135" s="60"/>
      <c r="AH135" s="58"/>
      <c r="AI135" s="62">
        <f>SUM(AF135+AG135-AH135)</f>
        <v>8</v>
      </c>
      <c r="AJ135" s="60"/>
      <c r="AK135" s="58"/>
      <c r="AL135" s="62">
        <f>SUM(AI135+AJ135-AK135)</f>
        <v>8</v>
      </c>
      <c r="AM135" s="60"/>
      <c r="AN135" s="58"/>
      <c r="AO135" s="62">
        <f>SUM(AL135+AM135-AN135)</f>
        <v>8</v>
      </c>
      <c r="AP135" s="60"/>
      <c r="AQ135" s="58"/>
      <c r="AR135" s="62">
        <f>SUM(AO135+AP135-AQ135)</f>
        <v>8</v>
      </c>
      <c r="AS135" s="60"/>
      <c r="AT135" s="58"/>
      <c r="AU135" s="62">
        <f>SUM(AR135+AS135-AT135)</f>
        <v>8</v>
      </c>
      <c r="AV135" s="83">
        <f t="shared" si="357"/>
        <v>0</v>
      </c>
      <c r="AW135" s="83">
        <f t="shared" si="357"/>
        <v>2</v>
      </c>
      <c r="AX135" s="64">
        <f>SUM(M135,P135,S135,V135,Y135,AB135,AE135,AH135,AK135,AN135,AQ135,AT135)</f>
        <v>2</v>
      </c>
      <c r="AY135" s="65">
        <f>AVERAGE(M135,P135,S135,V135,Y135,AB135,AE135,AH135,AK135,AN135,AQ135,AT135)</f>
        <v>2</v>
      </c>
      <c r="AZ135" s="66">
        <f>COUNT(M135,P135,S135,V135,Y135,AB135,AE135,AH135,AK135,AN135,AQ135,AT135)</f>
        <v>1</v>
      </c>
      <c r="BA135" s="67">
        <v>8</v>
      </c>
      <c r="BB135" s="68">
        <v>1</v>
      </c>
      <c r="BC135" s="84">
        <f t="shared" si="151"/>
        <v>8</v>
      </c>
      <c r="BD135" s="83">
        <f t="shared" si="358"/>
        <v>7</v>
      </c>
      <c r="BE135" s="85">
        <v>2</v>
      </c>
      <c r="BF135" s="86">
        <v>43690.488356481481</v>
      </c>
      <c r="BG135" s="72">
        <f t="shared" si="152"/>
        <v>46265</v>
      </c>
      <c r="BH135" s="87">
        <f>BG135-BF135</f>
        <v>2574.5116435185191</v>
      </c>
      <c r="BI135" s="80" t="str">
        <f t="shared" si="359"/>
        <v>Dead Stock</v>
      </c>
      <c r="BJ135" s="238">
        <v>520</v>
      </c>
    </row>
    <row r="136" spans="1:62" ht="13">
      <c r="A136" s="49"/>
      <c r="B136" s="50"/>
      <c r="C136" s="51">
        <v>133</v>
      </c>
      <c r="D136" s="113" t="s">
        <v>1514</v>
      </c>
      <c r="E136" s="114">
        <v>50</v>
      </c>
      <c r="F136" s="105" t="s">
        <v>897</v>
      </c>
      <c r="G136" s="112" t="s">
        <v>1224</v>
      </c>
      <c r="H136" s="89" t="s">
        <v>294</v>
      </c>
      <c r="I136" s="80" t="s">
        <v>458</v>
      </c>
      <c r="J136" s="82">
        <f>AU136</f>
        <v>1</v>
      </c>
      <c r="K136" s="80">
        <v>1</v>
      </c>
      <c r="L136" s="57"/>
      <c r="M136" s="58"/>
      <c r="N136" s="59">
        <f>SUM(K136+L136-M136)</f>
        <v>1</v>
      </c>
      <c r="O136" s="60"/>
      <c r="P136" s="58"/>
      <c r="Q136" s="59">
        <f>SUM(N136+O136-P136)</f>
        <v>1</v>
      </c>
      <c r="R136" s="60"/>
      <c r="S136" s="58"/>
      <c r="T136" s="61">
        <f>SUM(Q136+R136-S136)</f>
        <v>1</v>
      </c>
      <c r="U136" s="60"/>
      <c r="V136" s="58"/>
      <c r="W136" s="59">
        <f>SUM(T136+U136-V136)</f>
        <v>1</v>
      </c>
      <c r="X136" s="60"/>
      <c r="Y136" s="58"/>
      <c r="Z136" s="61">
        <f>SUM(W136+X136-Y136)</f>
        <v>1</v>
      </c>
      <c r="AA136" s="60"/>
      <c r="AB136" s="58"/>
      <c r="AC136" s="59">
        <f>SUM(Z136+AA136-AB136)</f>
        <v>1</v>
      </c>
      <c r="AD136" s="57"/>
      <c r="AE136" s="58"/>
      <c r="AF136" s="243">
        <f>SUM(AC136+AD136-AE136)</f>
        <v>1</v>
      </c>
      <c r="AG136" s="60"/>
      <c r="AH136" s="58"/>
      <c r="AI136" s="62">
        <f>SUM(AF136+AG136-AH136)</f>
        <v>1</v>
      </c>
      <c r="AJ136" s="60"/>
      <c r="AK136" s="58"/>
      <c r="AL136" s="62">
        <f>SUM(AI136+AJ136-AK136)</f>
        <v>1</v>
      </c>
      <c r="AM136" s="60"/>
      <c r="AN136" s="58"/>
      <c r="AO136" s="62">
        <f>SUM(AL136+AM136-AN136)</f>
        <v>1</v>
      </c>
      <c r="AP136" s="60"/>
      <c r="AQ136" s="58"/>
      <c r="AR136" s="62">
        <f>SUM(AO136+AP136-AQ136)</f>
        <v>1</v>
      </c>
      <c r="AS136" s="60"/>
      <c r="AT136" s="58"/>
      <c r="AU136" s="62">
        <f>SUM(AR136+AS136-AT136)</f>
        <v>1</v>
      </c>
      <c r="AV136" s="83">
        <f t="shared" si="357"/>
        <v>0</v>
      </c>
      <c r="AW136" s="83">
        <f t="shared" si="357"/>
        <v>0</v>
      </c>
      <c r="AX136" s="64">
        <f>SUM(M136,P136,S136,V136,Y136,AB136,AE136,AH136,AK136,AN136,AQ136,AT136)</f>
        <v>0</v>
      </c>
      <c r="AY136" s="65" t="e">
        <f>AVERAGE(M136,P136,S136,V136,Y136,AB136,AE136,AH136,AK136,AN136,AQ136,AT136)</f>
        <v>#DIV/0!</v>
      </c>
      <c r="AZ136" s="66">
        <f>COUNT(M136,P136,S136,V136,Y136,AB136,AE136,AH136,AK136,AN136,AQ136,AT136)</f>
        <v>0</v>
      </c>
      <c r="BA136" s="67">
        <f>MAX(0, Table176252626[[#This Row],[Column6]])</f>
        <v>1</v>
      </c>
      <c r="BB136" s="68">
        <v>0</v>
      </c>
      <c r="BC136" s="84">
        <f t="shared" si="151"/>
        <v>1</v>
      </c>
      <c r="BD136" s="83">
        <f t="shared" si="358"/>
        <v>1</v>
      </c>
      <c r="BE136" s="85">
        <v>2</v>
      </c>
      <c r="BF136" s="86">
        <v>45678.46298611111</v>
      </c>
      <c r="BG136" s="72">
        <f t="shared" si="152"/>
        <v>46265</v>
      </c>
      <c r="BH136" s="87">
        <f>BG136-BF136</f>
        <v>586.53701388889021</v>
      </c>
      <c r="BI136" s="80" t="str">
        <f t="shared" si="359"/>
        <v>Dead Stock</v>
      </c>
      <c r="BJ136" s="238">
        <v>11000</v>
      </c>
    </row>
    <row r="137" spans="1:62" ht="13">
      <c r="A137" s="49"/>
      <c r="B137" s="50"/>
      <c r="C137" s="77">
        <v>134</v>
      </c>
      <c r="D137" s="117" t="s">
        <v>1515</v>
      </c>
      <c r="E137" s="117">
        <v>1</v>
      </c>
      <c r="F137" s="105" t="s">
        <v>690</v>
      </c>
      <c r="G137" s="81" t="s">
        <v>691</v>
      </c>
      <c r="H137" s="81" t="s">
        <v>294</v>
      </c>
      <c r="I137" s="80" t="s">
        <v>458</v>
      </c>
      <c r="J137" s="82">
        <f t="shared" ref="J137:J149" si="360">AU137</f>
        <v>2</v>
      </c>
      <c r="K137" s="80">
        <v>0</v>
      </c>
      <c r="L137" s="57"/>
      <c r="M137" s="58"/>
      <c r="N137" s="59">
        <f t="shared" ref="N137:N149" si="361">SUM(K137+L137-M137)</f>
        <v>0</v>
      </c>
      <c r="O137" s="60">
        <v>2</v>
      </c>
      <c r="P137" s="58"/>
      <c r="Q137" s="59">
        <f t="shared" ref="Q137:Q149" si="362">SUM(N137+O137-P137)</f>
        <v>2</v>
      </c>
      <c r="R137" s="60"/>
      <c r="S137" s="58"/>
      <c r="T137" s="61">
        <f t="shared" ref="T137:T149" si="363">SUM(Q137+R137-S137)</f>
        <v>2</v>
      </c>
      <c r="U137" s="60"/>
      <c r="V137" s="58"/>
      <c r="W137" s="59">
        <f t="shared" ref="W137:W149" si="364">SUM(T137+U137-V137)</f>
        <v>2</v>
      </c>
      <c r="X137" s="60"/>
      <c r="Y137" s="58"/>
      <c r="Z137" s="61">
        <f t="shared" ref="Z137:Z149" si="365">SUM(W137+X137-Y137)</f>
        <v>2</v>
      </c>
      <c r="AA137" s="60"/>
      <c r="AB137" s="58"/>
      <c r="AC137" s="59">
        <f t="shared" ref="AC137:AC149" si="366">SUM(Z137+AA137-AB137)</f>
        <v>2</v>
      </c>
      <c r="AD137" s="57"/>
      <c r="AE137" s="58"/>
      <c r="AF137" s="243">
        <f t="shared" ref="AF137:AF149" si="367">SUM(AC137+AD137-AE137)</f>
        <v>2</v>
      </c>
      <c r="AG137" s="60"/>
      <c r="AH137" s="58"/>
      <c r="AI137" s="62">
        <f t="shared" ref="AI137:AI149" si="368">SUM(AF137+AG137-AH137)</f>
        <v>2</v>
      </c>
      <c r="AJ137" s="60"/>
      <c r="AK137" s="58"/>
      <c r="AL137" s="62">
        <f t="shared" ref="AL137:AL149" si="369">SUM(AI137+AJ137-AK137)</f>
        <v>2</v>
      </c>
      <c r="AM137" s="60"/>
      <c r="AN137" s="58"/>
      <c r="AO137" s="62">
        <f t="shared" ref="AO137:AO149" si="370">SUM(AL137+AM137-AN137)</f>
        <v>2</v>
      </c>
      <c r="AP137" s="60"/>
      <c r="AQ137" s="58"/>
      <c r="AR137" s="62">
        <f t="shared" ref="AR137:AR149" si="371">SUM(AO137+AP137-AQ137)</f>
        <v>2</v>
      </c>
      <c r="AS137" s="60"/>
      <c r="AT137" s="58"/>
      <c r="AU137" s="62">
        <f t="shared" ref="AU137:AU149" si="372">SUM(AR137+AS137-AT137)</f>
        <v>2</v>
      </c>
      <c r="AV137" s="83">
        <f t="shared" ref="AV137:AW149" si="373">SUM(L137+O137+R137+U137+X137+AA137+AD137+AG137+AJ137+AM137+AP137+AS137)</f>
        <v>2</v>
      </c>
      <c r="AW137" s="83">
        <f t="shared" si="373"/>
        <v>0</v>
      </c>
      <c r="AX137" s="64">
        <f t="shared" ref="AX137:AX149" si="374">SUM(M137,P137,S137,V137,Y137,AB137,AE137,AH137,AK137,AN137,AQ137,AT137)</f>
        <v>0</v>
      </c>
      <c r="AY137" s="65" t="e">
        <f t="shared" ref="AY137:AY149" si="375">AVERAGE(M137,P137,S137,V137,Y137,AB137,AE137,AH137,AK137,AN137,AQ137,AT137)</f>
        <v>#DIV/0!</v>
      </c>
      <c r="AZ137" s="66">
        <f t="shared" ref="AZ137:AZ149" si="376">COUNT(M137,P137,S137,V137,Y137,AB137,AE137,AH137,AK137,AN137,AQ137,AT137)</f>
        <v>0</v>
      </c>
      <c r="BA137" s="67">
        <f>MAX(0, Table176252626[[#This Row],[Column6]])</f>
        <v>2</v>
      </c>
      <c r="BB137" s="68">
        <v>1</v>
      </c>
      <c r="BC137" s="84">
        <f t="shared" ref="BC137:BC198" si="377">J137</f>
        <v>2</v>
      </c>
      <c r="BD137" s="83">
        <f t="shared" si="358"/>
        <v>1</v>
      </c>
      <c r="BE137" s="85">
        <v>2</v>
      </c>
      <c r="BF137" s="86">
        <v>46063.441944444443</v>
      </c>
      <c r="BG137" s="72">
        <f t="shared" si="152"/>
        <v>46265</v>
      </c>
      <c r="BH137" s="87">
        <f t="shared" ref="BH137:BH178" si="378">BG137-BF137</f>
        <v>201.55805555555708</v>
      </c>
      <c r="BI137" s="80" t="str">
        <f t="shared" si="359"/>
        <v/>
      </c>
      <c r="BJ137" s="238">
        <v>1983</v>
      </c>
    </row>
    <row r="138" spans="1:62" ht="13">
      <c r="A138" s="75"/>
      <c r="B138" s="76"/>
      <c r="C138" s="77">
        <v>135</v>
      </c>
      <c r="D138" s="117" t="s">
        <v>1515</v>
      </c>
      <c r="E138" s="117">
        <v>2</v>
      </c>
      <c r="F138" s="105" t="s">
        <v>656</v>
      </c>
      <c r="G138" s="81" t="s">
        <v>1251</v>
      </c>
      <c r="H138" s="89" t="s">
        <v>294</v>
      </c>
      <c r="I138" s="80" t="s">
        <v>458</v>
      </c>
      <c r="J138" s="93">
        <f t="shared" si="360"/>
        <v>2</v>
      </c>
      <c r="K138" s="80">
        <v>2</v>
      </c>
      <c r="L138" s="57"/>
      <c r="M138" s="58"/>
      <c r="N138" s="59">
        <f t="shared" si="361"/>
        <v>2</v>
      </c>
      <c r="O138" s="60"/>
      <c r="P138" s="58"/>
      <c r="Q138" s="59">
        <f t="shared" si="362"/>
        <v>2</v>
      </c>
      <c r="R138" s="60"/>
      <c r="S138" s="58"/>
      <c r="T138" s="61">
        <f t="shared" si="363"/>
        <v>2</v>
      </c>
      <c r="U138" s="60"/>
      <c r="V138" s="58"/>
      <c r="W138" s="59">
        <f t="shared" si="364"/>
        <v>2</v>
      </c>
      <c r="X138" s="60"/>
      <c r="Y138" s="58"/>
      <c r="Z138" s="61">
        <f t="shared" si="365"/>
        <v>2</v>
      </c>
      <c r="AA138" s="60"/>
      <c r="AB138" s="58"/>
      <c r="AC138" s="59">
        <f t="shared" si="366"/>
        <v>2</v>
      </c>
      <c r="AD138" s="57"/>
      <c r="AE138" s="58"/>
      <c r="AF138" s="243">
        <f t="shared" si="367"/>
        <v>2</v>
      </c>
      <c r="AG138" s="60"/>
      <c r="AH138" s="58"/>
      <c r="AI138" s="62">
        <f t="shared" si="368"/>
        <v>2</v>
      </c>
      <c r="AJ138" s="60"/>
      <c r="AK138" s="58"/>
      <c r="AL138" s="62">
        <f t="shared" si="369"/>
        <v>2</v>
      </c>
      <c r="AM138" s="60"/>
      <c r="AN138" s="58"/>
      <c r="AO138" s="62">
        <f t="shared" si="370"/>
        <v>2</v>
      </c>
      <c r="AP138" s="60"/>
      <c r="AQ138" s="58"/>
      <c r="AR138" s="62">
        <f t="shared" si="371"/>
        <v>2</v>
      </c>
      <c r="AS138" s="60"/>
      <c r="AT138" s="58"/>
      <c r="AU138" s="62">
        <f t="shared" si="372"/>
        <v>2</v>
      </c>
      <c r="AV138" s="83">
        <f t="shared" si="373"/>
        <v>0</v>
      </c>
      <c r="AW138" s="83">
        <f t="shared" si="373"/>
        <v>0</v>
      </c>
      <c r="AX138" s="64">
        <f t="shared" si="374"/>
        <v>0</v>
      </c>
      <c r="AY138" s="65" t="e">
        <f t="shared" si="375"/>
        <v>#DIV/0!</v>
      </c>
      <c r="AZ138" s="66">
        <f t="shared" si="376"/>
        <v>0</v>
      </c>
      <c r="BA138" s="67">
        <f>MAX(0, Table176252626[[#This Row],[Column6]])</f>
        <v>2</v>
      </c>
      <c r="BB138" s="68">
        <v>1</v>
      </c>
      <c r="BC138" s="84">
        <f t="shared" si="377"/>
        <v>2</v>
      </c>
      <c r="BD138" s="83">
        <f t="shared" si="358"/>
        <v>1</v>
      </c>
      <c r="BE138" s="85">
        <v>2</v>
      </c>
      <c r="BF138" s="86">
        <v>44182.606030092589</v>
      </c>
      <c r="BG138" s="72">
        <f t="shared" ref="BG138:BG201" si="379">BG137</f>
        <v>46265</v>
      </c>
      <c r="BH138" s="87">
        <f t="shared" si="378"/>
        <v>2082.3939699074108</v>
      </c>
      <c r="BI138" s="80" t="str">
        <f t="shared" si="359"/>
        <v>Dead Stock</v>
      </c>
      <c r="BJ138" s="238">
        <v>6660</v>
      </c>
    </row>
    <row r="139" spans="1:62" ht="13">
      <c r="A139" s="49"/>
      <c r="B139" s="76"/>
      <c r="C139" s="51">
        <v>136</v>
      </c>
      <c r="D139" s="117" t="s">
        <v>1515</v>
      </c>
      <c r="E139" s="117">
        <v>3</v>
      </c>
      <c r="F139" s="105" t="s">
        <v>657</v>
      </c>
      <c r="G139" s="81" t="s">
        <v>868</v>
      </c>
      <c r="H139" s="89" t="s">
        <v>294</v>
      </c>
      <c r="I139" s="80" t="s">
        <v>458</v>
      </c>
      <c r="J139" s="93">
        <f t="shared" si="360"/>
        <v>1</v>
      </c>
      <c r="K139" s="80">
        <v>1</v>
      </c>
      <c r="L139" s="57"/>
      <c r="M139" s="58"/>
      <c r="N139" s="59">
        <f t="shared" si="361"/>
        <v>1</v>
      </c>
      <c r="O139" s="60"/>
      <c r="P139" s="58"/>
      <c r="Q139" s="59">
        <f t="shared" si="362"/>
        <v>1</v>
      </c>
      <c r="R139" s="60"/>
      <c r="S139" s="58"/>
      <c r="T139" s="61">
        <f t="shared" si="363"/>
        <v>1</v>
      </c>
      <c r="U139" s="60"/>
      <c r="V139" s="58"/>
      <c r="W139" s="59">
        <f t="shared" si="364"/>
        <v>1</v>
      </c>
      <c r="X139" s="60"/>
      <c r="Y139" s="58"/>
      <c r="Z139" s="61">
        <f t="shared" si="365"/>
        <v>1</v>
      </c>
      <c r="AA139" s="60"/>
      <c r="AB139" s="58"/>
      <c r="AC139" s="59">
        <f t="shared" si="366"/>
        <v>1</v>
      </c>
      <c r="AD139" s="57"/>
      <c r="AE139" s="58"/>
      <c r="AF139" s="243">
        <f t="shared" si="367"/>
        <v>1</v>
      </c>
      <c r="AG139" s="60"/>
      <c r="AH139" s="58"/>
      <c r="AI139" s="62">
        <f t="shared" si="368"/>
        <v>1</v>
      </c>
      <c r="AJ139" s="60"/>
      <c r="AK139" s="58"/>
      <c r="AL139" s="62">
        <f t="shared" si="369"/>
        <v>1</v>
      </c>
      <c r="AM139" s="60"/>
      <c r="AN139" s="58"/>
      <c r="AO139" s="62">
        <f t="shared" si="370"/>
        <v>1</v>
      </c>
      <c r="AP139" s="60"/>
      <c r="AQ139" s="58"/>
      <c r="AR139" s="62">
        <f t="shared" si="371"/>
        <v>1</v>
      </c>
      <c r="AS139" s="60"/>
      <c r="AT139" s="58"/>
      <c r="AU139" s="62">
        <f t="shared" si="372"/>
        <v>1</v>
      </c>
      <c r="AV139" s="83">
        <f t="shared" si="373"/>
        <v>0</v>
      </c>
      <c r="AW139" s="83">
        <f t="shared" si="373"/>
        <v>0</v>
      </c>
      <c r="AX139" s="64">
        <f t="shared" si="374"/>
        <v>0</v>
      </c>
      <c r="AY139" s="65" t="e">
        <f t="shared" si="375"/>
        <v>#DIV/0!</v>
      </c>
      <c r="AZ139" s="66">
        <f t="shared" si="376"/>
        <v>0</v>
      </c>
      <c r="BA139" s="67">
        <f>MAX(0, Table176252626[[#This Row],[Column6]])</f>
        <v>1</v>
      </c>
      <c r="BB139" s="68">
        <v>0</v>
      </c>
      <c r="BC139" s="84">
        <f t="shared" si="377"/>
        <v>1</v>
      </c>
      <c r="BD139" s="83">
        <f t="shared" si="358"/>
        <v>1</v>
      </c>
      <c r="BE139" s="85">
        <v>2</v>
      </c>
      <c r="BF139" s="86">
        <v>44159.473622685182</v>
      </c>
      <c r="BG139" s="72">
        <f t="shared" si="379"/>
        <v>46265</v>
      </c>
      <c r="BH139" s="87">
        <f t="shared" si="378"/>
        <v>2105.5263773148181</v>
      </c>
      <c r="BI139" s="80" t="str">
        <f t="shared" si="359"/>
        <v>Dead Stock</v>
      </c>
      <c r="BJ139" s="238">
        <v>4410</v>
      </c>
    </row>
    <row r="140" spans="1:62" ht="13">
      <c r="A140" s="49"/>
      <c r="B140" s="76"/>
      <c r="C140" s="51">
        <v>137</v>
      </c>
      <c r="D140" s="117" t="s">
        <v>1515</v>
      </c>
      <c r="E140" s="117">
        <v>4</v>
      </c>
      <c r="F140" s="105" t="s">
        <v>875</v>
      </c>
      <c r="G140" s="116" t="s">
        <v>879</v>
      </c>
      <c r="H140" s="89" t="s">
        <v>294</v>
      </c>
      <c r="I140" s="80" t="s">
        <v>458</v>
      </c>
      <c r="J140" s="82">
        <f t="shared" si="360"/>
        <v>1</v>
      </c>
      <c r="K140" s="80">
        <v>1</v>
      </c>
      <c r="L140" s="57"/>
      <c r="M140" s="58"/>
      <c r="N140" s="59">
        <f t="shared" si="361"/>
        <v>1</v>
      </c>
      <c r="O140" s="60"/>
      <c r="P140" s="58"/>
      <c r="Q140" s="59">
        <f t="shared" si="362"/>
        <v>1</v>
      </c>
      <c r="R140" s="60"/>
      <c r="S140" s="58"/>
      <c r="T140" s="61">
        <f t="shared" si="363"/>
        <v>1</v>
      </c>
      <c r="U140" s="60"/>
      <c r="V140" s="58"/>
      <c r="W140" s="59">
        <f t="shared" si="364"/>
        <v>1</v>
      </c>
      <c r="X140" s="60"/>
      <c r="Y140" s="58"/>
      <c r="Z140" s="61">
        <f t="shared" si="365"/>
        <v>1</v>
      </c>
      <c r="AA140" s="60"/>
      <c r="AB140" s="58"/>
      <c r="AC140" s="59">
        <f t="shared" si="366"/>
        <v>1</v>
      </c>
      <c r="AD140" s="57"/>
      <c r="AE140" s="58"/>
      <c r="AF140" s="243">
        <f t="shared" si="367"/>
        <v>1</v>
      </c>
      <c r="AG140" s="60"/>
      <c r="AH140" s="58"/>
      <c r="AI140" s="62">
        <f t="shared" si="368"/>
        <v>1</v>
      </c>
      <c r="AJ140" s="60"/>
      <c r="AK140" s="58"/>
      <c r="AL140" s="62">
        <f t="shared" si="369"/>
        <v>1</v>
      </c>
      <c r="AM140" s="60"/>
      <c r="AN140" s="58"/>
      <c r="AO140" s="62">
        <f t="shared" si="370"/>
        <v>1</v>
      </c>
      <c r="AP140" s="60"/>
      <c r="AQ140" s="58"/>
      <c r="AR140" s="62">
        <f t="shared" si="371"/>
        <v>1</v>
      </c>
      <c r="AS140" s="60"/>
      <c r="AT140" s="58"/>
      <c r="AU140" s="62">
        <f t="shared" si="372"/>
        <v>1</v>
      </c>
      <c r="AV140" s="83">
        <f t="shared" si="373"/>
        <v>0</v>
      </c>
      <c r="AW140" s="83">
        <f t="shared" si="373"/>
        <v>0</v>
      </c>
      <c r="AX140" s="64">
        <f t="shared" si="374"/>
        <v>0</v>
      </c>
      <c r="AY140" s="65" t="e">
        <f t="shared" si="375"/>
        <v>#DIV/0!</v>
      </c>
      <c r="AZ140" s="66">
        <f t="shared" si="376"/>
        <v>0</v>
      </c>
      <c r="BA140" s="67">
        <f>MAX(0, Table176252626[[#This Row],[Column6]])</f>
        <v>1</v>
      </c>
      <c r="BB140" s="68">
        <v>0</v>
      </c>
      <c r="BC140" s="84">
        <f t="shared" si="377"/>
        <v>1</v>
      </c>
      <c r="BD140" s="83">
        <f t="shared" si="358"/>
        <v>1</v>
      </c>
      <c r="BE140" s="85">
        <v>2</v>
      </c>
      <c r="BF140" s="86">
        <v>44208.639675925922</v>
      </c>
      <c r="BG140" s="72">
        <f t="shared" si="379"/>
        <v>46265</v>
      </c>
      <c r="BH140" s="87">
        <f t="shared" si="378"/>
        <v>2056.3603240740777</v>
      </c>
      <c r="BI140" s="80" t="str">
        <f t="shared" si="359"/>
        <v>Dead Stock</v>
      </c>
      <c r="BJ140" s="238">
        <v>4322</v>
      </c>
    </row>
    <row r="141" spans="1:62" ht="13">
      <c r="A141" s="49"/>
      <c r="B141" s="50"/>
      <c r="C141" s="51">
        <v>138</v>
      </c>
      <c r="D141" s="117" t="s">
        <v>1515</v>
      </c>
      <c r="E141" s="117">
        <v>5</v>
      </c>
      <c r="F141" s="105" t="s">
        <v>22</v>
      </c>
      <c r="G141" s="81" t="s">
        <v>23</v>
      </c>
      <c r="H141" s="81" t="s">
        <v>294</v>
      </c>
      <c r="I141" s="80" t="s">
        <v>458</v>
      </c>
      <c r="J141" s="82">
        <f t="shared" si="360"/>
        <v>1</v>
      </c>
      <c r="K141" s="80">
        <v>1</v>
      </c>
      <c r="L141" s="57"/>
      <c r="M141" s="58"/>
      <c r="N141" s="59">
        <f t="shared" si="361"/>
        <v>1</v>
      </c>
      <c r="O141" s="60"/>
      <c r="P141" s="58"/>
      <c r="Q141" s="59">
        <f t="shared" si="362"/>
        <v>1</v>
      </c>
      <c r="R141" s="60"/>
      <c r="S141" s="58"/>
      <c r="T141" s="61">
        <f t="shared" si="363"/>
        <v>1</v>
      </c>
      <c r="U141" s="60"/>
      <c r="V141" s="58"/>
      <c r="W141" s="59">
        <f t="shared" si="364"/>
        <v>1</v>
      </c>
      <c r="X141" s="60"/>
      <c r="Y141" s="58"/>
      <c r="Z141" s="61">
        <f t="shared" si="365"/>
        <v>1</v>
      </c>
      <c r="AA141" s="60"/>
      <c r="AB141" s="58"/>
      <c r="AC141" s="59">
        <f t="shared" si="366"/>
        <v>1</v>
      </c>
      <c r="AD141" s="57"/>
      <c r="AE141" s="58"/>
      <c r="AF141" s="243">
        <f t="shared" si="367"/>
        <v>1</v>
      </c>
      <c r="AG141" s="60"/>
      <c r="AH141" s="58"/>
      <c r="AI141" s="62">
        <f t="shared" si="368"/>
        <v>1</v>
      </c>
      <c r="AJ141" s="60"/>
      <c r="AK141" s="58"/>
      <c r="AL141" s="62">
        <f t="shared" si="369"/>
        <v>1</v>
      </c>
      <c r="AM141" s="60"/>
      <c r="AN141" s="58"/>
      <c r="AO141" s="62">
        <f t="shared" si="370"/>
        <v>1</v>
      </c>
      <c r="AP141" s="60"/>
      <c r="AQ141" s="58"/>
      <c r="AR141" s="62">
        <f t="shared" si="371"/>
        <v>1</v>
      </c>
      <c r="AS141" s="60"/>
      <c r="AT141" s="58"/>
      <c r="AU141" s="62">
        <f t="shared" si="372"/>
        <v>1</v>
      </c>
      <c r="AV141" s="83">
        <f t="shared" si="373"/>
        <v>0</v>
      </c>
      <c r="AW141" s="83">
        <f t="shared" si="373"/>
        <v>0</v>
      </c>
      <c r="AX141" s="64">
        <f t="shared" si="374"/>
        <v>0</v>
      </c>
      <c r="AY141" s="65" t="e">
        <f t="shared" si="375"/>
        <v>#DIV/0!</v>
      </c>
      <c r="AZ141" s="66">
        <f t="shared" si="376"/>
        <v>0</v>
      </c>
      <c r="BA141" s="67">
        <f>MAX(0, Table176252626[[#This Row],[Column6]])</f>
        <v>1</v>
      </c>
      <c r="BB141" s="68">
        <v>0</v>
      </c>
      <c r="BC141" s="84">
        <f t="shared" si="377"/>
        <v>1</v>
      </c>
      <c r="BD141" s="83">
        <f t="shared" si="358"/>
        <v>1</v>
      </c>
      <c r="BE141" s="85">
        <v>2</v>
      </c>
      <c r="BF141" s="86">
        <v>42744.592106481483</v>
      </c>
      <c r="BG141" s="72">
        <f t="shared" si="379"/>
        <v>46265</v>
      </c>
      <c r="BH141" s="87">
        <f t="shared" si="378"/>
        <v>3520.4078935185171</v>
      </c>
      <c r="BI141" s="80" t="str">
        <f t="shared" si="359"/>
        <v>Dead Stock</v>
      </c>
      <c r="BJ141" s="238">
        <v>9775</v>
      </c>
    </row>
    <row r="142" spans="1:62" ht="13">
      <c r="A142" s="75"/>
      <c r="B142" s="76"/>
      <c r="C142" s="51">
        <v>139</v>
      </c>
      <c r="D142" s="117" t="s">
        <v>1515</v>
      </c>
      <c r="E142" s="117">
        <v>6</v>
      </c>
      <c r="F142" s="105" t="s">
        <v>210</v>
      </c>
      <c r="G142" s="81" t="s">
        <v>211</v>
      </c>
      <c r="H142" s="81" t="s">
        <v>294</v>
      </c>
      <c r="I142" s="80" t="s">
        <v>458</v>
      </c>
      <c r="J142" s="82">
        <f t="shared" si="360"/>
        <v>1</v>
      </c>
      <c r="K142" s="80">
        <v>1</v>
      </c>
      <c r="L142" s="57"/>
      <c r="M142" s="58"/>
      <c r="N142" s="59">
        <f t="shared" si="361"/>
        <v>1</v>
      </c>
      <c r="O142" s="60"/>
      <c r="P142" s="58"/>
      <c r="Q142" s="59">
        <f t="shared" si="362"/>
        <v>1</v>
      </c>
      <c r="R142" s="60"/>
      <c r="S142" s="58"/>
      <c r="T142" s="61">
        <f t="shared" si="363"/>
        <v>1</v>
      </c>
      <c r="U142" s="60"/>
      <c r="V142" s="58"/>
      <c r="W142" s="59">
        <f t="shared" si="364"/>
        <v>1</v>
      </c>
      <c r="X142" s="60"/>
      <c r="Y142" s="58"/>
      <c r="Z142" s="61">
        <f t="shared" si="365"/>
        <v>1</v>
      </c>
      <c r="AA142" s="60"/>
      <c r="AB142" s="58"/>
      <c r="AC142" s="59">
        <f t="shared" si="366"/>
        <v>1</v>
      </c>
      <c r="AD142" s="57"/>
      <c r="AE142" s="58"/>
      <c r="AF142" s="243">
        <f t="shared" si="367"/>
        <v>1</v>
      </c>
      <c r="AG142" s="60"/>
      <c r="AH142" s="58"/>
      <c r="AI142" s="62">
        <f t="shared" si="368"/>
        <v>1</v>
      </c>
      <c r="AJ142" s="60"/>
      <c r="AK142" s="58"/>
      <c r="AL142" s="62">
        <f t="shared" si="369"/>
        <v>1</v>
      </c>
      <c r="AM142" s="60"/>
      <c r="AN142" s="58"/>
      <c r="AO142" s="62">
        <f t="shared" si="370"/>
        <v>1</v>
      </c>
      <c r="AP142" s="60"/>
      <c r="AQ142" s="58"/>
      <c r="AR142" s="62">
        <f t="shared" si="371"/>
        <v>1</v>
      </c>
      <c r="AS142" s="60"/>
      <c r="AT142" s="58"/>
      <c r="AU142" s="62">
        <f t="shared" si="372"/>
        <v>1</v>
      </c>
      <c r="AV142" s="83">
        <f t="shared" si="373"/>
        <v>0</v>
      </c>
      <c r="AW142" s="83">
        <f t="shared" si="373"/>
        <v>0</v>
      </c>
      <c r="AX142" s="64">
        <f t="shared" si="374"/>
        <v>0</v>
      </c>
      <c r="AY142" s="65" t="e">
        <f t="shared" si="375"/>
        <v>#DIV/0!</v>
      </c>
      <c r="AZ142" s="66">
        <f t="shared" si="376"/>
        <v>0</v>
      </c>
      <c r="BA142" s="67">
        <f>MAX(0, Table176252626[[#This Row],[Column6]])</f>
        <v>1</v>
      </c>
      <c r="BB142" s="68">
        <v>0</v>
      </c>
      <c r="BC142" s="84">
        <f t="shared" si="377"/>
        <v>1</v>
      </c>
      <c r="BD142" s="83">
        <f t="shared" si="358"/>
        <v>1</v>
      </c>
      <c r="BE142" s="85">
        <v>2</v>
      </c>
      <c r="BF142" s="86">
        <v>44484.6409375</v>
      </c>
      <c r="BG142" s="72">
        <f t="shared" si="379"/>
        <v>46265</v>
      </c>
      <c r="BH142" s="87">
        <f t="shared" si="378"/>
        <v>1780.3590624999997</v>
      </c>
      <c r="BI142" s="80" t="str">
        <f t="shared" si="359"/>
        <v>Dead Stock</v>
      </c>
      <c r="BJ142" s="238">
        <v>4500</v>
      </c>
    </row>
    <row r="143" spans="1:62" ht="13">
      <c r="A143" s="49"/>
      <c r="B143" s="50"/>
      <c r="C143" s="77">
        <v>140</v>
      </c>
      <c r="D143" s="117" t="s">
        <v>1515</v>
      </c>
      <c r="E143" s="117">
        <v>7</v>
      </c>
      <c r="F143" s="105" t="s">
        <v>467</v>
      </c>
      <c r="G143" s="81" t="s">
        <v>468</v>
      </c>
      <c r="H143" s="81" t="s">
        <v>294</v>
      </c>
      <c r="I143" s="80" t="s">
        <v>458</v>
      </c>
      <c r="J143" s="82">
        <f t="shared" ref="J143:J148" si="380">AU143</f>
        <v>1</v>
      </c>
      <c r="K143" s="80">
        <v>1</v>
      </c>
      <c r="L143" s="57"/>
      <c r="M143" s="58"/>
      <c r="N143" s="59">
        <f t="shared" ref="N143:N148" si="381">SUM(K143+L143-M143)</f>
        <v>1</v>
      </c>
      <c r="O143" s="60"/>
      <c r="P143" s="58"/>
      <c r="Q143" s="59">
        <f t="shared" ref="Q143:Q148" si="382">SUM(N143+O143-P143)</f>
        <v>1</v>
      </c>
      <c r="R143" s="60"/>
      <c r="S143" s="58"/>
      <c r="T143" s="61">
        <f t="shared" ref="T143:T148" si="383">SUM(Q143+R143-S143)</f>
        <v>1</v>
      </c>
      <c r="U143" s="60"/>
      <c r="V143" s="58"/>
      <c r="W143" s="59">
        <f t="shared" ref="W143:W148" si="384">SUM(T143+U143-V143)</f>
        <v>1</v>
      </c>
      <c r="X143" s="60"/>
      <c r="Y143" s="58"/>
      <c r="Z143" s="61">
        <f t="shared" ref="Z143:Z148" si="385">SUM(W143+X143-Y143)</f>
        <v>1</v>
      </c>
      <c r="AA143" s="60"/>
      <c r="AB143" s="58"/>
      <c r="AC143" s="59">
        <f t="shared" ref="AC143:AC148" si="386">SUM(Z143+AA143-AB143)</f>
        <v>1</v>
      </c>
      <c r="AD143" s="57"/>
      <c r="AE143" s="58"/>
      <c r="AF143" s="243">
        <f t="shared" ref="AF143:AF148" si="387">SUM(AC143+AD143-AE143)</f>
        <v>1</v>
      </c>
      <c r="AG143" s="60"/>
      <c r="AH143" s="58"/>
      <c r="AI143" s="62">
        <f t="shared" ref="AI143:AI148" si="388">SUM(AF143+AG143-AH143)</f>
        <v>1</v>
      </c>
      <c r="AJ143" s="60"/>
      <c r="AK143" s="58"/>
      <c r="AL143" s="62">
        <f t="shared" ref="AL143:AL148" si="389">SUM(AI143+AJ143-AK143)</f>
        <v>1</v>
      </c>
      <c r="AM143" s="60"/>
      <c r="AN143" s="58"/>
      <c r="AO143" s="62">
        <f t="shared" ref="AO143:AO148" si="390">SUM(AL143+AM143-AN143)</f>
        <v>1</v>
      </c>
      <c r="AP143" s="60"/>
      <c r="AQ143" s="58"/>
      <c r="AR143" s="62">
        <f t="shared" ref="AR143:AR148" si="391">SUM(AO143+AP143-AQ143)</f>
        <v>1</v>
      </c>
      <c r="AS143" s="60"/>
      <c r="AT143" s="58"/>
      <c r="AU143" s="62">
        <f t="shared" ref="AU143:AU148" si="392">SUM(AR143+AS143-AT143)</f>
        <v>1</v>
      </c>
      <c r="AV143" s="83">
        <f t="shared" ref="AV143:AW148" si="393">SUM(L143+O143+R143+U143+X143+AA143+AD143+AG143+AJ143+AM143+AP143+AS143)</f>
        <v>0</v>
      </c>
      <c r="AW143" s="83">
        <f t="shared" si="393"/>
        <v>0</v>
      </c>
      <c r="AX143" s="64">
        <f t="shared" ref="AX143:AX148" si="394">SUM(M143,P143,S143,V143,Y143,AB143,AE143,AH143,AK143,AN143,AQ143,AT143)</f>
        <v>0</v>
      </c>
      <c r="AY143" s="65" t="e">
        <f t="shared" ref="AY143:AY148" si="395">AVERAGE(M143,P143,S143,V143,Y143,AB143,AE143,AH143,AK143,AN143,AQ143,AT143)</f>
        <v>#DIV/0!</v>
      </c>
      <c r="AZ143" s="66">
        <f t="shared" ref="AZ143:AZ148" si="396">COUNT(M143,P143,S143,V143,Y143,AB143,AE143,AH143,AK143,AN143,AQ143,AT143)</f>
        <v>0</v>
      </c>
      <c r="BA143" s="67">
        <f>MAX(0, Table176252626[[#This Row],[Column6]])</f>
        <v>1</v>
      </c>
      <c r="BB143" s="68">
        <v>0</v>
      </c>
      <c r="BC143" s="84">
        <f t="shared" si="377"/>
        <v>1</v>
      </c>
      <c r="BD143" s="83">
        <f t="shared" si="358"/>
        <v>1</v>
      </c>
      <c r="BE143" s="85">
        <v>2</v>
      </c>
      <c r="BF143" s="86">
        <v>43173.662037037036</v>
      </c>
      <c r="BG143" s="72">
        <f t="shared" si="379"/>
        <v>46265</v>
      </c>
      <c r="BH143" s="87">
        <f t="shared" ref="BH143:BH148" si="397">BG143-BF143</f>
        <v>3091.3379629629635</v>
      </c>
      <c r="BI143" s="80" t="str">
        <f t="shared" si="359"/>
        <v>Dead Stock</v>
      </c>
      <c r="BJ143" s="238">
        <v>25000</v>
      </c>
    </row>
    <row r="144" spans="1:62" ht="13">
      <c r="A144" s="90"/>
      <c r="B144" s="91"/>
      <c r="C144" s="77">
        <v>141</v>
      </c>
      <c r="D144" s="117" t="s">
        <v>1515</v>
      </c>
      <c r="E144" s="117">
        <v>8</v>
      </c>
      <c r="F144" s="105" t="s">
        <v>312</v>
      </c>
      <c r="G144" s="81" t="s">
        <v>313</v>
      </c>
      <c r="H144" s="81" t="s">
        <v>294</v>
      </c>
      <c r="I144" s="80" t="s">
        <v>458</v>
      </c>
      <c r="J144" s="82">
        <f t="shared" si="380"/>
        <v>1</v>
      </c>
      <c r="K144" s="80">
        <v>1</v>
      </c>
      <c r="L144" s="57"/>
      <c r="M144" s="58"/>
      <c r="N144" s="59">
        <f t="shared" si="381"/>
        <v>1</v>
      </c>
      <c r="O144" s="60"/>
      <c r="P144" s="58"/>
      <c r="Q144" s="59">
        <f t="shared" si="382"/>
        <v>1</v>
      </c>
      <c r="R144" s="60"/>
      <c r="S144" s="58"/>
      <c r="T144" s="61">
        <f t="shared" si="383"/>
        <v>1</v>
      </c>
      <c r="U144" s="60"/>
      <c r="V144" s="58"/>
      <c r="W144" s="59">
        <f t="shared" si="384"/>
        <v>1</v>
      </c>
      <c r="X144" s="60"/>
      <c r="Y144" s="58"/>
      <c r="Z144" s="61">
        <f t="shared" si="385"/>
        <v>1</v>
      </c>
      <c r="AA144" s="60"/>
      <c r="AB144" s="58"/>
      <c r="AC144" s="59">
        <f t="shared" si="386"/>
        <v>1</v>
      </c>
      <c r="AD144" s="57"/>
      <c r="AE144" s="58"/>
      <c r="AF144" s="243">
        <f t="shared" si="387"/>
        <v>1</v>
      </c>
      <c r="AG144" s="60"/>
      <c r="AH144" s="58"/>
      <c r="AI144" s="62">
        <f t="shared" si="388"/>
        <v>1</v>
      </c>
      <c r="AJ144" s="60"/>
      <c r="AK144" s="58"/>
      <c r="AL144" s="62">
        <f t="shared" si="389"/>
        <v>1</v>
      </c>
      <c r="AM144" s="60"/>
      <c r="AN144" s="58"/>
      <c r="AO144" s="62">
        <f t="shared" si="390"/>
        <v>1</v>
      </c>
      <c r="AP144" s="60"/>
      <c r="AQ144" s="58"/>
      <c r="AR144" s="62">
        <f t="shared" si="391"/>
        <v>1</v>
      </c>
      <c r="AS144" s="60"/>
      <c r="AT144" s="58"/>
      <c r="AU144" s="62">
        <f t="shared" si="392"/>
        <v>1</v>
      </c>
      <c r="AV144" s="83">
        <f t="shared" si="393"/>
        <v>0</v>
      </c>
      <c r="AW144" s="83">
        <f t="shared" si="393"/>
        <v>0</v>
      </c>
      <c r="AX144" s="64">
        <f t="shared" si="394"/>
        <v>0</v>
      </c>
      <c r="AY144" s="65" t="e">
        <f t="shared" si="395"/>
        <v>#DIV/0!</v>
      </c>
      <c r="AZ144" s="66">
        <f t="shared" si="396"/>
        <v>0</v>
      </c>
      <c r="BA144" s="67">
        <f>MAX(0, Table176252626[[#This Row],[Column6]])</f>
        <v>1</v>
      </c>
      <c r="BB144" s="68">
        <v>0</v>
      </c>
      <c r="BC144" s="84">
        <f t="shared" si="377"/>
        <v>1</v>
      </c>
      <c r="BD144" s="83">
        <f t="shared" si="358"/>
        <v>1</v>
      </c>
      <c r="BE144" s="85">
        <v>2</v>
      </c>
      <c r="BF144" s="86">
        <v>43040.471956018519</v>
      </c>
      <c r="BG144" s="72">
        <f t="shared" si="379"/>
        <v>46265</v>
      </c>
      <c r="BH144" s="87">
        <f t="shared" si="397"/>
        <v>3224.5280439814815</v>
      </c>
      <c r="BI144" s="80" t="str">
        <f t="shared" si="359"/>
        <v>Dead Stock</v>
      </c>
      <c r="BJ144" s="238">
        <v>9200</v>
      </c>
    </row>
    <row r="145" spans="1:293" ht="13">
      <c r="A145" s="49"/>
      <c r="B145" s="50"/>
      <c r="C145" s="51">
        <v>142</v>
      </c>
      <c r="D145" s="117" t="s">
        <v>1515</v>
      </c>
      <c r="E145" s="117">
        <v>9</v>
      </c>
      <c r="F145" s="105" t="s">
        <v>371</v>
      </c>
      <c r="G145" s="81" t="s">
        <v>2028</v>
      </c>
      <c r="H145" s="81" t="s">
        <v>294</v>
      </c>
      <c r="I145" s="80" t="s">
        <v>458</v>
      </c>
      <c r="J145" s="82">
        <f t="shared" si="380"/>
        <v>3</v>
      </c>
      <c r="K145" s="80">
        <v>3</v>
      </c>
      <c r="L145" s="57"/>
      <c r="M145" s="58"/>
      <c r="N145" s="59">
        <f t="shared" si="381"/>
        <v>3</v>
      </c>
      <c r="O145" s="60"/>
      <c r="P145" s="58"/>
      <c r="Q145" s="59">
        <f t="shared" si="382"/>
        <v>3</v>
      </c>
      <c r="R145" s="60"/>
      <c r="S145" s="58"/>
      <c r="T145" s="61">
        <f t="shared" si="383"/>
        <v>3</v>
      </c>
      <c r="U145" s="60"/>
      <c r="V145" s="58"/>
      <c r="W145" s="59">
        <f t="shared" si="384"/>
        <v>3</v>
      </c>
      <c r="X145" s="60"/>
      <c r="Y145" s="58"/>
      <c r="Z145" s="61">
        <f t="shared" si="385"/>
        <v>3</v>
      </c>
      <c r="AA145" s="60"/>
      <c r="AB145" s="58"/>
      <c r="AC145" s="59">
        <f t="shared" si="386"/>
        <v>3</v>
      </c>
      <c r="AD145" s="57"/>
      <c r="AE145" s="58"/>
      <c r="AF145" s="243">
        <f t="shared" si="387"/>
        <v>3</v>
      </c>
      <c r="AG145" s="60"/>
      <c r="AH145" s="58"/>
      <c r="AI145" s="62">
        <f t="shared" si="388"/>
        <v>3</v>
      </c>
      <c r="AJ145" s="60"/>
      <c r="AK145" s="58"/>
      <c r="AL145" s="62">
        <f t="shared" si="389"/>
        <v>3</v>
      </c>
      <c r="AM145" s="60"/>
      <c r="AN145" s="58"/>
      <c r="AO145" s="62">
        <f t="shared" si="390"/>
        <v>3</v>
      </c>
      <c r="AP145" s="60"/>
      <c r="AQ145" s="58"/>
      <c r="AR145" s="62">
        <f t="shared" si="391"/>
        <v>3</v>
      </c>
      <c r="AS145" s="60"/>
      <c r="AT145" s="58"/>
      <c r="AU145" s="62">
        <f t="shared" si="392"/>
        <v>3</v>
      </c>
      <c r="AV145" s="83">
        <f t="shared" si="393"/>
        <v>0</v>
      </c>
      <c r="AW145" s="83">
        <f t="shared" si="393"/>
        <v>0</v>
      </c>
      <c r="AX145" s="64">
        <f t="shared" si="394"/>
        <v>0</v>
      </c>
      <c r="AY145" s="65" t="e">
        <f t="shared" si="395"/>
        <v>#DIV/0!</v>
      </c>
      <c r="AZ145" s="66">
        <f t="shared" si="396"/>
        <v>0</v>
      </c>
      <c r="BA145" s="67">
        <v>3</v>
      </c>
      <c r="BB145" s="68">
        <v>1</v>
      </c>
      <c r="BC145" s="84">
        <f t="shared" si="377"/>
        <v>3</v>
      </c>
      <c r="BD145" s="83">
        <f t="shared" si="358"/>
        <v>2</v>
      </c>
      <c r="BE145" s="85">
        <v>2</v>
      </c>
      <c r="BF145" s="86">
        <v>43042.615277777775</v>
      </c>
      <c r="BG145" s="72">
        <f t="shared" si="379"/>
        <v>46265</v>
      </c>
      <c r="BH145" s="87">
        <f t="shared" si="397"/>
        <v>3222.3847222222248</v>
      </c>
      <c r="BI145" s="80" t="str">
        <f t="shared" si="359"/>
        <v>Dead Stock</v>
      </c>
      <c r="BJ145" s="238">
        <v>7760</v>
      </c>
    </row>
    <row r="146" spans="1:293" ht="13">
      <c r="A146" s="75"/>
      <c r="B146" s="76"/>
      <c r="C146" s="51">
        <v>143</v>
      </c>
      <c r="D146" s="117" t="s">
        <v>1515</v>
      </c>
      <c r="E146" s="117">
        <v>10</v>
      </c>
      <c r="F146" s="105" t="s">
        <v>212</v>
      </c>
      <c r="G146" s="81" t="s">
        <v>1024</v>
      </c>
      <c r="H146" s="81" t="s">
        <v>294</v>
      </c>
      <c r="I146" s="80" t="s">
        <v>458</v>
      </c>
      <c r="J146" s="82">
        <f t="shared" si="380"/>
        <v>3</v>
      </c>
      <c r="K146" s="80">
        <v>3</v>
      </c>
      <c r="L146" s="57"/>
      <c r="M146" s="58"/>
      <c r="N146" s="59">
        <f t="shared" si="381"/>
        <v>3</v>
      </c>
      <c r="O146" s="60"/>
      <c r="P146" s="58"/>
      <c r="Q146" s="59">
        <f t="shared" si="382"/>
        <v>3</v>
      </c>
      <c r="R146" s="60"/>
      <c r="S146" s="58"/>
      <c r="T146" s="61">
        <f t="shared" si="383"/>
        <v>3</v>
      </c>
      <c r="U146" s="60"/>
      <c r="V146" s="58"/>
      <c r="W146" s="59">
        <f t="shared" si="384"/>
        <v>3</v>
      </c>
      <c r="X146" s="60"/>
      <c r="Y146" s="58"/>
      <c r="Z146" s="61">
        <f t="shared" si="385"/>
        <v>3</v>
      </c>
      <c r="AA146" s="60"/>
      <c r="AB146" s="58"/>
      <c r="AC146" s="59">
        <f t="shared" si="386"/>
        <v>3</v>
      </c>
      <c r="AD146" s="57"/>
      <c r="AE146" s="58"/>
      <c r="AF146" s="243">
        <f t="shared" si="387"/>
        <v>3</v>
      </c>
      <c r="AG146" s="60"/>
      <c r="AH146" s="58"/>
      <c r="AI146" s="62">
        <f t="shared" si="388"/>
        <v>3</v>
      </c>
      <c r="AJ146" s="60"/>
      <c r="AK146" s="58"/>
      <c r="AL146" s="62">
        <f t="shared" si="389"/>
        <v>3</v>
      </c>
      <c r="AM146" s="60"/>
      <c r="AN146" s="58"/>
      <c r="AO146" s="62">
        <f t="shared" si="390"/>
        <v>3</v>
      </c>
      <c r="AP146" s="60"/>
      <c r="AQ146" s="58"/>
      <c r="AR146" s="62">
        <f t="shared" si="391"/>
        <v>3</v>
      </c>
      <c r="AS146" s="60"/>
      <c r="AT146" s="58"/>
      <c r="AU146" s="62">
        <f t="shared" si="392"/>
        <v>3</v>
      </c>
      <c r="AV146" s="83">
        <f t="shared" si="393"/>
        <v>0</v>
      </c>
      <c r="AW146" s="83">
        <f t="shared" si="393"/>
        <v>0</v>
      </c>
      <c r="AX146" s="64">
        <f t="shared" si="394"/>
        <v>0</v>
      </c>
      <c r="AY146" s="65" t="e">
        <f t="shared" si="395"/>
        <v>#DIV/0!</v>
      </c>
      <c r="AZ146" s="66">
        <f t="shared" si="396"/>
        <v>0</v>
      </c>
      <c r="BA146" s="67">
        <v>3</v>
      </c>
      <c r="BB146" s="68">
        <v>1</v>
      </c>
      <c r="BC146" s="84">
        <f t="shared" si="377"/>
        <v>3</v>
      </c>
      <c r="BD146" s="83">
        <f t="shared" si="358"/>
        <v>2</v>
      </c>
      <c r="BE146" s="85">
        <v>2</v>
      </c>
      <c r="BF146" s="86">
        <v>42044.685752314814</v>
      </c>
      <c r="BG146" s="72">
        <f t="shared" si="379"/>
        <v>46265</v>
      </c>
      <c r="BH146" s="87">
        <f t="shared" si="397"/>
        <v>4220.3142476851863</v>
      </c>
      <c r="BI146" s="80" t="str">
        <f t="shared" si="359"/>
        <v>Dead Stock</v>
      </c>
      <c r="BJ146" s="238">
        <v>3276</v>
      </c>
    </row>
    <row r="147" spans="1:293" ht="13">
      <c r="A147" s="49"/>
      <c r="B147" s="76"/>
      <c r="C147" s="51">
        <v>144</v>
      </c>
      <c r="D147" s="117" t="s">
        <v>1515</v>
      </c>
      <c r="E147" s="117">
        <v>11</v>
      </c>
      <c r="F147" s="105" t="s">
        <v>241</v>
      </c>
      <c r="G147" s="81" t="s">
        <v>242</v>
      </c>
      <c r="H147" s="81" t="s">
        <v>294</v>
      </c>
      <c r="I147" s="80" t="s">
        <v>458</v>
      </c>
      <c r="J147" s="82">
        <f t="shared" si="380"/>
        <v>1</v>
      </c>
      <c r="K147" s="80">
        <v>1</v>
      </c>
      <c r="L147" s="57"/>
      <c r="M147" s="58"/>
      <c r="N147" s="59">
        <f t="shared" si="381"/>
        <v>1</v>
      </c>
      <c r="O147" s="60"/>
      <c r="P147" s="58"/>
      <c r="Q147" s="59">
        <f t="shared" si="382"/>
        <v>1</v>
      </c>
      <c r="R147" s="60"/>
      <c r="S147" s="58"/>
      <c r="T147" s="61">
        <f t="shared" si="383"/>
        <v>1</v>
      </c>
      <c r="U147" s="60"/>
      <c r="V147" s="58"/>
      <c r="W147" s="59">
        <f t="shared" si="384"/>
        <v>1</v>
      </c>
      <c r="X147" s="60"/>
      <c r="Y147" s="58"/>
      <c r="Z147" s="61">
        <f t="shared" si="385"/>
        <v>1</v>
      </c>
      <c r="AA147" s="60"/>
      <c r="AB147" s="58"/>
      <c r="AC147" s="59">
        <f t="shared" si="386"/>
        <v>1</v>
      </c>
      <c r="AD147" s="57"/>
      <c r="AE147" s="58"/>
      <c r="AF147" s="243">
        <f t="shared" si="387"/>
        <v>1</v>
      </c>
      <c r="AG147" s="60"/>
      <c r="AH147" s="58"/>
      <c r="AI147" s="62">
        <f t="shared" si="388"/>
        <v>1</v>
      </c>
      <c r="AJ147" s="60"/>
      <c r="AK147" s="58"/>
      <c r="AL147" s="62">
        <f t="shared" si="389"/>
        <v>1</v>
      </c>
      <c r="AM147" s="60"/>
      <c r="AN147" s="58"/>
      <c r="AO147" s="62">
        <f t="shared" si="390"/>
        <v>1</v>
      </c>
      <c r="AP147" s="60"/>
      <c r="AQ147" s="58"/>
      <c r="AR147" s="62">
        <f t="shared" si="391"/>
        <v>1</v>
      </c>
      <c r="AS147" s="60"/>
      <c r="AT147" s="58"/>
      <c r="AU147" s="62">
        <f t="shared" si="392"/>
        <v>1</v>
      </c>
      <c r="AV147" s="83">
        <f t="shared" si="393"/>
        <v>0</v>
      </c>
      <c r="AW147" s="83">
        <f t="shared" si="393"/>
        <v>0</v>
      </c>
      <c r="AX147" s="64">
        <f t="shared" si="394"/>
        <v>0</v>
      </c>
      <c r="AY147" s="65" t="e">
        <f t="shared" si="395"/>
        <v>#DIV/0!</v>
      </c>
      <c r="AZ147" s="66">
        <f t="shared" si="396"/>
        <v>0</v>
      </c>
      <c r="BA147" s="67">
        <f>MAX(0, Table176252626[[#This Row],[Column6]])</f>
        <v>1</v>
      </c>
      <c r="BB147" s="68">
        <v>0</v>
      </c>
      <c r="BC147" s="84">
        <f t="shared" si="377"/>
        <v>1</v>
      </c>
      <c r="BD147" s="83">
        <f t="shared" si="358"/>
        <v>1</v>
      </c>
      <c r="BE147" s="85">
        <v>2</v>
      </c>
      <c r="BF147" s="86">
        <v>42880.68476851852</v>
      </c>
      <c r="BG147" s="72">
        <f t="shared" si="379"/>
        <v>46265</v>
      </c>
      <c r="BH147" s="87">
        <f t="shared" si="397"/>
        <v>3384.3152314814797</v>
      </c>
      <c r="BI147" s="80" t="str">
        <f t="shared" si="359"/>
        <v>Dead Stock</v>
      </c>
      <c r="BJ147" s="238">
        <v>7500</v>
      </c>
    </row>
    <row r="148" spans="1:293" ht="13">
      <c r="A148" s="49"/>
      <c r="B148" s="76"/>
      <c r="C148" s="51">
        <v>145</v>
      </c>
      <c r="D148" s="117" t="s">
        <v>1515</v>
      </c>
      <c r="E148" s="117">
        <v>12</v>
      </c>
      <c r="F148" s="105" t="s">
        <v>97</v>
      </c>
      <c r="G148" s="81" t="s">
        <v>98</v>
      </c>
      <c r="H148" s="81" t="s">
        <v>294</v>
      </c>
      <c r="I148" s="80" t="s">
        <v>458</v>
      </c>
      <c r="J148" s="82">
        <f t="shared" si="380"/>
        <v>4</v>
      </c>
      <c r="K148" s="80">
        <v>4</v>
      </c>
      <c r="L148" s="57"/>
      <c r="M148" s="58"/>
      <c r="N148" s="59">
        <f t="shared" si="381"/>
        <v>4</v>
      </c>
      <c r="O148" s="60"/>
      <c r="P148" s="58"/>
      <c r="Q148" s="59">
        <f t="shared" si="382"/>
        <v>4</v>
      </c>
      <c r="R148" s="60"/>
      <c r="S148" s="58"/>
      <c r="T148" s="61">
        <f t="shared" si="383"/>
        <v>4</v>
      </c>
      <c r="U148" s="60"/>
      <c r="V148" s="58"/>
      <c r="W148" s="59">
        <f t="shared" si="384"/>
        <v>4</v>
      </c>
      <c r="X148" s="60"/>
      <c r="Y148" s="58"/>
      <c r="Z148" s="61">
        <f t="shared" si="385"/>
        <v>4</v>
      </c>
      <c r="AA148" s="60"/>
      <c r="AB148" s="58"/>
      <c r="AC148" s="59">
        <f t="shared" si="386"/>
        <v>4</v>
      </c>
      <c r="AD148" s="57"/>
      <c r="AE148" s="58"/>
      <c r="AF148" s="243">
        <f t="shared" si="387"/>
        <v>4</v>
      </c>
      <c r="AG148" s="60"/>
      <c r="AH148" s="58"/>
      <c r="AI148" s="62">
        <f t="shared" si="388"/>
        <v>4</v>
      </c>
      <c r="AJ148" s="60"/>
      <c r="AK148" s="58"/>
      <c r="AL148" s="62">
        <f t="shared" si="389"/>
        <v>4</v>
      </c>
      <c r="AM148" s="60"/>
      <c r="AN148" s="58"/>
      <c r="AO148" s="62">
        <f t="shared" si="390"/>
        <v>4</v>
      </c>
      <c r="AP148" s="60"/>
      <c r="AQ148" s="58"/>
      <c r="AR148" s="62">
        <f t="shared" si="391"/>
        <v>4</v>
      </c>
      <c r="AS148" s="60"/>
      <c r="AT148" s="58"/>
      <c r="AU148" s="62">
        <f t="shared" si="392"/>
        <v>4</v>
      </c>
      <c r="AV148" s="83">
        <f t="shared" si="393"/>
        <v>0</v>
      </c>
      <c r="AW148" s="83">
        <f t="shared" si="393"/>
        <v>0</v>
      </c>
      <c r="AX148" s="64">
        <f t="shared" si="394"/>
        <v>0</v>
      </c>
      <c r="AY148" s="65" t="e">
        <f t="shared" si="395"/>
        <v>#DIV/0!</v>
      </c>
      <c r="AZ148" s="66">
        <f t="shared" si="396"/>
        <v>0</v>
      </c>
      <c r="BA148" s="67">
        <f>MAX(0, Table176252626[[#This Row],[Column6]])</f>
        <v>4</v>
      </c>
      <c r="BB148" s="68">
        <v>1</v>
      </c>
      <c r="BC148" s="84">
        <f t="shared" si="377"/>
        <v>4</v>
      </c>
      <c r="BD148" s="83">
        <f t="shared" si="358"/>
        <v>3</v>
      </c>
      <c r="BE148" s="85">
        <v>2</v>
      </c>
      <c r="BF148" s="86">
        <v>42132.562210648146</v>
      </c>
      <c r="BG148" s="72">
        <f t="shared" si="379"/>
        <v>46265</v>
      </c>
      <c r="BH148" s="87">
        <f t="shared" si="397"/>
        <v>4132.437789351854</v>
      </c>
      <c r="BI148" s="80" t="str">
        <f t="shared" si="359"/>
        <v>Dead Stock</v>
      </c>
      <c r="BJ148" s="238">
        <v>1260</v>
      </c>
    </row>
    <row r="149" spans="1:293" ht="13">
      <c r="A149" s="49"/>
      <c r="B149" s="50"/>
      <c r="C149" s="77">
        <v>146</v>
      </c>
      <c r="D149" s="117" t="s">
        <v>1515</v>
      </c>
      <c r="E149" s="117">
        <v>13</v>
      </c>
      <c r="F149" s="105" t="s">
        <v>267</v>
      </c>
      <c r="G149" s="81" t="s">
        <v>268</v>
      </c>
      <c r="H149" s="81" t="s">
        <v>294</v>
      </c>
      <c r="I149" s="80" t="s">
        <v>458</v>
      </c>
      <c r="J149" s="82">
        <f t="shared" si="360"/>
        <v>1</v>
      </c>
      <c r="K149" s="80">
        <v>1</v>
      </c>
      <c r="L149" s="57"/>
      <c r="M149" s="58"/>
      <c r="N149" s="59">
        <f t="shared" si="361"/>
        <v>1</v>
      </c>
      <c r="O149" s="60"/>
      <c r="P149" s="58"/>
      <c r="Q149" s="59">
        <f t="shared" si="362"/>
        <v>1</v>
      </c>
      <c r="R149" s="60"/>
      <c r="S149" s="58"/>
      <c r="T149" s="61">
        <f t="shared" si="363"/>
        <v>1</v>
      </c>
      <c r="U149" s="60"/>
      <c r="V149" s="58"/>
      <c r="W149" s="59">
        <f t="shared" si="364"/>
        <v>1</v>
      </c>
      <c r="X149" s="60"/>
      <c r="Y149" s="58"/>
      <c r="Z149" s="61">
        <f t="shared" si="365"/>
        <v>1</v>
      </c>
      <c r="AA149" s="60"/>
      <c r="AB149" s="58"/>
      <c r="AC149" s="59">
        <f t="shared" si="366"/>
        <v>1</v>
      </c>
      <c r="AD149" s="57"/>
      <c r="AE149" s="58"/>
      <c r="AF149" s="243">
        <f t="shared" si="367"/>
        <v>1</v>
      </c>
      <c r="AG149" s="60"/>
      <c r="AH149" s="58"/>
      <c r="AI149" s="62">
        <f t="shared" si="368"/>
        <v>1</v>
      </c>
      <c r="AJ149" s="60"/>
      <c r="AK149" s="58"/>
      <c r="AL149" s="62">
        <f t="shared" si="369"/>
        <v>1</v>
      </c>
      <c r="AM149" s="60"/>
      <c r="AN149" s="58"/>
      <c r="AO149" s="62">
        <f t="shared" si="370"/>
        <v>1</v>
      </c>
      <c r="AP149" s="60"/>
      <c r="AQ149" s="58"/>
      <c r="AR149" s="62">
        <f t="shared" si="371"/>
        <v>1</v>
      </c>
      <c r="AS149" s="60"/>
      <c r="AT149" s="58"/>
      <c r="AU149" s="62">
        <f t="shared" si="372"/>
        <v>1</v>
      </c>
      <c r="AV149" s="83">
        <f t="shared" si="373"/>
        <v>0</v>
      </c>
      <c r="AW149" s="83">
        <f t="shared" si="373"/>
        <v>0</v>
      </c>
      <c r="AX149" s="64">
        <f t="shared" si="374"/>
        <v>0</v>
      </c>
      <c r="AY149" s="65" t="e">
        <f t="shared" si="375"/>
        <v>#DIV/0!</v>
      </c>
      <c r="AZ149" s="66">
        <f t="shared" si="376"/>
        <v>0</v>
      </c>
      <c r="BA149" s="67">
        <f>MAX(0, Table176252626[[#This Row],[Column6]])</f>
        <v>1</v>
      </c>
      <c r="BB149" s="68">
        <v>0</v>
      </c>
      <c r="BC149" s="84">
        <f t="shared" si="377"/>
        <v>1</v>
      </c>
      <c r="BD149" s="83">
        <f t="shared" si="358"/>
        <v>1</v>
      </c>
      <c r="BE149" s="85">
        <v>2</v>
      </c>
      <c r="BF149" s="86">
        <v>41877.565740740742</v>
      </c>
      <c r="BG149" s="72">
        <f t="shared" si="379"/>
        <v>46265</v>
      </c>
      <c r="BH149" s="87">
        <f t="shared" si="378"/>
        <v>4387.4342592592584</v>
      </c>
      <c r="BI149" s="80" t="str">
        <f t="shared" si="359"/>
        <v>Dead Stock</v>
      </c>
      <c r="BJ149" s="238">
        <v>14220</v>
      </c>
    </row>
    <row r="150" spans="1:293" ht="13">
      <c r="A150" s="75"/>
      <c r="B150" s="76"/>
      <c r="C150" s="77">
        <v>147</v>
      </c>
      <c r="D150" s="117" t="s">
        <v>1515</v>
      </c>
      <c r="E150" s="117">
        <v>14</v>
      </c>
      <c r="F150" s="105" t="s">
        <v>55</v>
      </c>
      <c r="G150" s="81" t="s">
        <v>56</v>
      </c>
      <c r="H150" s="81" t="s">
        <v>294</v>
      </c>
      <c r="I150" s="80" t="s">
        <v>458</v>
      </c>
      <c r="J150" s="82">
        <f t="shared" ref="J150:J175" si="398">AU150</f>
        <v>4</v>
      </c>
      <c r="K150" s="80">
        <v>4</v>
      </c>
      <c r="L150" s="57"/>
      <c r="M150" s="58"/>
      <c r="N150" s="59">
        <f t="shared" ref="N150:N175" si="399">SUM(K150+L150-M150)</f>
        <v>4</v>
      </c>
      <c r="O150" s="60"/>
      <c r="P150" s="58"/>
      <c r="Q150" s="59">
        <f t="shared" ref="Q150:Q175" si="400">SUM(N150+O150-P150)</f>
        <v>4</v>
      </c>
      <c r="R150" s="60"/>
      <c r="S150" s="58"/>
      <c r="T150" s="61">
        <f t="shared" ref="T150:T175" si="401">SUM(Q150+R150-S150)</f>
        <v>4</v>
      </c>
      <c r="U150" s="60"/>
      <c r="V150" s="58"/>
      <c r="W150" s="59">
        <f t="shared" ref="W150:W175" si="402">SUM(T150+U150-V150)</f>
        <v>4</v>
      </c>
      <c r="X150" s="60"/>
      <c r="Y150" s="58"/>
      <c r="Z150" s="61">
        <f t="shared" ref="Z150:Z175" si="403">SUM(W150+X150-Y150)</f>
        <v>4</v>
      </c>
      <c r="AA150" s="60"/>
      <c r="AB150" s="58"/>
      <c r="AC150" s="59">
        <f t="shared" ref="AC150:AC175" si="404">SUM(Z150+AA150-AB150)</f>
        <v>4</v>
      </c>
      <c r="AD150" s="57"/>
      <c r="AE150" s="58"/>
      <c r="AF150" s="243">
        <f t="shared" ref="AF150:AF175" si="405">SUM(AC150+AD150-AE150)</f>
        <v>4</v>
      </c>
      <c r="AG150" s="60"/>
      <c r="AH150" s="58"/>
      <c r="AI150" s="62">
        <f t="shared" ref="AI150:AI175" si="406">SUM(AF150+AG150-AH150)</f>
        <v>4</v>
      </c>
      <c r="AJ150" s="60"/>
      <c r="AK150" s="58"/>
      <c r="AL150" s="62">
        <f t="shared" ref="AL150:AL175" si="407">SUM(AI150+AJ150-AK150)</f>
        <v>4</v>
      </c>
      <c r="AM150" s="60"/>
      <c r="AN150" s="58"/>
      <c r="AO150" s="62">
        <f t="shared" ref="AO150:AO175" si="408">SUM(AL150+AM150-AN150)</f>
        <v>4</v>
      </c>
      <c r="AP150" s="60"/>
      <c r="AQ150" s="58"/>
      <c r="AR150" s="62">
        <f t="shared" ref="AR150:AR175" si="409">SUM(AO150+AP150-AQ150)</f>
        <v>4</v>
      </c>
      <c r="AS150" s="60"/>
      <c r="AT150" s="58"/>
      <c r="AU150" s="62">
        <f t="shared" ref="AU150:AU175" si="410">SUM(AR150+AS150-AT150)</f>
        <v>4</v>
      </c>
      <c r="AV150" s="83">
        <f t="shared" ref="AV150:AV169" si="411">SUM(L150+O150+R150+U150+X150+AA150+AD150+AG150+AJ150+AM150+AP150+AS150)</f>
        <v>0</v>
      </c>
      <c r="AW150" s="83">
        <f t="shared" ref="AW150:AW169" si="412">SUM(M150+P150+S150+V150+Y150+AB150+AE150+AH150+AK150+AN150+AQ150+AT150)</f>
        <v>0</v>
      </c>
      <c r="AX150" s="64">
        <f t="shared" ref="AX150:AX175" si="413">SUM(M150,P150,S150,V150,Y150,AB150,AE150,AH150,AK150,AN150,AQ150,AT150)</f>
        <v>0</v>
      </c>
      <c r="AY150" s="65" t="e">
        <f t="shared" ref="AY150:AY175" si="414">AVERAGE(M150,P150,S150,V150,Y150,AB150,AE150,AH150,AK150,AN150,AQ150,AT150)</f>
        <v>#DIV/0!</v>
      </c>
      <c r="AZ150" s="66">
        <f t="shared" ref="AZ150:AZ175" si="415">COUNT(M150,P150,S150,V150,Y150,AB150,AE150,AH150,AK150,AN150,AQ150,AT150)</f>
        <v>0</v>
      </c>
      <c r="BA150" s="67">
        <f>MAX(0, Table176252626[[#This Row],[Column6]])</f>
        <v>4</v>
      </c>
      <c r="BB150" s="68">
        <v>1</v>
      </c>
      <c r="BC150" s="84">
        <f t="shared" si="377"/>
        <v>4</v>
      </c>
      <c r="BD150" s="83">
        <f t="shared" si="358"/>
        <v>3</v>
      </c>
      <c r="BE150" s="85">
        <v>2</v>
      </c>
      <c r="BF150" s="86">
        <v>42622.554328703707</v>
      </c>
      <c r="BG150" s="72">
        <f t="shared" si="379"/>
        <v>46265</v>
      </c>
      <c r="BH150" s="87">
        <f t="shared" ref="BH150:BH175" si="416">BG150-BF150</f>
        <v>3642.4456712962929</v>
      </c>
      <c r="BI150" s="80" t="str">
        <f t="shared" si="359"/>
        <v>Dead Stock</v>
      </c>
      <c r="BJ150" s="238">
        <v>1396.5</v>
      </c>
    </row>
    <row r="151" spans="1:293" ht="13">
      <c r="A151" s="49"/>
      <c r="B151" s="50"/>
      <c r="C151" s="51">
        <v>148</v>
      </c>
      <c r="D151" s="117" t="s">
        <v>1515</v>
      </c>
      <c r="E151" s="117">
        <v>15</v>
      </c>
      <c r="F151" s="105" t="s">
        <v>117</v>
      </c>
      <c r="G151" s="81" t="s">
        <v>118</v>
      </c>
      <c r="H151" s="81" t="s">
        <v>294</v>
      </c>
      <c r="I151" s="80" t="s">
        <v>458</v>
      </c>
      <c r="J151" s="82">
        <f t="shared" si="398"/>
        <v>1</v>
      </c>
      <c r="K151" s="80">
        <v>1</v>
      </c>
      <c r="L151" s="57"/>
      <c r="M151" s="58"/>
      <c r="N151" s="59">
        <f t="shared" si="399"/>
        <v>1</v>
      </c>
      <c r="O151" s="60"/>
      <c r="P151" s="58"/>
      <c r="Q151" s="59">
        <f t="shared" si="400"/>
        <v>1</v>
      </c>
      <c r="R151" s="60"/>
      <c r="S151" s="58"/>
      <c r="T151" s="61">
        <f t="shared" si="401"/>
        <v>1</v>
      </c>
      <c r="U151" s="60"/>
      <c r="V151" s="58"/>
      <c r="W151" s="59">
        <f t="shared" si="402"/>
        <v>1</v>
      </c>
      <c r="X151" s="60"/>
      <c r="Y151" s="58"/>
      <c r="Z151" s="61">
        <f t="shared" si="403"/>
        <v>1</v>
      </c>
      <c r="AA151" s="60"/>
      <c r="AB151" s="58"/>
      <c r="AC151" s="59">
        <f t="shared" si="404"/>
        <v>1</v>
      </c>
      <c r="AD151" s="57"/>
      <c r="AE151" s="58"/>
      <c r="AF151" s="243">
        <f t="shared" si="405"/>
        <v>1</v>
      </c>
      <c r="AG151" s="60"/>
      <c r="AH151" s="58"/>
      <c r="AI151" s="62">
        <f t="shared" si="406"/>
        <v>1</v>
      </c>
      <c r="AJ151" s="60"/>
      <c r="AK151" s="58"/>
      <c r="AL151" s="62">
        <f t="shared" si="407"/>
        <v>1</v>
      </c>
      <c r="AM151" s="60"/>
      <c r="AN151" s="58"/>
      <c r="AO151" s="62">
        <f t="shared" si="408"/>
        <v>1</v>
      </c>
      <c r="AP151" s="60"/>
      <c r="AQ151" s="58"/>
      <c r="AR151" s="62">
        <f t="shared" si="409"/>
        <v>1</v>
      </c>
      <c r="AS151" s="60"/>
      <c r="AT151" s="58"/>
      <c r="AU151" s="62">
        <f t="shared" si="410"/>
        <v>1</v>
      </c>
      <c r="AV151" s="83">
        <f t="shared" si="411"/>
        <v>0</v>
      </c>
      <c r="AW151" s="83">
        <f t="shared" si="412"/>
        <v>0</v>
      </c>
      <c r="AX151" s="64">
        <f t="shared" si="413"/>
        <v>0</v>
      </c>
      <c r="AY151" s="65" t="e">
        <f t="shared" si="414"/>
        <v>#DIV/0!</v>
      </c>
      <c r="AZ151" s="66">
        <f t="shared" si="415"/>
        <v>0</v>
      </c>
      <c r="BA151" s="67">
        <f>MAX(0, Table176252626[[#This Row],[Column6]])</f>
        <v>1</v>
      </c>
      <c r="BB151" s="68">
        <v>0</v>
      </c>
      <c r="BC151" s="84">
        <f t="shared" si="377"/>
        <v>1</v>
      </c>
      <c r="BD151" s="83">
        <f t="shared" si="358"/>
        <v>1</v>
      </c>
      <c r="BE151" s="85">
        <v>2</v>
      </c>
      <c r="BF151" s="86">
        <v>42562.731782407405</v>
      </c>
      <c r="BG151" s="72">
        <f t="shared" si="379"/>
        <v>46265</v>
      </c>
      <c r="BH151" s="87">
        <f t="shared" si="416"/>
        <v>3702.2682175925947</v>
      </c>
      <c r="BI151" s="80" t="str">
        <f t="shared" si="359"/>
        <v>Dead Stock</v>
      </c>
      <c r="BJ151" s="238">
        <v>4333.5</v>
      </c>
    </row>
    <row r="152" spans="1:293" ht="13">
      <c r="A152" s="90"/>
      <c r="B152" s="91"/>
      <c r="C152" s="51">
        <v>149</v>
      </c>
      <c r="D152" s="117" t="s">
        <v>1515</v>
      </c>
      <c r="E152" s="117">
        <v>16</v>
      </c>
      <c r="F152" s="105" t="s">
        <v>24</v>
      </c>
      <c r="G152" s="81" t="s">
        <v>1055</v>
      </c>
      <c r="H152" s="81" t="s">
        <v>294</v>
      </c>
      <c r="I152" s="80" t="s">
        <v>458</v>
      </c>
      <c r="J152" s="82">
        <f t="shared" si="398"/>
        <v>20</v>
      </c>
      <c r="K152" s="80">
        <v>120</v>
      </c>
      <c r="L152" s="57"/>
      <c r="M152" s="58"/>
      <c r="N152" s="59">
        <f t="shared" si="399"/>
        <v>120</v>
      </c>
      <c r="O152" s="60"/>
      <c r="P152" s="58"/>
      <c r="Q152" s="59">
        <f t="shared" si="400"/>
        <v>120</v>
      </c>
      <c r="R152" s="60"/>
      <c r="S152" s="58"/>
      <c r="T152" s="61">
        <f t="shared" si="401"/>
        <v>120</v>
      </c>
      <c r="U152" s="60"/>
      <c r="V152" s="58">
        <v>60</v>
      </c>
      <c r="W152" s="59">
        <f t="shared" si="402"/>
        <v>60</v>
      </c>
      <c r="X152" s="60"/>
      <c r="Y152" s="58">
        <v>40</v>
      </c>
      <c r="Z152" s="61">
        <f t="shared" si="403"/>
        <v>20</v>
      </c>
      <c r="AA152" s="60"/>
      <c r="AB152" s="58"/>
      <c r="AC152" s="59">
        <f t="shared" si="404"/>
        <v>20</v>
      </c>
      <c r="AD152" s="57"/>
      <c r="AE152" s="58"/>
      <c r="AF152" s="243">
        <f t="shared" si="405"/>
        <v>20</v>
      </c>
      <c r="AG152" s="60"/>
      <c r="AH152" s="58"/>
      <c r="AI152" s="62">
        <f t="shared" si="406"/>
        <v>20</v>
      </c>
      <c r="AJ152" s="60"/>
      <c r="AK152" s="58"/>
      <c r="AL152" s="62">
        <f t="shared" si="407"/>
        <v>20</v>
      </c>
      <c r="AM152" s="60"/>
      <c r="AN152" s="58"/>
      <c r="AO152" s="62">
        <f t="shared" si="408"/>
        <v>20</v>
      </c>
      <c r="AP152" s="60"/>
      <c r="AQ152" s="58"/>
      <c r="AR152" s="62">
        <f t="shared" si="409"/>
        <v>20</v>
      </c>
      <c r="AS152" s="60"/>
      <c r="AT152" s="58"/>
      <c r="AU152" s="62">
        <f t="shared" si="410"/>
        <v>20</v>
      </c>
      <c r="AV152" s="83">
        <f t="shared" si="411"/>
        <v>0</v>
      </c>
      <c r="AW152" s="83">
        <f t="shared" si="412"/>
        <v>100</v>
      </c>
      <c r="AX152" s="64">
        <f t="shared" si="413"/>
        <v>100</v>
      </c>
      <c r="AY152" s="65">
        <f t="shared" si="414"/>
        <v>50</v>
      </c>
      <c r="AZ152" s="66">
        <f t="shared" si="415"/>
        <v>2</v>
      </c>
      <c r="BA152" s="67">
        <f>MAX(0, Table176252626[[#This Row],[Column6]])</f>
        <v>20</v>
      </c>
      <c r="BB152" s="68">
        <v>1</v>
      </c>
      <c r="BC152" s="84">
        <f t="shared" si="377"/>
        <v>20</v>
      </c>
      <c r="BD152" s="83">
        <f t="shared" si="358"/>
        <v>19</v>
      </c>
      <c r="BE152" s="85">
        <v>2</v>
      </c>
      <c r="BF152" s="86">
        <v>42920.590636574074</v>
      </c>
      <c r="BG152" s="72">
        <f t="shared" si="379"/>
        <v>46265</v>
      </c>
      <c r="BH152" s="87">
        <f t="shared" si="416"/>
        <v>3344.4093634259261</v>
      </c>
      <c r="BI152" s="80" t="str">
        <f t="shared" si="359"/>
        <v>Dead Stock</v>
      </c>
      <c r="BJ152" s="238">
        <v>48</v>
      </c>
    </row>
    <row r="153" spans="1:293" ht="13">
      <c r="A153" s="49"/>
      <c r="B153" s="50"/>
      <c r="C153" s="51">
        <v>150</v>
      </c>
      <c r="D153" s="117" t="s">
        <v>1515</v>
      </c>
      <c r="E153" s="117">
        <v>17</v>
      </c>
      <c r="F153" s="105" t="s">
        <v>53</v>
      </c>
      <c r="G153" s="81" t="s">
        <v>54</v>
      </c>
      <c r="H153" s="81" t="s">
        <v>294</v>
      </c>
      <c r="I153" s="80" t="s">
        <v>458</v>
      </c>
      <c r="J153" s="82">
        <f t="shared" si="398"/>
        <v>9</v>
      </c>
      <c r="K153" s="80">
        <v>10</v>
      </c>
      <c r="L153" s="57"/>
      <c r="M153" s="58"/>
      <c r="N153" s="59">
        <f t="shared" si="399"/>
        <v>10</v>
      </c>
      <c r="O153" s="60"/>
      <c r="P153" s="58"/>
      <c r="Q153" s="59">
        <f t="shared" si="400"/>
        <v>10</v>
      </c>
      <c r="R153" s="60"/>
      <c r="S153" s="58"/>
      <c r="T153" s="61">
        <f t="shared" si="401"/>
        <v>10</v>
      </c>
      <c r="U153" s="60"/>
      <c r="V153" s="58"/>
      <c r="W153" s="59">
        <f t="shared" si="402"/>
        <v>10</v>
      </c>
      <c r="X153" s="60"/>
      <c r="Y153" s="58"/>
      <c r="Z153" s="61">
        <f t="shared" si="403"/>
        <v>10</v>
      </c>
      <c r="AA153" s="60"/>
      <c r="AB153" s="58">
        <v>1</v>
      </c>
      <c r="AC153" s="59">
        <f t="shared" si="404"/>
        <v>9</v>
      </c>
      <c r="AD153" s="57"/>
      <c r="AE153" s="58"/>
      <c r="AF153" s="243">
        <f t="shared" si="405"/>
        <v>9</v>
      </c>
      <c r="AG153" s="60"/>
      <c r="AH153" s="58"/>
      <c r="AI153" s="62">
        <f t="shared" si="406"/>
        <v>9</v>
      </c>
      <c r="AJ153" s="60"/>
      <c r="AK153" s="58"/>
      <c r="AL153" s="62">
        <f t="shared" si="407"/>
        <v>9</v>
      </c>
      <c r="AM153" s="60"/>
      <c r="AN153" s="58"/>
      <c r="AO153" s="62">
        <f t="shared" si="408"/>
        <v>9</v>
      </c>
      <c r="AP153" s="60"/>
      <c r="AQ153" s="58"/>
      <c r="AR153" s="62">
        <f t="shared" si="409"/>
        <v>9</v>
      </c>
      <c r="AS153" s="60"/>
      <c r="AT153" s="58"/>
      <c r="AU153" s="62">
        <f t="shared" si="410"/>
        <v>9</v>
      </c>
      <c r="AV153" s="83">
        <f t="shared" si="411"/>
        <v>0</v>
      </c>
      <c r="AW153" s="83">
        <f t="shared" si="412"/>
        <v>1</v>
      </c>
      <c r="AX153" s="64">
        <f t="shared" si="413"/>
        <v>1</v>
      </c>
      <c r="AY153" s="65">
        <f t="shared" si="414"/>
        <v>1</v>
      </c>
      <c r="AZ153" s="66">
        <f t="shared" si="415"/>
        <v>1</v>
      </c>
      <c r="BA153" s="67">
        <v>9</v>
      </c>
      <c r="BB153" s="68">
        <v>1</v>
      </c>
      <c r="BC153" s="84">
        <f t="shared" si="377"/>
        <v>9</v>
      </c>
      <c r="BD153" s="83">
        <f t="shared" si="358"/>
        <v>8</v>
      </c>
      <c r="BE153" s="85">
        <v>2</v>
      </c>
      <c r="BF153" s="86">
        <v>42984.569837962961</v>
      </c>
      <c r="BG153" s="72">
        <f t="shared" si="379"/>
        <v>46265</v>
      </c>
      <c r="BH153" s="87">
        <f t="shared" si="416"/>
        <v>3280.4301620370388</v>
      </c>
      <c r="BI153" s="80" t="str">
        <f t="shared" si="359"/>
        <v>Dead Stock</v>
      </c>
      <c r="BJ153" s="238">
        <v>1190</v>
      </c>
    </row>
    <row r="154" spans="1:293" ht="13">
      <c r="A154" s="75"/>
      <c r="B154" s="76"/>
      <c r="C154" s="51">
        <v>151</v>
      </c>
      <c r="D154" s="117" t="s">
        <v>1515</v>
      </c>
      <c r="E154" s="117">
        <v>18</v>
      </c>
      <c r="F154" s="105" t="s">
        <v>172</v>
      </c>
      <c r="G154" s="81" t="s">
        <v>173</v>
      </c>
      <c r="H154" s="81" t="s">
        <v>294</v>
      </c>
      <c r="I154" s="80" t="s">
        <v>458</v>
      </c>
      <c r="J154" s="82">
        <f t="shared" si="398"/>
        <v>10</v>
      </c>
      <c r="K154" s="80">
        <v>10</v>
      </c>
      <c r="L154" s="57"/>
      <c r="M154" s="58"/>
      <c r="N154" s="59">
        <f t="shared" si="399"/>
        <v>10</v>
      </c>
      <c r="O154" s="60"/>
      <c r="P154" s="58"/>
      <c r="Q154" s="59">
        <f t="shared" si="400"/>
        <v>10</v>
      </c>
      <c r="R154" s="60"/>
      <c r="S154" s="58"/>
      <c r="T154" s="61">
        <f t="shared" si="401"/>
        <v>10</v>
      </c>
      <c r="U154" s="60"/>
      <c r="V154" s="58"/>
      <c r="W154" s="59">
        <f t="shared" si="402"/>
        <v>10</v>
      </c>
      <c r="X154" s="60"/>
      <c r="Y154" s="58"/>
      <c r="Z154" s="61">
        <f t="shared" si="403"/>
        <v>10</v>
      </c>
      <c r="AA154" s="60"/>
      <c r="AB154" s="58"/>
      <c r="AC154" s="59">
        <f t="shared" si="404"/>
        <v>10</v>
      </c>
      <c r="AD154" s="57"/>
      <c r="AE154" s="58"/>
      <c r="AF154" s="243">
        <f t="shared" si="405"/>
        <v>10</v>
      </c>
      <c r="AG154" s="60"/>
      <c r="AH154" s="58"/>
      <c r="AI154" s="62">
        <f t="shared" si="406"/>
        <v>10</v>
      </c>
      <c r="AJ154" s="60"/>
      <c r="AK154" s="58"/>
      <c r="AL154" s="62">
        <f t="shared" si="407"/>
        <v>10</v>
      </c>
      <c r="AM154" s="60"/>
      <c r="AN154" s="58"/>
      <c r="AO154" s="62">
        <f t="shared" si="408"/>
        <v>10</v>
      </c>
      <c r="AP154" s="60"/>
      <c r="AQ154" s="58"/>
      <c r="AR154" s="62">
        <f t="shared" si="409"/>
        <v>10</v>
      </c>
      <c r="AS154" s="60"/>
      <c r="AT154" s="58"/>
      <c r="AU154" s="62">
        <f t="shared" si="410"/>
        <v>10</v>
      </c>
      <c r="AV154" s="83">
        <f t="shared" si="411"/>
        <v>0</v>
      </c>
      <c r="AW154" s="83">
        <f t="shared" si="412"/>
        <v>0</v>
      </c>
      <c r="AX154" s="64">
        <f t="shared" si="413"/>
        <v>0</v>
      </c>
      <c r="AY154" s="65" t="e">
        <f t="shared" si="414"/>
        <v>#DIV/0!</v>
      </c>
      <c r="AZ154" s="66">
        <f t="shared" si="415"/>
        <v>0</v>
      </c>
      <c r="BA154" s="67">
        <f>MAX(0, Table176252626[[#This Row],[Column6]])</f>
        <v>10</v>
      </c>
      <c r="BB154" s="68">
        <v>1</v>
      </c>
      <c r="BC154" s="84">
        <f t="shared" si="377"/>
        <v>10</v>
      </c>
      <c r="BD154" s="83">
        <f t="shared" si="358"/>
        <v>9</v>
      </c>
      <c r="BE154" s="85">
        <v>2</v>
      </c>
      <c r="BF154" s="86">
        <v>42627.74428240741</v>
      </c>
      <c r="BG154" s="72">
        <f t="shared" si="379"/>
        <v>46265</v>
      </c>
      <c r="BH154" s="87">
        <f t="shared" si="416"/>
        <v>3637.2557175925904</v>
      </c>
      <c r="BI154" s="80" t="str">
        <f t="shared" si="359"/>
        <v>Dead Stock</v>
      </c>
      <c r="BJ154" s="238">
        <v>1020</v>
      </c>
    </row>
    <row r="155" spans="1:293" s="48" customFormat="1" ht="13">
      <c r="A155" s="49"/>
      <c r="B155" s="76"/>
      <c r="C155" s="77">
        <v>152</v>
      </c>
      <c r="D155" s="117" t="s">
        <v>1515</v>
      </c>
      <c r="E155" s="117">
        <v>19</v>
      </c>
      <c r="F155" s="80" t="s">
        <v>916</v>
      </c>
      <c r="G155" s="81" t="s">
        <v>917</v>
      </c>
      <c r="H155" s="89" t="s">
        <v>294</v>
      </c>
      <c r="I155" s="80" t="s">
        <v>458</v>
      </c>
      <c r="J155" s="82">
        <f t="shared" si="398"/>
        <v>2</v>
      </c>
      <c r="K155" s="80">
        <v>3</v>
      </c>
      <c r="L155" s="57"/>
      <c r="M155" s="58"/>
      <c r="N155" s="59">
        <f t="shared" si="399"/>
        <v>3</v>
      </c>
      <c r="O155" s="60"/>
      <c r="P155" s="58"/>
      <c r="Q155" s="59">
        <f t="shared" si="400"/>
        <v>3</v>
      </c>
      <c r="R155" s="60"/>
      <c r="S155" s="58"/>
      <c r="T155" s="61">
        <f t="shared" si="401"/>
        <v>3</v>
      </c>
      <c r="U155" s="60"/>
      <c r="V155" s="58"/>
      <c r="W155" s="59">
        <f t="shared" si="402"/>
        <v>3</v>
      </c>
      <c r="X155" s="60"/>
      <c r="Y155" s="58"/>
      <c r="Z155" s="61">
        <f t="shared" si="403"/>
        <v>3</v>
      </c>
      <c r="AA155" s="60"/>
      <c r="AB155" s="58"/>
      <c r="AC155" s="59">
        <f t="shared" si="404"/>
        <v>3</v>
      </c>
      <c r="AD155" s="57"/>
      <c r="AE155" s="58">
        <v>1</v>
      </c>
      <c r="AF155" s="243">
        <f t="shared" si="405"/>
        <v>2</v>
      </c>
      <c r="AG155" s="60"/>
      <c r="AH155" s="58"/>
      <c r="AI155" s="62">
        <f t="shared" si="406"/>
        <v>2</v>
      </c>
      <c r="AJ155" s="60"/>
      <c r="AK155" s="58"/>
      <c r="AL155" s="62">
        <f t="shared" si="407"/>
        <v>2</v>
      </c>
      <c r="AM155" s="60"/>
      <c r="AN155" s="58"/>
      <c r="AO155" s="62">
        <f t="shared" si="408"/>
        <v>2</v>
      </c>
      <c r="AP155" s="60"/>
      <c r="AQ155" s="58"/>
      <c r="AR155" s="62">
        <f t="shared" si="409"/>
        <v>2</v>
      </c>
      <c r="AS155" s="60"/>
      <c r="AT155" s="58"/>
      <c r="AU155" s="62">
        <f t="shared" si="410"/>
        <v>2</v>
      </c>
      <c r="AV155" s="83">
        <f t="shared" si="411"/>
        <v>0</v>
      </c>
      <c r="AW155" s="83">
        <f t="shared" si="412"/>
        <v>1</v>
      </c>
      <c r="AX155" s="64">
        <f t="shared" si="413"/>
        <v>1</v>
      </c>
      <c r="AY155" s="65">
        <f t="shared" si="414"/>
        <v>1</v>
      </c>
      <c r="AZ155" s="66">
        <f t="shared" si="415"/>
        <v>1</v>
      </c>
      <c r="BA155" s="67">
        <f>MAX(0, Table176252626[[#This Row],[Column6]])</f>
        <v>2</v>
      </c>
      <c r="BB155" s="68">
        <v>1</v>
      </c>
      <c r="BC155" s="84">
        <f t="shared" si="377"/>
        <v>2</v>
      </c>
      <c r="BD155" s="83">
        <f t="shared" si="358"/>
        <v>1</v>
      </c>
      <c r="BE155" s="85">
        <v>2</v>
      </c>
      <c r="BF155" s="86">
        <v>44335.643912037034</v>
      </c>
      <c r="BG155" s="72">
        <f t="shared" si="379"/>
        <v>46265</v>
      </c>
      <c r="BH155" s="87">
        <f t="shared" si="416"/>
        <v>1929.3560879629658</v>
      </c>
      <c r="BI155" s="80" t="str">
        <f t="shared" si="359"/>
        <v>Dead Stock</v>
      </c>
      <c r="BJ155" s="238">
        <v>2189.25</v>
      </c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  <c r="FS155" s="30"/>
      <c r="FT155" s="30"/>
      <c r="FU155" s="30"/>
      <c r="FV155" s="30"/>
      <c r="FW155" s="30"/>
      <c r="FX155" s="30"/>
      <c r="FY155" s="30"/>
      <c r="FZ155" s="30"/>
      <c r="GA155" s="30"/>
      <c r="GB155" s="30"/>
      <c r="GC155" s="30"/>
      <c r="GD155" s="30"/>
      <c r="GE155" s="30"/>
      <c r="GF155" s="30"/>
      <c r="GG155" s="30"/>
      <c r="GH155" s="30"/>
      <c r="GI155" s="30"/>
      <c r="GJ155" s="30"/>
      <c r="GK155" s="30"/>
      <c r="GL155" s="30"/>
      <c r="GM155" s="30"/>
      <c r="GN155" s="30"/>
      <c r="GO155" s="30"/>
      <c r="GP155" s="30"/>
      <c r="GQ155" s="30"/>
      <c r="GR155" s="30"/>
      <c r="GS155" s="30"/>
      <c r="GT155" s="30"/>
      <c r="GU155" s="30"/>
      <c r="GV155" s="30"/>
      <c r="GW155" s="30"/>
      <c r="GX155" s="30"/>
      <c r="GY155" s="30"/>
      <c r="GZ155" s="30"/>
      <c r="HA155" s="30"/>
      <c r="HB155" s="30"/>
      <c r="HC155" s="30"/>
      <c r="HD155" s="30"/>
      <c r="HE155" s="30"/>
      <c r="HF155" s="30"/>
      <c r="HG155" s="30"/>
      <c r="HH155" s="30"/>
      <c r="HI155" s="30"/>
      <c r="HJ155" s="30"/>
      <c r="HK155" s="30"/>
      <c r="HL155" s="30"/>
      <c r="HM155" s="30"/>
      <c r="HN155" s="30"/>
      <c r="HO155" s="30"/>
      <c r="HP155" s="30"/>
      <c r="HQ155" s="30"/>
      <c r="HR155" s="30"/>
      <c r="HS155" s="30"/>
      <c r="HT155" s="30"/>
      <c r="HU155" s="30"/>
      <c r="HV155" s="30"/>
      <c r="HW155" s="30"/>
      <c r="HX155" s="30"/>
      <c r="HY155" s="30"/>
      <c r="HZ155" s="30"/>
      <c r="IA155" s="30"/>
      <c r="IB155" s="30"/>
      <c r="IC155" s="30"/>
      <c r="ID155" s="30"/>
      <c r="IE155" s="30"/>
      <c r="IF155" s="30"/>
      <c r="IG155" s="30"/>
      <c r="IH155" s="30"/>
      <c r="II155" s="30"/>
      <c r="IJ155" s="30"/>
      <c r="IK155" s="30"/>
      <c r="IL155" s="30"/>
      <c r="IM155" s="30"/>
      <c r="IN155" s="30"/>
      <c r="IO155" s="30"/>
      <c r="IP155" s="30"/>
      <c r="IQ155" s="30"/>
      <c r="IR155" s="30"/>
      <c r="IS155" s="30"/>
      <c r="IT155" s="30"/>
      <c r="IU155" s="30"/>
      <c r="IV155" s="30"/>
      <c r="IW155" s="30"/>
      <c r="IX155" s="30"/>
      <c r="IY155" s="30"/>
      <c r="IZ155" s="30"/>
      <c r="JA155" s="30"/>
      <c r="JB155" s="30"/>
      <c r="JC155" s="30"/>
      <c r="JD155" s="30"/>
      <c r="JE155" s="30"/>
      <c r="JF155" s="30"/>
      <c r="JG155" s="30"/>
      <c r="JH155" s="30"/>
      <c r="JI155" s="30"/>
      <c r="JJ155" s="30"/>
      <c r="JK155" s="30"/>
      <c r="JL155" s="30"/>
      <c r="JM155" s="30"/>
      <c r="JN155" s="30"/>
      <c r="JO155" s="30"/>
      <c r="JP155" s="30"/>
      <c r="JQ155" s="30"/>
      <c r="JR155" s="30"/>
      <c r="JS155" s="30"/>
      <c r="JT155" s="30"/>
      <c r="JU155" s="30"/>
      <c r="JV155" s="30"/>
      <c r="JW155" s="30"/>
      <c r="JX155" s="30"/>
      <c r="JY155" s="30"/>
      <c r="JZ155" s="30"/>
      <c r="KA155" s="30"/>
      <c r="KB155" s="30"/>
      <c r="KC155" s="30"/>
      <c r="KD155" s="30"/>
      <c r="KE155" s="30"/>
      <c r="KF155" s="30"/>
      <c r="KG155" s="30"/>
    </row>
    <row r="156" spans="1:293" ht="13">
      <c r="A156" s="49"/>
      <c r="B156" s="76"/>
      <c r="C156" s="77">
        <v>153</v>
      </c>
      <c r="D156" s="117" t="s">
        <v>1515</v>
      </c>
      <c r="E156" s="117">
        <v>20</v>
      </c>
      <c r="F156" s="105" t="s">
        <v>848</v>
      </c>
      <c r="G156" s="106" t="s">
        <v>847</v>
      </c>
      <c r="H156" s="81" t="s">
        <v>294</v>
      </c>
      <c r="I156" s="80" t="s">
        <v>458</v>
      </c>
      <c r="J156" s="82">
        <f t="shared" si="398"/>
        <v>1</v>
      </c>
      <c r="K156" s="80">
        <v>1</v>
      </c>
      <c r="L156" s="57"/>
      <c r="M156" s="58"/>
      <c r="N156" s="59">
        <f t="shared" si="399"/>
        <v>1</v>
      </c>
      <c r="O156" s="60"/>
      <c r="P156" s="58"/>
      <c r="Q156" s="59">
        <f t="shared" si="400"/>
        <v>1</v>
      </c>
      <c r="R156" s="60"/>
      <c r="S156" s="58"/>
      <c r="T156" s="61">
        <f t="shared" si="401"/>
        <v>1</v>
      </c>
      <c r="U156" s="60"/>
      <c r="V156" s="58"/>
      <c r="W156" s="59">
        <f t="shared" si="402"/>
        <v>1</v>
      </c>
      <c r="X156" s="60"/>
      <c r="Y156" s="58"/>
      <c r="Z156" s="61">
        <f t="shared" si="403"/>
        <v>1</v>
      </c>
      <c r="AA156" s="60"/>
      <c r="AB156" s="58"/>
      <c r="AC156" s="59">
        <f t="shared" si="404"/>
        <v>1</v>
      </c>
      <c r="AD156" s="57"/>
      <c r="AE156" s="58"/>
      <c r="AF156" s="243">
        <f t="shared" si="405"/>
        <v>1</v>
      </c>
      <c r="AG156" s="60"/>
      <c r="AH156" s="58"/>
      <c r="AI156" s="62">
        <f t="shared" si="406"/>
        <v>1</v>
      </c>
      <c r="AJ156" s="60"/>
      <c r="AK156" s="58"/>
      <c r="AL156" s="62">
        <f t="shared" si="407"/>
        <v>1</v>
      </c>
      <c r="AM156" s="60"/>
      <c r="AN156" s="58"/>
      <c r="AO156" s="62">
        <f t="shared" si="408"/>
        <v>1</v>
      </c>
      <c r="AP156" s="60"/>
      <c r="AQ156" s="58"/>
      <c r="AR156" s="62">
        <f t="shared" si="409"/>
        <v>1</v>
      </c>
      <c r="AS156" s="60"/>
      <c r="AT156" s="58"/>
      <c r="AU156" s="62">
        <f t="shared" si="410"/>
        <v>1</v>
      </c>
      <c r="AV156" s="83">
        <f t="shared" si="411"/>
        <v>0</v>
      </c>
      <c r="AW156" s="83">
        <f t="shared" si="412"/>
        <v>0</v>
      </c>
      <c r="AX156" s="64">
        <f t="shared" si="413"/>
        <v>0</v>
      </c>
      <c r="AY156" s="65" t="e">
        <f t="shared" si="414"/>
        <v>#DIV/0!</v>
      </c>
      <c r="AZ156" s="66">
        <f t="shared" si="415"/>
        <v>0</v>
      </c>
      <c r="BA156" s="67">
        <f>MAX(0, Table176252626[[#This Row],[Column6]])</f>
        <v>1</v>
      </c>
      <c r="BB156" s="68">
        <v>0</v>
      </c>
      <c r="BC156" s="84">
        <f t="shared" si="377"/>
        <v>1</v>
      </c>
      <c r="BD156" s="83">
        <f t="shared" si="358"/>
        <v>1</v>
      </c>
      <c r="BE156" s="85">
        <v>2</v>
      </c>
      <c r="BF156" s="86">
        <v>44162.628078703703</v>
      </c>
      <c r="BG156" s="72">
        <f t="shared" si="379"/>
        <v>46265</v>
      </c>
      <c r="BH156" s="87">
        <f t="shared" si="416"/>
        <v>2102.3719212962969</v>
      </c>
      <c r="BI156" s="80" t="str">
        <f t="shared" si="359"/>
        <v>Dead Stock</v>
      </c>
      <c r="BJ156" s="238">
        <v>2100</v>
      </c>
    </row>
    <row r="157" spans="1:293" ht="13">
      <c r="A157" s="49"/>
      <c r="B157" s="50"/>
      <c r="C157" s="51">
        <v>154</v>
      </c>
      <c r="D157" s="117" t="s">
        <v>1515</v>
      </c>
      <c r="E157" s="117">
        <v>21</v>
      </c>
      <c r="F157" s="80" t="s">
        <v>840</v>
      </c>
      <c r="G157" s="106" t="s">
        <v>841</v>
      </c>
      <c r="H157" s="81" t="s">
        <v>842</v>
      </c>
      <c r="I157" s="80" t="s">
        <v>458</v>
      </c>
      <c r="J157" s="82">
        <f t="shared" si="398"/>
        <v>1</v>
      </c>
      <c r="K157" s="80">
        <v>1</v>
      </c>
      <c r="L157" s="57"/>
      <c r="M157" s="58"/>
      <c r="N157" s="59">
        <f t="shared" si="399"/>
        <v>1</v>
      </c>
      <c r="O157" s="60"/>
      <c r="P157" s="58"/>
      <c r="Q157" s="59">
        <f t="shared" si="400"/>
        <v>1</v>
      </c>
      <c r="R157" s="60"/>
      <c r="S157" s="58"/>
      <c r="T157" s="61">
        <f t="shared" si="401"/>
        <v>1</v>
      </c>
      <c r="U157" s="60"/>
      <c r="V157" s="58"/>
      <c r="W157" s="59">
        <f t="shared" si="402"/>
        <v>1</v>
      </c>
      <c r="X157" s="60"/>
      <c r="Y157" s="58"/>
      <c r="Z157" s="61">
        <f t="shared" si="403"/>
        <v>1</v>
      </c>
      <c r="AA157" s="60"/>
      <c r="AB157" s="58"/>
      <c r="AC157" s="59">
        <f t="shared" si="404"/>
        <v>1</v>
      </c>
      <c r="AD157" s="57"/>
      <c r="AE157" s="58"/>
      <c r="AF157" s="243">
        <f t="shared" si="405"/>
        <v>1</v>
      </c>
      <c r="AG157" s="60"/>
      <c r="AH157" s="58"/>
      <c r="AI157" s="62">
        <f t="shared" si="406"/>
        <v>1</v>
      </c>
      <c r="AJ157" s="60"/>
      <c r="AK157" s="58"/>
      <c r="AL157" s="62">
        <f t="shared" si="407"/>
        <v>1</v>
      </c>
      <c r="AM157" s="60"/>
      <c r="AN157" s="58"/>
      <c r="AO157" s="62">
        <f t="shared" si="408"/>
        <v>1</v>
      </c>
      <c r="AP157" s="60"/>
      <c r="AQ157" s="58"/>
      <c r="AR157" s="62">
        <f t="shared" si="409"/>
        <v>1</v>
      </c>
      <c r="AS157" s="60"/>
      <c r="AT157" s="58"/>
      <c r="AU157" s="62">
        <f t="shared" si="410"/>
        <v>1</v>
      </c>
      <c r="AV157" s="83">
        <f t="shared" si="411"/>
        <v>0</v>
      </c>
      <c r="AW157" s="83">
        <f t="shared" si="412"/>
        <v>0</v>
      </c>
      <c r="AX157" s="64">
        <f t="shared" si="413"/>
        <v>0</v>
      </c>
      <c r="AY157" s="65" t="e">
        <f t="shared" si="414"/>
        <v>#DIV/0!</v>
      </c>
      <c r="AZ157" s="66">
        <f t="shared" si="415"/>
        <v>0</v>
      </c>
      <c r="BA157" s="67">
        <f>MAX(0, Table176252626[[#This Row],[Column6]])</f>
        <v>1</v>
      </c>
      <c r="BB157" s="68">
        <v>0</v>
      </c>
      <c r="BC157" s="84">
        <f t="shared" si="377"/>
        <v>1</v>
      </c>
      <c r="BD157" s="83">
        <f t="shared" si="358"/>
        <v>1</v>
      </c>
      <c r="BE157" s="85">
        <v>2</v>
      </c>
      <c r="BF157" s="86">
        <v>44159.479953703703</v>
      </c>
      <c r="BG157" s="72">
        <f t="shared" si="379"/>
        <v>46265</v>
      </c>
      <c r="BH157" s="87">
        <f t="shared" si="416"/>
        <v>2105.5200462962966</v>
      </c>
      <c r="BI157" s="80" t="str">
        <f t="shared" si="359"/>
        <v>Dead Stock</v>
      </c>
      <c r="BJ157" s="238">
        <v>4322.5</v>
      </c>
    </row>
    <row r="158" spans="1:293" ht="13">
      <c r="A158" s="75"/>
      <c r="B158" s="76"/>
      <c r="C158" s="51">
        <v>155</v>
      </c>
      <c r="D158" s="117" t="s">
        <v>1515</v>
      </c>
      <c r="E158" s="117">
        <v>22</v>
      </c>
      <c r="F158" s="105" t="s">
        <v>872</v>
      </c>
      <c r="G158" s="116" t="s">
        <v>876</v>
      </c>
      <c r="H158" s="89" t="s">
        <v>294</v>
      </c>
      <c r="I158" s="80" t="s">
        <v>458</v>
      </c>
      <c r="J158" s="82">
        <f t="shared" si="398"/>
        <v>1</v>
      </c>
      <c r="K158" s="80">
        <v>1</v>
      </c>
      <c r="L158" s="57"/>
      <c r="M158" s="58"/>
      <c r="N158" s="59">
        <f t="shared" si="399"/>
        <v>1</v>
      </c>
      <c r="O158" s="60"/>
      <c r="P158" s="58"/>
      <c r="Q158" s="59">
        <f t="shared" si="400"/>
        <v>1</v>
      </c>
      <c r="R158" s="60"/>
      <c r="S158" s="58"/>
      <c r="T158" s="61">
        <f t="shared" si="401"/>
        <v>1</v>
      </c>
      <c r="U158" s="60"/>
      <c r="V158" s="58"/>
      <c r="W158" s="59">
        <f t="shared" si="402"/>
        <v>1</v>
      </c>
      <c r="X158" s="60"/>
      <c r="Y158" s="58"/>
      <c r="Z158" s="61">
        <f t="shared" si="403"/>
        <v>1</v>
      </c>
      <c r="AA158" s="60"/>
      <c r="AB158" s="58"/>
      <c r="AC158" s="59">
        <f t="shared" si="404"/>
        <v>1</v>
      </c>
      <c r="AD158" s="57"/>
      <c r="AE158" s="58"/>
      <c r="AF158" s="243">
        <f t="shared" si="405"/>
        <v>1</v>
      </c>
      <c r="AG158" s="60"/>
      <c r="AH158" s="58"/>
      <c r="AI158" s="62">
        <f t="shared" si="406"/>
        <v>1</v>
      </c>
      <c r="AJ158" s="60"/>
      <c r="AK158" s="58"/>
      <c r="AL158" s="62">
        <f t="shared" si="407"/>
        <v>1</v>
      </c>
      <c r="AM158" s="60"/>
      <c r="AN158" s="58"/>
      <c r="AO158" s="62">
        <f t="shared" si="408"/>
        <v>1</v>
      </c>
      <c r="AP158" s="60"/>
      <c r="AQ158" s="58"/>
      <c r="AR158" s="62">
        <f t="shared" si="409"/>
        <v>1</v>
      </c>
      <c r="AS158" s="60"/>
      <c r="AT158" s="58"/>
      <c r="AU158" s="62">
        <f t="shared" si="410"/>
        <v>1</v>
      </c>
      <c r="AV158" s="83">
        <f t="shared" si="411"/>
        <v>0</v>
      </c>
      <c r="AW158" s="83">
        <f t="shared" si="412"/>
        <v>0</v>
      </c>
      <c r="AX158" s="64">
        <f t="shared" si="413"/>
        <v>0</v>
      </c>
      <c r="AY158" s="65" t="e">
        <f t="shared" si="414"/>
        <v>#DIV/0!</v>
      </c>
      <c r="AZ158" s="66">
        <f t="shared" si="415"/>
        <v>0</v>
      </c>
      <c r="BA158" s="67">
        <f>MAX(0, Table176252626[[#This Row],[Column6]])</f>
        <v>1</v>
      </c>
      <c r="BB158" s="68">
        <v>0</v>
      </c>
      <c r="BC158" s="84">
        <f t="shared" si="377"/>
        <v>1</v>
      </c>
      <c r="BD158" s="83">
        <f t="shared" si="358"/>
        <v>1</v>
      </c>
      <c r="BE158" s="85">
        <v>2</v>
      </c>
      <c r="BF158" s="86">
        <v>44208.637245370373</v>
      </c>
      <c r="BG158" s="72">
        <f t="shared" si="379"/>
        <v>46265</v>
      </c>
      <c r="BH158" s="87">
        <f t="shared" si="416"/>
        <v>2056.3627546296266</v>
      </c>
      <c r="BI158" s="80" t="str">
        <f t="shared" si="359"/>
        <v>Dead Stock</v>
      </c>
      <c r="BJ158" s="238">
        <v>3372.5</v>
      </c>
    </row>
    <row r="159" spans="1:293" ht="13">
      <c r="A159" s="49"/>
      <c r="B159" s="50"/>
      <c r="C159" s="51">
        <v>156</v>
      </c>
      <c r="D159" s="117" t="s">
        <v>1515</v>
      </c>
      <c r="E159" s="117">
        <v>23</v>
      </c>
      <c r="F159" s="105" t="s">
        <v>873</v>
      </c>
      <c r="G159" s="116" t="s">
        <v>877</v>
      </c>
      <c r="H159" s="89" t="s">
        <v>294</v>
      </c>
      <c r="I159" s="80" t="s">
        <v>458</v>
      </c>
      <c r="J159" s="82">
        <f t="shared" si="398"/>
        <v>1</v>
      </c>
      <c r="K159" s="80">
        <v>1</v>
      </c>
      <c r="L159" s="57"/>
      <c r="M159" s="58"/>
      <c r="N159" s="59">
        <f t="shared" si="399"/>
        <v>1</v>
      </c>
      <c r="O159" s="60"/>
      <c r="P159" s="58"/>
      <c r="Q159" s="59">
        <f t="shared" si="400"/>
        <v>1</v>
      </c>
      <c r="R159" s="60"/>
      <c r="S159" s="58"/>
      <c r="T159" s="61">
        <f t="shared" si="401"/>
        <v>1</v>
      </c>
      <c r="U159" s="60"/>
      <c r="V159" s="58"/>
      <c r="W159" s="59">
        <f t="shared" si="402"/>
        <v>1</v>
      </c>
      <c r="X159" s="60"/>
      <c r="Y159" s="58"/>
      <c r="Z159" s="61">
        <f t="shared" si="403"/>
        <v>1</v>
      </c>
      <c r="AA159" s="60"/>
      <c r="AB159" s="58"/>
      <c r="AC159" s="59">
        <f t="shared" si="404"/>
        <v>1</v>
      </c>
      <c r="AD159" s="57"/>
      <c r="AE159" s="58"/>
      <c r="AF159" s="243">
        <f t="shared" si="405"/>
        <v>1</v>
      </c>
      <c r="AG159" s="60"/>
      <c r="AH159" s="58"/>
      <c r="AI159" s="62">
        <f t="shared" si="406"/>
        <v>1</v>
      </c>
      <c r="AJ159" s="60"/>
      <c r="AK159" s="58"/>
      <c r="AL159" s="62">
        <f t="shared" si="407"/>
        <v>1</v>
      </c>
      <c r="AM159" s="60"/>
      <c r="AN159" s="58"/>
      <c r="AO159" s="62">
        <f t="shared" si="408"/>
        <v>1</v>
      </c>
      <c r="AP159" s="60"/>
      <c r="AQ159" s="58"/>
      <c r="AR159" s="62">
        <f t="shared" si="409"/>
        <v>1</v>
      </c>
      <c r="AS159" s="60"/>
      <c r="AT159" s="58"/>
      <c r="AU159" s="62">
        <f t="shared" si="410"/>
        <v>1</v>
      </c>
      <c r="AV159" s="83">
        <f t="shared" si="411"/>
        <v>0</v>
      </c>
      <c r="AW159" s="83">
        <f t="shared" si="412"/>
        <v>0</v>
      </c>
      <c r="AX159" s="64">
        <f t="shared" si="413"/>
        <v>0</v>
      </c>
      <c r="AY159" s="65" t="e">
        <f t="shared" si="414"/>
        <v>#DIV/0!</v>
      </c>
      <c r="AZ159" s="66">
        <f t="shared" si="415"/>
        <v>0</v>
      </c>
      <c r="BA159" s="67">
        <f>MAX(0, Table176252626[[#This Row],[Column6]])</f>
        <v>1</v>
      </c>
      <c r="BB159" s="68">
        <v>0</v>
      </c>
      <c r="BC159" s="84">
        <f t="shared" si="377"/>
        <v>1</v>
      </c>
      <c r="BD159" s="83">
        <f t="shared" si="358"/>
        <v>1</v>
      </c>
      <c r="BE159" s="85">
        <v>2</v>
      </c>
      <c r="BF159" s="86">
        <v>44208.637245370373</v>
      </c>
      <c r="BG159" s="72">
        <f t="shared" si="379"/>
        <v>46265</v>
      </c>
      <c r="BH159" s="87">
        <f t="shared" si="416"/>
        <v>2056.3627546296266</v>
      </c>
      <c r="BI159" s="80" t="str">
        <f t="shared" si="359"/>
        <v>Dead Stock</v>
      </c>
      <c r="BJ159" s="238">
        <v>3705</v>
      </c>
    </row>
    <row r="160" spans="1:293" ht="13">
      <c r="A160" s="90"/>
      <c r="B160" s="91"/>
      <c r="C160" s="51">
        <v>157</v>
      </c>
      <c r="D160" s="117" t="s">
        <v>1515</v>
      </c>
      <c r="E160" s="117">
        <v>24</v>
      </c>
      <c r="F160" s="105" t="s">
        <v>846</v>
      </c>
      <c r="G160" s="106" t="s">
        <v>845</v>
      </c>
      <c r="H160" s="89" t="s">
        <v>294</v>
      </c>
      <c r="I160" s="80" t="s">
        <v>458</v>
      </c>
      <c r="J160" s="82">
        <f t="shared" si="398"/>
        <v>1</v>
      </c>
      <c r="K160" s="80">
        <v>1</v>
      </c>
      <c r="L160" s="57"/>
      <c r="M160" s="58"/>
      <c r="N160" s="59">
        <f t="shared" si="399"/>
        <v>1</v>
      </c>
      <c r="O160" s="60"/>
      <c r="P160" s="58"/>
      <c r="Q160" s="59">
        <f t="shared" si="400"/>
        <v>1</v>
      </c>
      <c r="R160" s="60"/>
      <c r="S160" s="58"/>
      <c r="T160" s="61">
        <f t="shared" si="401"/>
        <v>1</v>
      </c>
      <c r="U160" s="60"/>
      <c r="V160" s="58"/>
      <c r="W160" s="59">
        <f t="shared" si="402"/>
        <v>1</v>
      </c>
      <c r="X160" s="60"/>
      <c r="Y160" s="58"/>
      <c r="Z160" s="61">
        <f t="shared" si="403"/>
        <v>1</v>
      </c>
      <c r="AA160" s="60"/>
      <c r="AB160" s="58"/>
      <c r="AC160" s="59">
        <f t="shared" si="404"/>
        <v>1</v>
      </c>
      <c r="AD160" s="57"/>
      <c r="AE160" s="58"/>
      <c r="AF160" s="243">
        <f t="shared" si="405"/>
        <v>1</v>
      </c>
      <c r="AG160" s="60"/>
      <c r="AH160" s="58"/>
      <c r="AI160" s="62">
        <f t="shared" si="406"/>
        <v>1</v>
      </c>
      <c r="AJ160" s="60"/>
      <c r="AK160" s="58"/>
      <c r="AL160" s="62">
        <f t="shared" si="407"/>
        <v>1</v>
      </c>
      <c r="AM160" s="60"/>
      <c r="AN160" s="58"/>
      <c r="AO160" s="62">
        <f t="shared" si="408"/>
        <v>1</v>
      </c>
      <c r="AP160" s="60"/>
      <c r="AQ160" s="58"/>
      <c r="AR160" s="62">
        <f t="shared" si="409"/>
        <v>1</v>
      </c>
      <c r="AS160" s="60"/>
      <c r="AT160" s="58"/>
      <c r="AU160" s="62">
        <f t="shared" si="410"/>
        <v>1</v>
      </c>
      <c r="AV160" s="83">
        <f t="shared" si="411"/>
        <v>0</v>
      </c>
      <c r="AW160" s="83">
        <f t="shared" si="412"/>
        <v>0</v>
      </c>
      <c r="AX160" s="64">
        <f t="shared" si="413"/>
        <v>0</v>
      </c>
      <c r="AY160" s="65" t="e">
        <f t="shared" si="414"/>
        <v>#DIV/0!</v>
      </c>
      <c r="AZ160" s="66">
        <f t="shared" si="415"/>
        <v>0</v>
      </c>
      <c r="BA160" s="67">
        <f>MAX(0, Table176252626[[#This Row],[Column6]])</f>
        <v>1</v>
      </c>
      <c r="BB160" s="68">
        <v>0</v>
      </c>
      <c r="BC160" s="84">
        <f t="shared" si="377"/>
        <v>1</v>
      </c>
      <c r="BD160" s="83">
        <f t="shared" si="358"/>
        <v>1</v>
      </c>
      <c r="BE160" s="85">
        <v>2</v>
      </c>
      <c r="BF160" s="86">
        <v>44162.628078703703</v>
      </c>
      <c r="BG160" s="72">
        <f t="shared" si="379"/>
        <v>46265</v>
      </c>
      <c r="BH160" s="87">
        <f t="shared" si="416"/>
        <v>2102.3719212962969</v>
      </c>
      <c r="BI160" s="80" t="str">
        <f t="shared" si="359"/>
        <v>Dead Stock</v>
      </c>
      <c r="BJ160" s="238">
        <v>4190</v>
      </c>
    </row>
    <row r="161" spans="1:293" s="48" customFormat="1" ht="13">
      <c r="A161" s="49"/>
      <c r="B161" s="50"/>
      <c r="C161" s="77">
        <v>158</v>
      </c>
      <c r="D161" s="117" t="s">
        <v>1515</v>
      </c>
      <c r="E161" s="117">
        <v>25</v>
      </c>
      <c r="F161" s="80" t="s">
        <v>783</v>
      </c>
      <c r="G161" s="106" t="s">
        <v>1129</v>
      </c>
      <c r="H161" s="89" t="s">
        <v>294</v>
      </c>
      <c r="I161" s="80" t="s">
        <v>458</v>
      </c>
      <c r="J161" s="82">
        <f t="shared" si="398"/>
        <v>1</v>
      </c>
      <c r="K161" s="80">
        <v>1</v>
      </c>
      <c r="L161" s="57"/>
      <c r="M161" s="58"/>
      <c r="N161" s="59">
        <f t="shared" si="399"/>
        <v>1</v>
      </c>
      <c r="O161" s="60"/>
      <c r="P161" s="58"/>
      <c r="Q161" s="59">
        <f t="shared" si="400"/>
        <v>1</v>
      </c>
      <c r="R161" s="60"/>
      <c r="S161" s="58"/>
      <c r="T161" s="61">
        <f t="shared" si="401"/>
        <v>1</v>
      </c>
      <c r="U161" s="60"/>
      <c r="V161" s="58"/>
      <c r="W161" s="59">
        <f t="shared" si="402"/>
        <v>1</v>
      </c>
      <c r="X161" s="60"/>
      <c r="Y161" s="58"/>
      <c r="Z161" s="61">
        <f t="shared" si="403"/>
        <v>1</v>
      </c>
      <c r="AA161" s="60"/>
      <c r="AB161" s="58"/>
      <c r="AC161" s="59">
        <f t="shared" si="404"/>
        <v>1</v>
      </c>
      <c r="AD161" s="57"/>
      <c r="AE161" s="58"/>
      <c r="AF161" s="243">
        <f t="shared" si="405"/>
        <v>1</v>
      </c>
      <c r="AG161" s="60"/>
      <c r="AH161" s="58"/>
      <c r="AI161" s="62">
        <f t="shared" si="406"/>
        <v>1</v>
      </c>
      <c r="AJ161" s="60"/>
      <c r="AK161" s="58"/>
      <c r="AL161" s="62">
        <f t="shared" si="407"/>
        <v>1</v>
      </c>
      <c r="AM161" s="60"/>
      <c r="AN161" s="58"/>
      <c r="AO161" s="62">
        <f t="shared" si="408"/>
        <v>1</v>
      </c>
      <c r="AP161" s="60"/>
      <c r="AQ161" s="58"/>
      <c r="AR161" s="62">
        <f t="shared" si="409"/>
        <v>1</v>
      </c>
      <c r="AS161" s="60"/>
      <c r="AT161" s="58"/>
      <c r="AU161" s="62">
        <f t="shared" si="410"/>
        <v>1</v>
      </c>
      <c r="AV161" s="83">
        <f t="shared" si="411"/>
        <v>0</v>
      </c>
      <c r="AW161" s="83">
        <f t="shared" si="412"/>
        <v>0</v>
      </c>
      <c r="AX161" s="64">
        <f t="shared" si="413"/>
        <v>0</v>
      </c>
      <c r="AY161" s="65" t="e">
        <f t="shared" si="414"/>
        <v>#DIV/0!</v>
      </c>
      <c r="AZ161" s="66">
        <f t="shared" si="415"/>
        <v>0</v>
      </c>
      <c r="BA161" s="67">
        <f>MAX(0, Table176252626[[#This Row],[Column6]])</f>
        <v>1</v>
      </c>
      <c r="BB161" s="68">
        <v>0</v>
      </c>
      <c r="BC161" s="84">
        <f t="shared" si="377"/>
        <v>1</v>
      </c>
      <c r="BD161" s="83">
        <f t="shared" si="358"/>
        <v>1</v>
      </c>
      <c r="BE161" s="85">
        <v>2</v>
      </c>
      <c r="BF161" s="86">
        <v>44823.436238425929</v>
      </c>
      <c r="BG161" s="72">
        <f t="shared" si="379"/>
        <v>46265</v>
      </c>
      <c r="BH161" s="87">
        <f t="shared" si="416"/>
        <v>1441.5637615740707</v>
      </c>
      <c r="BI161" s="80" t="str">
        <f t="shared" si="359"/>
        <v>Dead Stock</v>
      </c>
      <c r="BJ161" s="238">
        <v>7790</v>
      </c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  <c r="FS161" s="30"/>
      <c r="FT161" s="30"/>
      <c r="FU161" s="30"/>
      <c r="FV161" s="30"/>
      <c r="FW161" s="30"/>
      <c r="FX161" s="30"/>
      <c r="FY161" s="30"/>
      <c r="FZ161" s="30"/>
      <c r="GA161" s="30"/>
      <c r="GB161" s="30"/>
      <c r="GC161" s="30"/>
      <c r="GD161" s="30"/>
      <c r="GE161" s="30"/>
      <c r="GF161" s="30"/>
      <c r="GG161" s="30"/>
      <c r="GH161" s="30"/>
      <c r="GI161" s="30"/>
      <c r="GJ161" s="30"/>
      <c r="GK161" s="30"/>
      <c r="GL161" s="30"/>
      <c r="GM161" s="30"/>
      <c r="GN161" s="30"/>
      <c r="GO161" s="30"/>
      <c r="GP161" s="30"/>
      <c r="GQ161" s="30"/>
      <c r="GR161" s="30"/>
      <c r="GS161" s="30"/>
      <c r="GT161" s="30"/>
      <c r="GU161" s="30"/>
      <c r="GV161" s="30"/>
      <c r="GW161" s="30"/>
      <c r="GX161" s="30"/>
      <c r="GY161" s="30"/>
      <c r="GZ161" s="30"/>
      <c r="HA161" s="30"/>
      <c r="HB161" s="30"/>
      <c r="HC161" s="30"/>
      <c r="HD161" s="30"/>
      <c r="HE161" s="30"/>
      <c r="HF161" s="30"/>
      <c r="HG161" s="30"/>
      <c r="HH161" s="30"/>
      <c r="HI161" s="30"/>
      <c r="HJ161" s="30"/>
      <c r="HK161" s="30"/>
      <c r="HL161" s="30"/>
      <c r="HM161" s="30"/>
      <c r="HN161" s="30"/>
      <c r="HO161" s="30"/>
      <c r="HP161" s="30"/>
      <c r="HQ161" s="30"/>
      <c r="HR161" s="30"/>
      <c r="HS161" s="30"/>
      <c r="HT161" s="30"/>
      <c r="HU161" s="30"/>
      <c r="HV161" s="30"/>
      <c r="HW161" s="30"/>
      <c r="HX161" s="30"/>
      <c r="HY161" s="30"/>
      <c r="HZ161" s="30"/>
      <c r="IA161" s="30"/>
      <c r="IB161" s="30"/>
      <c r="IC161" s="30"/>
      <c r="ID161" s="30"/>
      <c r="IE161" s="30"/>
      <c r="IF161" s="30"/>
      <c r="IG161" s="30"/>
      <c r="IH161" s="30"/>
      <c r="II161" s="30"/>
      <c r="IJ161" s="30"/>
      <c r="IK161" s="30"/>
      <c r="IL161" s="30"/>
      <c r="IM161" s="30"/>
      <c r="IN161" s="30"/>
      <c r="IO161" s="30"/>
      <c r="IP161" s="30"/>
      <c r="IQ161" s="30"/>
      <c r="IR161" s="30"/>
      <c r="IS161" s="30"/>
      <c r="IT161" s="30"/>
      <c r="IU161" s="30"/>
      <c r="IV161" s="30"/>
      <c r="IW161" s="30"/>
      <c r="IX161" s="30"/>
      <c r="IY161" s="30"/>
      <c r="IZ161" s="30"/>
      <c r="JA161" s="30"/>
      <c r="JB161" s="30"/>
      <c r="JC161" s="30"/>
      <c r="JD161" s="30"/>
      <c r="JE161" s="30"/>
      <c r="JF161" s="30"/>
      <c r="JG161" s="30"/>
      <c r="JH161" s="30"/>
      <c r="JI161" s="30"/>
      <c r="JJ161" s="30"/>
      <c r="JK161" s="30"/>
      <c r="JL161" s="30"/>
      <c r="JM161" s="30"/>
      <c r="JN161" s="30"/>
      <c r="JO161" s="30"/>
      <c r="JP161" s="30"/>
      <c r="JQ161" s="30"/>
      <c r="JR161" s="30"/>
      <c r="JS161" s="30"/>
      <c r="JT161" s="30"/>
      <c r="JU161" s="30"/>
      <c r="JV161" s="30"/>
      <c r="JW161" s="30"/>
      <c r="JX161" s="30"/>
      <c r="JY161" s="30"/>
      <c r="JZ161" s="30"/>
      <c r="KA161" s="30"/>
      <c r="KB161" s="30"/>
      <c r="KC161" s="30"/>
      <c r="KD161" s="30"/>
      <c r="KE161" s="30"/>
      <c r="KF161" s="30"/>
      <c r="KG161" s="30"/>
    </row>
    <row r="162" spans="1:293" ht="13">
      <c r="A162" s="75"/>
      <c r="B162" s="76"/>
      <c r="C162" s="77">
        <v>159</v>
      </c>
      <c r="D162" s="117" t="s">
        <v>1515</v>
      </c>
      <c r="E162" s="117">
        <v>26</v>
      </c>
      <c r="F162" s="105" t="s">
        <v>874</v>
      </c>
      <c r="G162" s="116" t="s">
        <v>878</v>
      </c>
      <c r="H162" s="89" t="s">
        <v>294</v>
      </c>
      <c r="I162" s="80" t="s">
        <v>458</v>
      </c>
      <c r="J162" s="82">
        <f t="shared" si="398"/>
        <v>1</v>
      </c>
      <c r="K162" s="80">
        <v>1</v>
      </c>
      <c r="L162" s="57"/>
      <c r="M162" s="58"/>
      <c r="N162" s="59">
        <f t="shared" si="399"/>
        <v>1</v>
      </c>
      <c r="O162" s="60"/>
      <c r="P162" s="58"/>
      <c r="Q162" s="59">
        <f t="shared" si="400"/>
        <v>1</v>
      </c>
      <c r="R162" s="60"/>
      <c r="S162" s="58"/>
      <c r="T162" s="61">
        <f t="shared" si="401"/>
        <v>1</v>
      </c>
      <c r="U162" s="60"/>
      <c r="V162" s="58"/>
      <c r="W162" s="59">
        <f t="shared" si="402"/>
        <v>1</v>
      </c>
      <c r="X162" s="60"/>
      <c r="Y162" s="58"/>
      <c r="Z162" s="61">
        <f t="shared" si="403"/>
        <v>1</v>
      </c>
      <c r="AA162" s="60"/>
      <c r="AB162" s="58"/>
      <c r="AC162" s="59">
        <f t="shared" si="404"/>
        <v>1</v>
      </c>
      <c r="AD162" s="57"/>
      <c r="AE162" s="58"/>
      <c r="AF162" s="243">
        <f t="shared" si="405"/>
        <v>1</v>
      </c>
      <c r="AG162" s="60"/>
      <c r="AH162" s="58"/>
      <c r="AI162" s="62">
        <f t="shared" si="406"/>
        <v>1</v>
      </c>
      <c r="AJ162" s="60"/>
      <c r="AK162" s="58"/>
      <c r="AL162" s="62">
        <f t="shared" si="407"/>
        <v>1</v>
      </c>
      <c r="AM162" s="60"/>
      <c r="AN162" s="58"/>
      <c r="AO162" s="62">
        <f t="shared" si="408"/>
        <v>1</v>
      </c>
      <c r="AP162" s="60"/>
      <c r="AQ162" s="58"/>
      <c r="AR162" s="62">
        <f t="shared" si="409"/>
        <v>1</v>
      </c>
      <c r="AS162" s="60"/>
      <c r="AT162" s="58"/>
      <c r="AU162" s="62">
        <f t="shared" si="410"/>
        <v>1</v>
      </c>
      <c r="AV162" s="83">
        <f t="shared" si="411"/>
        <v>0</v>
      </c>
      <c r="AW162" s="83">
        <f t="shared" si="412"/>
        <v>0</v>
      </c>
      <c r="AX162" s="64">
        <f t="shared" si="413"/>
        <v>0</v>
      </c>
      <c r="AY162" s="65" t="e">
        <f t="shared" si="414"/>
        <v>#DIV/0!</v>
      </c>
      <c r="AZ162" s="66">
        <f t="shared" si="415"/>
        <v>0</v>
      </c>
      <c r="BA162" s="67">
        <f>MAX(0, Table176252626[[#This Row],[Column6]])</f>
        <v>1</v>
      </c>
      <c r="BB162" s="68">
        <v>0</v>
      </c>
      <c r="BC162" s="84">
        <f t="shared" si="377"/>
        <v>1</v>
      </c>
      <c r="BD162" s="83">
        <f t="shared" si="358"/>
        <v>1</v>
      </c>
      <c r="BE162" s="85">
        <v>2</v>
      </c>
      <c r="BF162" s="86">
        <v>44208.639675925922</v>
      </c>
      <c r="BG162" s="72">
        <f t="shared" si="379"/>
        <v>46265</v>
      </c>
      <c r="BH162" s="87">
        <f t="shared" si="416"/>
        <v>2056.3603240740777</v>
      </c>
      <c r="BI162" s="80" t="str">
        <f t="shared" si="359"/>
        <v>Dead Stock</v>
      </c>
      <c r="BJ162" s="238">
        <v>3705</v>
      </c>
    </row>
    <row r="163" spans="1:293" ht="13">
      <c r="A163" s="49"/>
      <c r="B163" s="76"/>
      <c r="C163" s="51">
        <v>160</v>
      </c>
      <c r="D163" s="117" t="s">
        <v>1515</v>
      </c>
      <c r="E163" s="117">
        <v>27</v>
      </c>
      <c r="F163" s="105" t="s">
        <v>476</v>
      </c>
      <c r="G163" s="116" t="s">
        <v>477</v>
      </c>
      <c r="H163" s="89" t="s">
        <v>294</v>
      </c>
      <c r="I163" s="80" t="s">
        <v>458</v>
      </c>
      <c r="J163" s="82">
        <f t="shared" si="398"/>
        <v>2</v>
      </c>
      <c r="K163" s="80">
        <v>2</v>
      </c>
      <c r="L163" s="57"/>
      <c r="M163" s="58"/>
      <c r="N163" s="59">
        <f t="shared" si="399"/>
        <v>2</v>
      </c>
      <c r="O163" s="60"/>
      <c r="P163" s="58"/>
      <c r="Q163" s="59">
        <f t="shared" si="400"/>
        <v>2</v>
      </c>
      <c r="R163" s="60"/>
      <c r="S163" s="58"/>
      <c r="T163" s="61">
        <f t="shared" si="401"/>
        <v>2</v>
      </c>
      <c r="U163" s="60"/>
      <c r="V163" s="58"/>
      <c r="W163" s="59">
        <f t="shared" si="402"/>
        <v>2</v>
      </c>
      <c r="X163" s="60"/>
      <c r="Y163" s="58"/>
      <c r="Z163" s="61">
        <f t="shared" si="403"/>
        <v>2</v>
      </c>
      <c r="AA163" s="60"/>
      <c r="AB163" s="58"/>
      <c r="AC163" s="59">
        <f t="shared" si="404"/>
        <v>2</v>
      </c>
      <c r="AD163" s="57"/>
      <c r="AE163" s="58"/>
      <c r="AF163" s="243">
        <f t="shared" si="405"/>
        <v>2</v>
      </c>
      <c r="AG163" s="60"/>
      <c r="AH163" s="58"/>
      <c r="AI163" s="62">
        <f t="shared" si="406"/>
        <v>2</v>
      </c>
      <c r="AJ163" s="60"/>
      <c r="AK163" s="58"/>
      <c r="AL163" s="62">
        <f t="shared" si="407"/>
        <v>2</v>
      </c>
      <c r="AM163" s="60"/>
      <c r="AN163" s="58"/>
      <c r="AO163" s="62">
        <f t="shared" si="408"/>
        <v>2</v>
      </c>
      <c r="AP163" s="60"/>
      <c r="AQ163" s="58"/>
      <c r="AR163" s="62">
        <f t="shared" si="409"/>
        <v>2</v>
      </c>
      <c r="AS163" s="60"/>
      <c r="AT163" s="58"/>
      <c r="AU163" s="62">
        <f t="shared" si="410"/>
        <v>2</v>
      </c>
      <c r="AV163" s="83">
        <f t="shared" si="411"/>
        <v>0</v>
      </c>
      <c r="AW163" s="83">
        <f t="shared" si="412"/>
        <v>0</v>
      </c>
      <c r="AX163" s="64">
        <f t="shared" si="413"/>
        <v>0</v>
      </c>
      <c r="AY163" s="65" t="e">
        <f t="shared" si="414"/>
        <v>#DIV/0!</v>
      </c>
      <c r="AZ163" s="66">
        <f t="shared" si="415"/>
        <v>0</v>
      </c>
      <c r="BA163" s="67">
        <f>MAX(0, Table176252626[[#This Row],[Column6]])</f>
        <v>2</v>
      </c>
      <c r="BB163" s="68">
        <v>1</v>
      </c>
      <c r="BC163" s="84">
        <f t="shared" si="377"/>
        <v>2</v>
      </c>
      <c r="BD163" s="83">
        <f t="shared" si="358"/>
        <v>1</v>
      </c>
      <c r="BE163" s="85">
        <v>2</v>
      </c>
      <c r="BF163" s="86">
        <v>43084.601886574077</v>
      </c>
      <c r="BG163" s="72">
        <f t="shared" si="379"/>
        <v>46265</v>
      </c>
      <c r="BH163" s="87">
        <f t="shared" si="416"/>
        <v>3180.3981134259229</v>
      </c>
      <c r="BI163" s="80" t="str">
        <f t="shared" si="359"/>
        <v>Dead Stock</v>
      </c>
      <c r="BJ163" s="238">
        <v>13900</v>
      </c>
    </row>
    <row r="164" spans="1:293" ht="13">
      <c r="A164" s="49"/>
      <c r="B164" s="76"/>
      <c r="C164" s="51">
        <v>161</v>
      </c>
      <c r="D164" s="117" t="s">
        <v>1515</v>
      </c>
      <c r="E164" s="117">
        <v>28</v>
      </c>
      <c r="F164" s="80" t="s">
        <v>737</v>
      </c>
      <c r="G164" s="81" t="s">
        <v>739</v>
      </c>
      <c r="H164" s="81" t="s">
        <v>294</v>
      </c>
      <c r="I164" s="80" t="s">
        <v>458</v>
      </c>
      <c r="J164" s="82">
        <f t="shared" si="398"/>
        <v>2</v>
      </c>
      <c r="K164" s="80">
        <v>2</v>
      </c>
      <c r="L164" s="57"/>
      <c r="M164" s="58"/>
      <c r="N164" s="59">
        <f t="shared" si="399"/>
        <v>2</v>
      </c>
      <c r="O164" s="60"/>
      <c r="P164" s="58"/>
      <c r="Q164" s="59">
        <f t="shared" si="400"/>
        <v>2</v>
      </c>
      <c r="R164" s="60"/>
      <c r="S164" s="58"/>
      <c r="T164" s="61">
        <f t="shared" si="401"/>
        <v>2</v>
      </c>
      <c r="U164" s="60"/>
      <c r="V164" s="58"/>
      <c r="W164" s="59">
        <f t="shared" si="402"/>
        <v>2</v>
      </c>
      <c r="X164" s="60"/>
      <c r="Y164" s="58"/>
      <c r="Z164" s="61">
        <f t="shared" si="403"/>
        <v>2</v>
      </c>
      <c r="AA164" s="60"/>
      <c r="AB164" s="58"/>
      <c r="AC164" s="59">
        <f t="shared" si="404"/>
        <v>2</v>
      </c>
      <c r="AD164" s="57"/>
      <c r="AE164" s="58"/>
      <c r="AF164" s="243">
        <f t="shared" si="405"/>
        <v>2</v>
      </c>
      <c r="AG164" s="60"/>
      <c r="AH164" s="58"/>
      <c r="AI164" s="62">
        <f t="shared" si="406"/>
        <v>2</v>
      </c>
      <c r="AJ164" s="60"/>
      <c r="AK164" s="58"/>
      <c r="AL164" s="62">
        <f t="shared" si="407"/>
        <v>2</v>
      </c>
      <c r="AM164" s="60"/>
      <c r="AN164" s="58"/>
      <c r="AO164" s="62">
        <f t="shared" si="408"/>
        <v>2</v>
      </c>
      <c r="AP164" s="60"/>
      <c r="AQ164" s="58"/>
      <c r="AR164" s="62">
        <f t="shared" si="409"/>
        <v>2</v>
      </c>
      <c r="AS164" s="60"/>
      <c r="AT164" s="58"/>
      <c r="AU164" s="62">
        <f t="shared" si="410"/>
        <v>2</v>
      </c>
      <c r="AV164" s="83">
        <f t="shared" si="411"/>
        <v>0</v>
      </c>
      <c r="AW164" s="83">
        <f t="shared" si="412"/>
        <v>0</v>
      </c>
      <c r="AX164" s="64">
        <f t="shared" si="413"/>
        <v>0</v>
      </c>
      <c r="AY164" s="65" t="e">
        <f t="shared" si="414"/>
        <v>#DIV/0!</v>
      </c>
      <c r="AZ164" s="66">
        <f t="shared" si="415"/>
        <v>0</v>
      </c>
      <c r="BA164" s="67">
        <f>MAX(0, Table176252626[[#This Row],[Column6]])</f>
        <v>2</v>
      </c>
      <c r="BB164" s="68">
        <v>1</v>
      </c>
      <c r="BC164" s="84">
        <f t="shared" si="377"/>
        <v>2</v>
      </c>
      <c r="BD164" s="83">
        <f t="shared" si="358"/>
        <v>1</v>
      </c>
      <c r="BE164" s="85">
        <v>2</v>
      </c>
      <c r="BF164" s="86">
        <v>43656.539837962962</v>
      </c>
      <c r="BG164" s="72">
        <f t="shared" si="379"/>
        <v>46265</v>
      </c>
      <c r="BH164" s="87">
        <f t="shared" si="416"/>
        <v>2608.4601620370377</v>
      </c>
      <c r="BI164" s="80" t="str">
        <f t="shared" si="359"/>
        <v>Dead Stock</v>
      </c>
      <c r="BJ164" s="238">
        <v>772.5</v>
      </c>
    </row>
    <row r="165" spans="1:293" ht="13">
      <c r="A165" s="49"/>
      <c r="B165" s="50"/>
      <c r="C165" s="51">
        <v>162</v>
      </c>
      <c r="D165" s="117" t="s">
        <v>1515</v>
      </c>
      <c r="E165" s="117">
        <v>29</v>
      </c>
      <c r="F165" s="80" t="s">
        <v>586</v>
      </c>
      <c r="G165" s="81" t="s">
        <v>587</v>
      </c>
      <c r="H165" s="81" t="s">
        <v>294</v>
      </c>
      <c r="I165" s="80" t="s">
        <v>458</v>
      </c>
      <c r="J165" s="82">
        <f t="shared" si="398"/>
        <v>2</v>
      </c>
      <c r="K165" s="80">
        <v>2</v>
      </c>
      <c r="L165" s="57"/>
      <c r="M165" s="58"/>
      <c r="N165" s="59">
        <f t="shared" si="399"/>
        <v>2</v>
      </c>
      <c r="O165" s="60"/>
      <c r="P165" s="58"/>
      <c r="Q165" s="59">
        <f t="shared" si="400"/>
        <v>2</v>
      </c>
      <c r="R165" s="60"/>
      <c r="S165" s="58"/>
      <c r="T165" s="61">
        <f t="shared" si="401"/>
        <v>2</v>
      </c>
      <c r="U165" s="60"/>
      <c r="V165" s="58"/>
      <c r="W165" s="59">
        <f t="shared" si="402"/>
        <v>2</v>
      </c>
      <c r="X165" s="60"/>
      <c r="Y165" s="58"/>
      <c r="Z165" s="61">
        <f t="shared" si="403"/>
        <v>2</v>
      </c>
      <c r="AA165" s="60"/>
      <c r="AB165" s="58"/>
      <c r="AC165" s="59">
        <f t="shared" si="404"/>
        <v>2</v>
      </c>
      <c r="AD165" s="57"/>
      <c r="AE165" s="58"/>
      <c r="AF165" s="243">
        <f t="shared" si="405"/>
        <v>2</v>
      </c>
      <c r="AG165" s="60"/>
      <c r="AH165" s="58"/>
      <c r="AI165" s="62">
        <f t="shared" si="406"/>
        <v>2</v>
      </c>
      <c r="AJ165" s="60"/>
      <c r="AK165" s="58"/>
      <c r="AL165" s="62">
        <f t="shared" si="407"/>
        <v>2</v>
      </c>
      <c r="AM165" s="60"/>
      <c r="AN165" s="58"/>
      <c r="AO165" s="62">
        <f t="shared" si="408"/>
        <v>2</v>
      </c>
      <c r="AP165" s="60"/>
      <c r="AQ165" s="58"/>
      <c r="AR165" s="62">
        <f t="shared" si="409"/>
        <v>2</v>
      </c>
      <c r="AS165" s="60"/>
      <c r="AT165" s="58"/>
      <c r="AU165" s="62">
        <f t="shared" si="410"/>
        <v>2</v>
      </c>
      <c r="AV165" s="83">
        <f t="shared" si="411"/>
        <v>0</v>
      </c>
      <c r="AW165" s="83">
        <f t="shared" si="412"/>
        <v>0</v>
      </c>
      <c r="AX165" s="64">
        <f t="shared" si="413"/>
        <v>0</v>
      </c>
      <c r="AY165" s="65" t="e">
        <f t="shared" si="414"/>
        <v>#DIV/0!</v>
      </c>
      <c r="AZ165" s="66">
        <f t="shared" si="415"/>
        <v>0</v>
      </c>
      <c r="BA165" s="67">
        <f>MAX(0, Table176252626[[#This Row],[Column6]])</f>
        <v>2</v>
      </c>
      <c r="BB165" s="68">
        <v>1</v>
      </c>
      <c r="BC165" s="84">
        <f t="shared" si="377"/>
        <v>2</v>
      </c>
      <c r="BD165" s="83">
        <f t="shared" si="358"/>
        <v>1</v>
      </c>
      <c r="BE165" s="85">
        <v>2</v>
      </c>
      <c r="BF165" s="86">
        <v>43337.344965277778</v>
      </c>
      <c r="BG165" s="72">
        <f t="shared" si="379"/>
        <v>46265</v>
      </c>
      <c r="BH165" s="87">
        <f t="shared" si="416"/>
        <v>2927.6550347222219</v>
      </c>
      <c r="BI165" s="80" t="str">
        <f t="shared" si="359"/>
        <v>Dead Stock</v>
      </c>
      <c r="BJ165" s="238">
        <v>2025.75</v>
      </c>
    </row>
    <row r="166" spans="1:293" ht="13">
      <c r="A166" s="75"/>
      <c r="B166" s="76"/>
      <c r="C166" s="51">
        <v>163</v>
      </c>
      <c r="D166" s="117" t="s">
        <v>1515</v>
      </c>
      <c r="E166" s="117">
        <v>30</v>
      </c>
      <c r="F166" s="88" t="s">
        <v>724</v>
      </c>
      <c r="G166" s="30" t="s">
        <v>725</v>
      </c>
      <c r="H166" s="89" t="s">
        <v>294</v>
      </c>
      <c r="I166" s="80" t="s">
        <v>458</v>
      </c>
      <c r="J166" s="82">
        <f t="shared" si="398"/>
        <v>2</v>
      </c>
      <c r="K166" s="80">
        <v>2</v>
      </c>
      <c r="L166" s="57"/>
      <c r="M166" s="58"/>
      <c r="N166" s="59">
        <f t="shared" si="399"/>
        <v>2</v>
      </c>
      <c r="O166" s="60"/>
      <c r="P166" s="58"/>
      <c r="Q166" s="59">
        <f t="shared" si="400"/>
        <v>2</v>
      </c>
      <c r="R166" s="60"/>
      <c r="S166" s="58"/>
      <c r="T166" s="61">
        <f t="shared" si="401"/>
        <v>2</v>
      </c>
      <c r="U166" s="60"/>
      <c r="V166" s="58"/>
      <c r="W166" s="59">
        <f t="shared" si="402"/>
        <v>2</v>
      </c>
      <c r="X166" s="60"/>
      <c r="Y166" s="58"/>
      <c r="Z166" s="61">
        <f t="shared" si="403"/>
        <v>2</v>
      </c>
      <c r="AA166" s="60"/>
      <c r="AB166" s="58"/>
      <c r="AC166" s="59">
        <f t="shared" si="404"/>
        <v>2</v>
      </c>
      <c r="AD166" s="57"/>
      <c r="AE166" s="58"/>
      <c r="AF166" s="243">
        <f t="shared" si="405"/>
        <v>2</v>
      </c>
      <c r="AG166" s="60"/>
      <c r="AH166" s="58"/>
      <c r="AI166" s="62">
        <f t="shared" si="406"/>
        <v>2</v>
      </c>
      <c r="AJ166" s="60"/>
      <c r="AK166" s="58"/>
      <c r="AL166" s="62">
        <f t="shared" si="407"/>
        <v>2</v>
      </c>
      <c r="AM166" s="60"/>
      <c r="AN166" s="58"/>
      <c r="AO166" s="62">
        <f t="shared" si="408"/>
        <v>2</v>
      </c>
      <c r="AP166" s="60"/>
      <c r="AQ166" s="58"/>
      <c r="AR166" s="62">
        <f t="shared" si="409"/>
        <v>2</v>
      </c>
      <c r="AS166" s="60"/>
      <c r="AT166" s="58"/>
      <c r="AU166" s="62">
        <f t="shared" si="410"/>
        <v>2</v>
      </c>
      <c r="AV166" s="83">
        <f t="shared" si="411"/>
        <v>0</v>
      </c>
      <c r="AW166" s="83">
        <f t="shared" si="412"/>
        <v>0</v>
      </c>
      <c r="AX166" s="64">
        <f t="shared" si="413"/>
        <v>0</v>
      </c>
      <c r="AY166" s="65" t="e">
        <f t="shared" si="414"/>
        <v>#DIV/0!</v>
      </c>
      <c r="AZ166" s="66">
        <f t="shared" si="415"/>
        <v>0</v>
      </c>
      <c r="BA166" s="67">
        <f>MAX(0, Table176252626[[#This Row],[Column6]])</f>
        <v>2</v>
      </c>
      <c r="BB166" s="68">
        <v>1</v>
      </c>
      <c r="BC166" s="84">
        <f t="shared" si="377"/>
        <v>2</v>
      </c>
      <c r="BD166" s="83">
        <f t="shared" si="358"/>
        <v>1</v>
      </c>
      <c r="BE166" s="85">
        <v>2</v>
      </c>
      <c r="BF166" s="86">
        <v>43512.367627314816</v>
      </c>
      <c r="BG166" s="72">
        <f t="shared" si="379"/>
        <v>46265</v>
      </c>
      <c r="BH166" s="87">
        <f t="shared" si="416"/>
        <v>2752.6323726851842</v>
      </c>
      <c r="BI166" s="80" t="str">
        <f t="shared" si="359"/>
        <v>Dead Stock</v>
      </c>
      <c r="BJ166" s="238">
        <v>1000</v>
      </c>
    </row>
    <row r="167" spans="1:293" ht="13">
      <c r="A167" s="49"/>
      <c r="B167" s="50"/>
      <c r="C167" s="77">
        <v>164</v>
      </c>
      <c r="D167" s="117" t="s">
        <v>1515</v>
      </c>
      <c r="E167" s="117">
        <v>31</v>
      </c>
      <c r="F167" s="80" t="s">
        <v>738</v>
      </c>
      <c r="G167" s="81" t="s">
        <v>740</v>
      </c>
      <c r="H167" s="81" t="s">
        <v>294</v>
      </c>
      <c r="I167" s="80" t="s">
        <v>458</v>
      </c>
      <c r="J167" s="82">
        <f t="shared" si="398"/>
        <v>3</v>
      </c>
      <c r="K167" s="80">
        <v>3</v>
      </c>
      <c r="L167" s="57"/>
      <c r="M167" s="58"/>
      <c r="N167" s="59">
        <f t="shared" si="399"/>
        <v>3</v>
      </c>
      <c r="O167" s="60"/>
      <c r="P167" s="58"/>
      <c r="Q167" s="59">
        <f t="shared" si="400"/>
        <v>3</v>
      </c>
      <c r="R167" s="60"/>
      <c r="S167" s="58"/>
      <c r="T167" s="61">
        <f t="shared" si="401"/>
        <v>3</v>
      </c>
      <c r="U167" s="60"/>
      <c r="V167" s="58"/>
      <c r="W167" s="59">
        <f t="shared" si="402"/>
        <v>3</v>
      </c>
      <c r="X167" s="60"/>
      <c r="Y167" s="58"/>
      <c r="Z167" s="61">
        <f t="shared" si="403"/>
        <v>3</v>
      </c>
      <c r="AA167" s="60"/>
      <c r="AB167" s="58"/>
      <c r="AC167" s="59">
        <f t="shared" si="404"/>
        <v>3</v>
      </c>
      <c r="AD167" s="57"/>
      <c r="AE167" s="58"/>
      <c r="AF167" s="243">
        <f t="shared" si="405"/>
        <v>3</v>
      </c>
      <c r="AG167" s="60"/>
      <c r="AH167" s="58"/>
      <c r="AI167" s="62">
        <f t="shared" si="406"/>
        <v>3</v>
      </c>
      <c r="AJ167" s="60"/>
      <c r="AK167" s="58"/>
      <c r="AL167" s="62">
        <f t="shared" si="407"/>
        <v>3</v>
      </c>
      <c r="AM167" s="60"/>
      <c r="AN167" s="58"/>
      <c r="AO167" s="62">
        <f t="shared" si="408"/>
        <v>3</v>
      </c>
      <c r="AP167" s="60"/>
      <c r="AQ167" s="58"/>
      <c r="AR167" s="62">
        <f t="shared" si="409"/>
        <v>3</v>
      </c>
      <c r="AS167" s="60"/>
      <c r="AT167" s="58"/>
      <c r="AU167" s="62">
        <f t="shared" si="410"/>
        <v>3</v>
      </c>
      <c r="AV167" s="83">
        <f t="shared" si="411"/>
        <v>0</v>
      </c>
      <c r="AW167" s="83">
        <f t="shared" si="412"/>
        <v>0</v>
      </c>
      <c r="AX167" s="64">
        <f t="shared" si="413"/>
        <v>0</v>
      </c>
      <c r="AY167" s="65" t="e">
        <f t="shared" si="414"/>
        <v>#DIV/0!</v>
      </c>
      <c r="AZ167" s="66">
        <f t="shared" si="415"/>
        <v>0</v>
      </c>
      <c r="BA167" s="67">
        <v>3</v>
      </c>
      <c r="BB167" s="68">
        <v>1</v>
      </c>
      <c r="BC167" s="84">
        <f t="shared" si="377"/>
        <v>3</v>
      </c>
      <c r="BD167" s="83">
        <f t="shared" si="358"/>
        <v>2</v>
      </c>
      <c r="BE167" s="85">
        <v>2</v>
      </c>
      <c r="BF167" s="86">
        <v>43656.539837962962</v>
      </c>
      <c r="BG167" s="72">
        <f t="shared" si="379"/>
        <v>46265</v>
      </c>
      <c r="BH167" s="87">
        <f t="shared" si="416"/>
        <v>2608.4601620370377</v>
      </c>
      <c r="BI167" s="80" t="str">
        <f t="shared" si="359"/>
        <v>Dead Stock</v>
      </c>
      <c r="BJ167" s="238">
        <v>4749</v>
      </c>
    </row>
    <row r="168" spans="1:293" ht="13">
      <c r="A168" s="90"/>
      <c r="B168" s="91"/>
      <c r="C168" s="77">
        <v>165</v>
      </c>
      <c r="D168" s="117" t="s">
        <v>1515</v>
      </c>
      <c r="E168" s="117">
        <v>32</v>
      </c>
      <c r="F168" s="80" t="s">
        <v>716</v>
      </c>
      <c r="G168" s="81" t="s">
        <v>717</v>
      </c>
      <c r="H168" s="89" t="s">
        <v>294</v>
      </c>
      <c r="I168" s="80" t="s">
        <v>458</v>
      </c>
      <c r="J168" s="82">
        <f t="shared" si="398"/>
        <v>1</v>
      </c>
      <c r="K168" s="80">
        <v>1</v>
      </c>
      <c r="L168" s="57"/>
      <c r="M168" s="58"/>
      <c r="N168" s="59">
        <f t="shared" si="399"/>
        <v>1</v>
      </c>
      <c r="O168" s="60"/>
      <c r="P168" s="58"/>
      <c r="Q168" s="59">
        <f t="shared" si="400"/>
        <v>1</v>
      </c>
      <c r="R168" s="60"/>
      <c r="S168" s="58"/>
      <c r="T168" s="61">
        <f t="shared" si="401"/>
        <v>1</v>
      </c>
      <c r="U168" s="60"/>
      <c r="V168" s="58"/>
      <c r="W168" s="59">
        <f t="shared" si="402"/>
        <v>1</v>
      </c>
      <c r="X168" s="60"/>
      <c r="Y168" s="58"/>
      <c r="Z168" s="61">
        <f t="shared" si="403"/>
        <v>1</v>
      </c>
      <c r="AA168" s="60"/>
      <c r="AB168" s="58"/>
      <c r="AC168" s="59">
        <f t="shared" si="404"/>
        <v>1</v>
      </c>
      <c r="AD168" s="57"/>
      <c r="AE168" s="58"/>
      <c r="AF168" s="243">
        <f t="shared" si="405"/>
        <v>1</v>
      </c>
      <c r="AG168" s="60"/>
      <c r="AH168" s="58"/>
      <c r="AI168" s="62">
        <f t="shared" si="406"/>
        <v>1</v>
      </c>
      <c r="AJ168" s="60"/>
      <c r="AK168" s="58"/>
      <c r="AL168" s="62">
        <f t="shared" si="407"/>
        <v>1</v>
      </c>
      <c r="AM168" s="60"/>
      <c r="AN168" s="58"/>
      <c r="AO168" s="62">
        <f t="shared" si="408"/>
        <v>1</v>
      </c>
      <c r="AP168" s="60"/>
      <c r="AQ168" s="58"/>
      <c r="AR168" s="62">
        <f t="shared" si="409"/>
        <v>1</v>
      </c>
      <c r="AS168" s="60"/>
      <c r="AT168" s="58"/>
      <c r="AU168" s="62">
        <f t="shared" si="410"/>
        <v>1</v>
      </c>
      <c r="AV168" s="83">
        <f t="shared" si="411"/>
        <v>0</v>
      </c>
      <c r="AW168" s="83">
        <f t="shared" si="412"/>
        <v>0</v>
      </c>
      <c r="AX168" s="64">
        <f t="shared" si="413"/>
        <v>0</v>
      </c>
      <c r="AY168" s="65" t="e">
        <f t="shared" si="414"/>
        <v>#DIV/0!</v>
      </c>
      <c r="AZ168" s="66">
        <f t="shared" si="415"/>
        <v>0</v>
      </c>
      <c r="BA168" s="67">
        <f>MAX(0, Table176252626[[#This Row],[Column6]])</f>
        <v>1</v>
      </c>
      <c r="BB168" s="68">
        <v>0</v>
      </c>
      <c r="BC168" s="84">
        <f t="shared" si="377"/>
        <v>1</v>
      </c>
      <c r="BD168" s="83">
        <f t="shared" si="358"/>
        <v>1</v>
      </c>
      <c r="BE168" s="85">
        <v>2</v>
      </c>
      <c r="BF168" s="86">
        <v>43566.630578703705</v>
      </c>
      <c r="BG168" s="72">
        <f t="shared" si="379"/>
        <v>46265</v>
      </c>
      <c r="BH168" s="87">
        <f t="shared" si="416"/>
        <v>2698.3694212962946</v>
      </c>
      <c r="BI168" s="80" t="str">
        <f t="shared" si="359"/>
        <v>Dead Stock</v>
      </c>
      <c r="BJ168" s="238">
        <v>7450</v>
      </c>
    </row>
    <row r="169" spans="1:293" ht="13">
      <c r="A169" s="49"/>
      <c r="B169" s="50"/>
      <c r="C169" s="51">
        <v>166</v>
      </c>
      <c r="D169" s="117" t="s">
        <v>1515</v>
      </c>
      <c r="E169" s="117">
        <v>33</v>
      </c>
      <c r="F169" s="88" t="s">
        <v>703</v>
      </c>
      <c r="G169" s="89" t="s">
        <v>2029</v>
      </c>
      <c r="H169" s="89" t="s">
        <v>294</v>
      </c>
      <c r="I169" s="80" t="s">
        <v>458</v>
      </c>
      <c r="J169" s="82">
        <f t="shared" si="398"/>
        <v>1</v>
      </c>
      <c r="K169" s="80">
        <v>1</v>
      </c>
      <c r="L169" s="57"/>
      <c r="M169" s="58"/>
      <c r="N169" s="59">
        <f t="shared" si="399"/>
        <v>1</v>
      </c>
      <c r="O169" s="60"/>
      <c r="P169" s="58"/>
      <c r="Q169" s="59">
        <f t="shared" si="400"/>
        <v>1</v>
      </c>
      <c r="R169" s="60"/>
      <c r="S169" s="58"/>
      <c r="T169" s="61">
        <f t="shared" si="401"/>
        <v>1</v>
      </c>
      <c r="U169" s="60"/>
      <c r="V169" s="58"/>
      <c r="W169" s="59">
        <f t="shared" si="402"/>
        <v>1</v>
      </c>
      <c r="X169" s="60"/>
      <c r="Y169" s="58"/>
      <c r="Z169" s="61">
        <f t="shared" si="403"/>
        <v>1</v>
      </c>
      <c r="AA169" s="60"/>
      <c r="AB169" s="58"/>
      <c r="AC169" s="59">
        <f t="shared" si="404"/>
        <v>1</v>
      </c>
      <c r="AD169" s="57"/>
      <c r="AE169" s="58"/>
      <c r="AF169" s="243">
        <f t="shared" si="405"/>
        <v>1</v>
      </c>
      <c r="AG169" s="60"/>
      <c r="AH169" s="58"/>
      <c r="AI169" s="62">
        <f t="shared" si="406"/>
        <v>1</v>
      </c>
      <c r="AJ169" s="60"/>
      <c r="AK169" s="58"/>
      <c r="AL169" s="62">
        <f t="shared" si="407"/>
        <v>1</v>
      </c>
      <c r="AM169" s="60"/>
      <c r="AN169" s="58"/>
      <c r="AO169" s="62">
        <f t="shared" si="408"/>
        <v>1</v>
      </c>
      <c r="AP169" s="60"/>
      <c r="AQ169" s="58"/>
      <c r="AR169" s="62">
        <f t="shared" si="409"/>
        <v>1</v>
      </c>
      <c r="AS169" s="60"/>
      <c r="AT169" s="58"/>
      <c r="AU169" s="62">
        <f t="shared" si="410"/>
        <v>1</v>
      </c>
      <c r="AV169" s="83">
        <f t="shared" si="411"/>
        <v>0</v>
      </c>
      <c r="AW169" s="83">
        <f t="shared" si="412"/>
        <v>0</v>
      </c>
      <c r="AX169" s="64">
        <f t="shared" si="413"/>
        <v>0</v>
      </c>
      <c r="AY169" s="65" t="e">
        <f t="shared" si="414"/>
        <v>#DIV/0!</v>
      </c>
      <c r="AZ169" s="66">
        <f t="shared" si="415"/>
        <v>0</v>
      </c>
      <c r="BA169" s="67">
        <f>MAX(0, Table176252626[[#This Row],[Column6]])</f>
        <v>1</v>
      </c>
      <c r="BB169" s="68">
        <v>0</v>
      </c>
      <c r="BC169" s="84">
        <f t="shared" si="377"/>
        <v>1</v>
      </c>
      <c r="BD169" s="83">
        <f t="shared" si="358"/>
        <v>1</v>
      </c>
      <c r="BE169" s="85">
        <v>2</v>
      </c>
      <c r="BF169" s="86">
        <v>43544.676215277781</v>
      </c>
      <c r="BG169" s="72">
        <f t="shared" si="379"/>
        <v>46265</v>
      </c>
      <c r="BH169" s="87">
        <f t="shared" si="416"/>
        <v>2720.323784722219</v>
      </c>
      <c r="BI169" s="80" t="str">
        <f t="shared" si="359"/>
        <v>Dead Stock</v>
      </c>
      <c r="BJ169" s="238">
        <v>32720</v>
      </c>
    </row>
    <row r="170" spans="1:293" ht="13">
      <c r="A170" s="49"/>
      <c r="B170" s="76"/>
      <c r="C170" s="51">
        <v>167</v>
      </c>
      <c r="D170" s="117" t="s">
        <v>1515</v>
      </c>
      <c r="E170" s="117">
        <v>34</v>
      </c>
      <c r="F170" s="80" t="s">
        <v>278</v>
      </c>
      <c r="G170" s="81" t="s">
        <v>279</v>
      </c>
      <c r="H170" s="81" t="s">
        <v>294</v>
      </c>
      <c r="I170" s="80" t="s">
        <v>458</v>
      </c>
      <c r="J170" s="82">
        <f>AU170</f>
        <v>3</v>
      </c>
      <c r="K170" s="80">
        <v>3</v>
      </c>
      <c r="L170" s="57"/>
      <c r="M170" s="58"/>
      <c r="N170" s="59">
        <f>SUM(K170+L170-M170)</f>
        <v>3</v>
      </c>
      <c r="O170" s="60"/>
      <c r="P170" s="58"/>
      <c r="Q170" s="59">
        <f>SUM(N170+O170-P170)</f>
        <v>3</v>
      </c>
      <c r="R170" s="60"/>
      <c r="S170" s="58"/>
      <c r="T170" s="61">
        <f>SUM(Q170+R170-S170)</f>
        <v>3</v>
      </c>
      <c r="U170" s="60"/>
      <c r="V170" s="58"/>
      <c r="W170" s="59">
        <f>SUM(T170+U170-V170)</f>
        <v>3</v>
      </c>
      <c r="X170" s="60"/>
      <c r="Y170" s="58"/>
      <c r="Z170" s="61">
        <f>SUM(W170+X170-Y170)</f>
        <v>3</v>
      </c>
      <c r="AA170" s="60"/>
      <c r="AB170" s="58"/>
      <c r="AC170" s="59">
        <f>SUM(Z170+AA170-AB170)</f>
        <v>3</v>
      </c>
      <c r="AD170" s="57"/>
      <c r="AE170" s="58"/>
      <c r="AF170" s="243">
        <f>SUM(AC170+AD170-AE170)</f>
        <v>3</v>
      </c>
      <c r="AG170" s="60"/>
      <c r="AH170" s="58"/>
      <c r="AI170" s="62">
        <f>SUM(AF170+AG170-AH170)</f>
        <v>3</v>
      </c>
      <c r="AJ170" s="60"/>
      <c r="AK170" s="58"/>
      <c r="AL170" s="62">
        <f>SUM(AI170+AJ170-AK170)</f>
        <v>3</v>
      </c>
      <c r="AM170" s="60"/>
      <c r="AN170" s="58"/>
      <c r="AO170" s="62">
        <f>SUM(AL170+AM170-AN170)</f>
        <v>3</v>
      </c>
      <c r="AP170" s="60"/>
      <c r="AQ170" s="58"/>
      <c r="AR170" s="62">
        <f>SUM(AO170+AP170-AQ170)</f>
        <v>3</v>
      </c>
      <c r="AS170" s="60"/>
      <c r="AT170" s="58"/>
      <c r="AU170" s="62">
        <f>SUM(AR170+AS170-AT170)</f>
        <v>3</v>
      </c>
      <c r="AV170" s="83">
        <f t="shared" ref="AV170:AW170" si="417">SUM(L170+O170+R170+U170+X170+AA170+AD170+AG170+AJ170+AM170+AP170+AS170)</f>
        <v>0</v>
      </c>
      <c r="AW170" s="83">
        <f t="shared" si="417"/>
        <v>0</v>
      </c>
      <c r="AX170" s="64">
        <f>SUM(M170,P170,S170,V170,Y170,AB170,AE170,AH170,AK170,AN170,AQ170,AT170)</f>
        <v>0</v>
      </c>
      <c r="AY170" s="65" t="e">
        <f>AVERAGE(M170,P170,S170,V170,Y170,AB170,AE170,AH170,AK170,AN170,AQ170,AT170)</f>
        <v>#DIV/0!</v>
      </c>
      <c r="AZ170" s="66">
        <f>COUNT(M170,P170,S170,V170,Y170,AB170,AE170,AH170,AK170,AN170,AQ170,AT170)</f>
        <v>0</v>
      </c>
      <c r="BA170" s="67">
        <v>3</v>
      </c>
      <c r="BB170" s="68">
        <v>1</v>
      </c>
      <c r="BC170" s="84">
        <f t="shared" si="377"/>
        <v>3</v>
      </c>
      <c r="BD170" s="83">
        <f t="shared" si="358"/>
        <v>2</v>
      </c>
      <c r="BE170" s="85">
        <v>2</v>
      </c>
      <c r="BF170" s="86">
        <v>44601.559340277781</v>
      </c>
      <c r="BG170" s="72">
        <f t="shared" si="379"/>
        <v>46265</v>
      </c>
      <c r="BH170" s="107">
        <f>BG170-BF170</f>
        <v>1663.4406597222187</v>
      </c>
      <c r="BI170" s="80" t="str">
        <f t="shared" si="359"/>
        <v>Dead Stock</v>
      </c>
      <c r="BJ170" s="238">
        <v>2065.5</v>
      </c>
    </row>
    <row r="171" spans="1:293" ht="13">
      <c r="A171" s="90"/>
      <c r="B171" s="91"/>
      <c r="C171" s="51">
        <v>168</v>
      </c>
      <c r="D171" s="117" t="s">
        <v>1515</v>
      </c>
      <c r="E171" s="117">
        <v>35</v>
      </c>
      <c r="F171" s="88" t="s">
        <v>1714</v>
      </c>
      <c r="G171" s="118" t="s">
        <v>1713</v>
      </c>
      <c r="H171" s="81" t="s">
        <v>294</v>
      </c>
      <c r="I171" s="88" t="s">
        <v>458</v>
      </c>
      <c r="J171" s="82">
        <f>AU171</f>
        <v>1</v>
      </c>
      <c r="K171" s="88">
        <v>1</v>
      </c>
      <c r="L171" s="57"/>
      <c r="M171" s="58"/>
      <c r="N171" s="59">
        <f>SUM(K171+L171-M171)</f>
        <v>1</v>
      </c>
      <c r="O171" s="60"/>
      <c r="P171" s="58"/>
      <c r="Q171" s="59">
        <f>SUM(N171+O171-P171)</f>
        <v>1</v>
      </c>
      <c r="R171" s="60"/>
      <c r="S171" s="58"/>
      <c r="T171" s="61">
        <f>SUM(Q171+R171-S171)</f>
        <v>1</v>
      </c>
      <c r="U171" s="60"/>
      <c r="V171" s="58"/>
      <c r="W171" s="59">
        <f>SUM(T171+U171-V171)</f>
        <v>1</v>
      </c>
      <c r="X171" s="60"/>
      <c r="Y171" s="58"/>
      <c r="Z171" s="61">
        <f>SUM(W171+X171-Y171)</f>
        <v>1</v>
      </c>
      <c r="AA171" s="60"/>
      <c r="AB171" s="58"/>
      <c r="AC171" s="59">
        <f>SUM(Z171+AA171-AB171)</f>
        <v>1</v>
      </c>
      <c r="AD171" s="57"/>
      <c r="AE171" s="58"/>
      <c r="AF171" s="243">
        <f>SUM(AC171+AD171-AE171)</f>
        <v>1</v>
      </c>
      <c r="AG171" s="60"/>
      <c r="AH171" s="58"/>
      <c r="AI171" s="62">
        <f>SUM(AF171+AG171-AH171)</f>
        <v>1</v>
      </c>
      <c r="AJ171" s="60"/>
      <c r="AK171" s="58"/>
      <c r="AL171" s="62">
        <f>SUM(AI171+AJ171-AK171)</f>
        <v>1</v>
      </c>
      <c r="AM171" s="60"/>
      <c r="AN171" s="58"/>
      <c r="AO171" s="62">
        <f>SUM(AL171+AM171-AN171)</f>
        <v>1</v>
      </c>
      <c r="AP171" s="60"/>
      <c r="AQ171" s="58"/>
      <c r="AR171" s="62">
        <f>SUM(AO171+AP171-AQ171)</f>
        <v>1</v>
      </c>
      <c r="AS171" s="60"/>
      <c r="AT171" s="58"/>
      <c r="AU171" s="62">
        <f>SUM(AR171+AS171-AT171)</f>
        <v>1</v>
      </c>
      <c r="AV171" s="83">
        <f>SUM(L171+O171+R171+U171+X171+AA171+AD171+AG171+AJ171+AM171+AP171+AS171)</f>
        <v>0</v>
      </c>
      <c r="AW171" s="84">
        <f>SUM(M171+P171+S171+V171+Y171+AB171+AE171+AH171+AK171+AN171+AQ171+AT171)</f>
        <v>0</v>
      </c>
      <c r="AX171" s="64">
        <f>SUM(M171,P171,S171,V171,Y171,AB171,AE171,AH171,AK171,AN171,AQ171,AT171)</f>
        <v>0</v>
      </c>
      <c r="AY171" s="65" t="e">
        <f>AVERAGE(M171,P171,S171,V171,Y171,AB171,AE171,AH171,AK171,AN171,AQ171,AT171)</f>
        <v>#DIV/0!</v>
      </c>
      <c r="AZ171" s="66">
        <f>COUNT(M171,P171,S171,V171,Y171,AB171,AE171,AH171,AK171,AN171,AQ171,AT171)</f>
        <v>0</v>
      </c>
      <c r="BA171" s="67">
        <f>MAX(0, Table176252626[[#This Row],[Column6]])</f>
        <v>1</v>
      </c>
      <c r="BB171" s="68">
        <v>0</v>
      </c>
      <c r="BC171" s="84">
        <f t="shared" si="377"/>
        <v>1</v>
      </c>
      <c r="BD171" s="83">
        <f t="shared" si="358"/>
        <v>1</v>
      </c>
      <c r="BE171" s="85">
        <v>2</v>
      </c>
      <c r="BF171" s="86">
        <v>45730</v>
      </c>
      <c r="BG171" s="72">
        <f t="shared" si="379"/>
        <v>46265</v>
      </c>
      <c r="BH171" s="87">
        <f>BG171-BF171</f>
        <v>535</v>
      </c>
      <c r="BI171" s="80" t="str">
        <f t="shared" si="359"/>
        <v>Dead Stock</v>
      </c>
      <c r="BJ171" s="238">
        <v>25000</v>
      </c>
    </row>
    <row r="172" spans="1:293" ht="13.5" customHeight="1">
      <c r="A172" s="49"/>
      <c r="B172" s="50"/>
      <c r="C172" s="51">
        <v>169</v>
      </c>
      <c r="D172" s="117" t="s">
        <v>1515</v>
      </c>
      <c r="E172" s="117">
        <v>36</v>
      </c>
      <c r="F172" s="105" t="s">
        <v>310</v>
      </c>
      <c r="G172" s="81" t="s">
        <v>311</v>
      </c>
      <c r="H172" s="81" t="s">
        <v>294</v>
      </c>
      <c r="I172" s="80" t="s">
        <v>458</v>
      </c>
      <c r="J172" s="82">
        <f>AU172</f>
        <v>2</v>
      </c>
      <c r="K172" s="80">
        <v>1</v>
      </c>
      <c r="L172" s="57"/>
      <c r="M172" s="58"/>
      <c r="N172" s="59">
        <f>SUM(K172+L172-M172)</f>
        <v>1</v>
      </c>
      <c r="O172" s="60"/>
      <c r="P172" s="58"/>
      <c r="Q172" s="59">
        <f>SUM(N172+O172-P172)</f>
        <v>1</v>
      </c>
      <c r="R172" s="60"/>
      <c r="S172" s="58"/>
      <c r="T172" s="61">
        <f>SUM(Q172+R172-S172)</f>
        <v>1</v>
      </c>
      <c r="U172" s="60"/>
      <c r="V172" s="58"/>
      <c r="W172" s="59">
        <f>SUM(T172+U172-V172)</f>
        <v>1</v>
      </c>
      <c r="X172" s="60"/>
      <c r="Y172" s="58"/>
      <c r="Z172" s="61">
        <f>SUM(W172+X172-Y172)</f>
        <v>1</v>
      </c>
      <c r="AA172" s="60"/>
      <c r="AB172" s="58"/>
      <c r="AC172" s="59">
        <f>SUM(Z172+AA172-AB172)</f>
        <v>1</v>
      </c>
      <c r="AD172" s="57">
        <v>1</v>
      </c>
      <c r="AE172" s="58"/>
      <c r="AF172" s="243">
        <f>SUM(AC172+AD172-AE172)</f>
        <v>2</v>
      </c>
      <c r="AG172" s="60"/>
      <c r="AH172" s="58"/>
      <c r="AI172" s="62">
        <f>SUM(AF172+AG172-AH172)</f>
        <v>2</v>
      </c>
      <c r="AJ172" s="60"/>
      <c r="AK172" s="58"/>
      <c r="AL172" s="62">
        <f>SUM(AI172+AJ172-AK172)</f>
        <v>2</v>
      </c>
      <c r="AM172" s="60"/>
      <c r="AN172" s="58"/>
      <c r="AO172" s="62">
        <f>SUM(AL172+AM172-AN172)</f>
        <v>2</v>
      </c>
      <c r="AP172" s="60"/>
      <c r="AQ172" s="58"/>
      <c r="AR172" s="62">
        <f>SUM(AO172+AP172-AQ172)</f>
        <v>2</v>
      </c>
      <c r="AS172" s="60"/>
      <c r="AT172" s="58"/>
      <c r="AU172" s="62">
        <f>SUM(AR172+AS172-AT172)</f>
        <v>2</v>
      </c>
      <c r="AV172" s="83">
        <f>SUM(L172+O172+R172+U172+X172+AA172+AD172+AG172+AJ172+AM172+AP172+AS172)</f>
        <v>1</v>
      </c>
      <c r="AW172" s="83">
        <f>SUM(M172+P172+S172+V172+Y172+AB172+AE172+AH172+AK172+AN172+AQ172+AT172)</f>
        <v>0</v>
      </c>
      <c r="AX172" s="64">
        <f>SUM(M172,P172,S172,V172,Y172,AB172,AE172,AH172,AK172,AN172,AQ172,AT172)</f>
        <v>0</v>
      </c>
      <c r="AY172" s="65" t="e">
        <f>AVERAGE(M172,P172,S172,V172,Y172,AB172,AE172,AH172,AK172,AN172,AQ172,AT172)</f>
        <v>#DIV/0!</v>
      </c>
      <c r="AZ172" s="66">
        <f>COUNT(M172,P172,S172,V172,Y172,AB172,AE172,AH172,AK172,AN172,AQ172,AT172)</f>
        <v>0</v>
      </c>
      <c r="BA172" s="67">
        <v>2</v>
      </c>
      <c r="BB172" s="68">
        <v>1</v>
      </c>
      <c r="BC172" s="84">
        <f t="shared" si="377"/>
        <v>2</v>
      </c>
      <c r="BD172" s="83">
        <f t="shared" si="358"/>
        <v>1</v>
      </c>
      <c r="BE172" s="85">
        <v>2</v>
      </c>
      <c r="BF172" s="86">
        <v>46223.656099537038</v>
      </c>
      <c r="BG172" s="72">
        <f t="shared" si="379"/>
        <v>46265</v>
      </c>
      <c r="BH172" s="87">
        <f>BG172-BF172</f>
        <v>41.343900462961756</v>
      </c>
      <c r="BI172" s="80" t="str">
        <f t="shared" si="359"/>
        <v/>
      </c>
      <c r="BJ172" s="238">
        <v>69000</v>
      </c>
    </row>
    <row r="173" spans="1:293" ht="13">
      <c r="A173" s="75"/>
      <c r="B173" s="76"/>
      <c r="C173" s="77">
        <v>170</v>
      </c>
      <c r="D173" s="117" t="s">
        <v>1515</v>
      </c>
      <c r="E173" s="117">
        <v>37</v>
      </c>
      <c r="F173" s="54" t="s">
        <v>849</v>
      </c>
      <c r="G173" s="55" t="s">
        <v>850</v>
      </c>
      <c r="H173" s="81" t="s">
        <v>294</v>
      </c>
      <c r="I173" s="80" t="s">
        <v>458</v>
      </c>
      <c r="J173" s="82">
        <f t="shared" si="398"/>
        <v>1</v>
      </c>
      <c r="K173" s="80">
        <v>1</v>
      </c>
      <c r="L173" s="57"/>
      <c r="M173" s="58"/>
      <c r="N173" s="59">
        <f t="shared" si="399"/>
        <v>1</v>
      </c>
      <c r="O173" s="60"/>
      <c r="P173" s="58"/>
      <c r="Q173" s="59">
        <f t="shared" si="400"/>
        <v>1</v>
      </c>
      <c r="R173" s="60"/>
      <c r="S173" s="58"/>
      <c r="T173" s="61">
        <f t="shared" si="401"/>
        <v>1</v>
      </c>
      <c r="U173" s="60"/>
      <c r="V173" s="58"/>
      <c r="W173" s="59">
        <f t="shared" si="402"/>
        <v>1</v>
      </c>
      <c r="X173" s="60"/>
      <c r="Y173" s="58"/>
      <c r="Z173" s="61">
        <f t="shared" si="403"/>
        <v>1</v>
      </c>
      <c r="AA173" s="60"/>
      <c r="AB173" s="58"/>
      <c r="AC173" s="59">
        <f t="shared" si="404"/>
        <v>1</v>
      </c>
      <c r="AD173" s="57"/>
      <c r="AE173" s="58"/>
      <c r="AF173" s="243">
        <f t="shared" si="405"/>
        <v>1</v>
      </c>
      <c r="AG173" s="60"/>
      <c r="AH173" s="58"/>
      <c r="AI173" s="62">
        <f t="shared" si="406"/>
        <v>1</v>
      </c>
      <c r="AJ173" s="60"/>
      <c r="AK173" s="58"/>
      <c r="AL173" s="62">
        <f t="shared" si="407"/>
        <v>1</v>
      </c>
      <c r="AM173" s="60"/>
      <c r="AN173" s="58"/>
      <c r="AO173" s="62">
        <f t="shared" si="408"/>
        <v>1</v>
      </c>
      <c r="AP173" s="60"/>
      <c r="AQ173" s="58"/>
      <c r="AR173" s="62">
        <f t="shared" si="409"/>
        <v>1</v>
      </c>
      <c r="AS173" s="60"/>
      <c r="AT173" s="58"/>
      <c r="AU173" s="62">
        <f t="shared" si="410"/>
        <v>1</v>
      </c>
      <c r="AV173" s="83">
        <f t="shared" ref="AV173:AW173" si="418">SUM(L173+O173+R173+U173+X173+AA173+AD173+AG173+AJ173+AM173+AP173+AS173)</f>
        <v>0</v>
      </c>
      <c r="AW173" s="83">
        <f t="shared" si="418"/>
        <v>0</v>
      </c>
      <c r="AX173" s="64">
        <f t="shared" si="413"/>
        <v>0</v>
      </c>
      <c r="AY173" s="65" t="e">
        <f t="shared" si="414"/>
        <v>#DIV/0!</v>
      </c>
      <c r="AZ173" s="66">
        <f t="shared" si="415"/>
        <v>0</v>
      </c>
      <c r="BA173" s="67">
        <f>MAX(0, Table176252626[[#This Row],[Column6]])</f>
        <v>1</v>
      </c>
      <c r="BB173" s="68">
        <v>0</v>
      </c>
      <c r="BC173" s="84">
        <f t="shared" si="377"/>
        <v>1</v>
      </c>
      <c r="BD173" s="83">
        <f t="shared" si="358"/>
        <v>1</v>
      </c>
      <c r="BE173" s="85">
        <v>2</v>
      </c>
      <c r="BF173" s="86">
        <v>44168.36341435185</v>
      </c>
      <c r="BG173" s="72">
        <f t="shared" si="379"/>
        <v>46265</v>
      </c>
      <c r="BH173" s="87">
        <f t="shared" si="416"/>
        <v>2096.6365856481498</v>
      </c>
      <c r="BI173" s="80" t="str">
        <f t="shared" si="359"/>
        <v>Dead Stock</v>
      </c>
      <c r="BJ173" s="238">
        <v>5220</v>
      </c>
    </row>
    <row r="174" spans="1:293" ht="13">
      <c r="A174" s="49"/>
      <c r="B174" s="76"/>
      <c r="C174" s="77">
        <v>171</v>
      </c>
      <c r="D174" s="117" t="s">
        <v>1515</v>
      </c>
      <c r="E174" s="117">
        <v>38</v>
      </c>
      <c r="F174" s="80" t="s">
        <v>813</v>
      </c>
      <c r="G174" s="81" t="s">
        <v>902</v>
      </c>
      <c r="H174" s="89" t="s">
        <v>1483</v>
      </c>
      <c r="I174" s="80" t="s">
        <v>458</v>
      </c>
      <c r="J174" s="82">
        <f t="shared" si="398"/>
        <v>2</v>
      </c>
      <c r="K174" s="80">
        <v>2</v>
      </c>
      <c r="L174" s="57"/>
      <c r="M174" s="58"/>
      <c r="N174" s="59">
        <f t="shared" si="399"/>
        <v>2</v>
      </c>
      <c r="O174" s="60"/>
      <c r="P174" s="58"/>
      <c r="Q174" s="59">
        <f t="shared" si="400"/>
        <v>2</v>
      </c>
      <c r="R174" s="60"/>
      <c r="S174" s="58"/>
      <c r="T174" s="61">
        <f t="shared" si="401"/>
        <v>2</v>
      </c>
      <c r="U174" s="60"/>
      <c r="V174" s="58"/>
      <c r="W174" s="59">
        <f t="shared" si="402"/>
        <v>2</v>
      </c>
      <c r="X174" s="60"/>
      <c r="Y174" s="58"/>
      <c r="Z174" s="61">
        <f t="shared" si="403"/>
        <v>2</v>
      </c>
      <c r="AA174" s="60"/>
      <c r="AB174" s="58"/>
      <c r="AC174" s="59">
        <f t="shared" si="404"/>
        <v>2</v>
      </c>
      <c r="AD174" s="57"/>
      <c r="AE174" s="58"/>
      <c r="AF174" s="243">
        <f t="shared" si="405"/>
        <v>2</v>
      </c>
      <c r="AG174" s="60"/>
      <c r="AH174" s="58"/>
      <c r="AI174" s="62">
        <f t="shared" si="406"/>
        <v>2</v>
      </c>
      <c r="AJ174" s="60"/>
      <c r="AK174" s="58"/>
      <c r="AL174" s="62">
        <f t="shared" si="407"/>
        <v>2</v>
      </c>
      <c r="AM174" s="60"/>
      <c r="AN174" s="58"/>
      <c r="AO174" s="62">
        <f t="shared" si="408"/>
        <v>2</v>
      </c>
      <c r="AP174" s="60"/>
      <c r="AQ174" s="58"/>
      <c r="AR174" s="62">
        <f t="shared" si="409"/>
        <v>2</v>
      </c>
      <c r="AS174" s="60"/>
      <c r="AT174" s="58"/>
      <c r="AU174" s="62">
        <f t="shared" si="410"/>
        <v>2</v>
      </c>
      <c r="AV174" s="83">
        <f t="shared" ref="AV174:AW175" si="419">SUM(L174+O174+R174+U174+X174+AA174+AD174+AG174+AJ174+AM174+AP174+AS174)</f>
        <v>0</v>
      </c>
      <c r="AW174" s="83">
        <f t="shared" si="419"/>
        <v>0</v>
      </c>
      <c r="AX174" s="64">
        <f t="shared" si="413"/>
        <v>0</v>
      </c>
      <c r="AY174" s="65" t="e">
        <f t="shared" si="414"/>
        <v>#DIV/0!</v>
      </c>
      <c r="AZ174" s="66">
        <f t="shared" si="415"/>
        <v>0</v>
      </c>
      <c r="BA174" s="67">
        <f>MAX(0, Table176252626[[#This Row],[Column6]])</f>
        <v>2</v>
      </c>
      <c r="BB174" s="68">
        <v>1</v>
      </c>
      <c r="BC174" s="84">
        <f t="shared" si="377"/>
        <v>2</v>
      </c>
      <c r="BD174" s="83">
        <f t="shared" si="358"/>
        <v>1</v>
      </c>
      <c r="BE174" s="85">
        <v>2</v>
      </c>
      <c r="BF174" s="86">
        <v>44293.556851851848</v>
      </c>
      <c r="BG174" s="72">
        <f t="shared" si="379"/>
        <v>46265</v>
      </c>
      <c r="BH174" s="87">
        <f t="shared" si="416"/>
        <v>1971.4431481481515</v>
      </c>
      <c r="BI174" s="80" t="str">
        <f t="shared" si="359"/>
        <v>Dead Stock</v>
      </c>
      <c r="BJ174" s="238">
        <v>3834</v>
      </c>
    </row>
    <row r="175" spans="1:293" ht="13">
      <c r="A175" s="49"/>
      <c r="B175" s="76"/>
      <c r="C175" s="51">
        <v>172</v>
      </c>
      <c r="D175" s="117" t="s">
        <v>1515</v>
      </c>
      <c r="E175" s="117">
        <v>39</v>
      </c>
      <c r="F175" s="80" t="s">
        <v>1035</v>
      </c>
      <c r="G175" s="106" t="s">
        <v>1034</v>
      </c>
      <c r="H175" s="81" t="s">
        <v>294</v>
      </c>
      <c r="I175" s="80" t="s">
        <v>458</v>
      </c>
      <c r="J175" s="82">
        <f t="shared" si="398"/>
        <v>1</v>
      </c>
      <c r="K175" s="80">
        <v>1</v>
      </c>
      <c r="L175" s="57"/>
      <c r="M175" s="58"/>
      <c r="N175" s="59">
        <f t="shared" si="399"/>
        <v>1</v>
      </c>
      <c r="O175" s="60"/>
      <c r="P175" s="58"/>
      <c r="Q175" s="59">
        <f t="shared" si="400"/>
        <v>1</v>
      </c>
      <c r="R175" s="60"/>
      <c r="S175" s="58"/>
      <c r="T175" s="61">
        <f t="shared" si="401"/>
        <v>1</v>
      </c>
      <c r="U175" s="60"/>
      <c r="V175" s="58"/>
      <c r="W175" s="59">
        <f t="shared" si="402"/>
        <v>1</v>
      </c>
      <c r="X175" s="60"/>
      <c r="Y175" s="58"/>
      <c r="Z175" s="61">
        <f t="shared" si="403"/>
        <v>1</v>
      </c>
      <c r="AA175" s="60"/>
      <c r="AB175" s="58"/>
      <c r="AC175" s="59">
        <f t="shared" si="404"/>
        <v>1</v>
      </c>
      <c r="AD175" s="57"/>
      <c r="AE175" s="58"/>
      <c r="AF175" s="243">
        <f t="shared" si="405"/>
        <v>1</v>
      </c>
      <c r="AG175" s="60"/>
      <c r="AH175" s="58"/>
      <c r="AI175" s="62">
        <f t="shared" si="406"/>
        <v>1</v>
      </c>
      <c r="AJ175" s="60"/>
      <c r="AK175" s="58"/>
      <c r="AL175" s="62">
        <f t="shared" si="407"/>
        <v>1</v>
      </c>
      <c r="AM175" s="60"/>
      <c r="AN175" s="58"/>
      <c r="AO175" s="62">
        <f t="shared" si="408"/>
        <v>1</v>
      </c>
      <c r="AP175" s="60"/>
      <c r="AQ175" s="58"/>
      <c r="AR175" s="62">
        <f t="shared" si="409"/>
        <v>1</v>
      </c>
      <c r="AS175" s="60"/>
      <c r="AT175" s="58"/>
      <c r="AU175" s="62">
        <f t="shared" si="410"/>
        <v>1</v>
      </c>
      <c r="AV175" s="83">
        <f t="shared" si="419"/>
        <v>0</v>
      </c>
      <c r="AW175" s="83">
        <f t="shared" si="419"/>
        <v>0</v>
      </c>
      <c r="AX175" s="64">
        <f t="shared" si="413"/>
        <v>0</v>
      </c>
      <c r="AY175" s="65" t="e">
        <f t="shared" si="414"/>
        <v>#DIV/0!</v>
      </c>
      <c r="AZ175" s="66">
        <f t="shared" si="415"/>
        <v>0</v>
      </c>
      <c r="BA175" s="67">
        <f>MAX(0, Table176252626[[#This Row],[Column6]])</f>
        <v>1</v>
      </c>
      <c r="BB175" s="68">
        <v>0</v>
      </c>
      <c r="BC175" s="84">
        <f t="shared" si="377"/>
        <v>1</v>
      </c>
      <c r="BD175" s="83">
        <f t="shared" si="358"/>
        <v>1</v>
      </c>
      <c r="BE175" s="85">
        <v>2</v>
      </c>
      <c r="BF175" s="86">
        <v>44538.430810185186</v>
      </c>
      <c r="BG175" s="72">
        <f t="shared" si="379"/>
        <v>46265</v>
      </c>
      <c r="BH175" s="87">
        <f t="shared" si="416"/>
        <v>1726.5691898148143</v>
      </c>
      <c r="BI175" s="80" t="str">
        <f t="shared" si="359"/>
        <v>Dead Stock</v>
      </c>
      <c r="BJ175" s="238">
        <v>5790.75</v>
      </c>
    </row>
    <row r="176" spans="1:293" ht="13">
      <c r="A176" s="75"/>
      <c r="B176" s="76"/>
      <c r="C176" s="51">
        <v>173</v>
      </c>
      <c r="D176" s="119" t="s">
        <v>1516</v>
      </c>
      <c r="E176" s="119">
        <v>1</v>
      </c>
      <c r="F176" s="105" t="s">
        <v>444</v>
      </c>
      <c r="G176" s="81" t="s">
        <v>445</v>
      </c>
      <c r="H176" s="81" t="s">
        <v>290</v>
      </c>
      <c r="I176" s="80" t="s">
        <v>458</v>
      </c>
      <c r="J176" s="82">
        <f>AU176</f>
        <v>11</v>
      </c>
      <c r="K176" s="80">
        <v>12</v>
      </c>
      <c r="L176" s="57"/>
      <c r="M176" s="58"/>
      <c r="N176" s="59">
        <f>SUM(K176+L176-M176)</f>
        <v>12</v>
      </c>
      <c r="O176" s="60"/>
      <c r="P176" s="58">
        <v>1</v>
      </c>
      <c r="Q176" s="59">
        <f>SUM(N176+O176-P176)</f>
        <v>11</v>
      </c>
      <c r="R176" s="60"/>
      <c r="S176" s="58"/>
      <c r="T176" s="61">
        <f>SUM(Q176+R176-S176)</f>
        <v>11</v>
      </c>
      <c r="U176" s="60"/>
      <c r="V176" s="58"/>
      <c r="W176" s="59">
        <f>SUM(T176+U176-V176)</f>
        <v>11</v>
      </c>
      <c r="X176" s="60"/>
      <c r="Y176" s="58"/>
      <c r="Z176" s="61">
        <f>SUM(W176+X176-Y176)</f>
        <v>11</v>
      </c>
      <c r="AA176" s="60"/>
      <c r="AB176" s="58"/>
      <c r="AC176" s="59">
        <f>SUM(Z176+AA176-AB176)</f>
        <v>11</v>
      </c>
      <c r="AD176" s="57"/>
      <c r="AE176" s="58"/>
      <c r="AF176" s="243">
        <f>SUM(AC176+AD176-AE176)</f>
        <v>11</v>
      </c>
      <c r="AG176" s="60"/>
      <c r="AH176" s="58"/>
      <c r="AI176" s="62">
        <f>SUM(AF176+AG176-AH176)</f>
        <v>11</v>
      </c>
      <c r="AJ176" s="60"/>
      <c r="AK176" s="58"/>
      <c r="AL176" s="62">
        <f>SUM(AI176+AJ176-AK176)</f>
        <v>11</v>
      </c>
      <c r="AM176" s="60"/>
      <c r="AN176" s="58"/>
      <c r="AO176" s="62">
        <f>SUM(AL176+AM176-AN176)</f>
        <v>11</v>
      </c>
      <c r="AP176" s="60"/>
      <c r="AQ176" s="58"/>
      <c r="AR176" s="62">
        <f>SUM(AO176+AP176-AQ176)</f>
        <v>11</v>
      </c>
      <c r="AS176" s="60"/>
      <c r="AT176" s="58"/>
      <c r="AU176" s="62">
        <f>SUM(AR176+AS176-AT176)</f>
        <v>11</v>
      </c>
      <c r="AV176" s="83">
        <f>SUM(L176+O176+R176+U176+X176+AA176+AD176+AG176+AJ176+AM176+AP176+AS176)</f>
        <v>0</v>
      </c>
      <c r="AW176" s="83">
        <f>SUM(M176+P176+S176+V176+Y176+AB176+AE176+AH176+AK176+AN176+AQ176+AT176)</f>
        <v>1</v>
      </c>
      <c r="AX176" s="64">
        <f>SUM(M176,P176,S176,V176,Y176,AB176,AE176,AH176,AK176,AN176,AQ176,AT176)</f>
        <v>1</v>
      </c>
      <c r="AY176" s="65">
        <f>AVERAGE(M176,P176,S176,V176,Y176,AB176,AE176,AH176,AK176,AN176,AQ176,AT176)</f>
        <v>1</v>
      </c>
      <c r="AZ176" s="66">
        <f>COUNT(M176,P176,S176,V176,Y176,AB176,AE176,AH176,AK176,AN176,AQ176,AT176)</f>
        <v>1</v>
      </c>
      <c r="BA176" s="67">
        <f>MAX(0, Table176252626[[#This Row],[Column6]])</f>
        <v>11</v>
      </c>
      <c r="BB176" s="68">
        <v>1</v>
      </c>
      <c r="BC176" s="84">
        <f t="shared" si="377"/>
        <v>11</v>
      </c>
      <c r="BD176" s="83">
        <f t="shared" si="358"/>
        <v>10</v>
      </c>
      <c r="BE176" s="85">
        <v>2</v>
      </c>
      <c r="BF176" s="86">
        <v>45358.749849537038</v>
      </c>
      <c r="BG176" s="72">
        <f t="shared" si="379"/>
        <v>46265</v>
      </c>
      <c r="BH176" s="87">
        <f>BG176-BF176</f>
        <v>906.25015046296176</v>
      </c>
      <c r="BI176" s="80" t="str">
        <f t="shared" si="359"/>
        <v>Dead Stock</v>
      </c>
      <c r="BJ176" s="238">
        <v>50</v>
      </c>
    </row>
    <row r="177" spans="1:62" ht="13">
      <c r="A177" s="49"/>
      <c r="B177" s="50"/>
      <c r="C177" s="51">
        <v>174</v>
      </c>
      <c r="D177" s="119" t="s">
        <v>1516</v>
      </c>
      <c r="E177" s="119">
        <v>2</v>
      </c>
      <c r="F177" s="105" t="s">
        <v>442</v>
      </c>
      <c r="G177" s="81" t="s">
        <v>443</v>
      </c>
      <c r="H177" s="81" t="s">
        <v>290</v>
      </c>
      <c r="I177" s="80" t="s">
        <v>458</v>
      </c>
      <c r="J177" s="82">
        <f>AU177</f>
        <v>1</v>
      </c>
      <c r="K177" s="80">
        <v>3</v>
      </c>
      <c r="L177" s="57"/>
      <c r="M177" s="58"/>
      <c r="N177" s="59">
        <f>SUM(K177+L177-M177)</f>
        <v>3</v>
      </c>
      <c r="O177" s="60"/>
      <c r="P177" s="58"/>
      <c r="Q177" s="59">
        <f>SUM(N177+O177-P177)</f>
        <v>3</v>
      </c>
      <c r="R177" s="60"/>
      <c r="S177" s="58"/>
      <c r="T177" s="61">
        <f>SUM(Q177+R177-S177)</f>
        <v>3</v>
      </c>
      <c r="U177" s="60"/>
      <c r="V177" s="58"/>
      <c r="W177" s="59">
        <f>SUM(T177+U177-V177)</f>
        <v>3</v>
      </c>
      <c r="X177" s="60"/>
      <c r="Y177" s="58"/>
      <c r="Z177" s="61">
        <f>SUM(W177+X177-Y177)</f>
        <v>3</v>
      </c>
      <c r="AA177" s="60"/>
      <c r="AB177" s="58"/>
      <c r="AC177" s="59">
        <f>SUM(Z177+AA177-AB177)</f>
        <v>3</v>
      </c>
      <c r="AD177" s="57"/>
      <c r="AE177" s="58"/>
      <c r="AF177" s="243">
        <f>SUM(AC177+AD177-AE177)</f>
        <v>3</v>
      </c>
      <c r="AG177" s="60"/>
      <c r="AH177" s="58">
        <f>1+1</f>
        <v>2</v>
      </c>
      <c r="AI177" s="62">
        <f>SUM(AF177+AG177-AH177)</f>
        <v>1</v>
      </c>
      <c r="AJ177" s="60"/>
      <c r="AK177" s="58"/>
      <c r="AL177" s="62">
        <f>SUM(AI177+AJ177-AK177)</f>
        <v>1</v>
      </c>
      <c r="AM177" s="60"/>
      <c r="AN177" s="58"/>
      <c r="AO177" s="62">
        <f>SUM(AL177+AM177-AN177)</f>
        <v>1</v>
      </c>
      <c r="AP177" s="60"/>
      <c r="AQ177" s="58"/>
      <c r="AR177" s="62">
        <f>SUM(AO177+AP177-AQ177)</f>
        <v>1</v>
      </c>
      <c r="AS177" s="60"/>
      <c r="AT177" s="58"/>
      <c r="AU177" s="62">
        <f>SUM(AR177+AS177-AT177)</f>
        <v>1</v>
      </c>
      <c r="AV177" s="83">
        <f>SUM(L177+O177+R177+U177+X177+AA177+AD177+AG177+AJ177+AM177+AP177+AS177)</f>
        <v>0</v>
      </c>
      <c r="AW177" s="83">
        <f>SUM(M177+P177+S177+V177+Y177+AB177+AE177+AH177+AK177+AN177+AQ177+AT177)</f>
        <v>2</v>
      </c>
      <c r="AX177" s="64">
        <f>SUM(M177,P177,S177,V177,Y177,AB177,AE177,AH177,AK177,AN177,AQ177,AT177)</f>
        <v>2</v>
      </c>
      <c r="AY177" s="65">
        <f>AVERAGE(M177,P177,S177,V177,Y177,AB177,AE177,AH177,AK177,AN177,AQ177,AT177)</f>
        <v>2</v>
      </c>
      <c r="AZ177" s="66">
        <f>COUNT(M177,P177,S177,V177,Y177,AB177,AE177,AH177,AK177,AN177,AQ177,AT177)</f>
        <v>1</v>
      </c>
      <c r="BA177" s="67">
        <v>3</v>
      </c>
      <c r="BB177" s="68">
        <v>1</v>
      </c>
      <c r="BC177" s="84">
        <f t="shared" si="377"/>
        <v>1</v>
      </c>
      <c r="BD177" s="83">
        <f t="shared" si="358"/>
        <v>0</v>
      </c>
      <c r="BE177" s="85">
        <v>2</v>
      </c>
      <c r="BF177" s="86">
        <v>44999.591122685182</v>
      </c>
      <c r="BG177" s="72">
        <f t="shared" si="379"/>
        <v>46265</v>
      </c>
      <c r="BH177" s="87">
        <f>BG177-BF177</f>
        <v>1265.4088773148178</v>
      </c>
      <c r="BI177" s="80" t="str">
        <f t="shared" si="359"/>
        <v>Dead Stock</v>
      </c>
      <c r="BJ177" s="238">
        <v>50</v>
      </c>
    </row>
    <row r="178" spans="1:62" ht="13">
      <c r="A178" s="49"/>
      <c r="B178" s="50"/>
      <c r="C178" s="51">
        <v>175</v>
      </c>
      <c r="D178" s="119" t="s">
        <v>1516</v>
      </c>
      <c r="E178" s="119">
        <v>3</v>
      </c>
      <c r="F178" s="80" t="s">
        <v>139</v>
      </c>
      <c r="G178" s="81" t="s">
        <v>140</v>
      </c>
      <c r="H178" s="81" t="s">
        <v>300</v>
      </c>
      <c r="I178" s="80" t="s">
        <v>458</v>
      </c>
      <c r="J178" s="82">
        <f t="shared" ref="J178" si="420">AU178</f>
        <v>1</v>
      </c>
      <c r="K178" s="80">
        <v>1</v>
      </c>
      <c r="L178" s="57"/>
      <c r="M178" s="58"/>
      <c r="N178" s="59">
        <f t="shared" ref="N178" si="421">SUM(K178+L178-M178)</f>
        <v>1</v>
      </c>
      <c r="O178" s="60"/>
      <c r="P178" s="58"/>
      <c r="Q178" s="59">
        <f t="shared" ref="Q178" si="422">SUM(N178+O178-P178)</f>
        <v>1</v>
      </c>
      <c r="R178" s="60"/>
      <c r="S178" s="58"/>
      <c r="T178" s="61">
        <f t="shared" ref="T178" si="423">SUM(Q178+R178-S178)</f>
        <v>1</v>
      </c>
      <c r="U178" s="60"/>
      <c r="V178" s="58"/>
      <c r="W178" s="59">
        <f t="shared" ref="W178" si="424">SUM(T178+U178-V178)</f>
        <v>1</v>
      </c>
      <c r="X178" s="60"/>
      <c r="Y178" s="58"/>
      <c r="Z178" s="61">
        <f t="shared" ref="Z178" si="425">SUM(W178+X178-Y178)</f>
        <v>1</v>
      </c>
      <c r="AA178" s="60"/>
      <c r="AB178" s="58"/>
      <c r="AC178" s="59">
        <f t="shared" ref="AC178" si="426">SUM(Z178+AA178-AB178)</f>
        <v>1</v>
      </c>
      <c r="AD178" s="57"/>
      <c r="AE178" s="58"/>
      <c r="AF178" s="243">
        <f t="shared" ref="AF178" si="427">SUM(AC178+AD178-AE178)</f>
        <v>1</v>
      </c>
      <c r="AG178" s="60"/>
      <c r="AH178" s="58"/>
      <c r="AI178" s="62">
        <f t="shared" ref="AI178" si="428">SUM(AF178+AG178-AH178)</f>
        <v>1</v>
      </c>
      <c r="AJ178" s="60"/>
      <c r="AK178" s="58"/>
      <c r="AL178" s="62">
        <f t="shared" ref="AL178" si="429">SUM(AI178+AJ178-AK178)</f>
        <v>1</v>
      </c>
      <c r="AM178" s="60"/>
      <c r="AN178" s="58"/>
      <c r="AO178" s="62">
        <f t="shared" ref="AO178" si="430">SUM(AL178+AM178-AN178)</f>
        <v>1</v>
      </c>
      <c r="AP178" s="60"/>
      <c r="AQ178" s="58"/>
      <c r="AR178" s="62">
        <f t="shared" ref="AR178" si="431">SUM(AO178+AP178-AQ178)</f>
        <v>1</v>
      </c>
      <c r="AS178" s="60"/>
      <c r="AT178" s="58"/>
      <c r="AU178" s="62">
        <f t="shared" ref="AU178" si="432">SUM(AR178+AS178-AT178)</f>
        <v>1</v>
      </c>
      <c r="AV178" s="83">
        <f t="shared" ref="AV178" si="433">SUM(L178+O178+R178+U178+X178+AA178+AD178+AG178+AJ178+AM178+AP178+AS178)</f>
        <v>0</v>
      </c>
      <c r="AW178" s="83">
        <f t="shared" ref="AW178" si="434">SUM(M178+P178+S178+V178+Y178+AB178+AE178+AH178+AK178+AN178+AQ178+AT178)</f>
        <v>0</v>
      </c>
      <c r="AX178" s="64">
        <f t="shared" ref="AX178" si="435">SUM(M178,P178,S178,V178,Y178,AB178,AE178,AH178,AK178,AN178,AQ178,AT178)</f>
        <v>0</v>
      </c>
      <c r="AY178" s="65" t="e">
        <f t="shared" ref="AY178" si="436">AVERAGE(M178,P178,S178,V178,Y178,AB178,AE178,AH178,AK178,AN178,AQ178,AT178)</f>
        <v>#DIV/0!</v>
      </c>
      <c r="AZ178" s="66">
        <f t="shared" ref="AZ178" si="437">COUNT(M178,P178,S178,V178,Y178,AB178,AE178,AH178,AK178,AN178,AQ178,AT178)</f>
        <v>0</v>
      </c>
      <c r="BA178" s="67">
        <f>MAX(0, Table176252626[[#This Row],[Column6]])</f>
        <v>1</v>
      </c>
      <c r="BB178" s="68">
        <v>0</v>
      </c>
      <c r="BC178" s="84">
        <f t="shared" si="377"/>
        <v>1</v>
      </c>
      <c r="BD178" s="83">
        <f t="shared" si="358"/>
        <v>1</v>
      </c>
      <c r="BE178" s="85">
        <v>2</v>
      </c>
      <c r="BF178" s="86">
        <v>41290.689814814818</v>
      </c>
      <c r="BG178" s="72">
        <f t="shared" si="379"/>
        <v>46265</v>
      </c>
      <c r="BH178" s="87">
        <f t="shared" si="378"/>
        <v>4974.3101851851825</v>
      </c>
      <c r="BI178" s="80" t="str">
        <f t="shared" si="359"/>
        <v>Dead Stock</v>
      </c>
      <c r="BJ178" s="238">
        <v>1350</v>
      </c>
    </row>
    <row r="179" spans="1:62" ht="13">
      <c r="A179" s="49"/>
      <c r="B179" s="76"/>
      <c r="C179" s="77">
        <v>176</v>
      </c>
      <c r="D179" s="119" t="s">
        <v>1516</v>
      </c>
      <c r="E179" s="119">
        <v>4</v>
      </c>
      <c r="F179" s="88" t="s">
        <v>654</v>
      </c>
      <c r="G179" s="30" t="s">
        <v>655</v>
      </c>
      <c r="H179" s="81" t="s">
        <v>300</v>
      </c>
      <c r="I179" s="80" t="s">
        <v>458</v>
      </c>
      <c r="J179" s="82">
        <f t="shared" ref="J179:J212" si="438">AU179</f>
        <v>6</v>
      </c>
      <c r="K179" s="80">
        <v>5</v>
      </c>
      <c r="L179" s="57"/>
      <c r="M179" s="58"/>
      <c r="N179" s="59">
        <f t="shared" ref="N179:N212" si="439">SUM(K179+L179-M179)</f>
        <v>5</v>
      </c>
      <c r="O179" s="60"/>
      <c r="P179" s="58">
        <f>1+2</f>
        <v>3</v>
      </c>
      <c r="Q179" s="59">
        <f t="shared" ref="Q179:Q212" si="440">SUM(N179+O179-P179)</f>
        <v>2</v>
      </c>
      <c r="R179" s="60"/>
      <c r="S179" s="58">
        <v>1</v>
      </c>
      <c r="T179" s="61">
        <f t="shared" ref="T179:T212" si="441">SUM(Q179+R179-S179)</f>
        <v>1</v>
      </c>
      <c r="U179" s="60">
        <v>5</v>
      </c>
      <c r="V179" s="58"/>
      <c r="W179" s="59">
        <f t="shared" ref="W179:W212" si="442">SUM(T179+U179-V179)</f>
        <v>6</v>
      </c>
      <c r="X179" s="60"/>
      <c r="Y179" s="58"/>
      <c r="Z179" s="61">
        <f t="shared" ref="Z179:Z212" si="443">SUM(W179+X179-Y179)</f>
        <v>6</v>
      </c>
      <c r="AA179" s="60"/>
      <c r="AB179" s="58"/>
      <c r="AC179" s="59">
        <f t="shared" ref="AC179:AC212" si="444">SUM(Z179+AA179-AB179)</f>
        <v>6</v>
      </c>
      <c r="AD179" s="57"/>
      <c r="AE179" s="58"/>
      <c r="AF179" s="243">
        <f t="shared" ref="AF179:AF212" si="445">SUM(AC179+AD179-AE179)</f>
        <v>6</v>
      </c>
      <c r="AG179" s="60"/>
      <c r="AH179" s="58"/>
      <c r="AI179" s="62">
        <f t="shared" ref="AI179:AI212" si="446">SUM(AF179+AG179-AH179)</f>
        <v>6</v>
      </c>
      <c r="AJ179" s="60"/>
      <c r="AK179" s="58"/>
      <c r="AL179" s="62">
        <f t="shared" ref="AL179:AL212" si="447">SUM(AI179+AJ179-AK179)</f>
        <v>6</v>
      </c>
      <c r="AM179" s="60"/>
      <c r="AN179" s="58"/>
      <c r="AO179" s="62">
        <f t="shared" ref="AO179:AO212" si="448">SUM(AL179+AM179-AN179)</f>
        <v>6</v>
      </c>
      <c r="AP179" s="60"/>
      <c r="AQ179" s="58"/>
      <c r="AR179" s="62">
        <f t="shared" ref="AR179:AR191" si="449">SUM(AO179+AP179-AQ179)</f>
        <v>6</v>
      </c>
      <c r="AS179" s="60"/>
      <c r="AT179" s="58"/>
      <c r="AU179" s="62">
        <f t="shared" ref="AU179:AU212" si="450">SUM(AR179+AS179-AT179)</f>
        <v>6</v>
      </c>
      <c r="AV179" s="83">
        <f t="shared" ref="AV179:AV201" si="451">SUM(L179+O179+R179+U179+X179+AA179+AD179+AG179+AJ179+AM179+AP179+AS179)</f>
        <v>5</v>
      </c>
      <c r="AW179" s="83">
        <f t="shared" ref="AW179:AW201" si="452">SUM(M179+P179+S179+V179+Y179+AB179+AE179+AH179+AK179+AN179+AQ179+AT179)</f>
        <v>4</v>
      </c>
      <c r="AX179" s="64">
        <f t="shared" ref="AX179:AX212" si="453">SUM(M179,P179,S179,V179,Y179,AB179,AE179,AH179,AK179,AN179,AQ179,AT179)</f>
        <v>4</v>
      </c>
      <c r="AY179" s="65">
        <f t="shared" ref="AY179:AY212" si="454">AVERAGE(M179,P179,S179,V179,Y179,AB179,AE179,AH179,AK179,AN179,AQ179,AT179)</f>
        <v>2</v>
      </c>
      <c r="AZ179" s="66">
        <f t="shared" ref="AZ179:AZ212" si="455">COUNT(M179,P179,S179,V179,Y179,AB179,AE179,AH179,AK179,AN179,AQ179,AT179)</f>
        <v>2</v>
      </c>
      <c r="BA179" s="67">
        <f>MAX(0, Table176252626[[#This Row],[Column6]])</f>
        <v>6</v>
      </c>
      <c r="BB179" s="68">
        <v>1</v>
      </c>
      <c r="BC179" s="84">
        <f t="shared" si="377"/>
        <v>6</v>
      </c>
      <c r="BD179" s="83">
        <f t="shared" si="358"/>
        <v>5</v>
      </c>
      <c r="BE179" s="85">
        <v>2</v>
      </c>
      <c r="BF179" s="86">
        <v>46113.465648148151</v>
      </c>
      <c r="BG179" s="72">
        <f t="shared" si="379"/>
        <v>46265</v>
      </c>
      <c r="BH179" s="87">
        <f t="shared" ref="BH179:BH211" si="456">BG179-BF179</f>
        <v>151.53435185184935</v>
      </c>
      <c r="BI179" s="80" t="str">
        <f t="shared" si="359"/>
        <v/>
      </c>
      <c r="BJ179" s="238">
        <v>520</v>
      </c>
    </row>
    <row r="180" spans="1:62" ht="13">
      <c r="A180" s="75"/>
      <c r="B180" s="76"/>
      <c r="C180" s="77">
        <v>177</v>
      </c>
      <c r="D180" s="119" t="s">
        <v>1516</v>
      </c>
      <c r="E180" s="119">
        <v>5</v>
      </c>
      <c r="F180" s="105" t="s">
        <v>564</v>
      </c>
      <c r="G180" s="81" t="s">
        <v>2030</v>
      </c>
      <c r="H180" s="89" t="s">
        <v>290</v>
      </c>
      <c r="I180" s="80" t="s">
        <v>458</v>
      </c>
      <c r="J180" s="93">
        <f t="shared" si="438"/>
        <v>11</v>
      </c>
      <c r="K180" s="80">
        <v>5</v>
      </c>
      <c r="L180" s="57"/>
      <c r="M180" s="58"/>
      <c r="N180" s="59">
        <f t="shared" si="439"/>
        <v>5</v>
      </c>
      <c r="O180" s="60"/>
      <c r="P180" s="58"/>
      <c r="Q180" s="59">
        <f t="shared" si="440"/>
        <v>5</v>
      </c>
      <c r="R180" s="60"/>
      <c r="S180" s="58">
        <v>1</v>
      </c>
      <c r="T180" s="61">
        <f t="shared" si="441"/>
        <v>4</v>
      </c>
      <c r="U180" s="60"/>
      <c r="V180" s="58"/>
      <c r="W180" s="59">
        <f t="shared" si="442"/>
        <v>4</v>
      </c>
      <c r="X180" s="60"/>
      <c r="Y180" s="58"/>
      <c r="Z180" s="61">
        <f t="shared" si="443"/>
        <v>4</v>
      </c>
      <c r="AA180" s="60">
        <v>10</v>
      </c>
      <c r="AB180" s="58">
        <v>3</v>
      </c>
      <c r="AC180" s="59">
        <f t="shared" si="444"/>
        <v>11</v>
      </c>
      <c r="AD180" s="57"/>
      <c r="AE180" s="58"/>
      <c r="AF180" s="243">
        <f t="shared" si="445"/>
        <v>11</v>
      </c>
      <c r="AG180" s="60"/>
      <c r="AH180" s="58"/>
      <c r="AI180" s="62">
        <f t="shared" si="446"/>
        <v>11</v>
      </c>
      <c r="AJ180" s="60"/>
      <c r="AK180" s="58"/>
      <c r="AL180" s="62">
        <f t="shared" si="447"/>
        <v>11</v>
      </c>
      <c r="AM180" s="60"/>
      <c r="AN180" s="58"/>
      <c r="AO180" s="62">
        <f t="shared" si="448"/>
        <v>11</v>
      </c>
      <c r="AP180" s="60"/>
      <c r="AQ180" s="58"/>
      <c r="AR180" s="62">
        <f t="shared" si="449"/>
        <v>11</v>
      </c>
      <c r="AS180" s="60"/>
      <c r="AT180" s="58"/>
      <c r="AU180" s="62">
        <f t="shared" si="450"/>
        <v>11</v>
      </c>
      <c r="AV180" s="83">
        <f t="shared" si="451"/>
        <v>10</v>
      </c>
      <c r="AW180" s="83">
        <f t="shared" si="452"/>
        <v>4</v>
      </c>
      <c r="AX180" s="64">
        <f t="shared" si="453"/>
        <v>4</v>
      </c>
      <c r="AY180" s="65">
        <f t="shared" si="454"/>
        <v>2</v>
      </c>
      <c r="AZ180" s="66">
        <f t="shared" si="455"/>
        <v>2</v>
      </c>
      <c r="BA180" s="67">
        <f>MAX(0, Table176252626[[#This Row],[Column6]])</f>
        <v>11</v>
      </c>
      <c r="BB180" s="68">
        <v>1</v>
      </c>
      <c r="BC180" s="84">
        <f t="shared" si="377"/>
        <v>11</v>
      </c>
      <c r="BD180" s="83">
        <f t="shared" si="358"/>
        <v>10</v>
      </c>
      <c r="BE180" s="85">
        <v>2</v>
      </c>
      <c r="BF180" s="86">
        <v>46197.492696759262</v>
      </c>
      <c r="BG180" s="72">
        <f t="shared" si="379"/>
        <v>46265</v>
      </c>
      <c r="BH180" s="87">
        <f t="shared" si="456"/>
        <v>67.507303240738111</v>
      </c>
      <c r="BI180" s="80" t="str">
        <f t="shared" si="359"/>
        <v/>
      </c>
      <c r="BJ180" s="238">
        <v>159</v>
      </c>
    </row>
    <row r="181" spans="1:62" ht="13">
      <c r="A181" s="49"/>
      <c r="B181" s="76"/>
      <c r="C181" s="51">
        <v>178</v>
      </c>
      <c r="D181" s="119" t="s">
        <v>1516</v>
      </c>
      <c r="E181" s="119">
        <v>6</v>
      </c>
      <c r="F181" s="105" t="s">
        <v>566</v>
      </c>
      <c r="G181" s="81" t="s">
        <v>570</v>
      </c>
      <c r="H181" s="89" t="s">
        <v>290</v>
      </c>
      <c r="I181" s="80" t="s">
        <v>458</v>
      </c>
      <c r="J181" s="93">
        <f t="shared" si="438"/>
        <v>11</v>
      </c>
      <c r="K181" s="80">
        <v>1</v>
      </c>
      <c r="L181" s="57"/>
      <c r="M181" s="58"/>
      <c r="N181" s="59">
        <f t="shared" si="439"/>
        <v>1</v>
      </c>
      <c r="O181" s="60"/>
      <c r="P181" s="58"/>
      <c r="Q181" s="59">
        <f t="shared" si="440"/>
        <v>1</v>
      </c>
      <c r="R181" s="60"/>
      <c r="S181" s="58"/>
      <c r="T181" s="61">
        <f t="shared" si="441"/>
        <v>1</v>
      </c>
      <c r="U181" s="60"/>
      <c r="V181" s="58"/>
      <c r="W181" s="59">
        <f t="shared" si="442"/>
        <v>1</v>
      </c>
      <c r="X181" s="60"/>
      <c r="Y181" s="58"/>
      <c r="Z181" s="61">
        <f t="shared" si="443"/>
        <v>1</v>
      </c>
      <c r="AA181" s="60">
        <v>10</v>
      </c>
      <c r="AB181" s="58"/>
      <c r="AC181" s="59">
        <f t="shared" si="444"/>
        <v>11</v>
      </c>
      <c r="AD181" s="57"/>
      <c r="AE181" s="58"/>
      <c r="AF181" s="243">
        <f t="shared" si="445"/>
        <v>11</v>
      </c>
      <c r="AG181" s="60"/>
      <c r="AH181" s="58"/>
      <c r="AI181" s="62">
        <f t="shared" si="446"/>
        <v>11</v>
      </c>
      <c r="AJ181" s="60"/>
      <c r="AK181" s="58"/>
      <c r="AL181" s="62">
        <f t="shared" si="447"/>
        <v>11</v>
      </c>
      <c r="AM181" s="60"/>
      <c r="AN181" s="58"/>
      <c r="AO181" s="62">
        <f t="shared" si="448"/>
        <v>11</v>
      </c>
      <c r="AP181" s="60"/>
      <c r="AQ181" s="58"/>
      <c r="AR181" s="62">
        <f t="shared" si="449"/>
        <v>11</v>
      </c>
      <c r="AS181" s="60"/>
      <c r="AT181" s="58"/>
      <c r="AU181" s="62">
        <f t="shared" si="450"/>
        <v>11</v>
      </c>
      <c r="AV181" s="83">
        <f t="shared" si="451"/>
        <v>10</v>
      </c>
      <c r="AW181" s="83">
        <f t="shared" si="452"/>
        <v>0</v>
      </c>
      <c r="AX181" s="64">
        <f t="shared" si="453"/>
        <v>0</v>
      </c>
      <c r="AY181" s="65" t="e">
        <f t="shared" si="454"/>
        <v>#DIV/0!</v>
      </c>
      <c r="AZ181" s="66">
        <f t="shared" si="455"/>
        <v>0</v>
      </c>
      <c r="BA181" s="67">
        <f>MAX(0, Table176252626[[#This Row],[Column6]])</f>
        <v>11</v>
      </c>
      <c r="BB181" s="68">
        <v>1</v>
      </c>
      <c r="BC181" s="84">
        <f t="shared" si="377"/>
        <v>11</v>
      </c>
      <c r="BD181" s="83">
        <f t="shared" si="358"/>
        <v>10</v>
      </c>
      <c r="BE181" s="85">
        <v>2</v>
      </c>
      <c r="BF181" s="86">
        <v>46197.492696759262</v>
      </c>
      <c r="BG181" s="72">
        <f t="shared" si="379"/>
        <v>46265</v>
      </c>
      <c r="BH181" s="87">
        <f t="shared" si="456"/>
        <v>67.507303240738111</v>
      </c>
      <c r="BI181" s="80" t="str">
        <f t="shared" si="359"/>
        <v/>
      </c>
      <c r="BJ181" s="238">
        <v>135</v>
      </c>
    </row>
    <row r="182" spans="1:62" ht="13">
      <c r="A182" s="49"/>
      <c r="B182" s="76"/>
      <c r="C182" s="51">
        <v>179</v>
      </c>
      <c r="D182" s="119" t="s">
        <v>1516</v>
      </c>
      <c r="E182" s="119">
        <v>7</v>
      </c>
      <c r="F182" s="105" t="s">
        <v>457</v>
      </c>
      <c r="G182" s="81" t="s">
        <v>456</v>
      </c>
      <c r="H182" s="81" t="s">
        <v>290</v>
      </c>
      <c r="I182" s="80" t="s">
        <v>458</v>
      </c>
      <c r="J182" s="82">
        <f t="shared" si="438"/>
        <v>2</v>
      </c>
      <c r="K182" s="80">
        <v>3</v>
      </c>
      <c r="L182" s="57"/>
      <c r="M182" s="58"/>
      <c r="N182" s="59">
        <f t="shared" si="439"/>
        <v>3</v>
      </c>
      <c r="O182" s="60"/>
      <c r="P182" s="58"/>
      <c r="Q182" s="59">
        <f t="shared" si="440"/>
        <v>3</v>
      </c>
      <c r="R182" s="60"/>
      <c r="S182" s="58"/>
      <c r="T182" s="61">
        <f t="shared" si="441"/>
        <v>3</v>
      </c>
      <c r="U182" s="60"/>
      <c r="V182" s="58"/>
      <c r="W182" s="59">
        <f t="shared" si="442"/>
        <v>3</v>
      </c>
      <c r="X182" s="60"/>
      <c r="Y182" s="58">
        <v>1</v>
      </c>
      <c r="Z182" s="61">
        <f t="shared" si="443"/>
        <v>2</v>
      </c>
      <c r="AA182" s="60"/>
      <c r="AB182" s="58"/>
      <c r="AC182" s="59">
        <f t="shared" si="444"/>
        <v>2</v>
      </c>
      <c r="AD182" s="57"/>
      <c r="AE182" s="58"/>
      <c r="AF182" s="243">
        <f t="shared" si="445"/>
        <v>2</v>
      </c>
      <c r="AG182" s="60"/>
      <c r="AH182" s="58"/>
      <c r="AI182" s="62">
        <f t="shared" si="446"/>
        <v>2</v>
      </c>
      <c r="AJ182" s="60"/>
      <c r="AK182" s="58"/>
      <c r="AL182" s="62">
        <f t="shared" si="447"/>
        <v>2</v>
      </c>
      <c r="AM182" s="60"/>
      <c r="AN182" s="58"/>
      <c r="AO182" s="62">
        <f t="shared" si="448"/>
        <v>2</v>
      </c>
      <c r="AP182" s="60"/>
      <c r="AQ182" s="58"/>
      <c r="AR182" s="62">
        <f t="shared" si="449"/>
        <v>2</v>
      </c>
      <c r="AS182" s="60"/>
      <c r="AT182" s="58"/>
      <c r="AU182" s="62">
        <f t="shared" si="450"/>
        <v>2</v>
      </c>
      <c r="AV182" s="83">
        <f t="shared" si="451"/>
        <v>0</v>
      </c>
      <c r="AW182" s="83">
        <f t="shared" si="452"/>
        <v>1</v>
      </c>
      <c r="AX182" s="64">
        <f t="shared" si="453"/>
        <v>1</v>
      </c>
      <c r="AY182" s="65">
        <f t="shared" si="454"/>
        <v>1</v>
      </c>
      <c r="AZ182" s="66">
        <f t="shared" si="455"/>
        <v>1</v>
      </c>
      <c r="BA182" s="67">
        <f>MAX(0, Table176252626[[#This Row],[Column6]])</f>
        <v>2</v>
      </c>
      <c r="BB182" s="68">
        <v>1</v>
      </c>
      <c r="BC182" s="84">
        <f t="shared" si="377"/>
        <v>2</v>
      </c>
      <c r="BD182" s="83">
        <f t="shared" si="358"/>
        <v>1</v>
      </c>
      <c r="BE182" s="85">
        <v>2</v>
      </c>
      <c r="BF182" s="86">
        <v>45450.438252314816</v>
      </c>
      <c r="BG182" s="72">
        <f t="shared" si="379"/>
        <v>46265</v>
      </c>
      <c r="BH182" s="87">
        <f t="shared" si="456"/>
        <v>814.56174768518395</v>
      </c>
      <c r="BI182" s="80" t="str">
        <f t="shared" si="359"/>
        <v>Dead Stock</v>
      </c>
      <c r="BJ182" s="238">
        <v>84</v>
      </c>
    </row>
    <row r="183" spans="1:62" ht="13">
      <c r="A183" s="49"/>
      <c r="B183" s="50"/>
      <c r="C183" s="51">
        <v>180</v>
      </c>
      <c r="D183" s="119" t="s">
        <v>1516</v>
      </c>
      <c r="E183" s="119">
        <v>8</v>
      </c>
      <c r="F183" s="54" t="s">
        <v>557</v>
      </c>
      <c r="G183" s="55" t="s">
        <v>558</v>
      </c>
      <c r="H183" s="55" t="s">
        <v>290</v>
      </c>
      <c r="I183" s="80" t="s">
        <v>458</v>
      </c>
      <c r="J183" s="56">
        <f t="shared" si="438"/>
        <v>5</v>
      </c>
      <c r="K183" s="54">
        <v>7</v>
      </c>
      <c r="L183" s="57"/>
      <c r="M183" s="58"/>
      <c r="N183" s="59">
        <f t="shared" si="439"/>
        <v>7</v>
      </c>
      <c r="O183" s="60"/>
      <c r="P183" s="58"/>
      <c r="Q183" s="59">
        <f t="shared" si="440"/>
        <v>7</v>
      </c>
      <c r="R183" s="60"/>
      <c r="S183" s="58"/>
      <c r="T183" s="61">
        <f t="shared" si="441"/>
        <v>7</v>
      </c>
      <c r="U183" s="60"/>
      <c r="V183" s="58"/>
      <c r="W183" s="59">
        <f t="shared" si="442"/>
        <v>7</v>
      </c>
      <c r="X183" s="60"/>
      <c r="Y183" s="58">
        <v>2</v>
      </c>
      <c r="Z183" s="61">
        <f t="shared" si="443"/>
        <v>5</v>
      </c>
      <c r="AA183" s="60"/>
      <c r="AB183" s="58"/>
      <c r="AC183" s="59">
        <f t="shared" si="444"/>
        <v>5</v>
      </c>
      <c r="AD183" s="57"/>
      <c r="AE183" s="58"/>
      <c r="AF183" s="243">
        <f t="shared" si="445"/>
        <v>5</v>
      </c>
      <c r="AG183" s="60"/>
      <c r="AH183" s="58"/>
      <c r="AI183" s="62">
        <f t="shared" si="446"/>
        <v>5</v>
      </c>
      <c r="AJ183" s="60"/>
      <c r="AK183" s="58"/>
      <c r="AL183" s="62">
        <f t="shared" si="447"/>
        <v>5</v>
      </c>
      <c r="AM183" s="60"/>
      <c r="AN183" s="58"/>
      <c r="AO183" s="62">
        <f t="shared" si="448"/>
        <v>5</v>
      </c>
      <c r="AP183" s="60"/>
      <c r="AQ183" s="58"/>
      <c r="AR183" s="62">
        <f t="shared" si="449"/>
        <v>5</v>
      </c>
      <c r="AS183" s="60"/>
      <c r="AT183" s="58"/>
      <c r="AU183" s="62">
        <f t="shared" si="450"/>
        <v>5</v>
      </c>
      <c r="AV183" s="83">
        <f t="shared" si="451"/>
        <v>0</v>
      </c>
      <c r="AW183" s="83">
        <f t="shared" si="452"/>
        <v>2</v>
      </c>
      <c r="AX183" s="64">
        <f t="shared" si="453"/>
        <v>2</v>
      </c>
      <c r="AY183" s="65">
        <f t="shared" si="454"/>
        <v>2</v>
      </c>
      <c r="AZ183" s="66">
        <f t="shared" si="455"/>
        <v>1</v>
      </c>
      <c r="BA183" s="67">
        <f>MAX(0, Table176252626[[#This Row],[Column6]])</f>
        <v>5</v>
      </c>
      <c r="BB183" s="68">
        <v>1</v>
      </c>
      <c r="BC183" s="84">
        <f t="shared" si="377"/>
        <v>5</v>
      </c>
      <c r="BD183" s="83">
        <f t="shared" si="358"/>
        <v>4</v>
      </c>
      <c r="BE183" s="85">
        <v>2</v>
      </c>
      <c r="BF183" s="86">
        <v>43297.46607638889</v>
      </c>
      <c r="BG183" s="72">
        <f t="shared" si="379"/>
        <v>46265</v>
      </c>
      <c r="BH183" s="87">
        <f t="shared" si="456"/>
        <v>2967.5339236111104</v>
      </c>
      <c r="BI183" s="80" t="str">
        <f t="shared" si="359"/>
        <v>Dead Stock</v>
      </c>
      <c r="BJ183" s="238">
        <v>355</v>
      </c>
    </row>
    <row r="184" spans="1:62" ht="13">
      <c r="A184" s="49"/>
      <c r="B184" s="50"/>
      <c r="C184" s="51">
        <v>181</v>
      </c>
      <c r="D184" s="119" t="s">
        <v>1516</v>
      </c>
      <c r="E184" s="119">
        <v>10</v>
      </c>
      <c r="F184" s="80" t="s">
        <v>561</v>
      </c>
      <c r="G184" s="81" t="s">
        <v>562</v>
      </c>
      <c r="H184" s="89" t="s">
        <v>290</v>
      </c>
      <c r="I184" s="80" t="s">
        <v>458</v>
      </c>
      <c r="J184" s="93">
        <f t="shared" si="438"/>
        <v>10</v>
      </c>
      <c r="K184" s="80">
        <v>5</v>
      </c>
      <c r="L184" s="57"/>
      <c r="M184" s="58"/>
      <c r="N184" s="59">
        <f t="shared" si="439"/>
        <v>5</v>
      </c>
      <c r="O184" s="60"/>
      <c r="P184" s="58"/>
      <c r="Q184" s="59">
        <f t="shared" si="440"/>
        <v>5</v>
      </c>
      <c r="R184" s="60"/>
      <c r="S184" s="58"/>
      <c r="T184" s="61">
        <f t="shared" si="441"/>
        <v>5</v>
      </c>
      <c r="U184" s="60"/>
      <c r="V184" s="58"/>
      <c r="W184" s="59">
        <f t="shared" si="442"/>
        <v>5</v>
      </c>
      <c r="X184" s="60"/>
      <c r="Y184" s="58"/>
      <c r="Z184" s="61">
        <f t="shared" si="443"/>
        <v>5</v>
      </c>
      <c r="AA184" s="60"/>
      <c r="AB184" s="58">
        <v>5</v>
      </c>
      <c r="AC184" s="59">
        <f t="shared" si="444"/>
        <v>0</v>
      </c>
      <c r="AD184" s="57">
        <v>10</v>
      </c>
      <c r="AE184" s="58"/>
      <c r="AF184" s="243">
        <f t="shared" si="445"/>
        <v>10</v>
      </c>
      <c r="AG184" s="60"/>
      <c r="AH184" s="58"/>
      <c r="AI184" s="62">
        <f t="shared" si="446"/>
        <v>10</v>
      </c>
      <c r="AJ184" s="60"/>
      <c r="AK184" s="58"/>
      <c r="AL184" s="62">
        <f t="shared" si="447"/>
        <v>10</v>
      </c>
      <c r="AM184" s="60"/>
      <c r="AN184" s="58"/>
      <c r="AO184" s="62">
        <f t="shared" si="448"/>
        <v>10</v>
      </c>
      <c r="AP184" s="60"/>
      <c r="AQ184" s="58"/>
      <c r="AR184" s="62">
        <f t="shared" si="449"/>
        <v>10</v>
      </c>
      <c r="AS184" s="60"/>
      <c r="AT184" s="58"/>
      <c r="AU184" s="62">
        <f t="shared" si="450"/>
        <v>10</v>
      </c>
      <c r="AV184" s="83">
        <f t="shared" si="451"/>
        <v>10</v>
      </c>
      <c r="AW184" s="83">
        <f t="shared" si="452"/>
        <v>5</v>
      </c>
      <c r="AX184" s="64">
        <f t="shared" si="453"/>
        <v>5</v>
      </c>
      <c r="AY184" s="65">
        <f t="shared" si="454"/>
        <v>5</v>
      </c>
      <c r="AZ184" s="66">
        <f t="shared" si="455"/>
        <v>1</v>
      </c>
      <c r="BA184" s="67">
        <f>MAX(0, Table176252626[[#This Row],[Column6]])</f>
        <v>10</v>
      </c>
      <c r="BB184" s="68">
        <v>1</v>
      </c>
      <c r="BC184" s="84">
        <f t="shared" si="377"/>
        <v>10</v>
      </c>
      <c r="BD184" s="83">
        <f t="shared" si="358"/>
        <v>9</v>
      </c>
      <c r="BE184" s="85">
        <v>2</v>
      </c>
      <c r="BF184" s="86">
        <v>46212.454733796294</v>
      </c>
      <c r="BG184" s="72">
        <f t="shared" si="379"/>
        <v>46265</v>
      </c>
      <c r="BH184" s="87">
        <f t="shared" si="456"/>
        <v>52.545266203705978</v>
      </c>
      <c r="BI184" s="80" t="str">
        <f t="shared" si="359"/>
        <v/>
      </c>
      <c r="BJ184" s="238">
        <v>493</v>
      </c>
    </row>
    <row r="185" spans="1:62" ht="13">
      <c r="A185" s="90"/>
      <c r="B185" s="91"/>
      <c r="C185" s="77">
        <v>182</v>
      </c>
      <c r="D185" s="119" t="s">
        <v>1516</v>
      </c>
      <c r="E185" s="119">
        <v>11</v>
      </c>
      <c r="F185" s="80" t="s">
        <v>567</v>
      </c>
      <c r="G185" s="81" t="s">
        <v>568</v>
      </c>
      <c r="H185" s="89" t="s">
        <v>290</v>
      </c>
      <c r="I185" s="80" t="s">
        <v>458</v>
      </c>
      <c r="J185" s="93">
        <f t="shared" si="438"/>
        <v>4</v>
      </c>
      <c r="K185" s="80">
        <v>1</v>
      </c>
      <c r="L185" s="57"/>
      <c r="M185" s="58"/>
      <c r="N185" s="59">
        <f t="shared" si="439"/>
        <v>1</v>
      </c>
      <c r="O185" s="60"/>
      <c r="P185" s="58"/>
      <c r="Q185" s="59">
        <f t="shared" si="440"/>
        <v>1</v>
      </c>
      <c r="R185" s="60"/>
      <c r="S185" s="58"/>
      <c r="T185" s="61">
        <f t="shared" si="441"/>
        <v>1</v>
      </c>
      <c r="U185" s="60"/>
      <c r="V185" s="58"/>
      <c r="W185" s="59">
        <f t="shared" si="442"/>
        <v>1</v>
      </c>
      <c r="X185" s="60"/>
      <c r="Y185" s="58">
        <v>1</v>
      </c>
      <c r="Z185" s="61">
        <f t="shared" si="443"/>
        <v>0</v>
      </c>
      <c r="AA185" s="60">
        <v>5</v>
      </c>
      <c r="AB185" s="58"/>
      <c r="AC185" s="59">
        <f t="shared" si="444"/>
        <v>5</v>
      </c>
      <c r="AD185" s="57"/>
      <c r="AE185" s="58"/>
      <c r="AF185" s="243">
        <f t="shared" si="445"/>
        <v>5</v>
      </c>
      <c r="AG185" s="60"/>
      <c r="AH185" s="58">
        <v>1</v>
      </c>
      <c r="AI185" s="62">
        <f t="shared" si="446"/>
        <v>4</v>
      </c>
      <c r="AJ185" s="60"/>
      <c r="AK185" s="58"/>
      <c r="AL185" s="62">
        <f t="shared" si="447"/>
        <v>4</v>
      </c>
      <c r="AM185" s="60"/>
      <c r="AN185" s="58"/>
      <c r="AO185" s="62">
        <f t="shared" si="448"/>
        <v>4</v>
      </c>
      <c r="AP185" s="60"/>
      <c r="AQ185" s="58"/>
      <c r="AR185" s="62">
        <f t="shared" si="449"/>
        <v>4</v>
      </c>
      <c r="AS185" s="60"/>
      <c r="AT185" s="58"/>
      <c r="AU185" s="62">
        <f t="shared" si="450"/>
        <v>4</v>
      </c>
      <c r="AV185" s="83">
        <f t="shared" si="451"/>
        <v>5</v>
      </c>
      <c r="AW185" s="83">
        <f t="shared" si="452"/>
        <v>2</v>
      </c>
      <c r="AX185" s="64">
        <f t="shared" si="453"/>
        <v>2</v>
      </c>
      <c r="AY185" s="65">
        <f t="shared" si="454"/>
        <v>1</v>
      </c>
      <c r="AZ185" s="66">
        <f t="shared" si="455"/>
        <v>2</v>
      </c>
      <c r="BA185" s="67">
        <f>MAX(0, Table176252626[[#This Row],[Column6]])</f>
        <v>4</v>
      </c>
      <c r="BB185" s="68">
        <v>1</v>
      </c>
      <c r="BC185" s="84">
        <f t="shared" si="377"/>
        <v>4</v>
      </c>
      <c r="BD185" s="83">
        <f t="shared" si="358"/>
        <v>3</v>
      </c>
      <c r="BE185" s="85">
        <v>2</v>
      </c>
      <c r="BF185" s="86">
        <v>46198.453032407408</v>
      </c>
      <c r="BG185" s="72">
        <f t="shared" si="379"/>
        <v>46265</v>
      </c>
      <c r="BH185" s="87">
        <f t="shared" si="456"/>
        <v>66.546967592592409</v>
      </c>
      <c r="BI185" s="80" t="str">
        <f t="shared" si="359"/>
        <v/>
      </c>
      <c r="BJ185" s="238">
        <v>365</v>
      </c>
    </row>
    <row r="186" spans="1:62" ht="13">
      <c r="A186" s="49"/>
      <c r="B186" s="50"/>
      <c r="C186" s="77">
        <v>183</v>
      </c>
      <c r="D186" s="119" t="s">
        <v>1516</v>
      </c>
      <c r="E186" s="119">
        <v>12</v>
      </c>
      <c r="F186" s="80" t="s">
        <v>559</v>
      </c>
      <c r="G186" s="81" t="s">
        <v>1057</v>
      </c>
      <c r="H186" s="81" t="s">
        <v>290</v>
      </c>
      <c r="I186" s="80" t="s">
        <v>458</v>
      </c>
      <c r="J186" s="82">
        <f t="shared" si="438"/>
        <v>2</v>
      </c>
      <c r="K186" s="80">
        <v>3</v>
      </c>
      <c r="L186" s="57"/>
      <c r="M186" s="58"/>
      <c r="N186" s="59">
        <f t="shared" si="439"/>
        <v>3</v>
      </c>
      <c r="O186" s="60"/>
      <c r="P186" s="58"/>
      <c r="Q186" s="59">
        <f t="shared" si="440"/>
        <v>3</v>
      </c>
      <c r="R186" s="60"/>
      <c r="S186" s="58"/>
      <c r="T186" s="61">
        <f t="shared" si="441"/>
        <v>3</v>
      </c>
      <c r="U186" s="60"/>
      <c r="V186" s="58"/>
      <c r="W186" s="59">
        <f t="shared" si="442"/>
        <v>3</v>
      </c>
      <c r="X186" s="60"/>
      <c r="Y186" s="58">
        <v>1</v>
      </c>
      <c r="Z186" s="61">
        <f t="shared" si="443"/>
        <v>2</v>
      </c>
      <c r="AA186" s="60"/>
      <c r="AB186" s="58"/>
      <c r="AC186" s="59">
        <f t="shared" si="444"/>
        <v>2</v>
      </c>
      <c r="AD186" s="57"/>
      <c r="AE186" s="58"/>
      <c r="AF186" s="243">
        <f t="shared" si="445"/>
        <v>2</v>
      </c>
      <c r="AG186" s="60"/>
      <c r="AH186" s="58"/>
      <c r="AI186" s="62">
        <f t="shared" si="446"/>
        <v>2</v>
      </c>
      <c r="AJ186" s="60"/>
      <c r="AK186" s="58"/>
      <c r="AL186" s="62">
        <f t="shared" si="447"/>
        <v>2</v>
      </c>
      <c r="AM186" s="60"/>
      <c r="AN186" s="58"/>
      <c r="AO186" s="62">
        <f t="shared" si="448"/>
        <v>2</v>
      </c>
      <c r="AP186" s="60"/>
      <c r="AQ186" s="58"/>
      <c r="AR186" s="62">
        <f t="shared" si="449"/>
        <v>2</v>
      </c>
      <c r="AS186" s="60"/>
      <c r="AT186" s="58"/>
      <c r="AU186" s="62">
        <f t="shared" si="450"/>
        <v>2</v>
      </c>
      <c r="AV186" s="83">
        <f t="shared" si="451"/>
        <v>0</v>
      </c>
      <c r="AW186" s="83">
        <f t="shared" si="452"/>
        <v>1</v>
      </c>
      <c r="AX186" s="64">
        <f t="shared" si="453"/>
        <v>1</v>
      </c>
      <c r="AY186" s="65">
        <f t="shared" si="454"/>
        <v>1</v>
      </c>
      <c r="AZ186" s="66">
        <f t="shared" si="455"/>
        <v>1</v>
      </c>
      <c r="BA186" s="67">
        <f>MAX(0, Table176252626[[#This Row],[Column6]])</f>
        <v>2</v>
      </c>
      <c r="BB186" s="68">
        <v>1</v>
      </c>
      <c r="BC186" s="84">
        <f t="shared" si="377"/>
        <v>2</v>
      </c>
      <c r="BD186" s="83">
        <f t="shared" si="358"/>
        <v>1</v>
      </c>
      <c r="BE186" s="85">
        <v>2</v>
      </c>
      <c r="BF186" s="86">
        <v>43297.46607638889</v>
      </c>
      <c r="BG186" s="72">
        <f t="shared" si="379"/>
        <v>46265</v>
      </c>
      <c r="BH186" s="87">
        <f t="shared" si="456"/>
        <v>2967.5339236111104</v>
      </c>
      <c r="BI186" s="80" t="str">
        <f t="shared" si="359"/>
        <v>Dead Stock</v>
      </c>
      <c r="BJ186" s="238">
        <v>355</v>
      </c>
    </row>
    <row r="187" spans="1:62" ht="13">
      <c r="A187" s="75"/>
      <c r="B187" s="76"/>
      <c r="C187" s="51">
        <v>184</v>
      </c>
      <c r="D187" s="119" t="s">
        <v>1516</v>
      </c>
      <c r="E187" s="119">
        <v>13</v>
      </c>
      <c r="F187" s="80" t="s">
        <v>560</v>
      </c>
      <c r="G187" s="81" t="s">
        <v>1056</v>
      </c>
      <c r="H187" s="81" t="s">
        <v>290</v>
      </c>
      <c r="I187" s="80" t="s">
        <v>458</v>
      </c>
      <c r="J187" s="82">
        <f t="shared" si="438"/>
        <v>6</v>
      </c>
      <c r="K187" s="80">
        <v>6</v>
      </c>
      <c r="L187" s="57"/>
      <c r="M187" s="58"/>
      <c r="N187" s="59">
        <f t="shared" si="439"/>
        <v>6</v>
      </c>
      <c r="O187" s="60"/>
      <c r="P187" s="58"/>
      <c r="Q187" s="59">
        <f t="shared" si="440"/>
        <v>6</v>
      </c>
      <c r="R187" s="60"/>
      <c r="S187" s="58"/>
      <c r="T187" s="61">
        <f t="shared" si="441"/>
        <v>6</v>
      </c>
      <c r="U187" s="60"/>
      <c r="V187" s="58"/>
      <c r="W187" s="59">
        <f t="shared" si="442"/>
        <v>6</v>
      </c>
      <c r="X187" s="60"/>
      <c r="Y187" s="58"/>
      <c r="Z187" s="61">
        <f t="shared" si="443"/>
        <v>6</v>
      </c>
      <c r="AA187" s="60"/>
      <c r="AB187" s="58"/>
      <c r="AC187" s="59">
        <f t="shared" si="444"/>
        <v>6</v>
      </c>
      <c r="AD187" s="57"/>
      <c r="AE187" s="58"/>
      <c r="AF187" s="243">
        <f t="shared" si="445"/>
        <v>6</v>
      </c>
      <c r="AG187" s="60"/>
      <c r="AH187" s="58"/>
      <c r="AI187" s="62">
        <f t="shared" si="446"/>
        <v>6</v>
      </c>
      <c r="AJ187" s="60"/>
      <c r="AK187" s="58"/>
      <c r="AL187" s="62">
        <f t="shared" si="447"/>
        <v>6</v>
      </c>
      <c r="AM187" s="60"/>
      <c r="AN187" s="58"/>
      <c r="AO187" s="62">
        <f t="shared" si="448"/>
        <v>6</v>
      </c>
      <c r="AP187" s="60"/>
      <c r="AQ187" s="58"/>
      <c r="AR187" s="62">
        <f t="shared" si="449"/>
        <v>6</v>
      </c>
      <c r="AS187" s="60"/>
      <c r="AT187" s="58"/>
      <c r="AU187" s="62">
        <f t="shared" si="450"/>
        <v>6</v>
      </c>
      <c r="AV187" s="83">
        <f t="shared" si="451"/>
        <v>0</v>
      </c>
      <c r="AW187" s="83">
        <f t="shared" si="452"/>
        <v>0</v>
      </c>
      <c r="AX187" s="64">
        <f t="shared" si="453"/>
        <v>0</v>
      </c>
      <c r="AY187" s="65" t="e">
        <f t="shared" si="454"/>
        <v>#DIV/0!</v>
      </c>
      <c r="AZ187" s="66">
        <f t="shared" si="455"/>
        <v>0</v>
      </c>
      <c r="BA187" s="67">
        <f>MAX(0, Table176252626[[#This Row],[Column6]])</f>
        <v>6</v>
      </c>
      <c r="BB187" s="68">
        <v>1</v>
      </c>
      <c r="BC187" s="84">
        <f t="shared" si="377"/>
        <v>6</v>
      </c>
      <c r="BD187" s="83">
        <f t="shared" si="358"/>
        <v>5</v>
      </c>
      <c r="BE187" s="85">
        <v>2</v>
      </c>
      <c r="BF187" s="86">
        <v>43297.46607638889</v>
      </c>
      <c r="BG187" s="72">
        <f t="shared" si="379"/>
        <v>46265</v>
      </c>
      <c r="BH187" s="87">
        <f t="shared" si="456"/>
        <v>2967.5339236111104</v>
      </c>
      <c r="BI187" s="80" t="str">
        <f t="shared" si="359"/>
        <v>Dead Stock</v>
      </c>
      <c r="BJ187" s="238">
        <v>355</v>
      </c>
    </row>
    <row r="188" spans="1:62" ht="13">
      <c r="A188" s="49"/>
      <c r="B188" s="76"/>
      <c r="C188" s="51">
        <v>185</v>
      </c>
      <c r="D188" s="119" t="s">
        <v>1516</v>
      </c>
      <c r="E188" s="119">
        <v>14</v>
      </c>
      <c r="F188" s="105" t="s">
        <v>585</v>
      </c>
      <c r="G188" s="81" t="s">
        <v>606</v>
      </c>
      <c r="H188" s="89" t="s">
        <v>290</v>
      </c>
      <c r="I188" s="80" t="s">
        <v>458</v>
      </c>
      <c r="J188" s="93">
        <f t="shared" si="438"/>
        <v>2</v>
      </c>
      <c r="K188" s="80">
        <v>2</v>
      </c>
      <c r="L188" s="57"/>
      <c r="M188" s="58"/>
      <c r="N188" s="59">
        <f t="shared" si="439"/>
        <v>2</v>
      </c>
      <c r="O188" s="60"/>
      <c r="P188" s="58"/>
      <c r="Q188" s="59">
        <f t="shared" si="440"/>
        <v>2</v>
      </c>
      <c r="R188" s="60"/>
      <c r="S188" s="58"/>
      <c r="T188" s="61">
        <f t="shared" si="441"/>
        <v>2</v>
      </c>
      <c r="U188" s="60"/>
      <c r="V188" s="58"/>
      <c r="W188" s="59">
        <f t="shared" si="442"/>
        <v>2</v>
      </c>
      <c r="X188" s="60"/>
      <c r="Y188" s="58"/>
      <c r="Z188" s="61">
        <f t="shared" si="443"/>
        <v>2</v>
      </c>
      <c r="AA188" s="60"/>
      <c r="AB188" s="58"/>
      <c r="AC188" s="59">
        <f t="shared" si="444"/>
        <v>2</v>
      </c>
      <c r="AD188" s="57"/>
      <c r="AE188" s="58"/>
      <c r="AF188" s="243">
        <f t="shared" si="445"/>
        <v>2</v>
      </c>
      <c r="AG188" s="60"/>
      <c r="AH188" s="58"/>
      <c r="AI188" s="62">
        <f t="shared" si="446"/>
        <v>2</v>
      </c>
      <c r="AJ188" s="60"/>
      <c r="AK188" s="58"/>
      <c r="AL188" s="62">
        <f t="shared" si="447"/>
        <v>2</v>
      </c>
      <c r="AM188" s="60"/>
      <c r="AN188" s="58"/>
      <c r="AO188" s="62">
        <f t="shared" si="448"/>
        <v>2</v>
      </c>
      <c r="AP188" s="60"/>
      <c r="AQ188" s="58"/>
      <c r="AR188" s="62">
        <f t="shared" si="449"/>
        <v>2</v>
      </c>
      <c r="AS188" s="60"/>
      <c r="AT188" s="58"/>
      <c r="AU188" s="62">
        <f t="shared" si="450"/>
        <v>2</v>
      </c>
      <c r="AV188" s="83">
        <f t="shared" si="451"/>
        <v>0</v>
      </c>
      <c r="AW188" s="83">
        <f t="shared" si="452"/>
        <v>0</v>
      </c>
      <c r="AX188" s="64">
        <f t="shared" si="453"/>
        <v>0</v>
      </c>
      <c r="AY188" s="65" t="e">
        <f t="shared" si="454"/>
        <v>#DIV/0!</v>
      </c>
      <c r="AZ188" s="66">
        <f t="shared" si="455"/>
        <v>0</v>
      </c>
      <c r="BA188" s="67">
        <f>MAX(0, Table176252626[[#This Row],[Column6]])</f>
        <v>2</v>
      </c>
      <c r="BB188" s="68">
        <v>1</v>
      </c>
      <c r="BC188" s="84">
        <f t="shared" si="377"/>
        <v>2</v>
      </c>
      <c r="BD188" s="83">
        <f t="shared" si="358"/>
        <v>1</v>
      </c>
      <c r="BE188" s="85">
        <v>2</v>
      </c>
      <c r="BF188" s="86">
        <v>44273.432083333333</v>
      </c>
      <c r="BG188" s="72">
        <f t="shared" si="379"/>
        <v>46265</v>
      </c>
      <c r="BH188" s="87">
        <f t="shared" si="456"/>
        <v>1991.5679166666669</v>
      </c>
      <c r="BI188" s="80" t="str">
        <f t="shared" si="359"/>
        <v>Dead Stock</v>
      </c>
      <c r="BJ188" s="238">
        <v>170</v>
      </c>
    </row>
    <row r="189" spans="1:62" ht="13">
      <c r="A189" s="49"/>
      <c r="B189" s="76"/>
      <c r="C189" s="51">
        <v>186</v>
      </c>
      <c r="D189" s="119" t="s">
        <v>1516</v>
      </c>
      <c r="E189" s="119">
        <v>15</v>
      </c>
      <c r="F189" s="105" t="s">
        <v>491</v>
      </c>
      <c r="G189" s="81" t="s">
        <v>779</v>
      </c>
      <c r="H189" s="89" t="s">
        <v>290</v>
      </c>
      <c r="I189" s="80" t="s">
        <v>458</v>
      </c>
      <c r="J189" s="93">
        <f t="shared" si="438"/>
        <v>2</v>
      </c>
      <c r="K189" s="80">
        <v>2</v>
      </c>
      <c r="L189" s="57"/>
      <c r="M189" s="58"/>
      <c r="N189" s="59">
        <f t="shared" si="439"/>
        <v>2</v>
      </c>
      <c r="O189" s="60"/>
      <c r="P189" s="58"/>
      <c r="Q189" s="59">
        <f t="shared" si="440"/>
        <v>2</v>
      </c>
      <c r="R189" s="60"/>
      <c r="S189" s="58"/>
      <c r="T189" s="61">
        <f t="shared" si="441"/>
        <v>2</v>
      </c>
      <c r="U189" s="60"/>
      <c r="V189" s="58"/>
      <c r="W189" s="59">
        <f t="shared" si="442"/>
        <v>2</v>
      </c>
      <c r="X189" s="60"/>
      <c r="Y189" s="58"/>
      <c r="Z189" s="61">
        <f t="shared" si="443"/>
        <v>2</v>
      </c>
      <c r="AA189" s="60"/>
      <c r="AB189" s="58"/>
      <c r="AC189" s="59">
        <f t="shared" si="444"/>
        <v>2</v>
      </c>
      <c r="AD189" s="57"/>
      <c r="AE189" s="58"/>
      <c r="AF189" s="243">
        <f t="shared" si="445"/>
        <v>2</v>
      </c>
      <c r="AG189" s="60"/>
      <c r="AH189" s="58"/>
      <c r="AI189" s="62">
        <f t="shared" si="446"/>
        <v>2</v>
      </c>
      <c r="AJ189" s="60"/>
      <c r="AK189" s="58"/>
      <c r="AL189" s="62">
        <f t="shared" si="447"/>
        <v>2</v>
      </c>
      <c r="AM189" s="60"/>
      <c r="AN189" s="58"/>
      <c r="AO189" s="62">
        <f t="shared" si="448"/>
        <v>2</v>
      </c>
      <c r="AP189" s="60"/>
      <c r="AQ189" s="58"/>
      <c r="AR189" s="62">
        <f t="shared" si="449"/>
        <v>2</v>
      </c>
      <c r="AS189" s="60"/>
      <c r="AT189" s="58"/>
      <c r="AU189" s="62">
        <f t="shared" si="450"/>
        <v>2</v>
      </c>
      <c r="AV189" s="83">
        <f t="shared" si="451"/>
        <v>0</v>
      </c>
      <c r="AW189" s="83">
        <f t="shared" si="452"/>
        <v>0</v>
      </c>
      <c r="AX189" s="64">
        <f t="shared" si="453"/>
        <v>0</v>
      </c>
      <c r="AY189" s="65" t="e">
        <f t="shared" si="454"/>
        <v>#DIV/0!</v>
      </c>
      <c r="AZ189" s="66">
        <f t="shared" si="455"/>
        <v>0</v>
      </c>
      <c r="BA189" s="67">
        <f>MAX(0, Table176252626[[#This Row],[Column6]])</f>
        <v>2</v>
      </c>
      <c r="BB189" s="68">
        <v>1</v>
      </c>
      <c r="BC189" s="84">
        <f t="shared" si="377"/>
        <v>2</v>
      </c>
      <c r="BD189" s="83">
        <f t="shared" si="358"/>
        <v>1</v>
      </c>
      <c r="BE189" s="85">
        <v>2</v>
      </c>
      <c r="BF189" s="86">
        <v>44237.557696759257</v>
      </c>
      <c r="BG189" s="72">
        <f t="shared" si="379"/>
        <v>46265</v>
      </c>
      <c r="BH189" s="87">
        <f t="shared" si="456"/>
        <v>2027.4423032407431</v>
      </c>
      <c r="BI189" s="80" t="str">
        <f t="shared" si="359"/>
        <v>Dead Stock</v>
      </c>
      <c r="BJ189" s="238">
        <v>189.2</v>
      </c>
    </row>
    <row r="190" spans="1:62" ht="13">
      <c r="A190" s="49"/>
      <c r="B190" s="50"/>
      <c r="C190" s="51">
        <v>187</v>
      </c>
      <c r="D190" s="119" t="s">
        <v>1516</v>
      </c>
      <c r="E190" s="119">
        <v>16</v>
      </c>
      <c r="F190" s="88" t="s">
        <v>1345</v>
      </c>
      <c r="G190" s="89" t="s">
        <v>1362</v>
      </c>
      <c r="H190" s="89" t="s">
        <v>463</v>
      </c>
      <c r="I190" s="80" t="s">
        <v>458</v>
      </c>
      <c r="J190" s="82">
        <f t="shared" si="438"/>
        <v>4</v>
      </c>
      <c r="K190" s="80">
        <v>4</v>
      </c>
      <c r="L190" s="57"/>
      <c r="M190" s="58"/>
      <c r="N190" s="59">
        <f t="shared" si="439"/>
        <v>4</v>
      </c>
      <c r="O190" s="60"/>
      <c r="P190" s="58"/>
      <c r="Q190" s="59">
        <f t="shared" si="440"/>
        <v>4</v>
      </c>
      <c r="R190" s="60"/>
      <c r="S190" s="58"/>
      <c r="T190" s="61">
        <f t="shared" si="441"/>
        <v>4</v>
      </c>
      <c r="U190" s="60"/>
      <c r="V190" s="58"/>
      <c r="W190" s="59">
        <f t="shared" si="442"/>
        <v>4</v>
      </c>
      <c r="X190" s="60"/>
      <c r="Y190" s="58"/>
      <c r="Z190" s="61">
        <f t="shared" si="443"/>
        <v>4</v>
      </c>
      <c r="AA190" s="60"/>
      <c r="AB190" s="58"/>
      <c r="AC190" s="59">
        <f t="shared" si="444"/>
        <v>4</v>
      </c>
      <c r="AD190" s="57"/>
      <c r="AE190" s="58"/>
      <c r="AF190" s="243">
        <f t="shared" si="445"/>
        <v>4</v>
      </c>
      <c r="AG190" s="60"/>
      <c r="AH190" s="58"/>
      <c r="AI190" s="62">
        <f t="shared" si="446"/>
        <v>4</v>
      </c>
      <c r="AJ190" s="60"/>
      <c r="AK190" s="58"/>
      <c r="AL190" s="62">
        <f t="shared" si="447"/>
        <v>4</v>
      </c>
      <c r="AM190" s="60"/>
      <c r="AN190" s="58"/>
      <c r="AO190" s="62">
        <f t="shared" si="448"/>
        <v>4</v>
      </c>
      <c r="AP190" s="60"/>
      <c r="AQ190" s="58"/>
      <c r="AR190" s="62">
        <f t="shared" si="449"/>
        <v>4</v>
      </c>
      <c r="AS190" s="60"/>
      <c r="AT190" s="58"/>
      <c r="AU190" s="62">
        <f t="shared" si="450"/>
        <v>4</v>
      </c>
      <c r="AV190" s="83">
        <f t="shared" si="451"/>
        <v>0</v>
      </c>
      <c r="AW190" s="83">
        <f t="shared" si="452"/>
        <v>0</v>
      </c>
      <c r="AX190" s="64">
        <f t="shared" si="453"/>
        <v>0</v>
      </c>
      <c r="AY190" s="65" t="e">
        <f t="shared" si="454"/>
        <v>#DIV/0!</v>
      </c>
      <c r="AZ190" s="66">
        <f t="shared" si="455"/>
        <v>0</v>
      </c>
      <c r="BA190" s="67">
        <f>MAX(0, Table176252626[[#This Row],[Column6]])</f>
        <v>4</v>
      </c>
      <c r="BB190" s="68">
        <v>1</v>
      </c>
      <c r="BC190" s="84">
        <f t="shared" si="377"/>
        <v>4</v>
      </c>
      <c r="BD190" s="83">
        <f t="shared" si="358"/>
        <v>3</v>
      </c>
      <c r="BE190" s="85">
        <v>2</v>
      </c>
      <c r="BF190" s="86">
        <v>45183.372662037036</v>
      </c>
      <c r="BG190" s="72">
        <f t="shared" si="379"/>
        <v>46265</v>
      </c>
      <c r="BH190" s="107">
        <f t="shared" si="456"/>
        <v>1081.6273379629638</v>
      </c>
      <c r="BI190" s="80" t="str">
        <f t="shared" si="359"/>
        <v>Dead Stock</v>
      </c>
      <c r="BJ190" s="238">
        <v>33</v>
      </c>
    </row>
    <row r="191" spans="1:62" ht="13">
      <c r="A191" s="75"/>
      <c r="B191" s="76"/>
      <c r="C191" s="77">
        <v>188</v>
      </c>
      <c r="D191" s="119" t="s">
        <v>1516</v>
      </c>
      <c r="E191" s="119">
        <v>16</v>
      </c>
      <c r="F191" s="88" t="s">
        <v>1346</v>
      </c>
      <c r="G191" s="89" t="s">
        <v>1363</v>
      </c>
      <c r="H191" s="89" t="s">
        <v>463</v>
      </c>
      <c r="I191" s="80" t="s">
        <v>458</v>
      </c>
      <c r="J191" s="82">
        <f t="shared" si="438"/>
        <v>3</v>
      </c>
      <c r="K191" s="80">
        <v>4</v>
      </c>
      <c r="L191" s="57"/>
      <c r="M191" s="58"/>
      <c r="N191" s="59">
        <f t="shared" si="439"/>
        <v>4</v>
      </c>
      <c r="O191" s="60"/>
      <c r="P191" s="58"/>
      <c r="Q191" s="59">
        <f t="shared" si="440"/>
        <v>4</v>
      </c>
      <c r="R191" s="60"/>
      <c r="S191" s="58"/>
      <c r="T191" s="61">
        <f t="shared" si="441"/>
        <v>4</v>
      </c>
      <c r="U191" s="60"/>
      <c r="V191" s="58"/>
      <c r="W191" s="59">
        <f t="shared" si="442"/>
        <v>4</v>
      </c>
      <c r="X191" s="60"/>
      <c r="Y191" s="58"/>
      <c r="Z191" s="61">
        <f t="shared" si="443"/>
        <v>4</v>
      </c>
      <c r="AA191" s="60"/>
      <c r="AB191" s="58"/>
      <c r="AC191" s="59">
        <f t="shared" si="444"/>
        <v>4</v>
      </c>
      <c r="AD191" s="57"/>
      <c r="AE191" s="58"/>
      <c r="AF191" s="243">
        <f t="shared" si="445"/>
        <v>4</v>
      </c>
      <c r="AG191" s="60"/>
      <c r="AH191" s="58">
        <v>1</v>
      </c>
      <c r="AI191" s="62">
        <f t="shared" si="446"/>
        <v>3</v>
      </c>
      <c r="AJ191" s="60"/>
      <c r="AK191" s="58"/>
      <c r="AL191" s="62">
        <f t="shared" si="447"/>
        <v>3</v>
      </c>
      <c r="AM191" s="60"/>
      <c r="AN191" s="58"/>
      <c r="AO191" s="62">
        <f t="shared" si="448"/>
        <v>3</v>
      </c>
      <c r="AP191" s="60"/>
      <c r="AQ191" s="58"/>
      <c r="AR191" s="62">
        <f t="shared" si="449"/>
        <v>3</v>
      </c>
      <c r="AS191" s="60"/>
      <c r="AT191" s="58"/>
      <c r="AU191" s="62">
        <f t="shared" si="450"/>
        <v>3</v>
      </c>
      <c r="AV191" s="83">
        <f t="shared" si="451"/>
        <v>0</v>
      </c>
      <c r="AW191" s="83">
        <f t="shared" si="452"/>
        <v>1</v>
      </c>
      <c r="AX191" s="64">
        <f t="shared" si="453"/>
        <v>1</v>
      </c>
      <c r="AY191" s="65">
        <f t="shared" si="454"/>
        <v>1</v>
      </c>
      <c r="AZ191" s="66">
        <f t="shared" si="455"/>
        <v>1</v>
      </c>
      <c r="BA191" s="67">
        <f>MAX(0, Table176252626[[#This Row],[Column6]])</f>
        <v>3</v>
      </c>
      <c r="BB191" s="68">
        <v>1</v>
      </c>
      <c r="BC191" s="84">
        <f t="shared" si="377"/>
        <v>3</v>
      </c>
      <c r="BD191" s="83">
        <f t="shared" si="358"/>
        <v>2</v>
      </c>
      <c r="BE191" s="85">
        <v>2</v>
      </c>
      <c r="BF191" s="86">
        <v>45183.372662037036</v>
      </c>
      <c r="BG191" s="72">
        <f t="shared" si="379"/>
        <v>46265</v>
      </c>
      <c r="BH191" s="107">
        <f t="shared" si="456"/>
        <v>1081.6273379629638</v>
      </c>
      <c r="BI191" s="80" t="str">
        <f t="shared" si="359"/>
        <v>Dead Stock</v>
      </c>
      <c r="BJ191" s="238">
        <v>28</v>
      </c>
    </row>
    <row r="192" spans="1:62" ht="13">
      <c r="A192" s="90"/>
      <c r="B192" s="91"/>
      <c r="C192" s="77">
        <v>189</v>
      </c>
      <c r="D192" s="119" t="s">
        <v>1516</v>
      </c>
      <c r="E192" s="119">
        <v>18</v>
      </c>
      <c r="F192" s="80" t="s">
        <v>939</v>
      </c>
      <c r="G192" s="81" t="s">
        <v>940</v>
      </c>
      <c r="H192" s="81" t="s">
        <v>289</v>
      </c>
      <c r="I192" s="80" t="s">
        <v>458</v>
      </c>
      <c r="J192" s="82">
        <f t="shared" si="438"/>
        <v>2</v>
      </c>
      <c r="K192" s="80">
        <v>2</v>
      </c>
      <c r="L192" s="57"/>
      <c r="M192" s="58"/>
      <c r="N192" s="59">
        <f t="shared" si="439"/>
        <v>2</v>
      </c>
      <c r="O192" s="60"/>
      <c r="P192" s="58"/>
      <c r="Q192" s="59">
        <f t="shared" si="440"/>
        <v>2</v>
      </c>
      <c r="R192" s="60"/>
      <c r="S192" s="58"/>
      <c r="T192" s="61">
        <f t="shared" si="441"/>
        <v>2</v>
      </c>
      <c r="U192" s="60"/>
      <c r="V192" s="58"/>
      <c r="W192" s="59">
        <f t="shared" si="442"/>
        <v>2</v>
      </c>
      <c r="X192" s="60"/>
      <c r="Y192" s="58"/>
      <c r="Z192" s="61">
        <f t="shared" si="443"/>
        <v>2</v>
      </c>
      <c r="AA192" s="60"/>
      <c r="AB192" s="58"/>
      <c r="AC192" s="59">
        <f t="shared" si="444"/>
        <v>2</v>
      </c>
      <c r="AD192" s="57"/>
      <c r="AE192" s="58"/>
      <c r="AF192" s="243">
        <f t="shared" si="445"/>
        <v>2</v>
      </c>
      <c r="AG192" s="60"/>
      <c r="AH192" s="58"/>
      <c r="AI192" s="62">
        <f t="shared" si="446"/>
        <v>2</v>
      </c>
      <c r="AJ192" s="60"/>
      <c r="AK192" s="58"/>
      <c r="AL192" s="62">
        <f t="shared" si="447"/>
        <v>2</v>
      </c>
      <c r="AM192" s="60"/>
      <c r="AN192" s="58"/>
      <c r="AO192" s="62">
        <f t="shared" si="448"/>
        <v>2</v>
      </c>
      <c r="AP192" s="60"/>
      <c r="AQ192" s="58"/>
      <c r="AR192" s="62">
        <f t="shared" ref="AR192:AR199" si="457">SUM(AO192+AP192-AQ192)</f>
        <v>2</v>
      </c>
      <c r="AS192" s="60"/>
      <c r="AT192" s="58"/>
      <c r="AU192" s="62">
        <f t="shared" si="450"/>
        <v>2</v>
      </c>
      <c r="AV192" s="83">
        <f t="shared" si="451"/>
        <v>0</v>
      </c>
      <c r="AW192" s="83">
        <f t="shared" si="452"/>
        <v>0</v>
      </c>
      <c r="AX192" s="64">
        <f t="shared" si="453"/>
        <v>0</v>
      </c>
      <c r="AY192" s="65" t="e">
        <f t="shared" si="454"/>
        <v>#DIV/0!</v>
      </c>
      <c r="AZ192" s="66">
        <f t="shared" si="455"/>
        <v>0</v>
      </c>
      <c r="BA192" s="67">
        <f>MAX(0, Table176252626[[#This Row],[Column6]])</f>
        <v>2</v>
      </c>
      <c r="BB192" s="68">
        <v>1</v>
      </c>
      <c r="BC192" s="84">
        <f t="shared" si="377"/>
        <v>2</v>
      </c>
      <c r="BD192" s="83">
        <f t="shared" si="358"/>
        <v>1</v>
      </c>
      <c r="BE192" s="85">
        <v>2</v>
      </c>
      <c r="BF192" s="86">
        <v>44434.538078703707</v>
      </c>
      <c r="BG192" s="72">
        <f t="shared" si="379"/>
        <v>46265</v>
      </c>
      <c r="BH192" s="87">
        <f t="shared" si="456"/>
        <v>1830.4619212962934</v>
      </c>
      <c r="BI192" s="80" t="str">
        <f t="shared" si="359"/>
        <v>Dead Stock</v>
      </c>
      <c r="BJ192" s="238">
        <v>790</v>
      </c>
    </row>
    <row r="193" spans="1:62" ht="13">
      <c r="A193" s="49"/>
      <c r="B193" s="50"/>
      <c r="C193" s="51">
        <v>190</v>
      </c>
      <c r="D193" s="119" t="s">
        <v>1516</v>
      </c>
      <c r="E193" s="119">
        <v>19</v>
      </c>
      <c r="F193" s="80" t="s">
        <v>581</v>
      </c>
      <c r="G193" s="81" t="s">
        <v>592</v>
      </c>
      <c r="H193" s="81" t="s">
        <v>290</v>
      </c>
      <c r="I193" s="80" t="s">
        <v>458</v>
      </c>
      <c r="J193" s="82">
        <f t="shared" si="438"/>
        <v>5</v>
      </c>
      <c r="K193" s="80">
        <v>5</v>
      </c>
      <c r="L193" s="57"/>
      <c r="M193" s="58"/>
      <c r="N193" s="59">
        <f t="shared" si="439"/>
        <v>5</v>
      </c>
      <c r="O193" s="60"/>
      <c r="P193" s="58"/>
      <c r="Q193" s="59">
        <f t="shared" si="440"/>
        <v>5</v>
      </c>
      <c r="R193" s="60"/>
      <c r="S193" s="58"/>
      <c r="T193" s="61">
        <f t="shared" si="441"/>
        <v>5</v>
      </c>
      <c r="U193" s="60"/>
      <c r="V193" s="58"/>
      <c r="W193" s="59">
        <f t="shared" si="442"/>
        <v>5</v>
      </c>
      <c r="X193" s="60"/>
      <c r="Y193" s="58"/>
      <c r="Z193" s="61">
        <f t="shared" si="443"/>
        <v>5</v>
      </c>
      <c r="AA193" s="60"/>
      <c r="AB193" s="58"/>
      <c r="AC193" s="59">
        <f t="shared" si="444"/>
        <v>5</v>
      </c>
      <c r="AD193" s="57"/>
      <c r="AE193" s="58"/>
      <c r="AF193" s="243">
        <f t="shared" si="445"/>
        <v>5</v>
      </c>
      <c r="AG193" s="60"/>
      <c r="AH193" s="58"/>
      <c r="AI193" s="62">
        <f t="shared" si="446"/>
        <v>5</v>
      </c>
      <c r="AJ193" s="60"/>
      <c r="AK193" s="58"/>
      <c r="AL193" s="62">
        <f t="shared" si="447"/>
        <v>5</v>
      </c>
      <c r="AM193" s="60"/>
      <c r="AN193" s="58"/>
      <c r="AO193" s="62">
        <f t="shared" si="448"/>
        <v>5</v>
      </c>
      <c r="AP193" s="60"/>
      <c r="AQ193" s="58"/>
      <c r="AR193" s="62">
        <f t="shared" si="457"/>
        <v>5</v>
      </c>
      <c r="AS193" s="60"/>
      <c r="AT193" s="58"/>
      <c r="AU193" s="62">
        <f t="shared" si="450"/>
        <v>5</v>
      </c>
      <c r="AV193" s="83">
        <f t="shared" si="451"/>
        <v>0</v>
      </c>
      <c r="AW193" s="83">
        <f t="shared" si="452"/>
        <v>0</v>
      </c>
      <c r="AX193" s="64">
        <f t="shared" si="453"/>
        <v>0</v>
      </c>
      <c r="AY193" s="65" t="e">
        <f t="shared" si="454"/>
        <v>#DIV/0!</v>
      </c>
      <c r="AZ193" s="66">
        <f t="shared" si="455"/>
        <v>0</v>
      </c>
      <c r="BA193" s="67">
        <f>MAX(0, Table176252626[[#This Row],[Column6]])</f>
        <v>5</v>
      </c>
      <c r="BB193" s="68">
        <v>1</v>
      </c>
      <c r="BC193" s="84">
        <f t="shared" si="377"/>
        <v>5</v>
      </c>
      <c r="BD193" s="83">
        <f t="shared" si="358"/>
        <v>4</v>
      </c>
      <c r="BE193" s="85">
        <v>2</v>
      </c>
      <c r="BF193" s="86">
        <v>43327.728252314817</v>
      </c>
      <c r="BG193" s="72">
        <f t="shared" si="379"/>
        <v>46265</v>
      </c>
      <c r="BH193" s="87">
        <f t="shared" si="456"/>
        <v>2937.2717476851831</v>
      </c>
      <c r="BI193" s="80" t="str">
        <f t="shared" si="359"/>
        <v>Dead Stock</v>
      </c>
      <c r="BJ193" s="238">
        <v>335</v>
      </c>
    </row>
    <row r="194" spans="1:62" ht="13">
      <c r="A194" s="75"/>
      <c r="B194" s="76"/>
      <c r="C194" s="51">
        <v>191</v>
      </c>
      <c r="D194" s="119" t="s">
        <v>1516</v>
      </c>
      <c r="E194" s="119">
        <v>20</v>
      </c>
      <c r="F194" s="88" t="s">
        <v>784</v>
      </c>
      <c r="G194" s="89" t="s">
        <v>785</v>
      </c>
      <c r="H194" s="81" t="s">
        <v>299</v>
      </c>
      <c r="I194" s="80" t="s">
        <v>458</v>
      </c>
      <c r="J194" s="82">
        <f t="shared" si="438"/>
        <v>2</v>
      </c>
      <c r="K194" s="80">
        <v>3</v>
      </c>
      <c r="L194" s="57"/>
      <c r="M194" s="58"/>
      <c r="N194" s="59">
        <f t="shared" si="439"/>
        <v>3</v>
      </c>
      <c r="O194" s="60"/>
      <c r="P194" s="58"/>
      <c r="Q194" s="59">
        <f t="shared" si="440"/>
        <v>3</v>
      </c>
      <c r="R194" s="60"/>
      <c r="S194" s="58"/>
      <c r="T194" s="61">
        <f t="shared" si="441"/>
        <v>3</v>
      </c>
      <c r="U194" s="60"/>
      <c r="V194" s="58"/>
      <c r="W194" s="59">
        <f t="shared" si="442"/>
        <v>3</v>
      </c>
      <c r="X194" s="60"/>
      <c r="Y194" s="58"/>
      <c r="Z194" s="61">
        <f t="shared" si="443"/>
        <v>3</v>
      </c>
      <c r="AA194" s="60"/>
      <c r="AB194" s="58">
        <v>1</v>
      </c>
      <c r="AC194" s="59">
        <f t="shared" si="444"/>
        <v>2</v>
      </c>
      <c r="AD194" s="57"/>
      <c r="AE194" s="58"/>
      <c r="AF194" s="243">
        <f t="shared" si="445"/>
        <v>2</v>
      </c>
      <c r="AG194" s="60"/>
      <c r="AH194" s="58"/>
      <c r="AI194" s="62">
        <f t="shared" si="446"/>
        <v>2</v>
      </c>
      <c r="AJ194" s="60"/>
      <c r="AK194" s="58"/>
      <c r="AL194" s="62">
        <f t="shared" si="447"/>
        <v>2</v>
      </c>
      <c r="AM194" s="60"/>
      <c r="AN194" s="58"/>
      <c r="AO194" s="62">
        <f t="shared" si="448"/>
        <v>2</v>
      </c>
      <c r="AP194" s="60"/>
      <c r="AQ194" s="58"/>
      <c r="AR194" s="62">
        <f t="shared" si="457"/>
        <v>2</v>
      </c>
      <c r="AS194" s="60"/>
      <c r="AT194" s="58"/>
      <c r="AU194" s="62">
        <f t="shared" si="450"/>
        <v>2</v>
      </c>
      <c r="AV194" s="83">
        <f t="shared" si="451"/>
        <v>0</v>
      </c>
      <c r="AW194" s="83">
        <f t="shared" si="452"/>
        <v>1</v>
      </c>
      <c r="AX194" s="64">
        <f t="shared" si="453"/>
        <v>1</v>
      </c>
      <c r="AY194" s="65">
        <f t="shared" si="454"/>
        <v>1</v>
      </c>
      <c r="AZ194" s="66">
        <f t="shared" si="455"/>
        <v>1</v>
      </c>
      <c r="BA194" s="67">
        <f>MAX(0, Table176252626[[#This Row],[Column6]])</f>
        <v>2</v>
      </c>
      <c r="BB194" s="68">
        <v>1</v>
      </c>
      <c r="BC194" s="84">
        <f t="shared" si="377"/>
        <v>2</v>
      </c>
      <c r="BD194" s="83">
        <f t="shared" si="358"/>
        <v>1</v>
      </c>
      <c r="BE194" s="85">
        <v>2</v>
      </c>
      <c r="BF194" s="86">
        <v>43808.391805555555</v>
      </c>
      <c r="BG194" s="72">
        <f t="shared" si="379"/>
        <v>46265</v>
      </c>
      <c r="BH194" s="87">
        <f t="shared" si="456"/>
        <v>2456.608194444445</v>
      </c>
      <c r="BI194" s="80" t="str">
        <f t="shared" si="359"/>
        <v>Dead Stock</v>
      </c>
      <c r="BJ194" s="238">
        <v>152</v>
      </c>
    </row>
    <row r="195" spans="1:62" ht="13">
      <c r="A195" s="49"/>
      <c r="B195" s="76"/>
      <c r="C195" s="51">
        <v>192</v>
      </c>
      <c r="D195" s="119" t="s">
        <v>1516</v>
      </c>
      <c r="E195" s="119">
        <v>21</v>
      </c>
      <c r="F195" s="88" t="s">
        <v>786</v>
      </c>
      <c r="G195" s="89" t="s">
        <v>787</v>
      </c>
      <c r="H195" s="81" t="s">
        <v>299</v>
      </c>
      <c r="I195" s="80" t="s">
        <v>458</v>
      </c>
      <c r="J195" s="82">
        <f t="shared" si="438"/>
        <v>5</v>
      </c>
      <c r="K195" s="80">
        <v>6</v>
      </c>
      <c r="L195" s="57"/>
      <c r="M195" s="58"/>
      <c r="N195" s="59">
        <f t="shared" si="439"/>
        <v>6</v>
      </c>
      <c r="O195" s="60"/>
      <c r="P195" s="58"/>
      <c r="Q195" s="59">
        <f t="shared" si="440"/>
        <v>6</v>
      </c>
      <c r="R195" s="60"/>
      <c r="S195" s="58"/>
      <c r="T195" s="61">
        <f t="shared" si="441"/>
        <v>6</v>
      </c>
      <c r="U195" s="60"/>
      <c r="V195" s="58"/>
      <c r="W195" s="59">
        <f t="shared" si="442"/>
        <v>6</v>
      </c>
      <c r="X195" s="60"/>
      <c r="Y195" s="58">
        <v>1</v>
      </c>
      <c r="Z195" s="61">
        <f t="shared" si="443"/>
        <v>5</v>
      </c>
      <c r="AA195" s="60"/>
      <c r="AB195" s="58"/>
      <c r="AC195" s="59">
        <f t="shared" si="444"/>
        <v>5</v>
      </c>
      <c r="AD195" s="57"/>
      <c r="AE195" s="58"/>
      <c r="AF195" s="243">
        <f t="shared" si="445"/>
        <v>5</v>
      </c>
      <c r="AG195" s="60"/>
      <c r="AH195" s="58"/>
      <c r="AI195" s="62">
        <f t="shared" si="446"/>
        <v>5</v>
      </c>
      <c r="AJ195" s="60"/>
      <c r="AK195" s="58"/>
      <c r="AL195" s="62">
        <f t="shared" si="447"/>
        <v>5</v>
      </c>
      <c r="AM195" s="60"/>
      <c r="AN195" s="58"/>
      <c r="AO195" s="62">
        <f t="shared" si="448"/>
        <v>5</v>
      </c>
      <c r="AP195" s="60"/>
      <c r="AQ195" s="58"/>
      <c r="AR195" s="62">
        <f t="shared" si="457"/>
        <v>5</v>
      </c>
      <c r="AS195" s="60"/>
      <c r="AT195" s="58"/>
      <c r="AU195" s="62">
        <f t="shared" si="450"/>
        <v>5</v>
      </c>
      <c r="AV195" s="83">
        <f t="shared" si="451"/>
        <v>0</v>
      </c>
      <c r="AW195" s="83">
        <f t="shared" si="452"/>
        <v>1</v>
      </c>
      <c r="AX195" s="64">
        <f t="shared" si="453"/>
        <v>1</v>
      </c>
      <c r="AY195" s="65">
        <f t="shared" si="454"/>
        <v>1</v>
      </c>
      <c r="AZ195" s="66">
        <f t="shared" si="455"/>
        <v>1</v>
      </c>
      <c r="BA195" s="67">
        <f>MAX(0, Table176252626[[#This Row],[Column6]])</f>
        <v>5</v>
      </c>
      <c r="BB195" s="68">
        <v>1</v>
      </c>
      <c r="BC195" s="84">
        <f t="shared" si="377"/>
        <v>5</v>
      </c>
      <c r="BD195" s="83">
        <f t="shared" si="358"/>
        <v>4</v>
      </c>
      <c r="BE195" s="85">
        <v>2</v>
      </c>
      <c r="BF195" s="86">
        <v>43808.391805555555</v>
      </c>
      <c r="BG195" s="72">
        <f t="shared" si="379"/>
        <v>46265</v>
      </c>
      <c r="BH195" s="87">
        <f t="shared" si="456"/>
        <v>2456.608194444445</v>
      </c>
      <c r="BI195" s="80" t="str">
        <f t="shared" si="359"/>
        <v>Dead Stock</v>
      </c>
      <c r="BJ195" s="238">
        <v>128</v>
      </c>
    </row>
    <row r="196" spans="1:62" ht="13">
      <c r="A196" s="49"/>
      <c r="B196" s="76"/>
      <c r="C196" s="51">
        <v>193</v>
      </c>
      <c r="D196" s="119" t="s">
        <v>1516</v>
      </c>
      <c r="E196" s="119">
        <v>22</v>
      </c>
      <c r="F196" s="88" t="s">
        <v>1140</v>
      </c>
      <c r="G196" s="89" t="s">
        <v>1141</v>
      </c>
      <c r="H196" s="81" t="s">
        <v>289</v>
      </c>
      <c r="I196" s="80" t="s">
        <v>458</v>
      </c>
      <c r="J196" s="82">
        <f t="shared" si="438"/>
        <v>5</v>
      </c>
      <c r="K196" s="80">
        <v>5</v>
      </c>
      <c r="L196" s="57"/>
      <c r="M196" s="58"/>
      <c r="N196" s="59">
        <f t="shared" si="439"/>
        <v>5</v>
      </c>
      <c r="O196" s="60"/>
      <c r="P196" s="58"/>
      <c r="Q196" s="59">
        <f t="shared" si="440"/>
        <v>5</v>
      </c>
      <c r="R196" s="60"/>
      <c r="S196" s="58"/>
      <c r="T196" s="61">
        <f t="shared" si="441"/>
        <v>5</v>
      </c>
      <c r="U196" s="60"/>
      <c r="V196" s="58"/>
      <c r="W196" s="59">
        <f t="shared" si="442"/>
        <v>5</v>
      </c>
      <c r="X196" s="60"/>
      <c r="Y196" s="58"/>
      <c r="Z196" s="61">
        <f t="shared" si="443"/>
        <v>5</v>
      </c>
      <c r="AA196" s="60"/>
      <c r="AB196" s="58"/>
      <c r="AC196" s="59">
        <f t="shared" si="444"/>
        <v>5</v>
      </c>
      <c r="AD196" s="57"/>
      <c r="AE196" s="58"/>
      <c r="AF196" s="243">
        <f t="shared" si="445"/>
        <v>5</v>
      </c>
      <c r="AG196" s="60"/>
      <c r="AH196" s="58"/>
      <c r="AI196" s="62">
        <f t="shared" si="446"/>
        <v>5</v>
      </c>
      <c r="AJ196" s="60"/>
      <c r="AK196" s="58"/>
      <c r="AL196" s="62">
        <f t="shared" si="447"/>
        <v>5</v>
      </c>
      <c r="AM196" s="60"/>
      <c r="AN196" s="58"/>
      <c r="AO196" s="62">
        <f t="shared" si="448"/>
        <v>5</v>
      </c>
      <c r="AP196" s="60"/>
      <c r="AQ196" s="58"/>
      <c r="AR196" s="62">
        <f t="shared" si="457"/>
        <v>5</v>
      </c>
      <c r="AS196" s="60"/>
      <c r="AT196" s="58"/>
      <c r="AU196" s="62">
        <f t="shared" si="450"/>
        <v>5</v>
      </c>
      <c r="AV196" s="83">
        <f t="shared" si="451"/>
        <v>0</v>
      </c>
      <c r="AW196" s="83">
        <f t="shared" si="452"/>
        <v>0</v>
      </c>
      <c r="AX196" s="64">
        <f t="shared" si="453"/>
        <v>0</v>
      </c>
      <c r="AY196" s="65" t="e">
        <f t="shared" si="454"/>
        <v>#DIV/0!</v>
      </c>
      <c r="AZ196" s="66">
        <f t="shared" si="455"/>
        <v>0</v>
      </c>
      <c r="BA196" s="67">
        <f>MAX(0, Table176252626[[#This Row],[Column6]])</f>
        <v>5</v>
      </c>
      <c r="BB196" s="68">
        <v>1</v>
      </c>
      <c r="BC196" s="84">
        <f t="shared" si="377"/>
        <v>5</v>
      </c>
      <c r="BD196" s="83">
        <f t="shared" ref="BD196:BD258" si="458">SUM(BC196-BB196)</f>
        <v>4</v>
      </c>
      <c r="BE196" s="85">
        <v>2</v>
      </c>
      <c r="BF196" s="86">
        <v>44830.570879629631</v>
      </c>
      <c r="BG196" s="72">
        <f t="shared" si="379"/>
        <v>46265</v>
      </c>
      <c r="BH196" s="87">
        <f t="shared" si="456"/>
        <v>1434.4291203703688</v>
      </c>
      <c r="BI196" s="80" t="str">
        <f t="shared" ref="BI196:BI258" si="459">IF(AND(J196&gt;0,BH196&gt;365),"Dead Stock","")</f>
        <v>Dead Stock</v>
      </c>
      <c r="BJ196" s="238">
        <v>675</v>
      </c>
    </row>
    <row r="197" spans="1:62" ht="13">
      <c r="A197" s="49"/>
      <c r="B197" s="50"/>
      <c r="C197" s="77">
        <v>194</v>
      </c>
      <c r="D197" s="119" t="s">
        <v>1516</v>
      </c>
      <c r="E197" s="119">
        <v>23</v>
      </c>
      <c r="F197" s="88" t="s">
        <v>1142</v>
      </c>
      <c r="G197" s="89" t="s">
        <v>1143</v>
      </c>
      <c r="H197" s="81" t="s">
        <v>289</v>
      </c>
      <c r="I197" s="80" t="s">
        <v>458</v>
      </c>
      <c r="J197" s="82">
        <f t="shared" si="438"/>
        <v>4</v>
      </c>
      <c r="K197" s="80">
        <v>4</v>
      </c>
      <c r="L197" s="57"/>
      <c r="M197" s="58"/>
      <c r="N197" s="59">
        <f t="shared" si="439"/>
        <v>4</v>
      </c>
      <c r="O197" s="60"/>
      <c r="P197" s="58"/>
      <c r="Q197" s="59">
        <f t="shared" si="440"/>
        <v>4</v>
      </c>
      <c r="R197" s="60"/>
      <c r="S197" s="58"/>
      <c r="T197" s="61">
        <f t="shared" si="441"/>
        <v>4</v>
      </c>
      <c r="U197" s="60"/>
      <c r="V197" s="58"/>
      <c r="W197" s="59">
        <f t="shared" si="442"/>
        <v>4</v>
      </c>
      <c r="X197" s="60"/>
      <c r="Y197" s="58"/>
      <c r="Z197" s="61">
        <f t="shared" si="443"/>
        <v>4</v>
      </c>
      <c r="AA197" s="60"/>
      <c r="AB197" s="58"/>
      <c r="AC197" s="59">
        <f t="shared" si="444"/>
        <v>4</v>
      </c>
      <c r="AD197" s="57"/>
      <c r="AE197" s="58"/>
      <c r="AF197" s="243">
        <f t="shared" si="445"/>
        <v>4</v>
      </c>
      <c r="AG197" s="60"/>
      <c r="AH197" s="58"/>
      <c r="AI197" s="62">
        <f t="shared" si="446"/>
        <v>4</v>
      </c>
      <c r="AJ197" s="60"/>
      <c r="AK197" s="58"/>
      <c r="AL197" s="62">
        <f t="shared" si="447"/>
        <v>4</v>
      </c>
      <c r="AM197" s="60"/>
      <c r="AN197" s="58"/>
      <c r="AO197" s="62">
        <f t="shared" si="448"/>
        <v>4</v>
      </c>
      <c r="AP197" s="60"/>
      <c r="AQ197" s="58"/>
      <c r="AR197" s="62">
        <f t="shared" si="457"/>
        <v>4</v>
      </c>
      <c r="AS197" s="60"/>
      <c r="AT197" s="58"/>
      <c r="AU197" s="62">
        <f t="shared" si="450"/>
        <v>4</v>
      </c>
      <c r="AV197" s="83">
        <f t="shared" si="451"/>
        <v>0</v>
      </c>
      <c r="AW197" s="83">
        <f t="shared" si="452"/>
        <v>0</v>
      </c>
      <c r="AX197" s="64">
        <f t="shared" si="453"/>
        <v>0</v>
      </c>
      <c r="AY197" s="65" t="e">
        <f t="shared" si="454"/>
        <v>#DIV/0!</v>
      </c>
      <c r="AZ197" s="66">
        <f t="shared" si="455"/>
        <v>0</v>
      </c>
      <c r="BA197" s="67">
        <f>MAX(0, Table176252626[[#This Row],[Column6]])</f>
        <v>4</v>
      </c>
      <c r="BB197" s="68">
        <v>1</v>
      </c>
      <c r="BC197" s="84">
        <f t="shared" si="377"/>
        <v>4</v>
      </c>
      <c r="BD197" s="83">
        <f t="shared" si="458"/>
        <v>3</v>
      </c>
      <c r="BE197" s="85">
        <v>2</v>
      </c>
      <c r="BF197" s="86">
        <v>44830.597002314818</v>
      </c>
      <c r="BG197" s="72">
        <f t="shared" si="379"/>
        <v>46265</v>
      </c>
      <c r="BH197" s="87">
        <f t="shared" si="456"/>
        <v>1434.4029976851816</v>
      </c>
      <c r="BI197" s="80" t="str">
        <f t="shared" si="459"/>
        <v>Dead Stock</v>
      </c>
      <c r="BJ197" s="238">
        <v>970</v>
      </c>
    </row>
    <row r="198" spans="1:62" ht="13">
      <c r="A198" s="75"/>
      <c r="B198" s="76"/>
      <c r="C198" s="77">
        <v>195</v>
      </c>
      <c r="D198" s="119" t="s">
        <v>1516</v>
      </c>
      <c r="E198" s="119">
        <v>24</v>
      </c>
      <c r="F198" s="88" t="s">
        <v>1360</v>
      </c>
      <c r="G198" s="89" t="s">
        <v>1361</v>
      </c>
      <c r="H198" s="89" t="s">
        <v>463</v>
      </c>
      <c r="I198" s="80" t="s">
        <v>458</v>
      </c>
      <c r="J198" s="82">
        <f t="shared" si="438"/>
        <v>2</v>
      </c>
      <c r="K198" s="80">
        <v>2</v>
      </c>
      <c r="L198" s="57"/>
      <c r="M198" s="58"/>
      <c r="N198" s="59">
        <f t="shared" si="439"/>
        <v>2</v>
      </c>
      <c r="O198" s="60"/>
      <c r="P198" s="58"/>
      <c r="Q198" s="59">
        <f t="shared" si="440"/>
        <v>2</v>
      </c>
      <c r="R198" s="60"/>
      <c r="S198" s="58"/>
      <c r="T198" s="61">
        <f t="shared" si="441"/>
        <v>2</v>
      </c>
      <c r="U198" s="60"/>
      <c r="V198" s="58"/>
      <c r="W198" s="59">
        <f t="shared" si="442"/>
        <v>2</v>
      </c>
      <c r="X198" s="60"/>
      <c r="Y198" s="58"/>
      <c r="Z198" s="61">
        <f t="shared" si="443"/>
        <v>2</v>
      </c>
      <c r="AA198" s="60"/>
      <c r="AB198" s="58"/>
      <c r="AC198" s="59">
        <f t="shared" si="444"/>
        <v>2</v>
      </c>
      <c r="AD198" s="57"/>
      <c r="AE198" s="58"/>
      <c r="AF198" s="243">
        <f t="shared" si="445"/>
        <v>2</v>
      </c>
      <c r="AG198" s="60"/>
      <c r="AH198" s="58"/>
      <c r="AI198" s="62">
        <f t="shared" si="446"/>
        <v>2</v>
      </c>
      <c r="AJ198" s="60"/>
      <c r="AK198" s="58"/>
      <c r="AL198" s="62">
        <f t="shared" si="447"/>
        <v>2</v>
      </c>
      <c r="AM198" s="60"/>
      <c r="AN198" s="58"/>
      <c r="AO198" s="62">
        <f t="shared" si="448"/>
        <v>2</v>
      </c>
      <c r="AP198" s="60"/>
      <c r="AQ198" s="58"/>
      <c r="AR198" s="62">
        <f t="shared" si="457"/>
        <v>2</v>
      </c>
      <c r="AS198" s="60"/>
      <c r="AT198" s="58"/>
      <c r="AU198" s="62">
        <f t="shared" si="450"/>
        <v>2</v>
      </c>
      <c r="AV198" s="83">
        <f t="shared" si="451"/>
        <v>0</v>
      </c>
      <c r="AW198" s="83">
        <f t="shared" si="452"/>
        <v>0</v>
      </c>
      <c r="AX198" s="64">
        <f t="shared" si="453"/>
        <v>0</v>
      </c>
      <c r="AY198" s="65" t="e">
        <f t="shared" si="454"/>
        <v>#DIV/0!</v>
      </c>
      <c r="AZ198" s="66">
        <f t="shared" si="455"/>
        <v>0</v>
      </c>
      <c r="BA198" s="67">
        <f>MAX(0, Table176252626[[#This Row],[Column6]])</f>
        <v>2</v>
      </c>
      <c r="BB198" s="68">
        <v>2</v>
      </c>
      <c r="BC198" s="84">
        <f t="shared" si="377"/>
        <v>2</v>
      </c>
      <c r="BD198" s="83">
        <f t="shared" si="458"/>
        <v>0</v>
      </c>
      <c r="BE198" s="85">
        <v>2</v>
      </c>
      <c r="BF198" s="86">
        <v>45183.440335648149</v>
      </c>
      <c r="BG198" s="72">
        <f t="shared" si="379"/>
        <v>46265</v>
      </c>
      <c r="BH198" s="87">
        <f t="shared" si="456"/>
        <v>1081.5596643518511</v>
      </c>
      <c r="BI198" s="80" t="str">
        <f t="shared" si="459"/>
        <v>Dead Stock</v>
      </c>
      <c r="BJ198" s="238">
        <v>295</v>
      </c>
    </row>
    <row r="199" spans="1:62" ht="13">
      <c r="A199" s="49"/>
      <c r="B199" s="50"/>
      <c r="C199" s="51">
        <v>196</v>
      </c>
      <c r="D199" s="119" t="s">
        <v>1516</v>
      </c>
      <c r="E199" s="119">
        <v>25</v>
      </c>
      <c r="F199" s="105" t="s">
        <v>565</v>
      </c>
      <c r="G199" s="81" t="s">
        <v>972</v>
      </c>
      <c r="H199" s="89" t="s">
        <v>290</v>
      </c>
      <c r="I199" s="80" t="s">
        <v>458</v>
      </c>
      <c r="J199" s="93">
        <f t="shared" si="438"/>
        <v>4</v>
      </c>
      <c r="K199" s="80">
        <v>7</v>
      </c>
      <c r="L199" s="57"/>
      <c r="M199" s="58"/>
      <c r="N199" s="59">
        <f t="shared" si="439"/>
        <v>7</v>
      </c>
      <c r="O199" s="60"/>
      <c r="P199" s="58"/>
      <c r="Q199" s="59">
        <f t="shared" si="440"/>
        <v>7</v>
      </c>
      <c r="R199" s="60"/>
      <c r="S199" s="58"/>
      <c r="T199" s="61">
        <f t="shared" si="441"/>
        <v>7</v>
      </c>
      <c r="U199" s="60"/>
      <c r="V199" s="58"/>
      <c r="W199" s="59">
        <f t="shared" si="442"/>
        <v>7</v>
      </c>
      <c r="X199" s="60"/>
      <c r="Y199" s="58"/>
      <c r="Z199" s="61">
        <f t="shared" si="443"/>
        <v>7</v>
      </c>
      <c r="AA199" s="60"/>
      <c r="AB199" s="58">
        <v>3</v>
      </c>
      <c r="AC199" s="59">
        <f t="shared" si="444"/>
        <v>4</v>
      </c>
      <c r="AD199" s="57"/>
      <c r="AE199" s="58"/>
      <c r="AF199" s="243">
        <f t="shared" si="445"/>
        <v>4</v>
      </c>
      <c r="AG199" s="60"/>
      <c r="AH199" s="58"/>
      <c r="AI199" s="62">
        <f t="shared" si="446"/>
        <v>4</v>
      </c>
      <c r="AJ199" s="60"/>
      <c r="AK199" s="58"/>
      <c r="AL199" s="62">
        <f t="shared" si="447"/>
        <v>4</v>
      </c>
      <c r="AM199" s="60"/>
      <c r="AN199" s="58"/>
      <c r="AO199" s="62">
        <f t="shared" si="448"/>
        <v>4</v>
      </c>
      <c r="AP199" s="60"/>
      <c r="AQ199" s="58"/>
      <c r="AR199" s="62">
        <f t="shared" si="457"/>
        <v>4</v>
      </c>
      <c r="AS199" s="60"/>
      <c r="AT199" s="58"/>
      <c r="AU199" s="62">
        <f t="shared" si="450"/>
        <v>4</v>
      </c>
      <c r="AV199" s="83">
        <f t="shared" si="451"/>
        <v>0</v>
      </c>
      <c r="AW199" s="83">
        <f t="shared" si="452"/>
        <v>3</v>
      </c>
      <c r="AX199" s="64">
        <f t="shared" si="453"/>
        <v>3</v>
      </c>
      <c r="AY199" s="65">
        <f t="shared" si="454"/>
        <v>3</v>
      </c>
      <c r="AZ199" s="66">
        <f t="shared" si="455"/>
        <v>1</v>
      </c>
      <c r="BA199" s="67">
        <f>MAX(0, Table176252626[[#This Row],[Column6]])</f>
        <v>4</v>
      </c>
      <c r="BB199" s="68">
        <v>1</v>
      </c>
      <c r="BC199" s="84">
        <f t="shared" ref="BC199:BC261" si="460">J199</f>
        <v>4</v>
      </c>
      <c r="BD199" s="83">
        <f t="shared" si="458"/>
        <v>3</v>
      </c>
      <c r="BE199" s="85">
        <v>2</v>
      </c>
      <c r="BF199" s="86">
        <v>45574.469074074077</v>
      </c>
      <c r="BG199" s="72">
        <f t="shared" si="379"/>
        <v>46265</v>
      </c>
      <c r="BH199" s="87">
        <f t="shared" si="456"/>
        <v>690.53092592592293</v>
      </c>
      <c r="BI199" s="80" t="str">
        <f t="shared" si="459"/>
        <v>Dead Stock</v>
      </c>
      <c r="BJ199" s="238">
        <v>135</v>
      </c>
    </row>
    <row r="200" spans="1:62" ht="13">
      <c r="A200" s="49"/>
      <c r="B200" s="50"/>
      <c r="C200" s="51">
        <v>197</v>
      </c>
      <c r="D200" s="119" t="s">
        <v>1516</v>
      </c>
      <c r="E200" s="119">
        <v>27</v>
      </c>
      <c r="F200" s="105" t="s">
        <v>563</v>
      </c>
      <c r="G200" s="81" t="s">
        <v>569</v>
      </c>
      <c r="H200" s="89" t="s">
        <v>290</v>
      </c>
      <c r="I200" s="80" t="s">
        <v>458</v>
      </c>
      <c r="J200" s="93">
        <f t="shared" si="438"/>
        <v>1</v>
      </c>
      <c r="K200" s="80">
        <v>2</v>
      </c>
      <c r="L200" s="57"/>
      <c r="M200" s="58"/>
      <c r="N200" s="59">
        <f t="shared" si="439"/>
        <v>2</v>
      </c>
      <c r="O200" s="60"/>
      <c r="P200" s="58"/>
      <c r="Q200" s="59">
        <f t="shared" si="440"/>
        <v>2</v>
      </c>
      <c r="R200" s="60"/>
      <c r="S200" s="58"/>
      <c r="T200" s="61">
        <f t="shared" si="441"/>
        <v>2</v>
      </c>
      <c r="U200" s="60"/>
      <c r="V200" s="58"/>
      <c r="W200" s="59">
        <f t="shared" si="442"/>
        <v>2</v>
      </c>
      <c r="X200" s="60"/>
      <c r="Y200" s="58"/>
      <c r="Z200" s="61">
        <f t="shared" si="443"/>
        <v>2</v>
      </c>
      <c r="AA200" s="60"/>
      <c r="AB200" s="58">
        <v>1</v>
      </c>
      <c r="AC200" s="59">
        <f t="shared" si="444"/>
        <v>1</v>
      </c>
      <c r="AD200" s="57"/>
      <c r="AE200" s="58"/>
      <c r="AF200" s="243">
        <f t="shared" si="445"/>
        <v>1</v>
      </c>
      <c r="AG200" s="60"/>
      <c r="AH200" s="58"/>
      <c r="AI200" s="62">
        <f t="shared" si="446"/>
        <v>1</v>
      </c>
      <c r="AJ200" s="60"/>
      <c r="AK200" s="58"/>
      <c r="AL200" s="62">
        <f t="shared" si="447"/>
        <v>1</v>
      </c>
      <c r="AM200" s="60"/>
      <c r="AN200" s="58"/>
      <c r="AO200" s="62">
        <f t="shared" si="448"/>
        <v>1</v>
      </c>
      <c r="AP200" s="60"/>
      <c r="AQ200" s="58"/>
      <c r="AR200" s="62">
        <f t="shared" ref="AR200:AR212" si="461">SUM(AO200+AP200-AQ200)</f>
        <v>1</v>
      </c>
      <c r="AS200" s="60"/>
      <c r="AT200" s="58"/>
      <c r="AU200" s="62">
        <f t="shared" si="450"/>
        <v>1</v>
      </c>
      <c r="AV200" s="83">
        <f t="shared" si="451"/>
        <v>0</v>
      </c>
      <c r="AW200" s="83">
        <f t="shared" si="452"/>
        <v>1</v>
      </c>
      <c r="AX200" s="64">
        <f t="shared" si="453"/>
        <v>1</v>
      </c>
      <c r="AY200" s="65">
        <f t="shared" si="454"/>
        <v>1</v>
      </c>
      <c r="AZ200" s="66">
        <f t="shared" si="455"/>
        <v>1</v>
      </c>
      <c r="BA200" s="67">
        <f>MAX(0, Table176252626[[#This Row],[Column6]])</f>
        <v>1</v>
      </c>
      <c r="BB200" s="68">
        <v>0</v>
      </c>
      <c r="BC200" s="84">
        <f t="shared" si="460"/>
        <v>1</v>
      </c>
      <c r="BD200" s="83">
        <f t="shared" si="458"/>
        <v>1</v>
      </c>
      <c r="BE200" s="85">
        <v>2</v>
      </c>
      <c r="BF200" s="86">
        <v>43299.428900462961</v>
      </c>
      <c r="BG200" s="72">
        <f t="shared" si="379"/>
        <v>46265</v>
      </c>
      <c r="BH200" s="87">
        <f t="shared" si="456"/>
        <v>2965.5710995370391</v>
      </c>
      <c r="BI200" s="80" t="str">
        <f t="shared" si="459"/>
        <v>Dead Stock</v>
      </c>
      <c r="BJ200" s="238">
        <v>135</v>
      </c>
    </row>
    <row r="201" spans="1:62" ht="13">
      <c r="A201" s="75"/>
      <c r="B201" s="76"/>
      <c r="C201" s="51">
        <v>198</v>
      </c>
      <c r="D201" s="119" t="s">
        <v>1516</v>
      </c>
      <c r="E201" s="119">
        <v>28</v>
      </c>
      <c r="F201" s="88" t="s">
        <v>1338</v>
      </c>
      <c r="G201" s="89" t="s">
        <v>1339</v>
      </c>
      <c r="H201" s="89" t="s">
        <v>463</v>
      </c>
      <c r="I201" s="80" t="s">
        <v>458</v>
      </c>
      <c r="J201" s="82">
        <f t="shared" si="438"/>
        <v>1</v>
      </c>
      <c r="K201" s="88">
        <v>1</v>
      </c>
      <c r="L201" s="57"/>
      <c r="M201" s="58"/>
      <c r="N201" s="59">
        <f t="shared" si="439"/>
        <v>1</v>
      </c>
      <c r="O201" s="60"/>
      <c r="P201" s="58"/>
      <c r="Q201" s="59">
        <f t="shared" si="440"/>
        <v>1</v>
      </c>
      <c r="R201" s="60"/>
      <c r="S201" s="58"/>
      <c r="T201" s="61">
        <f t="shared" si="441"/>
        <v>1</v>
      </c>
      <c r="U201" s="60"/>
      <c r="V201" s="58"/>
      <c r="W201" s="59">
        <f t="shared" si="442"/>
        <v>1</v>
      </c>
      <c r="X201" s="60"/>
      <c r="Y201" s="58"/>
      <c r="Z201" s="61">
        <f t="shared" si="443"/>
        <v>1</v>
      </c>
      <c r="AA201" s="60"/>
      <c r="AB201" s="58"/>
      <c r="AC201" s="59">
        <f t="shared" si="444"/>
        <v>1</v>
      </c>
      <c r="AD201" s="57"/>
      <c r="AE201" s="58"/>
      <c r="AF201" s="243">
        <f t="shared" si="445"/>
        <v>1</v>
      </c>
      <c r="AG201" s="60"/>
      <c r="AH201" s="58"/>
      <c r="AI201" s="62">
        <f t="shared" si="446"/>
        <v>1</v>
      </c>
      <c r="AJ201" s="60"/>
      <c r="AK201" s="58"/>
      <c r="AL201" s="62">
        <f t="shared" si="447"/>
        <v>1</v>
      </c>
      <c r="AM201" s="60"/>
      <c r="AN201" s="58"/>
      <c r="AO201" s="62">
        <f t="shared" si="448"/>
        <v>1</v>
      </c>
      <c r="AP201" s="60"/>
      <c r="AQ201" s="58"/>
      <c r="AR201" s="62">
        <f t="shared" si="461"/>
        <v>1</v>
      </c>
      <c r="AS201" s="60"/>
      <c r="AT201" s="58"/>
      <c r="AU201" s="62">
        <f t="shared" si="450"/>
        <v>1</v>
      </c>
      <c r="AV201" s="83">
        <f t="shared" si="451"/>
        <v>0</v>
      </c>
      <c r="AW201" s="83">
        <f t="shared" si="452"/>
        <v>0</v>
      </c>
      <c r="AX201" s="64">
        <f t="shared" si="453"/>
        <v>0</v>
      </c>
      <c r="AY201" s="65" t="e">
        <f t="shared" si="454"/>
        <v>#DIV/0!</v>
      </c>
      <c r="AZ201" s="66">
        <f t="shared" si="455"/>
        <v>0</v>
      </c>
      <c r="BA201" s="67">
        <v>1</v>
      </c>
      <c r="BB201" s="68">
        <v>0</v>
      </c>
      <c r="BC201" s="84">
        <f t="shared" si="460"/>
        <v>1</v>
      </c>
      <c r="BD201" s="83">
        <f t="shared" si="458"/>
        <v>1</v>
      </c>
      <c r="BE201" s="85">
        <v>2</v>
      </c>
      <c r="BF201" s="86">
        <v>45160.49391203704</v>
      </c>
      <c r="BG201" s="72">
        <f t="shared" si="379"/>
        <v>46265</v>
      </c>
      <c r="BH201" s="87">
        <f t="shared" si="456"/>
        <v>1104.50608796296</v>
      </c>
      <c r="BI201" s="80" t="str">
        <f t="shared" si="459"/>
        <v>Dead Stock</v>
      </c>
      <c r="BJ201" s="238">
        <v>2300</v>
      </c>
    </row>
    <row r="202" spans="1:62" ht="13">
      <c r="A202" s="75"/>
      <c r="B202" s="76"/>
      <c r="C202" s="51">
        <v>199</v>
      </c>
      <c r="D202" s="119" t="s">
        <v>1516</v>
      </c>
      <c r="E202" s="119">
        <v>29</v>
      </c>
      <c r="F202" s="120" t="s">
        <v>1267</v>
      </c>
      <c r="G202" s="118" t="s">
        <v>1268</v>
      </c>
      <c r="H202" s="89" t="s">
        <v>290</v>
      </c>
      <c r="I202" s="80" t="s">
        <v>364</v>
      </c>
      <c r="J202" s="82">
        <f t="shared" si="438"/>
        <v>2</v>
      </c>
      <c r="K202" s="80">
        <v>2</v>
      </c>
      <c r="L202" s="57"/>
      <c r="M202" s="58"/>
      <c r="N202" s="59">
        <f t="shared" si="439"/>
        <v>2</v>
      </c>
      <c r="O202" s="60"/>
      <c r="P202" s="58"/>
      <c r="Q202" s="59">
        <f t="shared" si="440"/>
        <v>2</v>
      </c>
      <c r="R202" s="60"/>
      <c r="S202" s="58"/>
      <c r="T202" s="61">
        <f t="shared" si="441"/>
        <v>2</v>
      </c>
      <c r="U202" s="60"/>
      <c r="V202" s="58"/>
      <c r="W202" s="59">
        <f t="shared" si="442"/>
        <v>2</v>
      </c>
      <c r="X202" s="60"/>
      <c r="Y202" s="58"/>
      <c r="Z202" s="61">
        <f t="shared" si="443"/>
        <v>2</v>
      </c>
      <c r="AA202" s="60"/>
      <c r="AB202" s="58"/>
      <c r="AC202" s="59">
        <f t="shared" si="444"/>
        <v>2</v>
      </c>
      <c r="AD202" s="57"/>
      <c r="AE202" s="58"/>
      <c r="AF202" s="243">
        <f t="shared" si="445"/>
        <v>2</v>
      </c>
      <c r="AG202" s="60"/>
      <c r="AH202" s="58"/>
      <c r="AI202" s="62">
        <f t="shared" si="446"/>
        <v>2</v>
      </c>
      <c r="AJ202" s="60"/>
      <c r="AK202" s="58"/>
      <c r="AL202" s="62">
        <f t="shared" si="447"/>
        <v>2</v>
      </c>
      <c r="AM202" s="60"/>
      <c r="AN202" s="58"/>
      <c r="AO202" s="62">
        <f t="shared" si="448"/>
        <v>2</v>
      </c>
      <c r="AP202" s="60"/>
      <c r="AQ202" s="58"/>
      <c r="AR202" s="62">
        <f t="shared" si="461"/>
        <v>2</v>
      </c>
      <c r="AS202" s="60"/>
      <c r="AT202" s="58"/>
      <c r="AU202" s="62">
        <f t="shared" si="450"/>
        <v>2</v>
      </c>
      <c r="AV202" s="83">
        <f t="shared" ref="AV202:AW202" si="462">SUM(L202+O202+R202+U202+X202+AA202+AD202+AG202+AJ202+AM202+AP202+AS202)</f>
        <v>0</v>
      </c>
      <c r="AW202" s="83">
        <f t="shared" si="462"/>
        <v>0</v>
      </c>
      <c r="AX202" s="64">
        <f t="shared" si="453"/>
        <v>0</v>
      </c>
      <c r="AY202" s="65" t="e">
        <f t="shared" si="454"/>
        <v>#DIV/0!</v>
      </c>
      <c r="AZ202" s="66">
        <f t="shared" si="455"/>
        <v>0</v>
      </c>
      <c r="BA202" s="67">
        <v>2</v>
      </c>
      <c r="BB202" s="68">
        <v>1</v>
      </c>
      <c r="BC202" s="84">
        <f t="shared" si="460"/>
        <v>2</v>
      </c>
      <c r="BD202" s="83">
        <f t="shared" si="458"/>
        <v>1</v>
      </c>
      <c r="BE202" s="85">
        <v>2</v>
      </c>
      <c r="BF202" s="86">
        <v>44999.596701388888</v>
      </c>
      <c r="BG202" s="72">
        <f t="shared" ref="BG202:BG265" si="463">BG201</f>
        <v>46265</v>
      </c>
      <c r="BH202" s="107">
        <f t="shared" si="456"/>
        <v>1265.4032986111124</v>
      </c>
      <c r="BI202" s="80" t="str">
        <f t="shared" si="459"/>
        <v>Dead Stock</v>
      </c>
      <c r="BJ202" s="238">
        <v>2630</v>
      </c>
    </row>
    <row r="203" spans="1:62" ht="13">
      <c r="A203" s="49"/>
      <c r="B203" s="76"/>
      <c r="C203" s="77">
        <v>200</v>
      </c>
      <c r="D203" s="119" t="s">
        <v>1516</v>
      </c>
      <c r="E203" s="119">
        <v>30</v>
      </c>
      <c r="F203" s="80" t="s">
        <v>582</v>
      </c>
      <c r="G203" s="81" t="s">
        <v>593</v>
      </c>
      <c r="H203" s="81" t="s">
        <v>290</v>
      </c>
      <c r="I203" s="80" t="s">
        <v>458</v>
      </c>
      <c r="J203" s="82">
        <f t="shared" si="438"/>
        <v>9</v>
      </c>
      <c r="K203" s="80">
        <v>9</v>
      </c>
      <c r="L203" s="57"/>
      <c r="M203" s="58"/>
      <c r="N203" s="59">
        <f t="shared" si="439"/>
        <v>9</v>
      </c>
      <c r="O203" s="60"/>
      <c r="P203" s="58"/>
      <c r="Q203" s="59">
        <f t="shared" si="440"/>
        <v>9</v>
      </c>
      <c r="R203" s="60"/>
      <c r="S203" s="58"/>
      <c r="T203" s="61">
        <f t="shared" si="441"/>
        <v>9</v>
      </c>
      <c r="U203" s="60"/>
      <c r="V203" s="58"/>
      <c r="W203" s="59">
        <f t="shared" si="442"/>
        <v>9</v>
      </c>
      <c r="X203" s="60"/>
      <c r="Y203" s="58"/>
      <c r="Z203" s="61">
        <f t="shared" si="443"/>
        <v>9</v>
      </c>
      <c r="AA203" s="60"/>
      <c r="AB203" s="58"/>
      <c r="AC203" s="59">
        <f t="shared" si="444"/>
        <v>9</v>
      </c>
      <c r="AD203" s="57"/>
      <c r="AE203" s="58"/>
      <c r="AF203" s="243">
        <f t="shared" si="445"/>
        <v>9</v>
      </c>
      <c r="AG203" s="60"/>
      <c r="AH203" s="58"/>
      <c r="AI203" s="62">
        <f t="shared" si="446"/>
        <v>9</v>
      </c>
      <c r="AJ203" s="60"/>
      <c r="AK203" s="58"/>
      <c r="AL203" s="62">
        <f t="shared" si="447"/>
        <v>9</v>
      </c>
      <c r="AM203" s="60"/>
      <c r="AN203" s="58"/>
      <c r="AO203" s="62">
        <f t="shared" si="448"/>
        <v>9</v>
      </c>
      <c r="AP203" s="60"/>
      <c r="AQ203" s="58"/>
      <c r="AR203" s="62">
        <f t="shared" si="461"/>
        <v>9</v>
      </c>
      <c r="AS203" s="60"/>
      <c r="AT203" s="58"/>
      <c r="AU203" s="62">
        <f t="shared" si="450"/>
        <v>9</v>
      </c>
      <c r="AV203" s="83">
        <f t="shared" ref="AV203:AV212" si="464">SUM(L203+O203+R203+U203+X203+AA203+AD203+AG203+AJ203+AM203+AP203+AS203)</f>
        <v>0</v>
      </c>
      <c r="AW203" s="83">
        <f t="shared" ref="AW203:AW212" si="465">SUM(M203+P203+S203+V203+Y203+AB203+AE203+AH203+AK203+AN203+AQ203+AT203)</f>
        <v>0</v>
      </c>
      <c r="AX203" s="64">
        <f t="shared" si="453"/>
        <v>0</v>
      </c>
      <c r="AY203" s="65" t="e">
        <f t="shared" si="454"/>
        <v>#DIV/0!</v>
      </c>
      <c r="AZ203" s="66">
        <f t="shared" si="455"/>
        <v>0</v>
      </c>
      <c r="BA203" s="67">
        <v>9</v>
      </c>
      <c r="BB203" s="68">
        <v>1</v>
      </c>
      <c r="BC203" s="84">
        <f t="shared" si="460"/>
        <v>9</v>
      </c>
      <c r="BD203" s="83">
        <f t="shared" si="458"/>
        <v>8</v>
      </c>
      <c r="BE203" s="85">
        <v>2</v>
      </c>
      <c r="BF203" s="86">
        <v>45146.777048611111</v>
      </c>
      <c r="BG203" s="72">
        <f t="shared" si="463"/>
        <v>46265</v>
      </c>
      <c r="BH203" s="87">
        <f t="shared" si="456"/>
        <v>1118.2229513888888</v>
      </c>
      <c r="BI203" s="80" t="str">
        <f t="shared" si="459"/>
        <v>Dead Stock</v>
      </c>
      <c r="BJ203" s="238">
        <v>335</v>
      </c>
    </row>
    <row r="204" spans="1:62" ht="13">
      <c r="A204" s="49"/>
      <c r="B204" s="50"/>
      <c r="C204" s="77">
        <v>201</v>
      </c>
      <c r="D204" s="119" t="s">
        <v>1516</v>
      </c>
      <c r="E204" s="119">
        <v>32</v>
      </c>
      <c r="F204" s="88" t="s">
        <v>805</v>
      </c>
      <c r="G204" s="89" t="s">
        <v>806</v>
      </c>
      <c r="H204" s="81" t="s">
        <v>292</v>
      </c>
      <c r="I204" s="80" t="s">
        <v>458</v>
      </c>
      <c r="J204" s="82">
        <f t="shared" si="438"/>
        <v>1</v>
      </c>
      <c r="K204" s="80">
        <v>1</v>
      </c>
      <c r="L204" s="57"/>
      <c r="M204" s="58"/>
      <c r="N204" s="59">
        <f t="shared" si="439"/>
        <v>1</v>
      </c>
      <c r="O204" s="60"/>
      <c r="P204" s="58"/>
      <c r="Q204" s="59">
        <f t="shared" si="440"/>
        <v>1</v>
      </c>
      <c r="R204" s="60"/>
      <c r="S204" s="58"/>
      <c r="T204" s="61">
        <f t="shared" si="441"/>
        <v>1</v>
      </c>
      <c r="U204" s="60"/>
      <c r="V204" s="58"/>
      <c r="W204" s="59">
        <f t="shared" si="442"/>
        <v>1</v>
      </c>
      <c r="X204" s="60"/>
      <c r="Y204" s="58"/>
      <c r="Z204" s="61">
        <f t="shared" si="443"/>
        <v>1</v>
      </c>
      <c r="AA204" s="60"/>
      <c r="AB204" s="58"/>
      <c r="AC204" s="59">
        <f t="shared" si="444"/>
        <v>1</v>
      </c>
      <c r="AD204" s="57"/>
      <c r="AE204" s="58"/>
      <c r="AF204" s="243">
        <f t="shared" si="445"/>
        <v>1</v>
      </c>
      <c r="AG204" s="60"/>
      <c r="AH204" s="58"/>
      <c r="AI204" s="62">
        <f t="shared" si="446"/>
        <v>1</v>
      </c>
      <c r="AJ204" s="60"/>
      <c r="AK204" s="58"/>
      <c r="AL204" s="62">
        <f t="shared" si="447"/>
        <v>1</v>
      </c>
      <c r="AM204" s="60"/>
      <c r="AN204" s="58"/>
      <c r="AO204" s="62">
        <f t="shared" si="448"/>
        <v>1</v>
      </c>
      <c r="AP204" s="60"/>
      <c r="AQ204" s="58"/>
      <c r="AR204" s="62">
        <f t="shared" si="461"/>
        <v>1</v>
      </c>
      <c r="AS204" s="60"/>
      <c r="AT204" s="58"/>
      <c r="AU204" s="62">
        <f t="shared" si="450"/>
        <v>1</v>
      </c>
      <c r="AV204" s="83">
        <f t="shared" si="464"/>
        <v>0</v>
      </c>
      <c r="AW204" s="83">
        <f t="shared" si="465"/>
        <v>0</v>
      </c>
      <c r="AX204" s="64">
        <f t="shared" si="453"/>
        <v>0</v>
      </c>
      <c r="AY204" s="65" t="e">
        <f t="shared" si="454"/>
        <v>#DIV/0!</v>
      </c>
      <c r="AZ204" s="66">
        <f t="shared" si="455"/>
        <v>0</v>
      </c>
      <c r="BA204" s="67">
        <f>MAX(0, Table176252626[[#This Row],[Column6]])</f>
        <v>1</v>
      </c>
      <c r="BB204" s="68">
        <v>0</v>
      </c>
      <c r="BC204" s="84">
        <f t="shared" si="460"/>
        <v>1</v>
      </c>
      <c r="BD204" s="83">
        <f t="shared" si="458"/>
        <v>1</v>
      </c>
      <c r="BE204" s="85">
        <v>2</v>
      </c>
      <c r="BF204" s="86">
        <v>43867.47515046296</v>
      </c>
      <c r="BG204" s="72">
        <f t="shared" si="463"/>
        <v>46265</v>
      </c>
      <c r="BH204" s="87">
        <f t="shared" si="456"/>
        <v>2397.5248495370397</v>
      </c>
      <c r="BI204" s="80" t="str">
        <f t="shared" si="459"/>
        <v>Dead Stock</v>
      </c>
      <c r="BJ204" s="238">
        <v>825</v>
      </c>
    </row>
    <row r="205" spans="1:62" ht="13">
      <c r="A205" s="49"/>
      <c r="B205" s="50"/>
      <c r="C205" s="51">
        <v>202</v>
      </c>
      <c r="D205" s="119" t="s">
        <v>1516</v>
      </c>
      <c r="E205" s="119">
        <v>33</v>
      </c>
      <c r="F205" s="105" t="s">
        <v>441</v>
      </c>
      <c r="G205" s="81" t="s">
        <v>1655</v>
      </c>
      <c r="H205" s="81" t="s">
        <v>290</v>
      </c>
      <c r="I205" s="80" t="s">
        <v>458</v>
      </c>
      <c r="J205" s="82">
        <f t="shared" si="438"/>
        <v>8</v>
      </c>
      <c r="K205" s="80">
        <v>8</v>
      </c>
      <c r="L205" s="57"/>
      <c r="M205" s="58"/>
      <c r="N205" s="59">
        <f t="shared" si="439"/>
        <v>8</v>
      </c>
      <c r="O205" s="60"/>
      <c r="P205" s="58"/>
      <c r="Q205" s="59">
        <f t="shared" si="440"/>
        <v>8</v>
      </c>
      <c r="R205" s="60"/>
      <c r="S205" s="58"/>
      <c r="T205" s="61">
        <f t="shared" si="441"/>
        <v>8</v>
      </c>
      <c r="U205" s="60"/>
      <c r="V205" s="58"/>
      <c r="W205" s="59">
        <f t="shared" si="442"/>
        <v>8</v>
      </c>
      <c r="X205" s="60"/>
      <c r="Y205" s="58"/>
      <c r="Z205" s="61">
        <f t="shared" si="443"/>
        <v>8</v>
      </c>
      <c r="AA205" s="60"/>
      <c r="AB205" s="58"/>
      <c r="AC205" s="59">
        <f t="shared" si="444"/>
        <v>8</v>
      </c>
      <c r="AD205" s="57"/>
      <c r="AE205" s="58"/>
      <c r="AF205" s="243">
        <f t="shared" si="445"/>
        <v>8</v>
      </c>
      <c r="AG205" s="60"/>
      <c r="AH205" s="58"/>
      <c r="AI205" s="62">
        <f t="shared" si="446"/>
        <v>8</v>
      </c>
      <c r="AJ205" s="60"/>
      <c r="AK205" s="58"/>
      <c r="AL205" s="62">
        <f t="shared" si="447"/>
        <v>8</v>
      </c>
      <c r="AM205" s="60"/>
      <c r="AN205" s="58"/>
      <c r="AO205" s="62">
        <f t="shared" si="448"/>
        <v>8</v>
      </c>
      <c r="AP205" s="60"/>
      <c r="AQ205" s="58"/>
      <c r="AR205" s="62">
        <f t="shared" si="461"/>
        <v>8</v>
      </c>
      <c r="AS205" s="60"/>
      <c r="AT205" s="58"/>
      <c r="AU205" s="62">
        <f t="shared" si="450"/>
        <v>8</v>
      </c>
      <c r="AV205" s="83">
        <f t="shared" si="464"/>
        <v>0</v>
      </c>
      <c r="AW205" s="83">
        <f t="shared" si="465"/>
        <v>0</v>
      </c>
      <c r="AX205" s="64">
        <f t="shared" si="453"/>
        <v>0</v>
      </c>
      <c r="AY205" s="65" t="e">
        <f t="shared" si="454"/>
        <v>#DIV/0!</v>
      </c>
      <c r="AZ205" s="66">
        <f t="shared" si="455"/>
        <v>0</v>
      </c>
      <c r="BA205" s="67">
        <v>8</v>
      </c>
      <c r="BB205" s="68">
        <v>1</v>
      </c>
      <c r="BC205" s="84">
        <f t="shared" si="460"/>
        <v>8</v>
      </c>
      <c r="BD205" s="83">
        <f t="shared" si="458"/>
        <v>7</v>
      </c>
      <c r="BE205" s="85">
        <v>2</v>
      </c>
      <c r="BF205" s="86">
        <v>45467.58866898148</v>
      </c>
      <c r="BG205" s="72">
        <f t="shared" si="463"/>
        <v>46265</v>
      </c>
      <c r="BH205" s="87">
        <f t="shared" si="456"/>
        <v>797.41133101852029</v>
      </c>
      <c r="BI205" s="80" t="str">
        <f t="shared" si="459"/>
        <v>Dead Stock</v>
      </c>
      <c r="BJ205" s="238">
        <v>30</v>
      </c>
    </row>
    <row r="206" spans="1:62" ht="13">
      <c r="A206" s="49"/>
      <c r="B206" s="76"/>
      <c r="C206" s="51">
        <v>203</v>
      </c>
      <c r="D206" s="119" t="s">
        <v>1516</v>
      </c>
      <c r="E206" s="119">
        <v>34</v>
      </c>
      <c r="F206" s="88" t="s">
        <v>1229</v>
      </c>
      <c r="G206" s="89" t="s">
        <v>1230</v>
      </c>
      <c r="H206" s="81" t="s">
        <v>289</v>
      </c>
      <c r="I206" s="80" t="s">
        <v>458</v>
      </c>
      <c r="J206" s="82">
        <f t="shared" si="438"/>
        <v>2</v>
      </c>
      <c r="K206" s="80">
        <v>2</v>
      </c>
      <c r="L206" s="57"/>
      <c r="M206" s="58"/>
      <c r="N206" s="59">
        <f t="shared" si="439"/>
        <v>2</v>
      </c>
      <c r="O206" s="60"/>
      <c r="P206" s="58"/>
      <c r="Q206" s="59">
        <f t="shared" si="440"/>
        <v>2</v>
      </c>
      <c r="R206" s="60"/>
      <c r="S206" s="58"/>
      <c r="T206" s="61">
        <f t="shared" si="441"/>
        <v>2</v>
      </c>
      <c r="U206" s="60"/>
      <c r="V206" s="58"/>
      <c r="W206" s="59">
        <f t="shared" si="442"/>
        <v>2</v>
      </c>
      <c r="X206" s="60"/>
      <c r="Y206" s="58"/>
      <c r="Z206" s="61">
        <f t="shared" si="443"/>
        <v>2</v>
      </c>
      <c r="AA206" s="60"/>
      <c r="AB206" s="58"/>
      <c r="AC206" s="59">
        <f t="shared" si="444"/>
        <v>2</v>
      </c>
      <c r="AD206" s="57"/>
      <c r="AE206" s="58"/>
      <c r="AF206" s="243">
        <f t="shared" si="445"/>
        <v>2</v>
      </c>
      <c r="AG206" s="60"/>
      <c r="AH206" s="58"/>
      <c r="AI206" s="62">
        <f t="shared" si="446"/>
        <v>2</v>
      </c>
      <c r="AJ206" s="60"/>
      <c r="AK206" s="58"/>
      <c r="AL206" s="62">
        <f t="shared" si="447"/>
        <v>2</v>
      </c>
      <c r="AM206" s="60"/>
      <c r="AN206" s="58"/>
      <c r="AO206" s="62">
        <f t="shared" si="448"/>
        <v>2</v>
      </c>
      <c r="AP206" s="60"/>
      <c r="AQ206" s="58"/>
      <c r="AR206" s="62">
        <f t="shared" si="461"/>
        <v>2</v>
      </c>
      <c r="AS206" s="60"/>
      <c r="AT206" s="58"/>
      <c r="AU206" s="62">
        <f t="shared" si="450"/>
        <v>2</v>
      </c>
      <c r="AV206" s="83">
        <f t="shared" si="464"/>
        <v>0</v>
      </c>
      <c r="AW206" s="83">
        <f t="shared" si="465"/>
        <v>0</v>
      </c>
      <c r="AX206" s="64">
        <f t="shared" si="453"/>
        <v>0</v>
      </c>
      <c r="AY206" s="65" t="e">
        <f t="shared" si="454"/>
        <v>#DIV/0!</v>
      </c>
      <c r="AZ206" s="66">
        <f t="shared" si="455"/>
        <v>0</v>
      </c>
      <c r="BA206" s="67">
        <f>MAX(0, Table176252626[[#This Row],[Column6]])</f>
        <v>2</v>
      </c>
      <c r="BB206" s="68">
        <v>1</v>
      </c>
      <c r="BC206" s="84">
        <f t="shared" si="460"/>
        <v>2</v>
      </c>
      <c r="BD206" s="83">
        <f t="shared" si="458"/>
        <v>1</v>
      </c>
      <c r="BE206" s="85">
        <v>2</v>
      </c>
      <c r="BF206" s="86">
        <v>45373.398877314816</v>
      </c>
      <c r="BG206" s="72">
        <f t="shared" si="463"/>
        <v>46265</v>
      </c>
      <c r="BH206" s="87">
        <f t="shared" si="456"/>
        <v>891.60112268518424</v>
      </c>
      <c r="BI206" s="80" t="str">
        <f t="shared" si="459"/>
        <v>Dead Stock</v>
      </c>
      <c r="BJ206" s="238">
        <v>8000</v>
      </c>
    </row>
    <row r="207" spans="1:62" ht="13">
      <c r="A207" s="49"/>
      <c r="B207" s="76"/>
      <c r="C207" s="51">
        <v>204</v>
      </c>
      <c r="D207" s="119" t="s">
        <v>1516</v>
      </c>
      <c r="E207" s="119">
        <v>35</v>
      </c>
      <c r="F207" s="88" t="s">
        <v>653</v>
      </c>
      <c r="G207" s="81" t="s">
        <v>1058</v>
      </c>
      <c r="H207" s="81" t="s">
        <v>300</v>
      </c>
      <c r="I207" s="80" t="s">
        <v>458</v>
      </c>
      <c r="J207" s="82">
        <f>AU207</f>
        <v>2</v>
      </c>
      <c r="K207" s="80">
        <v>4</v>
      </c>
      <c r="L207" s="57"/>
      <c r="M207" s="58"/>
      <c r="N207" s="59">
        <f>SUM(K207+L207-M207)</f>
        <v>4</v>
      </c>
      <c r="O207" s="60"/>
      <c r="P207" s="58"/>
      <c r="Q207" s="59">
        <f>SUM(N207+O207-P207)</f>
        <v>4</v>
      </c>
      <c r="R207" s="60"/>
      <c r="S207" s="58"/>
      <c r="T207" s="61">
        <f>SUM(Q207+R207-S207)</f>
        <v>4</v>
      </c>
      <c r="U207" s="60"/>
      <c r="V207" s="58"/>
      <c r="W207" s="59">
        <f>SUM(T207+U207-V207)</f>
        <v>4</v>
      </c>
      <c r="X207" s="60"/>
      <c r="Y207" s="58">
        <v>1</v>
      </c>
      <c r="Z207" s="61">
        <f>SUM(W207+X207-Y207)</f>
        <v>3</v>
      </c>
      <c r="AA207" s="60"/>
      <c r="AB207" s="58"/>
      <c r="AC207" s="59">
        <f>SUM(Z207+AA207-AB207)</f>
        <v>3</v>
      </c>
      <c r="AD207" s="57"/>
      <c r="AE207" s="58"/>
      <c r="AF207" s="243">
        <f>SUM(AC207+AD207-AE207)</f>
        <v>3</v>
      </c>
      <c r="AG207" s="60"/>
      <c r="AH207" s="58">
        <v>1</v>
      </c>
      <c r="AI207" s="62">
        <f>SUM(AF207+AG207-AH207)</f>
        <v>2</v>
      </c>
      <c r="AJ207" s="60"/>
      <c r="AK207" s="58"/>
      <c r="AL207" s="62">
        <f>SUM(AI207+AJ207-AK207)</f>
        <v>2</v>
      </c>
      <c r="AM207" s="60"/>
      <c r="AN207" s="58"/>
      <c r="AO207" s="62">
        <f>SUM(AL207+AM207-AN207)</f>
        <v>2</v>
      </c>
      <c r="AP207" s="60"/>
      <c r="AQ207" s="58"/>
      <c r="AR207" s="62">
        <f>SUM(AO207+AP207-AQ207)</f>
        <v>2</v>
      </c>
      <c r="AS207" s="60"/>
      <c r="AT207" s="58"/>
      <c r="AU207" s="62">
        <f>SUM(AR207+AS207-AT207)</f>
        <v>2</v>
      </c>
      <c r="AV207" s="83">
        <f>SUM(L207+O207+R207+U207+X207+AA207+AD207+AG207+AJ207+AM207+AP207+AS207)</f>
        <v>0</v>
      </c>
      <c r="AW207" s="83">
        <f>SUM(M207+P207+S207+V207+Y207+AB207+AE207+AH207+AK207+AN207+AQ207+AT207)</f>
        <v>2</v>
      </c>
      <c r="AX207" s="64">
        <f>SUM(M207,P207,S207,V207,Y207,AB207,AE207,AH207,AK207,AN207,AQ207,AT207)</f>
        <v>2</v>
      </c>
      <c r="AY207" s="65">
        <f>AVERAGE(M207,P207,S207,V207,Y207,AB207,AE207,AH207,AK207,AN207,AQ207,AT207)</f>
        <v>1</v>
      </c>
      <c r="AZ207" s="66">
        <f>COUNT(M207,P207,S207,V207,Y207,AB207,AE207,AH207,AK207,AN207,AQ207,AT207)</f>
        <v>2</v>
      </c>
      <c r="BA207" s="67">
        <v>3</v>
      </c>
      <c r="BB207" s="68">
        <v>1</v>
      </c>
      <c r="BC207" s="84">
        <f t="shared" si="460"/>
        <v>2</v>
      </c>
      <c r="BD207" s="83">
        <f t="shared" si="458"/>
        <v>1</v>
      </c>
      <c r="BE207" s="85">
        <v>2</v>
      </c>
      <c r="BF207" s="86">
        <v>45414.748553240737</v>
      </c>
      <c r="BG207" s="72">
        <f t="shared" si="463"/>
        <v>46265</v>
      </c>
      <c r="BH207" s="87">
        <f>BG207-BF207</f>
        <v>850.25144675926276</v>
      </c>
      <c r="BI207" s="80" t="str">
        <f t="shared" si="459"/>
        <v>Dead Stock</v>
      </c>
      <c r="BJ207" s="238">
        <v>167</v>
      </c>
    </row>
    <row r="208" spans="1:62" ht="13">
      <c r="A208" s="90"/>
      <c r="B208" s="91"/>
      <c r="C208" s="51">
        <v>205</v>
      </c>
      <c r="D208" s="119" t="s">
        <v>1516</v>
      </c>
      <c r="E208" s="119">
        <v>36</v>
      </c>
      <c r="F208" s="105" t="s">
        <v>446</v>
      </c>
      <c r="G208" s="81" t="s">
        <v>2031</v>
      </c>
      <c r="H208" s="81" t="s">
        <v>290</v>
      </c>
      <c r="I208" s="80" t="s">
        <v>458</v>
      </c>
      <c r="J208" s="82">
        <f t="shared" si="438"/>
        <v>17</v>
      </c>
      <c r="K208" s="80">
        <v>18</v>
      </c>
      <c r="L208" s="57"/>
      <c r="M208" s="58"/>
      <c r="N208" s="59">
        <f t="shared" si="439"/>
        <v>18</v>
      </c>
      <c r="O208" s="60"/>
      <c r="P208" s="58"/>
      <c r="Q208" s="59">
        <f t="shared" si="440"/>
        <v>18</v>
      </c>
      <c r="R208" s="60"/>
      <c r="S208" s="58"/>
      <c r="T208" s="61">
        <f t="shared" si="441"/>
        <v>18</v>
      </c>
      <c r="U208" s="60"/>
      <c r="V208" s="58"/>
      <c r="W208" s="59">
        <f t="shared" si="442"/>
        <v>18</v>
      </c>
      <c r="X208" s="60"/>
      <c r="Y208" s="58"/>
      <c r="Z208" s="61">
        <f t="shared" si="443"/>
        <v>18</v>
      </c>
      <c r="AA208" s="60"/>
      <c r="AB208" s="58"/>
      <c r="AC208" s="59">
        <f t="shared" si="444"/>
        <v>18</v>
      </c>
      <c r="AD208" s="57"/>
      <c r="AE208" s="58"/>
      <c r="AF208" s="243">
        <f t="shared" si="445"/>
        <v>18</v>
      </c>
      <c r="AG208" s="60"/>
      <c r="AH208" s="58">
        <v>1</v>
      </c>
      <c r="AI208" s="62">
        <f t="shared" si="446"/>
        <v>17</v>
      </c>
      <c r="AJ208" s="60"/>
      <c r="AK208" s="58"/>
      <c r="AL208" s="62">
        <f t="shared" si="447"/>
        <v>17</v>
      </c>
      <c r="AM208" s="60"/>
      <c r="AN208" s="58"/>
      <c r="AO208" s="62">
        <f t="shared" si="448"/>
        <v>17</v>
      </c>
      <c r="AP208" s="60"/>
      <c r="AQ208" s="58"/>
      <c r="AR208" s="62">
        <f t="shared" si="461"/>
        <v>17</v>
      </c>
      <c r="AS208" s="60"/>
      <c r="AT208" s="58"/>
      <c r="AU208" s="62">
        <f t="shared" si="450"/>
        <v>17</v>
      </c>
      <c r="AV208" s="83">
        <f t="shared" si="464"/>
        <v>0</v>
      </c>
      <c r="AW208" s="83">
        <f t="shared" si="465"/>
        <v>1</v>
      </c>
      <c r="AX208" s="64">
        <f t="shared" si="453"/>
        <v>1</v>
      </c>
      <c r="AY208" s="65">
        <f t="shared" si="454"/>
        <v>1</v>
      </c>
      <c r="AZ208" s="66">
        <f t="shared" si="455"/>
        <v>1</v>
      </c>
      <c r="BA208" s="67">
        <f>MAX(0, Table176252626[[#This Row],[Column6]])</f>
        <v>17</v>
      </c>
      <c r="BB208" s="68">
        <v>1</v>
      </c>
      <c r="BC208" s="84">
        <f t="shared" si="460"/>
        <v>17</v>
      </c>
      <c r="BD208" s="83">
        <f t="shared" si="458"/>
        <v>16</v>
      </c>
      <c r="BE208" s="85">
        <v>2</v>
      </c>
      <c r="BF208" s="86">
        <v>45401.572847222225</v>
      </c>
      <c r="BG208" s="72">
        <f t="shared" si="463"/>
        <v>46265</v>
      </c>
      <c r="BH208" s="87">
        <f t="shared" si="456"/>
        <v>863.42715277777461</v>
      </c>
      <c r="BI208" s="80" t="str">
        <f t="shared" si="459"/>
        <v>Dead Stock</v>
      </c>
      <c r="BJ208" s="238">
        <v>30</v>
      </c>
    </row>
    <row r="209" spans="1:62" ht="13">
      <c r="A209" s="90"/>
      <c r="B209" s="91"/>
      <c r="C209" s="77">
        <v>206</v>
      </c>
      <c r="D209" s="119" t="s">
        <v>1516</v>
      </c>
      <c r="E209" s="119">
        <v>37</v>
      </c>
      <c r="F209" s="88" t="s">
        <v>1752</v>
      </c>
      <c r="G209" s="89" t="s">
        <v>1753</v>
      </c>
      <c r="H209" s="89"/>
      <c r="I209" s="88" t="s">
        <v>458</v>
      </c>
      <c r="J209" s="93">
        <f t="shared" si="438"/>
        <v>1</v>
      </c>
      <c r="K209" s="80">
        <v>1</v>
      </c>
      <c r="L209" s="58"/>
      <c r="M209" s="58"/>
      <c r="N209" s="62">
        <f t="shared" si="439"/>
        <v>1</v>
      </c>
      <c r="O209" s="60"/>
      <c r="P209" s="58"/>
      <c r="Q209" s="62">
        <f t="shared" si="440"/>
        <v>1</v>
      </c>
      <c r="R209" s="60"/>
      <c r="S209" s="58"/>
      <c r="T209" s="94">
        <f t="shared" si="441"/>
        <v>1</v>
      </c>
      <c r="U209" s="60"/>
      <c r="V209" s="58"/>
      <c r="W209" s="62">
        <f t="shared" si="442"/>
        <v>1</v>
      </c>
      <c r="X209" s="60"/>
      <c r="Y209" s="58"/>
      <c r="Z209" s="94">
        <f t="shared" si="443"/>
        <v>1</v>
      </c>
      <c r="AA209" s="60"/>
      <c r="AB209" s="58"/>
      <c r="AC209" s="62">
        <f t="shared" si="444"/>
        <v>1</v>
      </c>
      <c r="AD209" s="57"/>
      <c r="AE209" s="58"/>
      <c r="AF209" s="165">
        <f t="shared" si="445"/>
        <v>1</v>
      </c>
      <c r="AG209" s="60"/>
      <c r="AH209" s="58"/>
      <c r="AI209" s="62">
        <f t="shared" si="446"/>
        <v>1</v>
      </c>
      <c r="AJ209" s="60"/>
      <c r="AK209" s="58"/>
      <c r="AL209" s="62">
        <f t="shared" si="447"/>
        <v>1</v>
      </c>
      <c r="AM209" s="60"/>
      <c r="AN209" s="58"/>
      <c r="AO209" s="62">
        <f t="shared" si="448"/>
        <v>1</v>
      </c>
      <c r="AP209" s="60"/>
      <c r="AQ209" s="58"/>
      <c r="AR209" s="62">
        <f t="shared" si="461"/>
        <v>1</v>
      </c>
      <c r="AS209" s="60"/>
      <c r="AT209" s="58"/>
      <c r="AU209" s="62">
        <f t="shared" si="450"/>
        <v>1</v>
      </c>
      <c r="AV209" s="96">
        <f t="shared" si="464"/>
        <v>0</v>
      </c>
      <c r="AW209" s="97">
        <f t="shared" si="465"/>
        <v>0</v>
      </c>
      <c r="AX209" s="98">
        <f t="shared" si="453"/>
        <v>0</v>
      </c>
      <c r="AY209" s="99" t="e">
        <f t="shared" si="454"/>
        <v>#DIV/0!</v>
      </c>
      <c r="AZ209" s="100">
        <f t="shared" si="455"/>
        <v>0</v>
      </c>
      <c r="BA209" s="101">
        <v>1</v>
      </c>
      <c r="BB209" s="102">
        <f>MIN(M209,P209,S209,V209,Y209,AB209,AE209,AH209,AK209,AN209,AQ209,AT209)</f>
        <v>0</v>
      </c>
      <c r="BC209" s="84">
        <f t="shared" si="460"/>
        <v>1</v>
      </c>
      <c r="BD209" s="83">
        <f t="shared" si="458"/>
        <v>1</v>
      </c>
      <c r="BE209" s="85">
        <v>2</v>
      </c>
      <c r="BF209" s="86">
        <v>45843</v>
      </c>
      <c r="BG209" s="72">
        <f t="shared" si="463"/>
        <v>46265</v>
      </c>
      <c r="BH209" s="103">
        <f t="shared" si="456"/>
        <v>422</v>
      </c>
      <c r="BI209" s="80" t="str">
        <f t="shared" si="459"/>
        <v>Dead Stock</v>
      </c>
      <c r="BJ209" s="238">
        <v>5178</v>
      </c>
    </row>
    <row r="210" spans="1:62" ht="13">
      <c r="A210" s="90"/>
      <c r="B210" s="91"/>
      <c r="C210" s="77">
        <v>207</v>
      </c>
      <c r="D210" s="119" t="s">
        <v>1516</v>
      </c>
      <c r="E210" s="119">
        <v>38</v>
      </c>
      <c r="F210" s="88" t="s">
        <v>1804</v>
      </c>
      <c r="G210" s="89" t="s">
        <v>1805</v>
      </c>
      <c r="H210" s="89" t="s">
        <v>1086</v>
      </c>
      <c r="I210" s="88" t="s">
        <v>458</v>
      </c>
      <c r="J210" s="93">
        <f t="shared" si="438"/>
        <v>3</v>
      </c>
      <c r="K210" s="88">
        <v>4</v>
      </c>
      <c r="L210" s="58"/>
      <c r="M210" s="58"/>
      <c r="N210" s="62">
        <f t="shared" si="439"/>
        <v>4</v>
      </c>
      <c r="O210" s="60"/>
      <c r="P210" s="58"/>
      <c r="Q210" s="62">
        <f t="shared" si="440"/>
        <v>4</v>
      </c>
      <c r="R210" s="60"/>
      <c r="S210" s="58">
        <v>1</v>
      </c>
      <c r="T210" s="94">
        <f t="shared" si="441"/>
        <v>3</v>
      </c>
      <c r="U210" s="60"/>
      <c r="V210" s="58"/>
      <c r="W210" s="62">
        <f t="shared" si="442"/>
        <v>3</v>
      </c>
      <c r="X210" s="60"/>
      <c r="Y210" s="58"/>
      <c r="Z210" s="94">
        <f t="shared" si="443"/>
        <v>3</v>
      </c>
      <c r="AA210" s="60"/>
      <c r="AB210" s="58"/>
      <c r="AC210" s="62">
        <f t="shared" si="444"/>
        <v>3</v>
      </c>
      <c r="AD210" s="57"/>
      <c r="AE210" s="58"/>
      <c r="AF210" s="165">
        <f t="shared" si="445"/>
        <v>3</v>
      </c>
      <c r="AG210" s="60"/>
      <c r="AH210" s="58"/>
      <c r="AI210" s="62">
        <f t="shared" si="446"/>
        <v>3</v>
      </c>
      <c r="AJ210" s="60"/>
      <c r="AK210" s="58"/>
      <c r="AL210" s="62">
        <f t="shared" si="447"/>
        <v>3</v>
      </c>
      <c r="AM210" s="60"/>
      <c r="AN210" s="58"/>
      <c r="AO210" s="62">
        <f t="shared" si="448"/>
        <v>3</v>
      </c>
      <c r="AP210" s="60"/>
      <c r="AQ210" s="58"/>
      <c r="AR210" s="62">
        <f t="shared" si="461"/>
        <v>3</v>
      </c>
      <c r="AS210" s="60"/>
      <c r="AT210" s="58"/>
      <c r="AU210" s="62">
        <f t="shared" si="450"/>
        <v>3</v>
      </c>
      <c r="AV210" s="96">
        <f t="shared" si="464"/>
        <v>0</v>
      </c>
      <c r="AW210" s="97">
        <f t="shared" si="465"/>
        <v>1</v>
      </c>
      <c r="AX210" s="98">
        <f t="shared" si="453"/>
        <v>1</v>
      </c>
      <c r="AY210" s="99">
        <f t="shared" si="454"/>
        <v>1</v>
      </c>
      <c r="AZ210" s="100">
        <f t="shared" si="455"/>
        <v>1</v>
      </c>
      <c r="BA210" s="101">
        <v>3</v>
      </c>
      <c r="BB210" s="102">
        <f>MIN(M210,P210,S210,V210,Y210,AB210,AE210,AH210,AK210,AN210,AQ210,AT210)</f>
        <v>1</v>
      </c>
      <c r="BC210" s="84">
        <f t="shared" si="460"/>
        <v>3</v>
      </c>
      <c r="BD210" s="83">
        <f t="shared" si="458"/>
        <v>2</v>
      </c>
      <c r="BE210" s="85">
        <v>2</v>
      </c>
      <c r="BF210" s="86">
        <v>46013</v>
      </c>
      <c r="BG210" s="72">
        <f t="shared" si="463"/>
        <v>46265</v>
      </c>
      <c r="BH210" s="103">
        <f t="shared" si="456"/>
        <v>252</v>
      </c>
      <c r="BI210" s="80" t="str">
        <f t="shared" si="459"/>
        <v/>
      </c>
      <c r="BJ210" s="238">
        <v>588</v>
      </c>
    </row>
    <row r="211" spans="1:62" ht="13">
      <c r="A211" s="90"/>
      <c r="B211" s="91"/>
      <c r="C211" s="51">
        <v>208</v>
      </c>
      <c r="D211" s="119" t="s">
        <v>1516</v>
      </c>
      <c r="E211" s="119">
        <v>39</v>
      </c>
      <c r="F211" s="88" t="s">
        <v>1906</v>
      </c>
      <c r="G211" s="89" t="s">
        <v>1905</v>
      </c>
      <c r="H211" s="89" t="s">
        <v>1086</v>
      </c>
      <c r="I211" s="88" t="s">
        <v>458</v>
      </c>
      <c r="J211" s="93">
        <f t="shared" si="438"/>
        <v>3</v>
      </c>
      <c r="K211" s="88">
        <v>4</v>
      </c>
      <c r="L211" s="58"/>
      <c r="M211" s="58"/>
      <c r="N211" s="62">
        <f t="shared" si="439"/>
        <v>4</v>
      </c>
      <c r="O211" s="60"/>
      <c r="P211" s="58"/>
      <c r="Q211" s="62">
        <f t="shared" si="440"/>
        <v>4</v>
      </c>
      <c r="R211" s="60"/>
      <c r="S211" s="58"/>
      <c r="T211" s="94">
        <f t="shared" si="441"/>
        <v>4</v>
      </c>
      <c r="U211" s="60"/>
      <c r="V211" s="58"/>
      <c r="W211" s="62">
        <f t="shared" si="442"/>
        <v>4</v>
      </c>
      <c r="X211" s="60"/>
      <c r="Y211" s="58">
        <v>1</v>
      </c>
      <c r="Z211" s="94">
        <f t="shared" si="443"/>
        <v>3</v>
      </c>
      <c r="AA211" s="60"/>
      <c r="AB211" s="58"/>
      <c r="AC211" s="62">
        <f t="shared" si="444"/>
        <v>3</v>
      </c>
      <c r="AD211" s="57"/>
      <c r="AE211" s="58"/>
      <c r="AF211" s="165">
        <f t="shared" si="445"/>
        <v>3</v>
      </c>
      <c r="AG211" s="60"/>
      <c r="AH211" s="58"/>
      <c r="AI211" s="62">
        <f t="shared" si="446"/>
        <v>3</v>
      </c>
      <c r="AJ211" s="60"/>
      <c r="AK211" s="58"/>
      <c r="AL211" s="62">
        <f t="shared" si="447"/>
        <v>3</v>
      </c>
      <c r="AM211" s="60"/>
      <c r="AN211" s="58"/>
      <c r="AO211" s="62">
        <f t="shared" si="448"/>
        <v>3</v>
      </c>
      <c r="AP211" s="60"/>
      <c r="AQ211" s="58"/>
      <c r="AR211" s="62">
        <f t="shared" si="461"/>
        <v>3</v>
      </c>
      <c r="AS211" s="60"/>
      <c r="AT211" s="58"/>
      <c r="AU211" s="62">
        <f t="shared" si="450"/>
        <v>3</v>
      </c>
      <c r="AV211" s="96">
        <f t="shared" si="464"/>
        <v>0</v>
      </c>
      <c r="AW211" s="97">
        <f t="shared" si="465"/>
        <v>1</v>
      </c>
      <c r="AX211" s="98">
        <f t="shared" si="453"/>
        <v>1</v>
      </c>
      <c r="AY211" s="99">
        <f t="shared" si="454"/>
        <v>1</v>
      </c>
      <c r="AZ211" s="100">
        <f t="shared" si="455"/>
        <v>1</v>
      </c>
      <c r="BA211" s="101">
        <v>3</v>
      </c>
      <c r="BB211" s="102">
        <f>MIN(M211,P211,S211,V211,Y211,AB211,AE211,AH211,AK211,AN211,AQ211,AT211)</f>
        <v>1</v>
      </c>
      <c r="BC211" s="84">
        <f t="shared" si="460"/>
        <v>3</v>
      </c>
      <c r="BD211" s="83">
        <f t="shared" si="458"/>
        <v>2</v>
      </c>
      <c r="BE211" s="85">
        <v>2</v>
      </c>
      <c r="BF211" s="86">
        <v>46013</v>
      </c>
      <c r="BG211" s="72">
        <f t="shared" si="463"/>
        <v>46265</v>
      </c>
      <c r="BH211" s="103">
        <f t="shared" si="456"/>
        <v>252</v>
      </c>
      <c r="BI211" s="80" t="str">
        <f t="shared" si="459"/>
        <v/>
      </c>
      <c r="BJ211" s="238">
        <v>363</v>
      </c>
    </row>
    <row r="212" spans="1:62" ht="13">
      <c r="A212" s="90"/>
      <c r="B212" s="91"/>
      <c r="C212" s="51">
        <v>209</v>
      </c>
      <c r="D212" s="119" t="s">
        <v>1516</v>
      </c>
      <c r="E212" s="119">
        <v>40</v>
      </c>
      <c r="F212" s="80" t="s">
        <v>270</v>
      </c>
      <c r="G212" s="81" t="s">
        <v>448</v>
      </c>
      <c r="H212" s="81" t="s">
        <v>289</v>
      </c>
      <c r="I212" s="80" t="s">
        <v>458</v>
      </c>
      <c r="J212" s="82">
        <f t="shared" si="438"/>
        <v>3</v>
      </c>
      <c r="K212" s="80">
        <v>10</v>
      </c>
      <c r="L212" s="57"/>
      <c r="M212" s="58"/>
      <c r="N212" s="59">
        <f t="shared" si="439"/>
        <v>10</v>
      </c>
      <c r="O212" s="60"/>
      <c r="P212" s="58"/>
      <c r="Q212" s="59">
        <f t="shared" si="440"/>
        <v>10</v>
      </c>
      <c r="R212" s="60"/>
      <c r="S212" s="58"/>
      <c r="T212" s="61">
        <f t="shared" si="441"/>
        <v>10</v>
      </c>
      <c r="U212" s="60"/>
      <c r="V212" s="58">
        <v>2</v>
      </c>
      <c r="W212" s="59">
        <f t="shared" si="442"/>
        <v>8</v>
      </c>
      <c r="X212" s="60"/>
      <c r="Y212" s="58"/>
      <c r="Z212" s="61">
        <f t="shared" si="443"/>
        <v>8</v>
      </c>
      <c r="AA212" s="60"/>
      <c r="AB212" s="58">
        <v>5</v>
      </c>
      <c r="AC212" s="59">
        <f t="shared" si="444"/>
        <v>3</v>
      </c>
      <c r="AD212" s="57"/>
      <c r="AE212" s="58"/>
      <c r="AF212" s="243">
        <f t="shared" si="445"/>
        <v>3</v>
      </c>
      <c r="AG212" s="60"/>
      <c r="AH212" s="58"/>
      <c r="AI212" s="62">
        <f t="shared" si="446"/>
        <v>3</v>
      </c>
      <c r="AJ212" s="60"/>
      <c r="AK212" s="58"/>
      <c r="AL212" s="62">
        <f t="shared" si="447"/>
        <v>3</v>
      </c>
      <c r="AM212" s="60"/>
      <c r="AN212" s="58"/>
      <c r="AO212" s="62">
        <f t="shared" si="448"/>
        <v>3</v>
      </c>
      <c r="AP212" s="60"/>
      <c r="AQ212" s="58"/>
      <c r="AR212" s="62">
        <f t="shared" si="461"/>
        <v>3</v>
      </c>
      <c r="AS212" s="60"/>
      <c r="AT212" s="58"/>
      <c r="AU212" s="62">
        <f t="shared" si="450"/>
        <v>3</v>
      </c>
      <c r="AV212" s="83">
        <f t="shared" si="464"/>
        <v>0</v>
      </c>
      <c r="AW212" s="83">
        <f t="shared" si="465"/>
        <v>7</v>
      </c>
      <c r="AX212" s="64">
        <f t="shared" si="453"/>
        <v>7</v>
      </c>
      <c r="AY212" s="65">
        <f t="shared" si="454"/>
        <v>3.5</v>
      </c>
      <c r="AZ212" s="66">
        <f t="shared" si="455"/>
        <v>2</v>
      </c>
      <c r="BA212" s="67">
        <f>MAX(0, Table176252626[[#This Row],[Column6]])</f>
        <v>3</v>
      </c>
      <c r="BB212" s="68">
        <v>1</v>
      </c>
      <c r="BC212" s="84">
        <f t="shared" si="460"/>
        <v>3</v>
      </c>
      <c r="BD212" s="83">
        <f t="shared" si="458"/>
        <v>2</v>
      </c>
      <c r="BE212" s="85">
        <v>2</v>
      </c>
      <c r="BF212" s="86">
        <v>45575.427662037036</v>
      </c>
      <c r="BG212" s="72">
        <f t="shared" si="463"/>
        <v>46265</v>
      </c>
      <c r="BH212" s="87">
        <f t="shared" ref="BH212" si="466">BG212-BF212</f>
        <v>689.5723379629635</v>
      </c>
      <c r="BI212" s="80" t="str">
        <f t="shared" si="459"/>
        <v>Dead Stock</v>
      </c>
      <c r="BJ212" s="238">
        <v>595</v>
      </c>
    </row>
    <row r="213" spans="1:62" ht="13">
      <c r="A213" s="75"/>
      <c r="B213" s="76"/>
      <c r="C213" s="51">
        <v>210</v>
      </c>
      <c r="D213" s="119" t="s">
        <v>1516</v>
      </c>
      <c r="E213" s="119">
        <v>41</v>
      </c>
      <c r="F213" s="88" t="s">
        <v>584</v>
      </c>
      <c r="G213" s="81" t="s">
        <v>612</v>
      </c>
      <c r="H213" s="81" t="s">
        <v>300</v>
      </c>
      <c r="I213" s="80" t="s">
        <v>458</v>
      </c>
      <c r="J213" s="82">
        <f t="shared" ref="J213" si="467">AU213</f>
        <v>7</v>
      </c>
      <c r="K213" s="80">
        <v>7</v>
      </c>
      <c r="L213" s="57"/>
      <c r="M213" s="58"/>
      <c r="N213" s="59">
        <f t="shared" ref="N213" si="468">SUM(K213+L213-M213)</f>
        <v>7</v>
      </c>
      <c r="O213" s="60"/>
      <c r="P213" s="58"/>
      <c r="Q213" s="59">
        <f t="shared" ref="Q213" si="469">SUM(N213+O213-P213)</f>
        <v>7</v>
      </c>
      <c r="R213" s="60"/>
      <c r="S213" s="58"/>
      <c r="T213" s="61">
        <f t="shared" ref="T213" si="470">SUM(Q213+R213-S213)</f>
        <v>7</v>
      </c>
      <c r="U213" s="60"/>
      <c r="V213" s="58"/>
      <c r="W213" s="59">
        <f t="shared" ref="W213" si="471">SUM(T213+U213-V213)</f>
        <v>7</v>
      </c>
      <c r="X213" s="60"/>
      <c r="Y213" s="58"/>
      <c r="Z213" s="61">
        <f t="shared" ref="Z213" si="472">SUM(W213+X213-Y213)</f>
        <v>7</v>
      </c>
      <c r="AA213" s="60"/>
      <c r="AB213" s="58"/>
      <c r="AC213" s="59">
        <f t="shared" ref="AC213" si="473">SUM(Z213+AA213-AB213)</f>
        <v>7</v>
      </c>
      <c r="AD213" s="57"/>
      <c r="AE213" s="58"/>
      <c r="AF213" s="243">
        <f t="shared" ref="AF213" si="474">SUM(AC213+AD213-AE213)</f>
        <v>7</v>
      </c>
      <c r="AG213" s="60"/>
      <c r="AH213" s="58"/>
      <c r="AI213" s="62">
        <f t="shared" ref="AI213" si="475">SUM(AF213+AG213-AH213)</f>
        <v>7</v>
      </c>
      <c r="AJ213" s="60"/>
      <c r="AK213" s="58"/>
      <c r="AL213" s="62">
        <f t="shared" ref="AL213" si="476">SUM(AI213+AJ213-AK213)</f>
        <v>7</v>
      </c>
      <c r="AM213" s="60"/>
      <c r="AN213" s="58"/>
      <c r="AO213" s="62">
        <f t="shared" ref="AO213" si="477">SUM(AL213+AM213-AN213)</f>
        <v>7</v>
      </c>
      <c r="AP213" s="60"/>
      <c r="AQ213" s="58"/>
      <c r="AR213" s="62">
        <f t="shared" ref="AR213" si="478">SUM(AO213+AP213-AQ213)</f>
        <v>7</v>
      </c>
      <c r="AS213" s="60"/>
      <c r="AT213" s="58"/>
      <c r="AU213" s="62">
        <f t="shared" ref="AU213" si="479">SUM(AR213+AS213-AT213)</f>
        <v>7</v>
      </c>
      <c r="AV213" s="83">
        <f t="shared" ref="AV213" si="480">SUM(L213+O213+R213+U213+X213+AA213+AD213+AG213+AJ213+AM213+AP213+AS213)</f>
        <v>0</v>
      </c>
      <c r="AW213" s="83">
        <f t="shared" ref="AW213:AW220" si="481">SUM(M213+P213+S213+V213+Y213+AB213+AE213+AH213+AK213+AN213+AQ213+AT213)</f>
        <v>0</v>
      </c>
      <c r="AX213" s="64">
        <f t="shared" ref="AX213" si="482">SUM(M213,P213,S213,V213,Y213,AB213,AE213,AH213,AK213,AN213,AQ213,AT213)</f>
        <v>0</v>
      </c>
      <c r="AY213" s="65" t="e">
        <f t="shared" ref="AY213" si="483">AVERAGE(M213,P213,S213,V213,Y213,AB213,AE213,AH213,AK213,AN213,AQ213,AT213)</f>
        <v>#DIV/0!</v>
      </c>
      <c r="AZ213" s="66">
        <f t="shared" ref="AZ213" si="484">COUNT(M213,P213,S213,V213,Y213,AB213,AE213,AH213,AK213,AN213,AQ213,AT213)</f>
        <v>0</v>
      </c>
      <c r="BA213" s="67">
        <v>7</v>
      </c>
      <c r="BB213" s="68">
        <v>1</v>
      </c>
      <c r="BC213" s="84">
        <f t="shared" si="460"/>
        <v>7</v>
      </c>
      <c r="BD213" s="83">
        <f t="shared" si="458"/>
        <v>6</v>
      </c>
      <c r="BE213" s="85">
        <v>2</v>
      </c>
      <c r="BF213" s="86">
        <v>45671.420289351852</v>
      </c>
      <c r="BG213" s="72">
        <f t="shared" si="463"/>
        <v>46265</v>
      </c>
      <c r="BH213" s="87">
        <f t="shared" ref="BH213" si="485">BG213-BF213</f>
        <v>593.57971064814774</v>
      </c>
      <c r="BI213" s="80" t="str">
        <f t="shared" si="459"/>
        <v>Dead Stock</v>
      </c>
      <c r="BJ213" s="238">
        <v>605</v>
      </c>
    </row>
    <row r="214" spans="1:62" ht="13">
      <c r="A214" s="49"/>
      <c r="B214" s="50"/>
      <c r="C214" s="51">
        <v>211</v>
      </c>
      <c r="D214" s="119" t="s">
        <v>1516</v>
      </c>
      <c r="E214" s="119">
        <v>42</v>
      </c>
      <c r="F214" s="80" t="s">
        <v>498</v>
      </c>
      <c r="G214" s="81" t="s">
        <v>499</v>
      </c>
      <c r="H214" s="81" t="s">
        <v>300</v>
      </c>
      <c r="I214" s="80" t="s">
        <v>458</v>
      </c>
      <c r="J214" s="82">
        <f t="shared" ref="J214" si="486">AU214</f>
        <v>80</v>
      </c>
      <c r="K214" s="80">
        <v>80</v>
      </c>
      <c r="L214" s="57"/>
      <c r="M214" s="58"/>
      <c r="N214" s="59">
        <f t="shared" ref="N214" si="487">SUM(K214+L214-M214)</f>
        <v>80</v>
      </c>
      <c r="O214" s="60"/>
      <c r="P214" s="58"/>
      <c r="Q214" s="59">
        <f t="shared" ref="Q214" si="488">SUM(N214+O214-P214)</f>
        <v>80</v>
      </c>
      <c r="R214" s="60"/>
      <c r="S214" s="58"/>
      <c r="T214" s="61">
        <f t="shared" ref="T214" si="489">SUM(Q214+R214-S214)</f>
        <v>80</v>
      </c>
      <c r="U214" s="60"/>
      <c r="V214" s="58"/>
      <c r="W214" s="59">
        <f t="shared" ref="W214" si="490">SUM(T214+U214-V214)</f>
        <v>80</v>
      </c>
      <c r="X214" s="60"/>
      <c r="Y214" s="58"/>
      <c r="Z214" s="61">
        <f t="shared" ref="Z214" si="491">SUM(W214+X214-Y214)</f>
        <v>80</v>
      </c>
      <c r="AA214" s="60"/>
      <c r="AB214" s="58"/>
      <c r="AC214" s="59">
        <f t="shared" ref="AC214" si="492">SUM(Z214+AA214-AB214)</f>
        <v>80</v>
      </c>
      <c r="AD214" s="57"/>
      <c r="AE214" s="58"/>
      <c r="AF214" s="243">
        <f t="shared" ref="AF214" si="493">SUM(AC214+AD214-AE214)</f>
        <v>80</v>
      </c>
      <c r="AG214" s="60"/>
      <c r="AH214" s="58"/>
      <c r="AI214" s="62">
        <f t="shared" ref="AI214" si="494">SUM(AF214+AG214-AH214)</f>
        <v>80</v>
      </c>
      <c r="AJ214" s="60"/>
      <c r="AK214" s="58"/>
      <c r="AL214" s="62">
        <f t="shared" ref="AL214" si="495">SUM(AI214+AJ214-AK214)</f>
        <v>80</v>
      </c>
      <c r="AM214" s="60"/>
      <c r="AN214" s="58"/>
      <c r="AO214" s="62">
        <f t="shared" ref="AO214" si="496">SUM(AL214+AM214-AN214)</f>
        <v>80</v>
      </c>
      <c r="AP214" s="60"/>
      <c r="AQ214" s="58"/>
      <c r="AR214" s="62">
        <f t="shared" ref="AR214" si="497">SUM(AO214+AP214-AQ214)</f>
        <v>80</v>
      </c>
      <c r="AS214" s="60"/>
      <c r="AT214" s="58"/>
      <c r="AU214" s="62">
        <f t="shared" ref="AU214" si="498">SUM(AR214+AS214-AT214)</f>
        <v>80</v>
      </c>
      <c r="AV214" s="83">
        <f t="shared" ref="AV214" si="499">SUM(L214+O214+R214+U214+X214+AA214+AD214+AG214+AJ214+AM214+AP214+AS214)</f>
        <v>0</v>
      </c>
      <c r="AW214" s="83">
        <f t="shared" ref="AW214" si="500">SUM(M214+P214+S214+V214+Y214+AB214+AE214+AH214+AK214+AN214+AQ214+AT214)</f>
        <v>0</v>
      </c>
      <c r="AX214" s="64">
        <f t="shared" ref="AX214" si="501">SUM(M214,P214,S214,V214,Y214,AB214,AE214,AH214,AK214,AN214,AQ214,AT214)</f>
        <v>0</v>
      </c>
      <c r="AY214" s="65" t="e">
        <f t="shared" ref="AY214" si="502">AVERAGE(M214,P214,S214,V214,Y214,AB214,AE214,AH214,AK214,AN214,AQ214,AT214)</f>
        <v>#DIV/0!</v>
      </c>
      <c r="AZ214" s="66">
        <f t="shared" ref="AZ214" si="503">COUNT(M214,P214,S214,V214,Y214,AB214,AE214,AH214,AK214,AN214,AQ214,AT214)</f>
        <v>0</v>
      </c>
      <c r="BA214" s="67">
        <f>MAX(0, Table176252626[[#This Row],[Column6]])</f>
        <v>80</v>
      </c>
      <c r="BB214" s="68">
        <v>1</v>
      </c>
      <c r="BC214" s="84">
        <f t="shared" si="460"/>
        <v>80</v>
      </c>
      <c r="BD214" s="83">
        <f t="shared" si="458"/>
        <v>79</v>
      </c>
      <c r="BE214" s="85">
        <v>2</v>
      </c>
      <c r="BF214" s="86">
        <v>43376.730416666665</v>
      </c>
      <c r="BG214" s="72">
        <f t="shared" si="463"/>
        <v>46265</v>
      </c>
      <c r="BH214" s="87">
        <f t="shared" ref="BH214" si="504">BG214-BF214</f>
        <v>2888.2695833333346</v>
      </c>
      <c r="BI214" s="80" t="str">
        <f t="shared" si="459"/>
        <v>Dead Stock</v>
      </c>
      <c r="BJ214" s="238">
        <v>115</v>
      </c>
    </row>
    <row r="215" spans="1:62" ht="13">
      <c r="A215" s="75"/>
      <c r="B215" s="76"/>
      <c r="C215" s="77">
        <v>212</v>
      </c>
      <c r="D215" s="110" t="s">
        <v>1517</v>
      </c>
      <c r="E215" s="110">
        <v>1</v>
      </c>
      <c r="F215" s="80" t="s">
        <v>487</v>
      </c>
      <c r="G215" s="81" t="s">
        <v>488</v>
      </c>
      <c r="H215" s="81" t="s">
        <v>296</v>
      </c>
      <c r="I215" s="80" t="s">
        <v>458</v>
      </c>
      <c r="J215" s="82">
        <f t="shared" ref="J215:J220" si="505">AU215</f>
        <v>1</v>
      </c>
      <c r="K215" s="80">
        <v>1</v>
      </c>
      <c r="L215" s="57"/>
      <c r="M215" s="58"/>
      <c r="N215" s="59">
        <f t="shared" ref="N215:N220" si="506">SUM(K215+L215-M215)</f>
        <v>1</v>
      </c>
      <c r="O215" s="60"/>
      <c r="P215" s="58"/>
      <c r="Q215" s="59">
        <f t="shared" ref="Q215:Q220" si="507">SUM(N215+O215-P215)</f>
        <v>1</v>
      </c>
      <c r="R215" s="60"/>
      <c r="S215" s="58"/>
      <c r="T215" s="61">
        <f t="shared" ref="T215:T220" si="508">SUM(Q215+R215-S215)</f>
        <v>1</v>
      </c>
      <c r="U215" s="60"/>
      <c r="V215" s="58"/>
      <c r="W215" s="59">
        <f t="shared" ref="W215:W220" si="509">SUM(T215+U215-V215)</f>
        <v>1</v>
      </c>
      <c r="X215" s="60"/>
      <c r="Y215" s="58"/>
      <c r="Z215" s="61">
        <f t="shared" ref="Z215:Z220" si="510">SUM(W215+X215-Y215)</f>
        <v>1</v>
      </c>
      <c r="AA215" s="60"/>
      <c r="AB215" s="58"/>
      <c r="AC215" s="59">
        <f t="shared" ref="AC215:AC220" si="511">SUM(Z215+AA215-AB215)</f>
        <v>1</v>
      </c>
      <c r="AD215" s="57"/>
      <c r="AE215" s="58"/>
      <c r="AF215" s="243">
        <f t="shared" ref="AF215:AF220" si="512">SUM(AC215+AD215-AE215)</f>
        <v>1</v>
      </c>
      <c r="AG215" s="60"/>
      <c r="AH215" s="58"/>
      <c r="AI215" s="62">
        <f t="shared" ref="AI215:AI220" si="513">SUM(AF215+AG215-AH215)</f>
        <v>1</v>
      </c>
      <c r="AJ215" s="60"/>
      <c r="AK215" s="58"/>
      <c r="AL215" s="62">
        <f t="shared" ref="AL215:AL220" si="514">SUM(AI215+AJ215-AK215)</f>
        <v>1</v>
      </c>
      <c r="AM215" s="60"/>
      <c r="AN215" s="58"/>
      <c r="AO215" s="62">
        <f t="shared" ref="AO215:AO220" si="515">SUM(AL215+AM215-AN215)</f>
        <v>1</v>
      </c>
      <c r="AP215" s="60"/>
      <c r="AQ215" s="58"/>
      <c r="AR215" s="62">
        <f t="shared" ref="AR215:AR220" si="516">SUM(AO215+AP215-AQ215)</f>
        <v>1</v>
      </c>
      <c r="AS215" s="60"/>
      <c r="AT215" s="58"/>
      <c r="AU215" s="62">
        <f t="shared" ref="AU215:AU220" si="517">SUM(AR215+AS215-AT215)</f>
        <v>1</v>
      </c>
      <c r="AV215" s="83">
        <f t="shared" ref="AV215:AV220" si="518">SUM(L215+O215+R215+U215+X215+AA215+AD215+AG215+AJ215+AM215+AP215+AS215)</f>
        <v>0</v>
      </c>
      <c r="AW215" s="83">
        <f t="shared" si="481"/>
        <v>0</v>
      </c>
      <c r="AX215" s="64">
        <f t="shared" ref="AX215:AX220" si="519">SUM(M215,P215,S215,V215,Y215,AB215,AE215,AH215,AK215,AN215,AQ215,AT215)</f>
        <v>0</v>
      </c>
      <c r="AY215" s="65" t="e">
        <f t="shared" ref="AY215:AY220" si="520">AVERAGE(M215,P215,S215,V215,Y215,AB215,AE215,AH215,AK215,AN215,AQ215,AT215)</f>
        <v>#DIV/0!</v>
      </c>
      <c r="AZ215" s="66">
        <f t="shared" ref="AZ215:AZ220" si="521">COUNT(M215,P215,S215,V215,Y215,AB215,AE215,AH215,AK215,AN215,AQ215,AT215)</f>
        <v>0</v>
      </c>
      <c r="BA215" s="67">
        <f>MAX(0, Table176252626[[#This Row],[Column6]])</f>
        <v>1</v>
      </c>
      <c r="BB215" s="68">
        <v>0</v>
      </c>
      <c r="BC215" s="84">
        <f t="shared" si="460"/>
        <v>1</v>
      </c>
      <c r="BD215" s="83">
        <f t="shared" si="458"/>
        <v>1</v>
      </c>
      <c r="BE215" s="85">
        <v>2</v>
      </c>
      <c r="BF215" s="86">
        <v>43217.405370370368</v>
      </c>
      <c r="BG215" s="72">
        <f t="shared" si="463"/>
        <v>46265</v>
      </c>
      <c r="BH215" s="87">
        <f t="shared" ref="BH215:BH220" si="522">BG215-BF215</f>
        <v>3047.5946296296315</v>
      </c>
      <c r="BI215" s="80" t="str">
        <f t="shared" si="459"/>
        <v>Dead Stock</v>
      </c>
      <c r="BJ215" s="238">
        <v>27500</v>
      </c>
    </row>
    <row r="216" spans="1:62" ht="13">
      <c r="A216" s="49"/>
      <c r="B216" s="50"/>
      <c r="C216" s="77">
        <v>213</v>
      </c>
      <c r="D216" s="110" t="s">
        <v>1517</v>
      </c>
      <c r="E216" s="110">
        <v>2</v>
      </c>
      <c r="F216" s="80" t="s">
        <v>62</v>
      </c>
      <c r="G216" s="81" t="s">
        <v>63</v>
      </c>
      <c r="H216" s="81" t="s">
        <v>296</v>
      </c>
      <c r="I216" s="80" t="s">
        <v>458</v>
      </c>
      <c r="J216" s="82">
        <f t="shared" si="505"/>
        <v>9</v>
      </c>
      <c r="K216" s="80">
        <v>9</v>
      </c>
      <c r="L216" s="57"/>
      <c r="M216" s="58"/>
      <c r="N216" s="59">
        <f t="shared" si="506"/>
        <v>9</v>
      </c>
      <c r="O216" s="60"/>
      <c r="P216" s="58"/>
      <c r="Q216" s="59">
        <f t="shared" si="507"/>
        <v>9</v>
      </c>
      <c r="R216" s="60"/>
      <c r="S216" s="58"/>
      <c r="T216" s="61">
        <f t="shared" si="508"/>
        <v>9</v>
      </c>
      <c r="U216" s="60"/>
      <c r="V216" s="58"/>
      <c r="W216" s="59">
        <f t="shared" si="509"/>
        <v>9</v>
      </c>
      <c r="X216" s="60"/>
      <c r="Y216" s="58"/>
      <c r="Z216" s="61">
        <f t="shared" si="510"/>
        <v>9</v>
      </c>
      <c r="AA216" s="60"/>
      <c r="AB216" s="58"/>
      <c r="AC216" s="59">
        <f t="shared" si="511"/>
        <v>9</v>
      </c>
      <c r="AD216" s="57"/>
      <c r="AE216" s="58"/>
      <c r="AF216" s="243">
        <f t="shared" si="512"/>
        <v>9</v>
      </c>
      <c r="AG216" s="60"/>
      <c r="AH216" s="58"/>
      <c r="AI216" s="62">
        <f t="shared" si="513"/>
        <v>9</v>
      </c>
      <c r="AJ216" s="60"/>
      <c r="AK216" s="58"/>
      <c r="AL216" s="62">
        <f t="shared" si="514"/>
        <v>9</v>
      </c>
      <c r="AM216" s="60"/>
      <c r="AN216" s="58"/>
      <c r="AO216" s="62">
        <f t="shared" si="515"/>
        <v>9</v>
      </c>
      <c r="AP216" s="60"/>
      <c r="AQ216" s="58"/>
      <c r="AR216" s="62">
        <f t="shared" si="516"/>
        <v>9</v>
      </c>
      <c r="AS216" s="60"/>
      <c r="AT216" s="58"/>
      <c r="AU216" s="62">
        <f t="shared" si="517"/>
        <v>9</v>
      </c>
      <c r="AV216" s="83">
        <f t="shared" si="518"/>
        <v>0</v>
      </c>
      <c r="AW216" s="83">
        <f t="shared" si="481"/>
        <v>0</v>
      </c>
      <c r="AX216" s="64">
        <f t="shared" si="519"/>
        <v>0</v>
      </c>
      <c r="AY216" s="65" t="e">
        <f t="shared" si="520"/>
        <v>#DIV/0!</v>
      </c>
      <c r="AZ216" s="66">
        <f t="shared" si="521"/>
        <v>0</v>
      </c>
      <c r="BA216" s="67">
        <v>9</v>
      </c>
      <c r="BB216" s="68">
        <v>1</v>
      </c>
      <c r="BC216" s="84">
        <f t="shared" si="460"/>
        <v>9</v>
      </c>
      <c r="BD216" s="83">
        <f t="shared" si="458"/>
        <v>8</v>
      </c>
      <c r="BE216" s="85">
        <v>2</v>
      </c>
      <c r="BF216" s="86">
        <v>41856.429664351854</v>
      </c>
      <c r="BG216" s="72">
        <f t="shared" si="463"/>
        <v>46265</v>
      </c>
      <c r="BH216" s="87">
        <f t="shared" si="522"/>
        <v>4408.5703356481463</v>
      </c>
      <c r="BI216" s="80" t="str">
        <f t="shared" si="459"/>
        <v>Dead Stock</v>
      </c>
      <c r="BJ216" s="238">
        <v>3501</v>
      </c>
    </row>
    <row r="217" spans="1:62" ht="13">
      <c r="A217" s="90"/>
      <c r="B217" s="91"/>
      <c r="C217" s="51">
        <v>214</v>
      </c>
      <c r="D217" s="110" t="s">
        <v>1517</v>
      </c>
      <c r="E217" s="110">
        <v>3</v>
      </c>
      <c r="F217" s="54" t="s">
        <v>904</v>
      </c>
      <c r="G217" s="55" t="s">
        <v>903</v>
      </c>
      <c r="H217" s="81" t="s">
        <v>296</v>
      </c>
      <c r="I217" s="80" t="s">
        <v>458</v>
      </c>
      <c r="J217" s="82">
        <f t="shared" si="505"/>
        <v>1</v>
      </c>
      <c r="K217" s="80">
        <v>2</v>
      </c>
      <c r="L217" s="57"/>
      <c r="M217" s="58">
        <v>1</v>
      </c>
      <c r="N217" s="59">
        <f t="shared" si="506"/>
        <v>1</v>
      </c>
      <c r="O217" s="60"/>
      <c r="P217" s="58"/>
      <c r="Q217" s="59">
        <f t="shared" si="507"/>
        <v>1</v>
      </c>
      <c r="R217" s="60"/>
      <c r="S217" s="58"/>
      <c r="T217" s="61">
        <f t="shared" si="508"/>
        <v>1</v>
      </c>
      <c r="U217" s="60"/>
      <c r="V217" s="58"/>
      <c r="W217" s="59">
        <f t="shared" si="509"/>
        <v>1</v>
      </c>
      <c r="X217" s="60"/>
      <c r="Y217" s="58"/>
      <c r="Z217" s="61">
        <f t="shared" si="510"/>
        <v>1</v>
      </c>
      <c r="AA217" s="60"/>
      <c r="AB217" s="58"/>
      <c r="AC217" s="59">
        <f t="shared" si="511"/>
        <v>1</v>
      </c>
      <c r="AD217" s="57"/>
      <c r="AE217" s="58"/>
      <c r="AF217" s="243">
        <f t="shared" si="512"/>
        <v>1</v>
      </c>
      <c r="AG217" s="60"/>
      <c r="AH217" s="58"/>
      <c r="AI217" s="62">
        <f t="shared" si="513"/>
        <v>1</v>
      </c>
      <c r="AJ217" s="60"/>
      <c r="AK217" s="58"/>
      <c r="AL217" s="62">
        <f t="shared" si="514"/>
        <v>1</v>
      </c>
      <c r="AM217" s="60"/>
      <c r="AN217" s="58"/>
      <c r="AO217" s="62">
        <f t="shared" si="515"/>
        <v>1</v>
      </c>
      <c r="AP217" s="60"/>
      <c r="AQ217" s="58"/>
      <c r="AR217" s="62">
        <f t="shared" si="516"/>
        <v>1</v>
      </c>
      <c r="AS217" s="60"/>
      <c r="AT217" s="58"/>
      <c r="AU217" s="62">
        <f t="shared" si="517"/>
        <v>1</v>
      </c>
      <c r="AV217" s="83">
        <f t="shared" si="518"/>
        <v>0</v>
      </c>
      <c r="AW217" s="83">
        <f t="shared" si="481"/>
        <v>1</v>
      </c>
      <c r="AX217" s="64">
        <f t="shared" si="519"/>
        <v>1</v>
      </c>
      <c r="AY217" s="65">
        <f t="shared" si="520"/>
        <v>1</v>
      </c>
      <c r="AZ217" s="66">
        <f t="shared" si="521"/>
        <v>1</v>
      </c>
      <c r="BA217" s="67">
        <f>MAX(0, Table176252626[[#This Row],[Column6]])</f>
        <v>1</v>
      </c>
      <c r="BB217" s="68">
        <v>0</v>
      </c>
      <c r="BC217" s="84">
        <f t="shared" si="460"/>
        <v>1</v>
      </c>
      <c r="BD217" s="83">
        <f t="shared" si="458"/>
        <v>1</v>
      </c>
      <c r="BE217" s="85">
        <v>2</v>
      </c>
      <c r="BF217" s="86">
        <v>44294.585578703707</v>
      </c>
      <c r="BG217" s="72">
        <f t="shared" si="463"/>
        <v>46265</v>
      </c>
      <c r="BH217" s="87">
        <f t="shared" si="522"/>
        <v>1970.4144212962929</v>
      </c>
      <c r="BI217" s="80" t="str">
        <f t="shared" si="459"/>
        <v>Dead Stock</v>
      </c>
      <c r="BJ217" s="238">
        <v>8370</v>
      </c>
    </row>
    <row r="218" spans="1:62" ht="13">
      <c r="A218" s="75"/>
      <c r="B218" s="76"/>
      <c r="C218" s="51">
        <v>215</v>
      </c>
      <c r="D218" s="110" t="s">
        <v>1517</v>
      </c>
      <c r="E218" s="110">
        <v>4</v>
      </c>
      <c r="F218" s="121" t="s">
        <v>793</v>
      </c>
      <c r="G218" s="122" t="s">
        <v>794</v>
      </c>
      <c r="H218" s="81" t="s">
        <v>290</v>
      </c>
      <c r="I218" s="80" t="s">
        <v>458</v>
      </c>
      <c r="J218" s="82">
        <f t="shared" si="505"/>
        <v>5</v>
      </c>
      <c r="K218" s="80">
        <v>5</v>
      </c>
      <c r="L218" s="57"/>
      <c r="M218" s="58"/>
      <c r="N218" s="59">
        <f t="shared" si="506"/>
        <v>5</v>
      </c>
      <c r="O218" s="60"/>
      <c r="P218" s="58"/>
      <c r="Q218" s="59">
        <f t="shared" si="507"/>
        <v>5</v>
      </c>
      <c r="R218" s="60"/>
      <c r="S218" s="58"/>
      <c r="T218" s="61">
        <f t="shared" si="508"/>
        <v>5</v>
      </c>
      <c r="U218" s="60"/>
      <c r="V218" s="58"/>
      <c r="W218" s="59">
        <f t="shared" si="509"/>
        <v>5</v>
      </c>
      <c r="X218" s="60"/>
      <c r="Y218" s="58"/>
      <c r="Z218" s="61">
        <f t="shared" si="510"/>
        <v>5</v>
      </c>
      <c r="AA218" s="60"/>
      <c r="AB218" s="58"/>
      <c r="AC218" s="59">
        <f t="shared" si="511"/>
        <v>5</v>
      </c>
      <c r="AD218" s="57"/>
      <c r="AE218" s="58"/>
      <c r="AF218" s="243">
        <f t="shared" si="512"/>
        <v>5</v>
      </c>
      <c r="AG218" s="60"/>
      <c r="AH218" s="58"/>
      <c r="AI218" s="62">
        <f t="shared" si="513"/>
        <v>5</v>
      </c>
      <c r="AJ218" s="60"/>
      <c r="AK218" s="58"/>
      <c r="AL218" s="62">
        <f t="shared" si="514"/>
        <v>5</v>
      </c>
      <c r="AM218" s="60"/>
      <c r="AN218" s="58"/>
      <c r="AO218" s="62">
        <f t="shared" si="515"/>
        <v>5</v>
      </c>
      <c r="AP218" s="60"/>
      <c r="AQ218" s="58"/>
      <c r="AR218" s="62">
        <f t="shared" si="516"/>
        <v>5</v>
      </c>
      <c r="AS218" s="60"/>
      <c r="AT218" s="58"/>
      <c r="AU218" s="62">
        <f t="shared" si="517"/>
        <v>5</v>
      </c>
      <c r="AV218" s="83">
        <f t="shared" si="518"/>
        <v>0</v>
      </c>
      <c r="AW218" s="83">
        <f t="shared" si="481"/>
        <v>0</v>
      </c>
      <c r="AX218" s="64">
        <f t="shared" si="519"/>
        <v>0</v>
      </c>
      <c r="AY218" s="65" t="e">
        <f t="shared" si="520"/>
        <v>#DIV/0!</v>
      </c>
      <c r="AZ218" s="66">
        <f t="shared" si="521"/>
        <v>0</v>
      </c>
      <c r="BA218" s="67">
        <f>MAX(0, Table176252626[[#This Row],[Column6]])</f>
        <v>5</v>
      </c>
      <c r="BB218" s="68">
        <v>1</v>
      </c>
      <c r="BC218" s="84">
        <f t="shared" si="460"/>
        <v>5</v>
      </c>
      <c r="BD218" s="83">
        <f t="shared" si="458"/>
        <v>4</v>
      </c>
      <c r="BE218" s="85">
        <v>2</v>
      </c>
      <c r="BF218" s="86">
        <v>43699.543761574074</v>
      </c>
      <c r="BG218" s="72">
        <f t="shared" si="463"/>
        <v>46265</v>
      </c>
      <c r="BH218" s="87">
        <f t="shared" si="522"/>
        <v>2565.4562384259261</v>
      </c>
      <c r="BI218" s="80" t="str">
        <f t="shared" si="459"/>
        <v>Dead Stock</v>
      </c>
      <c r="BJ218" s="238">
        <v>1460</v>
      </c>
    </row>
    <row r="219" spans="1:62" ht="13">
      <c r="A219" s="49"/>
      <c r="B219" s="50"/>
      <c r="C219" s="51">
        <v>216</v>
      </c>
      <c r="D219" s="110" t="s">
        <v>1517</v>
      </c>
      <c r="E219" s="110">
        <v>5</v>
      </c>
      <c r="F219" s="54" t="s">
        <v>906</v>
      </c>
      <c r="G219" s="55" t="s">
        <v>905</v>
      </c>
      <c r="H219" s="81" t="s">
        <v>296</v>
      </c>
      <c r="I219" s="80" t="s">
        <v>458</v>
      </c>
      <c r="J219" s="82">
        <f t="shared" si="505"/>
        <v>3</v>
      </c>
      <c r="K219" s="80">
        <v>3</v>
      </c>
      <c r="L219" s="57"/>
      <c r="M219" s="58"/>
      <c r="N219" s="59">
        <f t="shared" si="506"/>
        <v>3</v>
      </c>
      <c r="O219" s="60"/>
      <c r="P219" s="58"/>
      <c r="Q219" s="59">
        <f t="shared" si="507"/>
        <v>3</v>
      </c>
      <c r="R219" s="60"/>
      <c r="S219" s="58"/>
      <c r="T219" s="61">
        <f t="shared" si="508"/>
        <v>3</v>
      </c>
      <c r="U219" s="60"/>
      <c r="V219" s="58"/>
      <c r="W219" s="59">
        <f t="shared" si="509"/>
        <v>3</v>
      </c>
      <c r="X219" s="60"/>
      <c r="Y219" s="58"/>
      <c r="Z219" s="61">
        <f t="shared" si="510"/>
        <v>3</v>
      </c>
      <c r="AA219" s="60"/>
      <c r="AB219" s="58"/>
      <c r="AC219" s="59">
        <f t="shared" si="511"/>
        <v>3</v>
      </c>
      <c r="AD219" s="57"/>
      <c r="AE219" s="58"/>
      <c r="AF219" s="243">
        <f t="shared" si="512"/>
        <v>3</v>
      </c>
      <c r="AG219" s="60"/>
      <c r="AH219" s="58"/>
      <c r="AI219" s="62">
        <f t="shared" si="513"/>
        <v>3</v>
      </c>
      <c r="AJ219" s="60"/>
      <c r="AK219" s="58"/>
      <c r="AL219" s="62">
        <f t="shared" si="514"/>
        <v>3</v>
      </c>
      <c r="AM219" s="60"/>
      <c r="AN219" s="58"/>
      <c r="AO219" s="62">
        <f t="shared" si="515"/>
        <v>3</v>
      </c>
      <c r="AP219" s="60"/>
      <c r="AQ219" s="58"/>
      <c r="AR219" s="62">
        <f t="shared" si="516"/>
        <v>3</v>
      </c>
      <c r="AS219" s="60"/>
      <c r="AT219" s="58"/>
      <c r="AU219" s="62">
        <f t="shared" si="517"/>
        <v>3</v>
      </c>
      <c r="AV219" s="83">
        <f t="shared" si="518"/>
        <v>0</v>
      </c>
      <c r="AW219" s="83">
        <f t="shared" si="481"/>
        <v>0</v>
      </c>
      <c r="AX219" s="64">
        <f t="shared" si="519"/>
        <v>0</v>
      </c>
      <c r="AY219" s="65" t="e">
        <f t="shared" si="520"/>
        <v>#DIV/0!</v>
      </c>
      <c r="AZ219" s="66">
        <f t="shared" si="521"/>
        <v>0</v>
      </c>
      <c r="BA219" s="67">
        <f>MAX(0, Table176252626[[#This Row],[Column6]])</f>
        <v>3</v>
      </c>
      <c r="BB219" s="68">
        <v>1</v>
      </c>
      <c r="BC219" s="84">
        <f t="shared" si="460"/>
        <v>3</v>
      </c>
      <c r="BD219" s="83">
        <f t="shared" si="458"/>
        <v>2</v>
      </c>
      <c r="BE219" s="85">
        <v>2</v>
      </c>
      <c r="BF219" s="86">
        <v>43217.405370370368</v>
      </c>
      <c r="BG219" s="72">
        <f t="shared" si="463"/>
        <v>46265</v>
      </c>
      <c r="BH219" s="87">
        <f t="shared" si="522"/>
        <v>3047.5946296296315</v>
      </c>
      <c r="BI219" s="80" t="str">
        <f t="shared" si="459"/>
        <v>Dead Stock</v>
      </c>
      <c r="BJ219" s="238">
        <v>17100</v>
      </c>
    </row>
    <row r="220" spans="1:62" ht="13">
      <c r="A220" s="49"/>
      <c r="B220" s="50"/>
      <c r="C220" s="51">
        <v>217</v>
      </c>
      <c r="D220" s="110" t="s">
        <v>1517</v>
      </c>
      <c r="E220" s="110">
        <v>6</v>
      </c>
      <c r="F220" s="88" t="s">
        <v>1660</v>
      </c>
      <c r="G220" s="89" t="s">
        <v>1661</v>
      </c>
      <c r="H220" s="89" t="s">
        <v>296</v>
      </c>
      <c r="I220" s="88" t="s">
        <v>458</v>
      </c>
      <c r="J220" s="93">
        <f t="shared" si="505"/>
        <v>2</v>
      </c>
      <c r="K220" s="88">
        <v>2</v>
      </c>
      <c r="L220" s="58"/>
      <c r="M220" s="58"/>
      <c r="N220" s="62">
        <f t="shared" si="506"/>
        <v>2</v>
      </c>
      <c r="O220" s="60"/>
      <c r="P220" s="58"/>
      <c r="Q220" s="62">
        <f t="shared" si="507"/>
        <v>2</v>
      </c>
      <c r="R220" s="60"/>
      <c r="S220" s="58"/>
      <c r="T220" s="94">
        <f t="shared" si="508"/>
        <v>2</v>
      </c>
      <c r="U220" s="60"/>
      <c r="V220" s="58"/>
      <c r="W220" s="62">
        <f t="shared" si="509"/>
        <v>2</v>
      </c>
      <c r="X220" s="60"/>
      <c r="Y220" s="58"/>
      <c r="Z220" s="94">
        <f t="shared" si="510"/>
        <v>2</v>
      </c>
      <c r="AA220" s="60"/>
      <c r="AB220" s="58"/>
      <c r="AC220" s="62">
        <f t="shared" si="511"/>
        <v>2</v>
      </c>
      <c r="AD220" s="57"/>
      <c r="AE220" s="58"/>
      <c r="AF220" s="165">
        <f t="shared" si="512"/>
        <v>2</v>
      </c>
      <c r="AG220" s="60"/>
      <c r="AH220" s="58"/>
      <c r="AI220" s="62">
        <f t="shared" si="513"/>
        <v>2</v>
      </c>
      <c r="AJ220" s="60"/>
      <c r="AK220" s="58"/>
      <c r="AL220" s="62">
        <f t="shared" si="514"/>
        <v>2</v>
      </c>
      <c r="AM220" s="60"/>
      <c r="AN220" s="58"/>
      <c r="AO220" s="62">
        <f t="shared" si="515"/>
        <v>2</v>
      </c>
      <c r="AP220" s="60"/>
      <c r="AQ220" s="58"/>
      <c r="AR220" s="62">
        <f t="shared" si="516"/>
        <v>2</v>
      </c>
      <c r="AS220" s="60"/>
      <c r="AT220" s="58"/>
      <c r="AU220" s="62">
        <f t="shared" si="517"/>
        <v>2</v>
      </c>
      <c r="AV220" s="96">
        <f t="shared" si="518"/>
        <v>0</v>
      </c>
      <c r="AW220" s="97">
        <f t="shared" si="481"/>
        <v>0</v>
      </c>
      <c r="AX220" s="98">
        <f t="shared" si="519"/>
        <v>0</v>
      </c>
      <c r="AY220" s="99" t="e">
        <f t="shared" si="520"/>
        <v>#DIV/0!</v>
      </c>
      <c r="AZ220" s="100">
        <f t="shared" si="521"/>
        <v>0</v>
      </c>
      <c r="BA220" s="101">
        <v>2</v>
      </c>
      <c r="BB220" s="102">
        <v>1</v>
      </c>
      <c r="BC220" s="84">
        <f t="shared" si="460"/>
        <v>2</v>
      </c>
      <c r="BD220" s="83">
        <f t="shared" si="458"/>
        <v>1</v>
      </c>
      <c r="BE220" s="85">
        <v>2</v>
      </c>
      <c r="BF220" s="86">
        <v>45646.461574074077</v>
      </c>
      <c r="BG220" s="72">
        <f t="shared" si="463"/>
        <v>46265</v>
      </c>
      <c r="BH220" s="109">
        <f t="shared" si="522"/>
        <v>618.53842592592264</v>
      </c>
      <c r="BI220" s="80" t="str">
        <f t="shared" si="459"/>
        <v>Dead Stock</v>
      </c>
      <c r="BJ220" s="238">
        <v>1620</v>
      </c>
    </row>
    <row r="221" spans="1:62" ht="13">
      <c r="A221" s="90"/>
      <c r="B221" s="91"/>
      <c r="C221" s="77">
        <v>218</v>
      </c>
      <c r="D221" s="117"/>
      <c r="E221" s="117"/>
      <c r="F221" s="88" t="s">
        <v>1658</v>
      </c>
      <c r="G221" s="89" t="s">
        <v>1659</v>
      </c>
      <c r="H221" s="89" t="s">
        <v>296</v>
      </c>
      <c r="I221" s="88" t="s">
        <v>458</v>
      </c>
      <c r="J221" s="93">
        <f>AU221</f>
        <v>1</v>
      </c>
      <c r="K221" s="80">
        <v>1</v>
      </c>
      <c r="L221" s="58"/>
      <c r="M221" s="58"/>
      <c r="N221" s="62">
        <f>SUM(K221+L221-M221)</f>
        <v>1</v>
      </c>
      <c r="O221" s="60"/>
      <c r="P221" s="58"/>
      <c r="Q221" s="62">
        <f>SUM(N221+O221-P221)</f>
        <v>1</v>
      </c>
      <c r="R221" s="60"/>
      <c r="S221" s="58"/>
      <c r="T221" s="94">
        <f>SUM(Q221+R221-S221)</f>
        <v>1</v>
      </c>
      <c r="U221" s="60"/>
      <c r="V221" s="58"/>
      <c r="W221" s="62">
        <f>SUM(T221+U221-V221)</f>
        <v>1</v>
      </c>
      <c r="X221" s="60"/>
      <c r="Y221" s="58"/>
      <c r="Z221" s="94">
        <f>SUM(W221+X221-Y221)</f>
        <v>1</v>
      </c>
      <c r="AA221" s="60"/>
      <c r="AB221" s="58"/>
      <c r="AC221" s="62">
        <f>SUM(Z221+AA221-AB221)</f>
        <v>1</v>
      </c>
      <c r="AD221" s="57"/>
      <c r="AE221" s="58"/>
      <c r="AF221" s="165">
        <f>SUM(AC221+AD221-AE221)</f>
        <v>1</v>
      </c>
      <c r="AG221" s="60"/>
      <c r="AH221" s="58"/>
      <c r="AI221" s="62">
        <f>SUM(AF221+AG221-AH221)</f>
        <v>1</v>
      </c>
      <c r="AJ221" s="60"/>
      <c r="AK221" s="58"/>
      <c r="AL221" s="62">
        <f>SUM(AI221+AJ221-AK221)</f>
        <v>1</v>
      </c>
      <c r="AM221" s="60"/>
      <c r="AN221" s="58"/>
      <c r="AO221" s="62">
        <f>SUM(AL221+AM221-AN221)</f>
        <v>1</v>
      </c>
      <c r="AP221" s="60"/>
      <c r="AQ221" s="58"/>
      <c r="AR221" s="62">
        <f>SUM(AO221+AP221-AQ221)</f>
        <v>1</v>
      </c>
      <c r="AS221" s="60"/>
      <c r="AT221" s="58"/>
      <c r="AU221" s="62">
        <f>SUM(AR221+AS221-AT221)</f>
        <v>1</v>
      </c>
      <c r="AV221" s="96">
        <f>SUM(L221+O221+R221+U221+X221+AA221+AD221+AG221+AJ221+AM221+AP221+AS221)</f>
        <v>0</v>
      </c>
      <c r="AW221" s="97">
        <f>SUM(M221+P221+S221+V221+Y221+AB221+AE221+AH221+AK221+AN221+AQ221+AT221)</f>
        <v>0</v>
      </c>
      <c r="AX221" s="98">
        <f>SUM(M221,P221,S221,V221,Y221,AB221,AE221,AH221,AK221,AN221,AQ221,AT221)</f>
        <v>0</v>
      </c>
      <c r="AY221" s="99" t="e">
        <f>AVERAGE(M221,P221,S221,V221,Y221,AB221,AE221,AH221,AK221,AN221,AQ221,AT221)</f>
        <v>#DIV/0!</v>
      </c>
      <c r="AZ221" s="100">
        <f>COUNT(M221,P221,S221,V221,Y221,AB221,AE221,AH221,AK221,AN221,AQ221,AT221)</f>
        <v>0</v>
      </c>
      <c r="BA221" s="101">
        <v>1</v>
      </c>
      <c r="BB221" s="102">
        <v>0</v>
      </c>
      <c r="BC221" s="84">
        <f t="shared" si="460"/>
        <v>1</v>
      </c>
      <c r="BD221" s="83">
        <f t="shared" si="458"/>
        <v>1</v>
      </c>
      <c r="BE221" s="85">
        <v>2</v>
      </c>
      <c r="BF221" s="86">
        <v>45646.461574074077</v>
      </c>
      <c r="BG221" s="72">
        <f t="shared" si="463"/>
        <v>46265</v>
      </c>
      <c r="BH221" s="109">
        <f>BG221-BF221</f>
        <v>618.53842592592264</v>
      </c>
      <c r="BI221" s="80" t="str">
        <f t="shared" si="459"/>
        <v>Dead Stock</v>
      </c>
      <c r="BJ221" s="238">
        <v>450</v>
      </c>
    </row>
    <row r="222" spans="1:62" ht="13">
      <c r="A222" s="49"/>
      <c r="B222" s="50"/>
      <c r="C222" s="77">
        <v>219</v>
      </c>
      <c r="D222" s="110" t="s">
        <v>1517</v>
      </c>
      <c r="E222" s="110">
        <v>7</v>
      </c>
      <c r="F222" s="80" t="s">
        <v>58</v>
      </c>
      <c r="G222" s="81" t="s">
        <v>1288</v>
      </c>
      <c r="H222" s="81" t="s">
        <v>296</v>
      </c>
      <c r="I222" s="80" t="s">
        <v>458</v>
      </c>
      <c r="J222" s="82">
        <f t="shared" ref="J222:J231" si="523">AU222</f>
        <v>5</v>
      </c>
      <c r="K222" s="80">
        <v>5</v>
      </c>
      <c r="L222" s="57"/>
      <c r="M222" s="58"/>
      <c r="N222" s="59">
        <f t="shared" ref="N222:N231" si="524">SUM(K222+L222-M222)</f>
        <v>5</v>
      </c>
      <c r="O222" s="60"/>
      <c r="P222" s="58"/>
      <c r="Q222" s="59">
        <f t="shared" ref="Q222:Q231" si="525">SUM(N222+O222-P222)</f>
        <v>5</v>
      </c>
      <c r="R222" s="60"/>
      <c r="S222" s="58"/>
      <c r="T222" s="61">
        <f t="shared" ref="T222:T231" si="526">SUM(Q222+R222-S222)</f>
        <v>5</v>
      </c>
      <c r="U222" s="60"/>
      <c r="V222" s="58"/>
      <c r="W222" s="59">
        <f t="shared" ref="W222:W231" si="527">SUM(T222+U222-V222)</f>
        <v>5</v>
      </c>
      <c r="X222" s="60"/>
      <c r="Y222" s="58"/>
      <c r="Z222" s="61">
        <f t="shared" ref="Z222:Z231" si="528">SUM(W222+X222-Y222)</f>
        <v>5</v>
      </c>
      <c r="AA222" s="60"/>
      <c r="AB222" s="58"/>
      <c r="AC222" s="59">
        <f t="shared" ref="AC222:AC231" si="529">SUM(Z222+AA222-AB222)</f>
        <v>5</v>
      </c>
      <c r="AD222" s="57"/>
      <c r="AE222" s="58"/>
      <c r="AF222" s="243">
        <f t="shared" ref="AF222:AF231" si="530">SUM(AC222+AD222-AE222)</f>
        <v>5</v>
      </c>
      <c r="AG222" s="60"/>
      <c r="AH222" s="58"/>
      <c r="AI222" s="62">
        <f t="shared" ref="AI222:AI231" si="531">SUM(AF222+AG222-AH222)</f>
        <v>5</v>
      </c>
      <c r="AJ222" s="60"/>
      <c r="AK222" s="58"/>
      <c r="AL222" s="62">
        <f t="shared" ref="AL222:AL231" si="532">SUM(AI222+AJ222-AK222)</f>
        <v>5</v>
      </c>
      <c r="AM222" s="60"/>
      <c r="AN222" s="58"/>
      <c r="AO222" s="62">
        <f t="shared" ref="AO222:AO231" si="533">SUM(AL222+AM222-AN222)</f>
        <v>5</v>
      </c>
      <c r="AP222" s="60"/>
      <c r="AQ222" s="58"/>
      <c r="AR222" s="62">
        <f t="shared" ref="AR222:AR231" si="534">SUM(AO222+AP222-AQ222)</f>
        <v>5</v>
      </c>
      <c r="AS222" s="60"/>
      <c r="AT222" s="58"/>
      <c r="AU222" s="62">
        <f t="shared" ref="AU222:AU231" si="535">SUM(AR222+AS222-AT222)</f>
        <v>5</v>
      </c>
      <c r="AV222" s="83">
        <f t="shared" ref="AV222:AV231" si="536">SUM(L222+O222+R222+U222+X222+AA222+AD222+AG222+AJ222+AM222+AP222+AS222)</f>
        <v>0</v>
      </c>
      <c r="AW222" s="83">
        <f t="shared" ref="AW222:AW231" si="537">SUM(M222+P222+S222+V222+Y222+AB222+AE222+AH222+AK222+AN222+AQ222+AT222)</f>
        <v>0</v>
      </c>
      <c r="AX222" s="64">
        <f t="shared" ref="AX222:AX231" si="538">SUM(M222,P222,S222,V222,Y222,AB222,AE222,AH222,AK222,AN222,AQ222,AT222)</f>
        <v>0</v>
      </c>
      <c r="AY222" s="65" t="e">
        <f t="shared" ref="AY222:AY231" si="539">AVERAGE(M222,P222,S222,V222,Y222,AB222,AE222,AH222,AK222,AN222,AQ222,AT222)</f>
        <v>#DIV/0!</v>
      </c>
      <c r="AZ222" s="66">
        <f t="shared" ref="AZ222:AZ231" si="540">COUNT(M222,P222,S222,V222,Y222,AB222,AE222,AH222,AK222,AN222,AQ222,AT222)</f>
        <v>0</v>
      </c>
      <c r="BA222" s="67">
        <f>MAX(0, Table176252626[[#This Row],[Column6]])</f>
        <v>5</v>
      </c>
      <c r="BB222" s="68">
        <v>1</v>
      </c>
      <c r="BC222" s="84">
        <f t="shared" si="460"/>
        <v>5</v>
      </c>
      <c r="BD222" s="83">
        <f t="shared" si="458"/>
        <v>4</v>
      </c>
      <c r="BE222" s="85">
        <v>2</v>
      </c>
      <c r="BF222" s="86">
        <v>44341.575289351851</v>
      </c>
      <c r="BG222" s="72">
        <f t="shared" si="463"/>
        <v>46265</v>
      </c>
      <c r="BH222" s="107">
        <f t="shared" ref="BH222:BH231" si="541">BG222-BF222</f>
        <v>1923.4247106481489</v>
      </c>
      <c r="BI222" s="80" t="str">
        <f t="shared" si="459"/>
        <v>Dead Stock</v>
      </c>
      <c r="BJ222" s="238">
        <v>2250</v>
      </c>
    </row>
    <row r="223" spans="1:62" ht="13">
      <c r="A223" s="49"/>
      <c r="B223" s="76"/>
      <c r="C223" s="51">
        <v>220</v>
      </c>
      <c r="D223" s="110" t="s">
        <v>1517</v>
      </c>
      <c r="E223" s="110">
        <v>8</v>
      </c>
      <c r="F223" s="74" t="s">
        <v>601</v>
      </c>
      <c r="G223" s="81" t="s">
        <v>1046</v>
      </c>
      <c r="H223" s="81" t="s">
        <v>296</v>
      </c>
      <c r="I223" s="80" t="s">
        <v>458</v>
      </c>
      <c r="J223" s="82">
        <f t="shared" ref="J223:J230" si="542">AU223</f>
        <v>1</v>
      </c>
      <c r="K223" s="88">
        <v>1</v>
      </c>
      <c r="L223" s="57"/>
      <c r="M223" s="58"/>
      <c r="N223" s="59">
        <f t="shared" ref="N223:N230" si="543">SUM(K223+L223-M223)</f>
        <v>1</v>
      </c>
      <c r="O223" s="60"/>
      <c r="P223" s="58"/>
      <c r="Q223" s="59">
        <f t="shared" ref="Q223:Q230" si="544">SUM(N223+O223-P223)</f>
        <v>1</v>
      </c>
      <c r="R223" s="60"/>
      <c r="S223" s="58"/>
      <c r="T223" s="61">
        <f t="shared" ref="T223:T230" si="545">SUM(Q223+R223-S223)</f>
        <v>1</v>
      </c>
      <c r="U223" s="60"/>
      <c r="V223" s="58"/>
      <c r="W223" s="59">
        <f t="shared" ref="W223:W230" si="546">SUM(T223+U223-V223)</f>
        <v>1</v>
      </c>
      <c r="X223" s="60"/>
      <c r="Y223" s="58"/>
      <c r="Z223" s="61">
        <f t="shared" ref="Z223:Z230" si="547">SUM(W223+X223-Y223)</f>
        <v>1</v>
      </c>
      <c r="AA223" s="60"/>
      <c r="AB223" s="58"/>
      <c r="AC223" s="59">
        <f t="shared" ref="AC223:AC230" si="548">SUM(Z223+AA223-AB223)</f>
        <v>1</v>
      </c>
      <c r="AD223" s="57"/>
      <c r="AE223" s="58"/>
      <c r="AF223" s="243">
        <f t="shared" ref="AF223:AF230" si="549">SUM(AC223+AD223-AE223)</f>
        <v>1</v>
      </c>
      <c r="AG223" s="60"/>
      <c r="AH223" s="58"/>
      <c r="AI223" s="62">
        <f t="shared" ref="AI223:AI230" si="550">SUM(AF223+AG223-AH223)</f>
        <v>1</v>
      </c>
      <c r="AJ223" s="60"/>
      <c r="AK223" s="58"/>
      <c r="AL223" s="62">
        <f t="shared" ref="AL223:AL230" si="551">SUM(AI223+AJ223-AK223)</f>
        <v>1</v>
      </c>
      <c r="AM223" s="60"/>
      <c r="AN223" s="58"/>
      <c r="AO223" s="62">
        <f t="shared" ref="AO223:AO230" si="552">SUM(AL223+AM223-AN223)</f>
        <v>1</v>
      </c>
      <c r="AP223" s="60"/>
      <c r="AQ223" s="58"/>
      <c r="AR223" s="62">
        <f t="shared" ref="AR223:AR230" si="553">SUM(AO223+AP223-AQ223)</f>
        <v>1</v>
      </c>
      <c r="AS223" s="60"/>
      <c r="AT223" s="58"/>
      <c r="AU223" s="62">
        <f t="shared" ref="AU223:AU230" si="554">SUM(AR223+AS223-AT223)</f>
        <v>1</v>
      </c>
      <c r="AV223" s="83">
        <f t="shared" ref="AV223:AW230" si="555">SUM(L223+O223+R223+U223+X223+AA223+AD223+AG223+AJ223+AM223+AP223+AS223)</f>
        <v>0</v>
      </c>
      <c r="AW223" s="83">
        <f t="shared" si="555"/>
        <v>0</v>
      </c>
      <c r="AX223" s="64">
        <f t="shared" ref="AX223:AX230" si="556">SUM(M223,P223,S223,V223,Y223,AB223,AE223,AH223,AK223,AN223,AQ223,AT223)</f>
        <v>0</v>
      </c>
      <c r="AY223" s="65" t="e">
        <f t="shared" ref="AY223:AY230" si="557">AVERAGE(M223,P223,S223,V223,Y223,AB223,AE223,AH223,AK223,AN223,AQ223,AT223)</f>
        <v>#DIV/0!</v>
      </c>
      <c r="AZ223" s="66">
        <f t="shared" ref="AZ223:AZ230" si="558">COUNT(M223,P223,S223,V223,Y223,AB223,AE223,AH223,AK223,AN223,AQ223,AT223)</f>
        <v>0</v>
      </c>
      <c r="BA223" s="67">
        <f>MAX(0, Table176252626[[#This Row],[Column6]])</f>
        <v>1</v>
      </c>
      <c r="BB223" s="68">
        <v>0</v>
      </c>
      <c r="BC223" s="84">
        <f t="shared" si="460"/>
        <v>1</v>
      </c>
      <c r="BD223" s="83">
        <f t="shared" si="458"/>
        <v>1</v>
      </c>
      <c r="BE223" s="85">
        <v>2</v>
      </c>
      <c r="BF223" s="86">
        <v>43350.465243055558</v>
      </c>
      <c r="BG223" s="72">
        <f t="shared" si="463"/>
        <v>46265</v>
      </c>
      <c r="BH223" s="87">
        <f t="shared" ref="BH223:BH230" si="559">BG223-BF223</f>
        <v>2914.5347569444421</v>
      </c>
      <c r="BI223" s="80" t="str">
        <f t="shared" si="459"/>
        <v>Dead Stock</v>
      </c>
      <c r="BJ223" s="238">
        <v>8235</v>
      </c>
    </row>
    <row r="224" spans="1:62" ht="13">
      <c r="A224" s="90"/>
      <c r="B224" s="91"/>
      <c r="C224" s="51">
        <v>221</v>
      </c>
      <c r="D224" s="110" t="s">
        <v>1517</v>
      </c>
      <c r="E224" s="110">
        <v>9</v>
      </c>
      <c r="F224" s="88" t="s">
        <v>1808</v>
      </c>
      <c r="G224" s="89" t="s">
        <v>1809</v>
      </c>
      <c r="H224" s="89" t="s">
        <v>1009</v>
      </c>
      <c r="I224" s="88" t="s">
        <v>458</v>
      </c>
      <c r="J224" s="93">
        <f>AU224</f>
        <v>1</v>
      </c>
      <c r="K224" s="80">
        <v>1</v>
      </c>
      <c r="L224" s="58"/>
      <c r="M224" s="58"/>
      <c r="N224" s="62">
        <f>SUM(K224+L224-M224)</f>
        <v>1</v>
      </c>
      <c r="O224" s="60"/>
      <c r="P224" s="58"/>
      <c r="Q224" s="62">
        <f>SUM(N224+O224-P224)</f>
        <v>1</v>
      </c>
      <c r="R224" s="60"/>
      <c r="S224" s="58"/>
      <c r="T224" s="94">
        <f>SUM(Q224+R224-S224)</f>
        <v>1</v>
      </c>
      <c r="U224" s="60"/>
      <c r="V224" s="58"/>
      <c r="W224" s="62">
        <f>SUM(T224+U224-V224)</f>
        <v>1</v>
      </c>
      <c r="X224" s="60"/>
      <c r="Y224" s="58"/>
      <c r="Z224" s="94">
        <f>SUM(W224+X224-Y224)</f>
        <v>1</v>
      </c>
      <c r="AA224" s="60"/>
      <c r="AB224" s="58"/>
      <c r="AC224" s="62">
        <f>SUM(Z224+AA224-AB224)</f>
        <v>1</v>
      </c>
      <c r="AD224" s="57"/>
      <c r="AE224" s="58"/>
      <c r="AF224" s="165">
        <f>SUM(AC224+AD224-AE224)</f>
        <v>1</v>
      </c>
      <c r="AG224" s="60"/>
      <c r="AH224" s="58"/>
      <c r="AI224" s="62">
        <f>SUM(AF224+AG224-AH224)</f>
        <v>1</v>
      </c>
      <c r="AJ224" s="60"/>
      <c r="AK224" s="58"/>
      <c r="AL224" s="62">
        <f>SUM(AI224+AJ224-AK224)</f>
        <v>1</v>
      </c>
      <c r="AM224" s="60"/>
      <c r="AN224" s="58"/>
      <c r="AO224" s="62">
        <f>SUM(AL224+AM224-AN224)</f>
        <v>1</v>
      </c>
      <c r="AP224" s="60"/>
      <c r="AQ224" s="58"/>
      <c r="AR224" s="62">
        <f>SUM(AO224+AP224-AQ224)</f>
        <v>1</v>
      </c>
      <c r="AS224" s="60"/>
      <c r="AT224" s="58"/>
      <c r="AU224" s="62">
        <f>SUM(AR224+AS224-AT224)</f>
        <v>1</v>
      </c>
      <c r="AV224" s="96">
        <f>SUM(L224+O224+R224+U224+X224+AA224+AD224+AG224+AJ224+AM224+AP224+AS224)</f>
        <v>0</v>
      </c>
      <c r="AW224" s="83">
        <f>SUM(M224+P224+S224+V224+Y224+AB224+AE224+AH224+AK224+AN224+AQ224+AT224)</f>
        <v>0</v>
      </c>
      <c r="AX224" s="98">
        <f>SUM(M224,P224,S224,V224,Y224,AB224,AE224,AH224,AK224,AN224,AQ224,AT224)</f>
        <v>0</v>
      </c>
      <c r="AY224" s="99" t="e">
        <f>AVERAGE(M224,P224,S224,V224,Y224,AB224,AE224,AH224,AK224,AN224,AQ224,AT224)</f>
        <v>#DIV/0!</v>
      </c>
      <c r="AZ224" s="100">
        <f>COUNT(M224,P224,S224,V224,Y224,AB224,AE224,AH224,AK224,AN224,AQ224,AT224)</f>
        <v>0</v>
      </c>
      <c r="BA224" s="101">
        <v>1</v>
      </c>
      <c r="BB224" s="102">
        <v>0</v>
      </c>
      <c r="BC224" s="84">
        <f>J224</f>
        <v>1</v>
      </c>
      <c r="BD224" s="83">
        <f>SUM(BC224-BB224)</f>
        <v>1</v>
      </c>
      <c r="BE224" s="85">
        <v>2</v>
      </c>
      <c r="BF224" s="86" t="s">
        <v>1073</v>
      </c>
      <c r="BG224" s="72">
        <f t="shared" si="463"/>
        <v>46265</v>
      </c>
      <c r="BH224" s="103" t="e">
        <f>BG224-BF224</f>
        <v>#VALUE!</v>
      </c>
      <c r="BI224" s="80" t="e">
        <f>IF(AND(J224&gt;0,BH224&gt;365),"Dead Stock","")</f>
        <v>#VALUE!</v>
      </c>
      <c r="BJ224" s="238">
        <v>2868</v>
      </c>
    </row>
    <row r="225" spans="1:293" ht="13">
      <c r="A225" s="49"/>
      <c r="B225" s="76"/>
      <c r="C225" s="51">
        <v>222</v>
      </c>
      <c r="D225" s="110" t="s">
        <v>1517</v>
      </c>
      <c r="E225" s="110">
        <v>9</v>
      </c>
      <c r="F225" s="80" t="s">
        <v>123</v>
      </c>
      <c r="G225" s="81" t="s">
        <v>470</v>
      </c>
      <c r="H225" s="81" t="s">
        <v>296</v>
      </c>
      <c r="I225" s="80" t="s">
        <v>458</v>
      </c>
      <c r="J225" s="82">
        <f t="shared" si="542"/>
        <v>3</v>
      </c>
      <c r="K225" s="80">
        <v>4</v>
      </c>
      <c r="L225" s="57"/>
      <c r="M225" s="58"/>
      <c r="N225" s="59">
        <f t="shared" si="543"/>
        <v>4</v>
      </c>
      <c r="O225" s="60"/>
      <c r="P225" s="58"/>
      <c r="Q225" s="59">
        <f t="shared" si="544"/>
        <v>4</v>
      </c>
      <c r="R225" s="60"/>
      <c r="S225" s="58"/>
      <c r="T225" s="61">
        <f t="shared" si="545"/>
        <v>4</v>
      </c>
      <c r="U225" s="60"/>
      <c r="V225" s="58">
        <v>1</v>
      </c>
      <c r="W225" s="59">
        <f t="shared" si="546"/>
        <v>3</v>
      </c>
      <c r="X225" s="60"/>
      <c r="Y225" s="58"/>
      <c r="Z225" s="61">
        <f t="shared" si="547"/>
        <v>3</v>
      </c>
      <c r="AA225" s="60"/>
      <c r="AB225" s="58"/>
      <c r="AC225" s="59">
        <f t="shared" si="548"/>
        <v>3</v>
      </c>
      <c r="AD225" s="57"/>
      <c r="AE225" s="58"/>
      <c r="AF225" s="243">
        <f t="shared" si="549"/>
        <v>3</v>
      </c>
      <c r="AG225" s="60"/>
      <c r="AH225" s="58"/>
      <c r="AI225" s="62">
        <f t="shared" si="550"/>
        <v>3</v>
      </c>
      <c r="AJ225" s="60"/>
      <c r="AK225" s="58"/>
      <c r="AL225" s="62">
        <f t="shared" si="551"/>
        <v>3</v>
      </c>
      <c r="AM225" s="60"/>
      <c r="AN225" s="58"/>
      <c r="AO225" s="62">
        <f t="shared" si="552"/>
        <v>3</v>
      </c>
      <c r="AP225" s="60"/>
      <c r="AQ225" s="58"/>
      <c r="AR225" s="62">
        <f t="shared" si="553"/>
        <v>3</v>
      </c>
      <c r="AS225" s="60"/>
      <c r="AT225" s="58"/>
      <c r="AU225" s="62">
        <f t="shared" si="554"/>
        <v>3</v>
      </c>
      <c r="AV225" s="83">
        <f t="shared" si="555"/>
        <v>0</v>
      </c>
      <c r="AW225" s="83">
        <f t="shared" si="555"/>
        <v>1</v>
      </c>
      <c r="AX225" s="64">
        <f t="shared" si="556"/>
        <v>1</v>
      </c>
      <c r="AY225" s="65">
        <f t="shared" si="557"/>
        <v>1</v>
      </c>
      <c r="AZ225" s="66">
        <f t="shared" si="558"/>
        <v>1</v>
      </c>
      <c r="BA225" s="67">
        <f>MAX(0, Table176252626[[#This Row],[Column6]])</f>
        <v>3</v>
      </c>
      <c r="BB225" s="68">
        <v>1</v>
      </c>
      <c r="BC225" s="84">
        <f t="shared" si="460"/>
        <v>3</v>
      </c>
      <c r="BD225" s="83">
        <f t="shared" si="458"/>
        <v>2</v>
      </c>
      <c r="BE225" s="85">
        <v>2</v>
      </c>
      <c r="BF225" s="86">
        <v>45000.574560185189</v>
      </c>
      <c r="BG225" s="72">
        <f t="shared" si="463"/>
        <v>46265</v>
      </c>
      <c r="BH225" s="107">
        <f t="shared" si="559"/>
        <v>1264.4254398148114</v>
      </c>
      <c r="BI225" s="80" t="str">
        <f t="shared" si="459"/>
        <v>Dead Stock</v>
      </c>
      <c r="BJ225" s="238">
        <v>5500</v>
      </c>
    </row>
    <row r="226" spans="1:293" ht="13">
      <c r="A226" s="49"/>
      <c r="B226" s="50"/>
      <c r="C226" s="51">
        <v>223</v>
      </c>
      <c r="D226" s="110" t="s">
        <v>1517</v>
      </c>
      <c r="E226" s="110">
        <v>10</v>
      </c>
      <c r="F226" s="80" t="s">
        <v>707</v>
      </c>
      <c r="G226" s="81" t="s">
        <v>708</v>
      </c>
      <c r="H226" s="81" t="s">
        <v>296</v>
      </c>
      <c r="I226" s="80" t="s">
        <v>458</v>
      </c>
      <c r="J226" s="82">
        <f t="shared" si="542"/>
        <v>2</v>
      </c>
      <c r="K226" s="80">
        <v>2</v>
      </c>
      <c r="L226" s="57"/>
      <c r="M226" s="58"/>
      <c r="N226" s="59">
        <f t="shared" si="543"/>
        <v>2</v>
      </c>
      <c r="O226" s="60"/>
      <c r="P226" s="58"/>
      <c r="Q226" s="59">
        <f t="shared" si="544"/>
        <v>2</v>
      </c>
      <c r="R226" s="60"/>
      <c r="S226" s="58"/>
      <c r="T226" s="61">
        <f t="shared" si="545"/>
        <v>2</v>
      </c>
      <c r="U226" s="60"/>
      <c r="V226" s="58"/>
      <c r="W226" s="59">
        <f t="shared" si="546"/>
        <v>2</v>
      </c>
      <c r="X226" s="60"/>
      <c r="Y226" s="58"/>
      <c r="Z226" s="61">
        <f t="shared" si="547"/>
        <v>2</v>
      </c>
      <c r="AA226" s="60"/>
      <c r="AB226" s="58"/>
      <c r="AC226" s="59">
        <f t="shared" si="548"/>
        <v>2</v>
      </c>
      <c r="AD226" s="57"/>
      <c r="AE226" s="58"/>
      <c r="AF226" s="243">
        <f t="shared" si="549"/>
        <v>2</v>
      </c>
      <c r="AG226" s="60"/>
      <c r="AH226" s="58"/>
      <c r="AI226" s="62">
        <f t="shared" si="550"/>
        <v>2</v>
      </c>
      <c r="AJ226" s="60"/>
      <c r="AK226" s="58"/>
      <c r="AL226" s="62">
        <f t="shared" si="551"/>
        <v>2</v>
      </c>
      <c r="AM226" s="60"/>
      <c r="AN226" s="58"/>
      <c r="AO226" s="62">
        <f t="shared" si="552"/>
        <v>2</v>
      </c>
      <c r="AP226" s="60"/>
      <c r="AQ226" s="58"/>
      <c r="AR226" s="62">
        <f t="shared" si="553"/>
        <v>2</v>
      </c>
      <c r="AS226" s="60"/>
      <c r="AT226" s="58"/>
      <c r="AU226" s="62">
        <f t="shared" si="554"/>
        <v>2</v>
      </c>
      <c r="AV226" s="83">
        <f t="shared" si="555"/>
        <v>0</v>
      </c>
      <c r="AW226" s="83">
        <f t="shared" si="555"/>
        <v>0</v>
      </c>
      <c r="AX226" s="64">
        <f t="shared" si="556"/>
        <v>0</v>
      </c>
      <c r="AY226" s="65" t="e">
        <f t="shared" si="557"/>
        <v>#DIV/0!</v>
      </c>
      <c r="AZ226" s="66">
        <f t="shared" si="558"/>
        <v>0</v>
      </c>
      <c r="BA226" s="67">
        <f>MAX(0, Table176252626[[#This Row],[Column6]])</f>
        <v>2</v>
      </c>
      <c r="BB226" s="68">
        <v>1</v>
      </c>
      <c r="BC226" s="84">
        <f t="shared" si="460"/>
        <v>2</v>
      </c>
      <c r="BD226" s="83">
        <f t="shared" si="458"/>
        <v>1</v>
      </c>
      <c r="BE226" s="85">
        <v>2</v>
      </c>
      <c r="BF226" s="86">
        <v>45645.48</v>
      </c>
      <c r="BG226" s="72">
        <f t="shared" si="463"/>
        <v>46265</v>
      </c>
      <c r="BH226" s="87">
        <f t="shared" si="559"/>
        <v>619.5199999999968</v>
      </c>
      <c r="BI226" s="80" t="str">
        <f t="shared" si="459"/>
        <v>Dead Stock</v>
      </c>
      <c r="BJ226" s="238">
        <v>1560</v>
      </c>
    </row>
    <row r="227" spans="1:293" ht="13">
      <c r="A227" s="90"/>
      <c r="B227" s="91"/>
      <c r="C227" s="77">
        <v>224</v>
      </c>
      <c r="D227" s="110" t="s">
        <v>1517</v>
      </c>
      <c r="E227" s="110">
        <v>11</v>
      </c>
      <c r="F227" s="105" t="s">
        <v>377</v>
      </c>
      <c r="G227" s="112" t="s">
        <v>1261</v>
      </c>
      <c r="H227" s="81" t="s">
        <v>296</v>
      </c>
      <c r="I227" s="80" t="s">
        <v>458</v>
      </c>
      <c r="J227" s="82">
        <f>AU227</f>
        <v>3</v>
      </c>
      <c r="K227" s="80">
        <v>2</v>
      </c>
      <c r="L227" s="57"/>
      <c r="M227" s="58"/>
      <c r="N227" s="59">
        <f>SUM(K227+L227-M227)</f>
        <v>2</v>
      </c>
      <c r="O227" s="60"/>
      <c r="P227" s="58"/>
      <c r="Q227" s="59">
        <f>SUM(N227+O227-P227)</f>
        <v>2</v>
      </c>
      <c r="R227" s="60"/>
      <c r="S227" s="58"/>
      <c r="T227" s="61">
        <f>SUM(Q227+R227-S227)</f>
        <v>2</v>
      </c>
      <c r="U227" s="60"/>
      <c r="V227" s="58"/>
      <c r="W227" s="59">
        <f>SUM(T227+U227-V227)</f>
        <v>2</v>
      </c>
      <c r="X227" s="60"/>
      <c r="Y227" s="58"/>
      <c r="Z227" s="61">
        <f>SUM(W227+X227-Y227)</f>
        <v>2</v>
      </c>
      <c r="AA227" s="60"/>
      <c r="AB227" s="58">
        <v>1</v>
      </c>
      <c r="AC227" s="59">
        <f>SUM(Z227+AA227-AB227)</f>
        <v>1</v>
      </c>
      <c r="AD227" s="57"/>
      <c r="AE227" s="58"/>
      <c r="AF227" s="243">
        <f>SUM(AC227+AD227-AE227)</f>
        <v>1</v>
      </c>
      <c r="AG227" s="60">
        <v>2</v>
      </c>
      <c r="AH227" s="58"/>
      <c r="AI227" s="62">
        <f>SUM(AF227+AG227-AH227)</f>
        <v>3</v>
      </c>
      <c r="AJ227" s="60"/>
      <c r="AK227" s="58"/>
      <c r="AL227" s="62">
        <f>SUM(AI227+AJ227-AK227)</f>
        <v>3</v>
      </c>
      <c r="AM227" s="60"/>
      <c r="AN227" s="58"/>
      <c r="AO227" s="62">
        <f>SUM(AL227+AM227-AN227)</f>
        <v>3</v>
      </c>
      <c r="AP227" s="60"/>
      <c r="AQ227" s="58"/>
      <c r="AR227" s="62">
        <f>SUM(AO227+AP227-AQ227)</f>
        <v>3</v>
      </c>
      <c r="AS227" s="60"/>
      <c r="AT227" s="58"/>
      <c r="AU227" s="62">
        <f>SUM(AR227+AS227-AT227)</f>
        <v>3</v>
      </c>
      <c r="AV227" s="83">
        <f>SUM(L227+O227+R227+U227+X227+AA227+AD227+AG227+AJ227+AM227+AP227+AS227)</f>
        <v>2</v>
      </c>
      <c r="AW227" s="83">
        <f>SUM(M227+P227+S227+V227+Y227+AB227+AE227+AH227+AK227+AN227+AQ227+AT227)</f>
        <v>1</v>
      </c>
      <c r="AX227" s="64">
        <f>SUM(M227,P227,S227,V227,Y227,AB227,AE227,AH227,AK227,AN227,AQ227,AT227)</f>
        <v>1</v>
      </c>
      <c r="AY227" s="65">
        <f>AVERAGE(M227,P227,S227,V227,Y227,AB227,AE227,AH227,AK227,AN227,AQ227,AT227)</f>
        <v>1</v>
      </c>
      <c r="AZ227" s="66">
        <f>COUNT(M227,P227,S227,V227,Y227,AB227,AE227,AH227,AK227,AN227,AQ227,AT227)</f>
        <v>1</v>
      </c>
      <c r="BA227" s="67">
        <f>MAX(0, Table176252626[[#This Row],[Column6]])</f>
        <v>3</v>
      </c>
      <c r="BB227" s="68">
        <v>0</v>
      </c>
      <c r="BC227" s="84">
        <f t="shared" si="460"/>
        <v>3</v>
      </c>
      <c r="BD227" s="83">
        <f t="shared" si="458"/>
        <v>3</v>
      </c>
      <c r="BE227" s="85">
        <v>2</v>
      </c>
      <c r="BF227" s="86">
        <v>46009.629062499997</v>
      </c>
      <c r="BG227" s="72">
        <f t="shared" si="463"/>
        <v>46265</v>
      </c>
      <c r="BH227" s="87">
        <f>BG227-BF227</f>
        <v>255.37093750000349</v>
      </c>
      <c r="BI227" s="80" t="str">
        <f t="shared" si="459"/>
        <v/>
      </c>
      <c r="BJ227" s="238">
        <v>5292</v>
      </c>
    </row>
    <row r="228" spans="1:293" ht="13">
      <c r="A228" s="49"/>
      <c r="B228" s="76"/>
      <c r="C228" s="77">
        <v>225</v>
      </c>
      <c r="D228" s="110" t="s">
        <v>1517</v>
      </c>
      <c r="E228" s="110">
        <v>12</v>
      </c>
      <c r="F228" s="74" t="s">
        <v>602</v>
      </c>
      <c r="G228" s="81" t="s">
        <v>1964</v>
      </c>
      <c r="H228" s="81" t="s">
        <v>296</v>
      </c>
      <c r="I228" s="80" t="s">
        <v>458</v>
      </c>
      <c r="J228" s="82">
        <f>AU228</f>
        <v>2</v>
      </c>
      <c r="K228" s="88">
        <v>2</v>
      </c>
      <c r="L228" s="57"/>
      <c r="M228" s="58"/>
      <c r="N228" s="59">
        <f>SUM(K228+L228-M228)</f>
        <v>2</v>
      </c>
      <c r="O228" s="60"/>
      <c r="P228" s="58"/>
      <c r="Q228" s="59">
        <f>SUM(N228+O228-P228)</f>
        <v>2</v>
      </c>
      <c r="R228" s="60"/>
      <c r="S228" s="58"/>
      <c r="T228" s="61">
        <f>SUM(Q228+R228-S228)</f>
        <v>2</v>
      </c>
      <c r="U228" s="60"/>
      <c r="V228" s="58"/>
      <c r="W228" s="59">
        <f>SUM(T228+U228-V228)</f>
        <v>2</v>
      </c>
      <c r="X228" s="60"/>
      <c r="Y228" s="58"/>
      <c r="Z228" s="61">
        <f>SUM(W228+X228-Y228)</f>
        <v>2</v>
      </c>
      <c r="AA228" s="60"/>
      <c r="AB228" s="58"/>
      <c r="AC228" s="59">
        <f>SUM(Z228+AA228-AB228)</f>
        <v>2</v>
      </c>
      <c r="AD228" s="57"/>
      <c r="AE228" s="58"/>
      <c r="AF228" s="243">
        <f>SUM(AC228+AD228-AE228)</f>
        <v>2</v>
      </c>
      <c r="AG228" s="60"/>
      <c r="AH228" s="58"/>
      <c r="AI228" s="62">
        <f>SUM(AF228+AG228-AH228)</f>
        <v>2</v>
      </c>
      <c r="AJ228" s="60"/>
      <c r="AK228" s="58"/>
      <c r="AL228" s="62">
        <f>SUM(AI228+AJ228-AK228)</f>
        <v>2</v>
      </c>
      <c r="AM228" s="60"/>
      <c r="AN228" s="58"/>
      <c r="AO228" s="62">
        <f>SUM(AL228+AM228-AN228)</f>
        <v>2</v>
      </c>
      <c r="AP228" s="60"/>
      <c r="AQ228" s="58"/>
      <c r="AR228" s="62">
        <f>SUM(AO228+AP228-AQ228)</f>
        <v>2</v>
      </c>
      <c r="AS228" s="60"/>
      <c r="AT228" s="58"/>
      <c r="AU228" s="62">
        <f>SUM(AR228+AS228-AT228)</f>
        <v>2</v>
      </c>
      <c r="AV228" s="83">
        <f>SUM(L228+O228+R228+U228+X228+AA228+AD228+AG228+AJ228+AM228+AP228+AS228)</f>
        <v>0</v>
      </c>
      <c r="AW228" s="83">
        <f>SUM(M228+P228+S228+V228+Y228+AB228+AE228+AH228+AK228+AN228+AQ228+AT228)</f>
        <v>0</v>
      </c>
      <c r="AX228" s="64">
        <f>SUM(M228,P228,S228,V228,Y228,AB228,AE228,AH228,AK228,AN228,AQ228,AT228)</f>
        <v>0</v>
      </c>
      <c r="AY228" s="65" t="e">
        <f>AVERAGE(M228,P228,S228,V228,Y228,AB228,AE228,AH228,AK228,AN228,AQ228,AT228)</f>
        <v>#DIV/0!</v>
      </c>
      <c r="AZ228" s="66">
        <f>COUNT(M228,P228,S228,V228,Y228,AB228,AE228,AH228,AK228,AN228,AQ228,AT228)</f>
        <v>0</v>
      </c>
      <c r="BA228" s="67">
        <f>MAX(0, Table176252626[[#This Row],[Column6]])</f>
        <v>2</v>
      </c>
      <c r="BB228" s="68">
        <v>1</v>
      </c>
      <c r="BC228" s="84">
        <f t="shared" si="460"/>
        <v>2</v>
      </c>
      <c r="BD228" s="83">
        <f t="shared" si="458"/>
        <v>1</v>
      </c>
      <c r="BE228" s="85">
        <v>2</v>
      </c>
      <c r="BF228" s="86">
        <v>45233.467361111114</v>
      </c>
      <c r="BG228" s="72">
        <f t="shared" si="463"/>
        <v>46265</v>
      </c>
      <c r="BH228" s="87">
        <f>BG228-BF228</f>
        <v>1031.5326388888861</v>
      </c>
      <c r="BI228" s="80" t="str">
        <f t="shared" si="459"/>
        <v>Dead Stock</v>
      </c>
      <c r="BJ228" s="238">
        <v>8865</v>
      </c>
    </row>
    <row r="229" spans="1:293" ht="13.5" customHeight="1">
      <c r="A229" s="75"/>
      <c r="B229" s="76"/>
      <c r="C229" s="51">
        <v>226</v>
      </c>
      <c r="D229" s="110" t="s">
        <v>1517</v>
      </c>
      <c r="E229" s="110">
        <v>12</v>
      </c>
      <c r="F229" s="105" t="s">
        <v>712</v>
      </c>
      <c r="G229" s="112" t="s">
        <v>1364</v>
      </c>
      <c r="H229" s="81" t="s">
        <v>296</v>
      </c>
      <c r="I229" s="80" t="s">
        <v>458</v>
      </c>
      <c r="J229" s="82">
        <f t="shared" si="542"/>
        <v>2</v>
      </c>
      <c r="K229" s="80">
        <v>2</v>
      </c>
      <c r="L229" s="57"/>
      <c r="M229" s="58"/>
      <c r="N229" s="59">
        <f t="shared" si="543"/>
        <v>2</v>
      </c>
      <c r="O229" s="60"/>
      <c r="P229" s="58"/>
      <c r="Q229" s="59">
        <f t="shared" si="544"/>
        <v>2</v>
      </c>
      <c r="R229" s="60"/>
      <c r="S229" s="58"/>
      <c r="T229" s="61">
        <f t="shared" si="545"/>
        <v>2</v>
      </c>
      <c r="U229" s="60"/>
      <c r="V229" s="58"/>
      <c r="W229" s="59">
        <f t="shared" si="546"/>
        <v>2</v>
      </c>
      <c r="X229" s="60"/>
      <c r="Y229" s="58"/>
      <c r="Z229" s="61">
        <f t="shared" si="547"/>
        <v>2</v>
      </c>
      <c r="AA229" s="60"/>
      <c r="AB229" s="58"/>
      <c r="AC229" s="59">
        <f t="shared" si="548"/>
        <v>2</v>
      </c>
      <c r="AD229" s="57"/>
      <c r="AE229" s="58"/>
      <c r="AF229" s="243">
        <f t="shared" si="549"/>
        <v>2</v>
      </c>
      <c r="AG229" s="60"/>
      <c r="AH229" s="58"/>
      <c r="AI229" s="62">
        <f t="shared" si="550"/>
        <v>2</v>
      </c>
      <c r="AJ229" s="60"/>
      <c r="AK229" s="58"/>
      <c r="AL229" s="62">
        <f t="shared" si="551"/>
        <v>2</v>
      </c>
      <c r="AM229" s="60"/>
      <c r="AN229" s="58"/>
      <c r="AO229" s="62">
        <f t="shared" si="552"/>
        <v>2</v>
      </c>
      <c r="AP229" s="60"/>
      <c r="AQ229" s="58"/>
      <c r="AR229" s="62">
        <f t="shared" si="553"/>
        <v>2</v>
      </c>
      <c r="AS229" s="60"/>
      <c r="AT229" s="58"/>
      <c r="AU229" s="62">
        <f t="shared" si="554"/>
        <v>2</v>
      </c>
      <c r="AV229" s="83">
        <f t="shared" si="555"/>
        <v>0</v>
      </c>
      <c r="AW229" s="83">
        <f t="shared" si="555"/>
        <v>0</v>
      </c>
      <c r="AX229" s="64">
        <f t="shared" si="556"/>
        <v>0</v>
      </c>
      <c r="AY229" s="65" t="e">
        <f t="shared" si="557"/>
        <v>#DIV/0!</v>
      </c>
      <c r="AZ229" s="66">
        <f t="shared" si="558"/>
        <v>0</v>
      </c>
      <c r="BA229" s="67">
        <f>MAX(0, Table176252626[[#This Row],[Column6]])</f>
        <v>2</v>
      </c>
      <c r="BB229" s="68">
        <v>1</v>
      </c>
      <c r="BC229" s="84">
        <f t="shared" si="460"/>
        <v>2</v>
      </c>
      <c r="BD229" s="83">
        <f t="shared" si="458"/>
        <v>1</v>
      </c>
      <c r="BE229" s="85">
        <v>2</v>
      </c>
      <c r="BF229" s="86">
        <v>45582.575543981482</v>
      </c>
      <c r="BG229" s="72">
        <f t="shared" si="463"/>
        <v>46265</v>
      </c>
      <c r="BH229" s="87">
        <f t="shared" si="559"/>
        <v>682.42445601851796</v>
      </c>
      <c r="BI229" s="80" t="str">
        <f t="shared" si="459"/>
        <v>Dead Stock</v>
      </c>
      <c r="BJ229" s="238">
        <v>2790</v>
      </c>
    </row>
    <row r="230" spans="1:293" ht="13">
      <c r="A230" s="90"/>
      <c r="B230" s="91"/>
      <c r="C230" s="51">
        <v>227</v>
      </c>
      <c r="D230" s="110" t="s">
        <v>1517</v>
      </c>
      <c r="E230" s="110">
        <v>13</v>
      </c>
      <c r="F230" s="88" t="s">
        <v>1633</v>
      </c>
      <c r="G230" s="89" t="s">
        <v>1634</v>
      </c>
      <c r="H230" s="89" t="s">
        <v>296</v>
      </c>
      <c r="I230" s="88" t="s">
        <v>458</v>
      </c>
      <c r="J230" s="93">
        <f t="shared" si="542"/>
        <v>8</v>
      </c>
      <c r="K230" s="80">
        <v>16</v>
      </c>
      <c r="L230" s="58"/>
      <c r="M230" s="58">
        <f>4</f>
        <v>4</v>
      </c>
      <c r="N230" s="62">
        <f t="shared" si="543"/>
        <v>12</v>
      </c>
      <c r="O230" s="60"/>
      <c r="P230" s="58"/>
      <c r="Q230" s="62">
        <f t="shared" si="544"/>
        <v>12</v>
      </c>
      <c r="R230" s="60"/>
      <c r="S230" s="58">
        <v>4</v>
      </c>
      <c r="T230" s="94">
        <f t="shared" si="545"/>
        <v>8</v>
      </c>
      <c r="U230" s="60"/>
      <c r="V230" s="58"/>
      <c r="W230" s="62">
        <f t="shared" si="546"/>
        <v>8</v>
      </c>
      <c r="X230" s="60"/>
      <c r="Y230" s="58"/>
      <c r="Z230" s="94">
        <f t="shared" si="547"/>
        <v>8</v>
      </c>
      <c r="AA230" s="60"/>
      <c r="AB230" s="58"/>
      <c r="AC230" s="62">
        <f t="shared" si="548"/>
        <v>8</v>
      </c>
      <c r="AD230" s="57"/>
      <c r="AE230" s="58"/>
      <c r="AF230" s="165">
        <f t="shared" si="549"/>
        <v>8</v>
      </c>
      <c r="AG230" s="60"/>
      <c r="AH230" s="58"/>
      <c r="AI230" s="62">
        <f t="shared" si="550"/>
        <v>8</v>
      </c>
      <c r="AJ230" s="60"/>
      <c r="AK230" s="58"/>
      <c r="AL230" s="62">
        <f t="shared" si="551"/>
        <v>8</v>
      </c>
      <c r="AM230" s="60"/>
      <c r="AN230" s="58"/>
      <c r="AO230" s="62">
        <f t="shared" si="552"/>
        <v>8</v>
      </c>
      <c r="AP230" s="60"/>
      <c r="AQ230" s="58"/>
      <c r="AR230" s="62">
        <f t="shared" si="553"/>
        <v>8</v>
      </c>
      <c r="AS230" s="60"/>
      <c r="AT230" s="58"/>
      <c r="AU230" s="62">
        <f t="shared" si="554"/>
        <v>8</v>
      </c>
      <c r="AV230" s="96">
        <f t="shared" si="555"/>
        <v>0</v>
      </c>
      <c r="AW230" s="97">
        <f t="shared" si="555"/>
        <v>8</v>
      </c>
      <c r="AX230" s="98">
        <f t="shared" si="556"/>
        <v>8</v>
      </c>
      <c r="AY230" s="99">
        <f t="shared" si="557"/>
        <v>4</v>
      </c>
      <c r="AZ230" s="100">
        <f t="shared" si="558"/>
        <v>2</v>
      </c>
      <c r="BA230" s="101">
        <v>8</v>
      </c>
      <c r="BB230" s="102">
        <v>1</v>
      </c>
      <c r="BC230" s="84">
        <f t="shared" si="460"/>
        <v>8</v>
      </c>
      <c r="BD230" s="83">
        <f t="shared" si="458"/>
        <v>7</v>
      </c>
      <c r="BE230" s="85">
        <v>2</v>
      </c>
      <c r="BF230" s="86">
        <v>45582.584733796299</v>
      </c>
      <c r="BG230" s="72">
        <f t="shared" si="463"/>
        <v>46265</v>
      </c>
      <c r="BH230" s="103">
        <f t="shared" si="559"/>
        <v>682.41526620370132</v>
      </c>
      <c r="BI230" s="80" t="str">
        <f t="shared" si="459"/>
        <v>Dead Stock</v>
      </c>
      <c r="BJ230" s="238">
        <v>630</v>
      </c>
    </row>
    <row r="231" spans="1:293" ht="13">
      <c r="A231" s="49"/>
      <c r="B231" s="50"/>
      <c r="C231" s="51">
        <v>228</v>
      </c>
      <c r="D231" s="110" t="s">
        <v>1517</v>
      </c>
      <c r="E231" s="110">
        <v>14</v>
      </c>
      <c r="F231" s="105" t="s">
        <v>77</v>
      </c>
      <c r="G231" s="112" t="s">
        <v>2032</v>
      </c>
      <c r="H231" s="81" t="s">
        <v>296</v>
      </c>
      <c r="I231" s="80" t="s">
        <v>458</v>
      </c>
      <c r="J231" s="82">
        <f t="shared" si="523"/>
        <v>2</v>
      </c>
      <c r="K231" s="80">
        <v>3</v>
      </c>
      <c r="L231" s="57"/>
      <c r="M231" s="58"/>
      <c r="N231" s="59">
        <f t="shared" si="524"/>
        <v>3</v>
      </c>
      <c r="O231" s="60"/>
      <c r="P231" s="58">
        <v>1</v>
      </c>
      <c r="Q231" s="59">
        <f t="shared" si="525"/>
        <v>2</v>
      </c>
      <c r="R231" s="60"/>
      <c r="S231" s="58"/>
      <c r="T231" s="61">
        <f t="shared" si="526"/>
        <v>2</v>
      </c>
      <c r="U231" s="60"/>
      <c r="V231" s="58"/>
      <c r="W231" s="59">
        <f t="shared" si="527"/>
        <v>2</v>
      </c>
      <c r="X231" s="60"/>
      <c r="Y231" s="58"/>
      <c r="Z231" s="61">
        <f t="shared" si="528"/>
        <v>2</v>
      </c>
      <c r="AA231" s="60"/>
      <c r="AB231" s="58"/>
      <c r="AC231" s="59">
        <f t="shared" si="529"/>
        <v>2</v>
      </c>
      <c r="AD231" s="57"/>
      <c r="AE231" s="58"/>
      <c r="AF231" s="243">
        <f t="shared" si="530"/>
        <v>2</v>
      </c>
      <c r="AG231" s="60"/>
      <c r="AH231" s="58"/>
      <c r="AI231" s="62">
        <f t="shared" si="531"/>
        <v>2</v>
      </c>
      <c r="AJ231" s="60"/>
      <c r="AK231" s="58"/>
      <c r="AL231" s="62">
        <f t="shared" si="532"/>
        <v>2</v>
      </c>
      <c r="AM231" s="60"/>
      <c r="AN231" s="58"/>
      <c r="AO231" s="62">
        <f t="shared" si="533"/>
        <v>2</v>
      </c>
      <c r="AP231" s="60"/>
      <c r="AQ231" s="58"/>
      <c r="AR231" s="62">
        <f t="shared" si="534"/>
        <v>2</v>
      </c>
      <c r="AS231" s="60"/>
      <c r="AT231" s="58"/>
      <c r="AU231" s="62">
        <f t="shared" si="535"/>
        <v>2</v>
      </c>
      <c r="AV231" s="83">
        <f t="shared" si="536"/>
        <v>0</v>
      </c>
      <c r="AW231" s="83">
        <f t="shared" si="537"/>
        <v>1</v>
      </c>
      <c r="AX231" s="64">
        <f t="shared" si="538"/>
        <v>1</v>
      </c>
      <c r="AY231" s="65">
        <f t="shared" si="539"/>
        <v>1</v>
      </c>
      <c r="AZ231" s="66">
        <f t="shared" si="540"/>
        <v>1</v>
      </c>
      <c r="BA231" s="67">
        <f>MAX(0, Table176252626[[#This Row],[Column6]])</f>
        <v>2</v>
      </c>
      <c r="BB231" s="68">
        <v>1</v>
      </c>
      <c r="BC231" s="84">
        <f t="shared" si="460"/>
        <v>2</v>
      </c>
      <c r="BD231" s="83">
        <f t="shared" si="458"/>
        <v>1</v>
      </c>
      <c r="BE231" s="85">
        <v>2</v>
      </c>
      <c r="BF231" s="86">
        <v>45679.571099537039</v>
      </c>
      <c r="BG231" s="72">
        <f t="shared" si="463"/>
        <v>46265</v>
      </c>
      <c r="BH231" s="87">
        <f t="shared" si="541"/>
        <v>585.42890046296088</v>
      </c>
      <c r="BI231" s="80" t="str">
        <f t="shared" si="459"/>
        <v>Dead Stock</v>
      </c>
      <c r="BJ231" s="238">
        <v>2250</v>
      </c>
    </row>
    <row r="232" spans="1:293" ht="13">
      <c r="A232" s="90"/>
      <c r="B232" s="91"/>
      <c r="C232" s="51">
        <v>229</v>
      </c>
      <c r="D232" s="110" t="s">
        <v>1517</v>
      </c>
      <c r="E232" s="110">
        <v>15</v>
      </c>
      <c r="F232" s="88" t="s">
        <v>1907</v>
      </c>
      <c r="G232" s="89" t="s">
        <v>1908</v>
      </c>
      <c r="H232" s="89" t="s">
        <v>1749</v>
      </c>
      <c r="I232" s="88" t="s">
        <v>458</v>
      </c>
      <c r="J232" s="93">
        <f>AU232</f>
        <v>1</v>
      </c>
      <c r="K232" s="80">
        <v>1</v>
      </c>
      <c r="L232" s="58"/>
      <c r="M232" s="58"/>
      <c r="N232" s="62">
        <f>SUM(K232+L232-M232)</f>
        <v>1</v>
      </c>
      <c r="O232" s="60"/>
      <c r="P232" s="58"/>
      <c r="Q232" s="62">
        <f>SUM(N232+O232-P232)</f>
        <v>1</v>
      </c>
      <c r="R232" s="60"/>
      <c r="S232" s="58"/>
      <c r="T232" s="94">
        <f>SUM(Q232+R232-S232)</f>
        <v>1</v>
      </c>
      <c r="U232" s="60"/>
      <c r="V232" s="58"/>
      <c r="W232" s="62">
        <f>SUM(T232+U232-V232)</f>
        <v>1</v>
      </c>
      <c r="X232" s="60"/>
      <c r="Y232" s="58"/>
      <c r="Z232" s="94">
        <f>SUM(W232+X232-Y232)</f>
        <v>1</v>
      </c>
      <c r="AA232" s="60"/>
      <c r="AB232" s="58"/>
      <c r="AC232" s="62">
        <f>SUM(Z232+AA232-AB232)</f>
        <v>1</v>
      </c>
      <c r="AD232" s="57"/>
      <c r="AE232" s="58"/>
      <c r="AF232" s="165">
        <f>SUM(AC232+AD232-AE232)</f>
        <v>1</v>
      </c>
      <c r="AG232" s="60"/>
      <c r="AH232" s="58"/>
      <c r="AI232" s="62">
        <f>SUM(AF232+AG232-AH232)</f>
        <v>1</v>
      </c>
      <c r="AJ232" s="60"/>
      <c r="AK232" s="58"/>
      <c r="AL232" s="62">
        <f>SUM(AI232+AJ232-AK232)</f>
        <v>1</v>
      </c>
      <c r="AM232" s="60"/>
      <c r="AN232" s="58"/>
      <c r="AO232" s="62">
        <f>SUM(AL232+AM232-AN232)</f>
        <v>1</v>
      </c>
      <c r="AP232" s="60"/>
      <c r="AQ232" s="58"/>
      <c r="AR232" s="62">
        <f>SUM(AO232+AP232-AQ232)</f>
        <v>1</v>
      </c>
      <c r="AS232" s="60"/>
      <c r="AT232" s="58"/>
      <c r="AU232" s="62">
        <f>SUM(AR232+AS232-AT232)</f>
        <v>1</v>
      </c>
      <c r="AV232" s="96">
        <f>SUM(L232+O232+R232+U232+X232+AA232+AD232+AG232+AJ232+AM232+AP232+AS232)</f>
        <v>0</v>
      </c>
      <c r="AW232" s="97">
        <f>SUM(M232+P232+S232+V232+Y232+AB232+AE232+AH232+AK232+AN232+AQ232+AT232)</f>
        <v>0</v>
      </c>
      <c r="AX232" s="98">
        <f>SUM(M232,P232,S232,V232,Y232,AB232,AE232,AH232,AK232,AN232,AQ232,AT232)</f>
        <v>0</v>
      </c>
      <c r="AY232" s="99" t="e">
        <f t="shared" ref="AY232:AY262" si="560">AVERAGE(M232,P232,S232,V232,Y232,AB232,AE232,AH232,AK232,AN232,AQ232,AT232)</f>
        <v>#DIV/0!</v>
      </c>
      <c r="AZ232" s="100">
        <f t="shared" ref="AZ232:AZ262" si="561">COUNT(M232,P232,S232,V232,Y232,AB232,AE232,AH232,AK232,AN232,AQ232,AT232)</f>
        <v>0</v>
      </c>
      <c r="BA232" s="101">
        <v>1</v>
      </c>
      <c r="BB232" s="102">
        <v>0</v>
      </c>
      <c r="BC232" s="84">
        <f t="shared" si="460"/>
        <v>1</v>
      </c>
      <c r="BD232" s="83">
        <f t="shared" si="458"/>
        <v>1</v>
      </c>
      <c r="BE232" s="85">
        <v>2</v>
      </c>
      <c r="BF232" s="86">
        <v>46010</v>
      </c>
      <c r="BG232" s="72">
        <f t="shared" si="463"/>
        <v>46265</v>
      </c>
      <c r="BH232" s="103">
        <f t="shared" ref="BH232:BH262" si="562">BG232-BF232</f>
        <v>255</v>
      </c>
      <c r="BI232" s="80" t="str">
        <f t="shared" si="459"/>
        <v/>
      </c>
      <c r="BJ232" s="238">
        <v>6900</v>
      </c>
    </row>
    <row r="233" spans="1:293" ht="13">
      <c r="A233" s="75"/>
      <c r="B233" s="76"/>
      <c r="C233" s="77">
        <v>230</v>
      </c>
      <c r="D233" s="110" t="s">
        <v>1517</v>
      </c>
      <c r="E233" s="110">
        <v>16</v>
      </c>
      <c r="F233" s="80" t="s">
        <v>1259</v>
      </c>
      <c r="G233" s="81" t="s">
        <v>1260</v>
      </c>
      <c r="H233" s="89" t="s">
        <v>1751</v>
      </c>
      <c r="I233" s="80" t="s">
        <v>458</v>
      </c>
      <c r="J233" s="56">
        <f t="shared" ref="J233" si="563">AU233</f>
        <v>1</v>
      </c>
      <c r="K233" s="54">
        <v>2</v>
      </c>
      <c r="L233" s="58"/>
      <c r="M233" s="58"/>
      <c r="N233" s="62">
        <f t="shared" ref="N233" si="564">SUM(K233+L233-M233)</f>
        <v>2</v>
      </c>
      <c r="O233" s="60"/>
      <c r="P233" s="58">
        <v>1</v>
      </c>
      <c r="Q233" s="62">
        <f t="shared" ref="Q233" si="565">SUM(N233+O233-P233)</f>
        <v>1</v>
      </c>
      <c r="R233" s="60"/>
      <c r="S233" s="58"/>
      <c r="T233" s="94">
        <f t="shared" ref="T233" si="566">SUM(Q233+R233-S233)</f>
        <v>1</v>
      </c>
      <c r="U233" s="60"/>
      <c r="V233" s="58"/>
      <c r="W233" s="62">
        <f t="shared" ref="W233" si="567">SUM(T233+U233-V233)</f>
        <v>1</v>
      </c>
      <c r="X233" s="60"/>
      <c r="Y233" s="58"/>
      <c r="Z233" s="94">
        <f t="shared" ref="Z233" si="568">SUM(W233+X233-Y233)</f>
        <v>1</v>
      </c>
      <c r="AA233" s="60"/>
      <c r="AB233" s="58"/>
      <c r="AC233" s="62">
        <f t="shared" ref="AC233" si="569">SUM(Z233+AA233-AB233)</f>
        <v>1</v>
      </c>
      <c r="AD233" s="57"/>
      <c r="AE233" s="58"/>
      <c r="AF233" s="165">
        <f t="shared" ref="AF233" si="570">SUM(AC233+AD233-AE233)</f>
        <v>1</v>
      </c>
      <c r="AG233" s="60"/>
      <c r="AH233" s="58"/>
      <c r="AI233" s="62">
        <f t="shared" ref="AI233" si="571">SUM(AF233+AG233-AH233)</f>
        <v>1</v>
      </c>
      <c r="AJ233" s="60"/>
      <c r="AK233" s="58"/>
      <c r="AL233" s="62">
        <f t="shared" ref="AL233" si="572">SUM(AI233+AJ233-AK233)</f>
        <v>1</v>
      </c>
      <c r="AM233" s="60"/>
      <c r="AN233" s="58"/>
      <c r="AO233" s="62">
        <f t="shared" ref="AO233" si="573">SUM(AL233+AM233-AN233)</f>
        <v>1</v>
      </c>
      <c r="AP233" s="60"/>
      <c r="AQ233" s="58"/>
      <c r="AR233" s="62">
        <f t="shared" ref="AR233" si="574">SUM(AO233+AP233-AQ233)</f>
        <v>1</v>
      </c>
      <c r="AS233" s="60"/>
      <c r="AT233" s="58"/>
      <c r="AU233" s="62">
        <f t="shared" ref="AU233" si="575">SUM(AR233+AS233-AT233)</f>
        <v>1</v>
      </c>
      <c r="AV233" s="123">
        <f t="shared" ref="AV233" si="576">SUM(L233+O233+R233+U233+X233+AA233+AD233+AG233+AJ233+AM233+AP233+AS233)</f>
        <v>0</v>
      </c>
      <c r="AW233" s="83">
        <f t="shared" ref="AW233" si="577">SUM(M233+P233+S233+V233+Y233+AB233+AE233+AH233+AK233+AN233+AQ233+AT233)</f>
        <v>1</v>
      </c>
      <c r="AX233" s="64">
        <f t="shared" ref="AX233" si="578">SUM(M233,P233,S233,V233,Y233,AB233,AE233,AH233,AK233,AN233,AQ233,AT233)</f>
        <v>1</v>
      </c>
      <c r="AY233" s="65">
        <f t="shared" si="560"/>
        <v>1</v>
      </c>
      <c r="AZ233" s="66">
        <f t="shared" si="561"/>
        <v>1</v>
      </c>
      <c r="BA233" s="67">
        <f>MAX(0, Table176252626[[#This Row],[Column6]])</f>
        <v>1</v>
      </c>
      <c r="BB233" s="68">
        <v>0</v>
      </c>
      <c r="BC233" s="84">
        <f t="shared" si="460"/>
        <v>1</v>
      </c>
      <c r="BD233" s="83">
        <f t="shared" si="458"/>
        <v>1</v>
      </c>
      <c r="BE233" s="85">
        <v>2</v>
      </c>
      <c r="BF233" s="86">
        <v>44972.388194444444</v>
      </c>
      <c r="BG233" s="72">
        <f t="shared" si="463"/>
        <v>46265</v>
      </c>
      <c r="BH233" s="87">
        <f t="shared" si="562"/>
        <v>1292.6118055555562</v>
      </c>
      <c r="BI233" s="80" t="str">
        <f t="shared" si="459"/>
        <v>Dead Stock</v>
      </c>
      <c r="BJ233" s="238">
        <v>11160</v>
      </c>
    </row>
    <row r="234" spans="1:293" ht="13">
      <c r="A234" s="75"/>
      <c r="B234" s="76"/>
      <c r="C234" s="77">
        <v>231</v>
      </c>
      <c r="D234" s="110" t="s">
        <v>1517</v>
      </c>
      <c r="E234" s="110">
        <v>17</v>
      </c>
      <c r="F234" s="54" t="s">
        <v>512</v>
      </c>
      <c r="G234" s="55" t="s">
        <v>517</v>
      </c>
      <c r="H234" s="81" t="s">
        <v>296</v>
      </c>
      <c r="I234" s="80" t="s">
        <v>458</v>
      </c>
      <c r="J234" s="82">
        <f t="shared" ref="J234:J261" si="579">AU234</f>
        <v>18</v>
      </c>
      <c r="K234" s="80">
        <v>23</v>
      </c>
      <c r="L234" s="57"/>
      <c r="M234" s="58">
        <v>4</v>
      </c>
      <c r="N234" s="59">
        <f t="shared" ref="N234:N261" si="580">SUM(K234+L234-M234)</f>
        <v>19</v>
      </c>
      <c r="O234" s="60"/>
      <c r="P234" s="58"/>
      <c r="Q234" s="59">
        <f t="shared" ref="Q234:Q243" si="581">SUM(N234+O234-P234)</f>
        <v>19</v>
      </c>
      <c r="R234" s="60"/>
      <c r="S234" s="58"/>
      <c r="T234" s="61">
        <f t="shared" ref="T234:T261" si="582">SUM(Q234+R234-S234)</f>
        <v>19</v>
      </c>
      <c r="U234" s="60"/>
      <c r="V234" s="58"/>
      <c r="W234" s="59">
        <f t="shared" ref="W234:W261" si="583">SUM(T234+U234-V234)</f>
        <v>19</v>
      </c>
      <c r="X234" s="60"/>
      <c r="Y234" s="58"/>
      <c r="Z234" s="61">
        <f t="shared" ref="Z234:Z243" si="584">SUM(W234+X234-Y234)</f>
        <v>19</v>
      </c>
      <c r="AA234" s="60"/>
      <c r="AB234" s="58"/>
      <c r="AC234" s="59">
        <f t="shared" ref="AC234:AC243" si="585">SUM(Z234+AA234-AB234)</f>
        <v>19</v>
      </c>
      <c r="AD234" s="57"/>
      <c r="AE234" s="58">
        <v>1</v>
      </c>
      <c r="AF234" s="243">
        <f t="shared" ref="AF234:AF243" si="586">SUM(AC234+AD234-AE234)</f>
        <v>18</v>
      </c>
      <c r="AG234" s="60"/>
      <c r="AH234" s="58"/>
      <c r="AI234" s="62">
        <f t="shared" ref="AI234:AI243" si="587">SUM(AF234+AG234-AH234)</f>
        <v>18</v>
      </c>
      <c r="AJ234" s="60"/>
      <c r="AK234" s="58"/>
      <c r="AL234" s="62">
        <f t="shared" ref="AL234:AL243" si="588">SUM(AI234+AJ234-AK234)</f>
        <v>18</v>
      </c>
      <c r="AM234" s="60"/>
      <c r="AN234" s="58"/>
      <c r="AO234" s="62">
        <f t="shared" ref="AO234:AO261" si="589">SUM(AL234+AM234-AN234)</f>
        <v>18</v>
      </c>
      <c r="AP234" s="60"/>
      <c r="AQ234" s="58"/>
      <c r="AR234" s="62">
        <f t="shared" ref="AR234:AR261" si="590">SUM(AO234+AP234-AQ234)</f>
        <v>18</v>
      </c>
      <c r="AS234" s="60"/>
      <c r="AT234" s="58"/>
      <c r="AU234" s="62">
        <f t="shared" ref="AU234:AU261" si="591">SUM(AR234+AS234-AT234)</f>
        <v>18</v>
      </c>
      <c r="AV234" s="83">
        <f t="shared" ref="AV234:AV243" si="592">SUM(L234+O234+R234+U234+X234+AA234+AD234+AG234+AJ234+AM234+AP234+AS234)</f>
        <v>0</v>
      </c>
      <c r="AW234" s="83">
        <f t="shared" ref="AW234:AW243" si="593">SUM(M234+P234+S234+V234+Y234+AB234+AE234+AH234+AK234+AN234+AQ234+AT234)</f>
        <v>5</v>
      </c>
      <c r="AX234" s="64">
        <f t="shared" ref="AX234:AX243" si="594">SUM(M234,P234,S234,V234,Y234,AB234,AE234,AH234,AK234,AN234,AQ234,AT234)</f>
        <v>5</v>
      </c>
      <c r="AY234" s="65">
        <f t="shared" si="560"/>
        <v>2.5</v>
      </c>
      <c r="AZ234" s="66">
        <f t="shared" si="561"/>
        <v>2</v>
      </c>
      <c r="BA234" s="67">
        <f>MAX(0, Table176252626[[#This Row],[Column6]])</f>
        <v>18</v>
      </c>
      <c r="BB234" s="68">
        <v>1</v>
      </c>
      <c r="BC234" s="84">
        <f t="shared" si="460"/>
        <v>18</v>
      </c>
      <c r="BD234" s="83">
        <f t="shared" si="458"/>
        <v>17</v>
      </c>
      <c r="BE234" s="85">
        <v>2</v>
      </c>
      <c r="BF234" s="86">
        <v>45582.562013888892</v>
      </c>
      <c r="BG234" s="72">
        <f t="shared" si="463"/>
        <v>46265</v>
      </c>
      <c r="BH234" s="87">
        <f t="shared" si="562"/>
        <v>682.43798611110833</v>
      </c>
      <c r="BI234" s="80" t="str">
        <f t="shared" si="459"/>
        <v>Dead Stock</v>
      </c>
      <c r="BJ234" s="238">
        <v>675</v>
      </c>
    </row>
    <row r="235" spans="1:293" ht="13">
      <c r="A235" s="49"/>
      <c r="B235" s="50"/>
      <c r="C235" s="51">
        <v>232</v>
      </c>
      <c r="D235" s="110" t="s">
        <v>1517</v>
      </c>
      <c r="E235" s="110">
        <v>18</v>
      </c>
      <c r="F235" s="80" t="s">
        <v>236</v>
      </c>
      <c r="G235" s="81" t="s">
        <v>2033</v>
      </c>
      <c r="H235" s="81" t="s">
        <v>296</v>
      </c>
      <c r="I235" s="80" t="s">
        <v>458</v>
      </c>
      <c r="J235" s="82">
        <f t="shared" si="579"/>
        <v>3</v>
      </c>
      <c r="K235" s="80">
        <v>5</v>
      </c>
      <c r="L235" s="57"/>
      <c r="M235" s="58">
        <v>1</v>
      </c>
      <c r="N235" s="59">
        <f t="shared" si="580"/>
        <v>4</v>
      </c>
      <c r="O235" s="60"/>
      <c r="P235" s="58"/>
      <c r="Q235" s="59">
        <f t="shared" si="581"/>
        <v>4</v>
      </c>
      <c r="R235" s="60"/>
      <c r="S235" s="58">
        <v>1</v>
      </c>
      <c r="T235" s="61">
        <f t="shared" si="582"/>
        <v>3</v>
      </c>
      <c r="U235" s="60"/>
      <c r="V235" s="58"/>
      <c r="W235" s="59">
        <f t="shared" si="583"/>
        <v>3</v>
      </c>
      <c r="X235" s="60"/>
      <c r="Y235" s="58"/>
      <c r="Z235" s="61">
        <f t="shared" si="584"/>
        <v>3</v>
      </c>
      <c r="AA235" s="60"/>
      <c r="AB235" s="58"/>
      <c r="AC235" s="59">
        <f t="shared" si="585"/>
        <v>3</v>
      </c>
      <c r="AD235" s="57"/>
      <c r="AE235" s="58"/>
      <c r="AF235" s="243">
        <f t="shared" si="586"/>
        <v>3</v>
      </c>
      <c r="AG235" s="60"/>
      <c r="AH235" s="58"/>
      <c r="AI235" s="62">
        <f t="shared" si="587"/>
        <v>3</v>
      </c>
      <c r="AJ235" s="60"/>
      <c r="AK235" s="58"/>
      <c r="AL235" s="62">
        <f t="shared" si="588"/>
        <v>3</v>
      </c>
      <c r="AM235" s="60"/>
      <c r="AN235" s="58"/>
      <c r="AO235" s="62">
        <f t="shared" si="589"/>
        <v>3</v>
      </c>
      <c r="AP235" s="60"/>
      <c r="AQ235" s="58"/>
      <c r="AR235" s="62">
        <f t="shared" si="590"/>
        <v>3</v>
      </c>
      <c r="AS235" s="60"/>
      <c r="AT235" s="58"/>
      <c r="AU235" s="62">
        <f t="shared" si="591"/>
        <v>3</v>
      </c>
      <c r="AV235" s="83">
        <f t="shared" si="592"/>
        <v>0</v>
      </c>
      <c r="AW235" s="83">
        <f t="shared" si="593"/>
        <v>2</v>
      </c>
      <c r="AX235" s="64">
        <f t="shared" si="594"/>
        <v>2</v>
      </c>
      <c r="AY235" s="65">
        <f t="shared" si="560"/>
        <v>1</v>
      </c>
      <c r="AZ235" s="66">
        <f t="shared" si="561"/>
        <v>2</v>
      </c>
      <c r="BA235" s="67">
        <f>MAX(0, Table176252626[[#This Row],[Column6]])</f>
        <v>3</v>
      </c>
      <c r="BB235" s="68">
        <v>1</v>
      </c>
      <c r="BC235" s="84">
        <f t="shared" si="460"/>
        <v>3</v>
      </c>
      <c r="BD235" s="83">
        <f t="shared" si="458"/>
        <v>2</v>
      </c>
      <c r="BE235" s="85">
        <v>2</v>
      </c>
      <c r="BF235" s="86">
        <v>45582.57230324074</v>
      </c>
      <c r="BG235" s="72">
        <f t="shared" si="463"/>
        <v>46265</v>
      </c>
      <c r="BH235" s="87">
        <f t="shared" si="562"/>
        <v>682.42769675925956</v>
      </c>
      <c r="BI235" s="80" t="str">
        <f t="shared" si="459"/>
        <v>Dead Stock</v>
      </c>
      <c r="BJ235" s="238">
        <v>7965</v>
      </c>
    </row>
    <row r="236" spans="1:293" ht="13">
      <c r="A236" s="49"/>
      <c r="B236" s="50"/>
      <c r="C236" s="51">
        <v>233</v>
      </c>
      <c r="D236" s="110" t="s">
        <v>1517</v>
      </c>
      <c r="E236" s="110">
        <v>19</v>
      </c>
      <c r="F236" s="105" t="s">
        <v>185</v>
      </c>
      <c r="G236" s="81" t="s">
        <v>1253</v>
      </c>
      <c r="H236" s="81" t="s">
        <v>293</v>
      </c>
      <c r="I236" s="80" t="s">
        <v>458</v>
      </c>
      <c r="J236" s="82">
        <f t="shared" si="579"/>
        <v>2</v>
      </c>
      <c r="K236" s="80">
        <v>2</v>
      </c>
      <c r="L236" s="57"/>
      <c r="M236" s="58"/>
      <c r="N236" s="59">
        <f t="shared" si="580"/>
        <v>2</v>
      </c>
      <c r="O236" s="60"/>
      <c r="P236" s="58"/>
      <c r="Q236" s="59">
        <f t="shared" si="581"/>
        <v>2</v>
      </c>
      <c r="R236" s="60"/>
      <c r="S236" s="58"/>
      <c r="T236" s="61">
        <f t="shared" si="582"/>
        <v>2</v>
      </c>
      <c r="U236" s="60"/>
      <c r="V236" s="58"/>
      <c r="W236" s="59">
        <f t="shared" si="583"/>
        <v>2</v>
      </c>
      <c r="X236" s="60"/>
      <c r="Y236" s="58"/>
      <c r="Z236" s="61">
        <f t="shared" si="584"/>
        <v>2</v>
      </c>
      <c r="AA236" s="60"/>
      <c r="AB236" s="58"/>
      <c r="AC236" s="59">
        <f t="shared" si="585"/>
        <v>2</v>
      </c>
      <c r="AD236" s="57"/>
      <c r="AE236" s="58"/>
      <c r="AF236" s="243">
        <f t="shared" si="586"/>
        <v>2</v>
      </c>
      <c r="AG236" s="60"/>
      <c r="AH236" s="58"/>
      <c r="AI236" s="62">
        <f t="shared" si="587"/>
        <v>2</v>
      </c>
      <c r="AJ236" s="60"/>
      <c r="AK236" s="58"/>
      <c r="AL236" s="62">
        <f t="shared" si="588"/>
        <v>2</v>
      </c>
      <c r="AM236" s="60"/>
      <c r="AN236" s="58"/>
      <c r="AO236" s="62">
        <f t="shared" si="589"/>
        <v>2</v>
      </c>
      <c r="AP236" s="60"/>
      <c r="AQ236" s="58"/>
      <c r="AR236" s="62">
        <f t="shared" si="590"/>
        <v>2</v>
      </c>
      <c r="AS236" s="60"/>
      <c r="AT236" s="58"/>
      <c r="AU236" s="62">
        <f t="shared" si="591"/>
        <v>2</v>
      </c>
      <c r="AV236" s="83">
        <f t="shared" si="592"/>
        <v>0</v>
      </c>
      <c r="AW236" s="83">
        <f t="shared" si="593"/>
        <v>0</v>
      </c>
      <c r="AX236" s="64">
        <f t="shared" si="594"/>
        <v>0</v>
      </c>
      <c r="AY236" s="65" t="e">
        <f t="shared" si="560"/>
        <v>#DIV/0!</v>
      </c>
      <c r="AZ236" s="66">
        <f t="shared" si="561"/>
        <v>0</v>
      </c>
      <c r="BA236" s="67">
        <f>MAX(0, Table176252626[[#This Row],[Column6]])</f>
        <v>2</v>
      </c>
      <c r="BB236" s="68">
        <v>1</v>
      </c>
      <c r="BC236" s="84">
        <f t="shared" si="460"/>
        <v>2</v>
      </c>
      <c r="BD236" s="83">
        <f t="shared" si="458"/>
        <v>1</v>
      </c>
      <c r="BE236" s="85">
        <v>2</v>
      </c>
      <c r="BF236" s="86">
        <v>42929.594155092593</v>
      </c>
      <c r="BG236" s="72">
        <f t="shared" si="463"/>
        <v>46265</v>
      </c>
      <c r="BH236" s="87">
        <f t="shared" si="562"/>
        <v>3335.4058449074073</v>
      </c>
      <c r="BI236" s="80" t="str">
        <f t="shared" si="459"/>
        <v>Dead Stock</v>
      </c>
      <c r="BJ236" s="238">
        <v>2502</v>
      </c>
    </row>
    <row r="237" spans="1:293" ht="13">
      <c r="A237" s="75"/>
      <c r="B237" s="76"/>
      <c r="C237" s="51">
        <v>234</v>
      </c>
      <c r="D237" s="110" t="s">
        <v>1517</v>
      </c>
      <c r="E237" s="110">
        <v>20</v>
      </c>
      <c r="F237" s="115" t="s">
        <v>659</v>
      </c>
      <c r="G237" s="81" t="s">
        <v>833</v>
      </c>
      <c r="H237" s="81" t="s">
        <v>658</v>
      </c>
      <c r="I237" s="80" t="s">
        <v>458</v>
      </c>
      <c r="J237" s="82">
        <f t="shared" si="579"/>
        <v>1</v>
      </c>
      <c r="K237" s="80">
        <v>1</v>
      </c>
      <c r="L237" s="57"/>
      <c r="M237" s="58"/>
      <c r="N237" s="59">
        <f t="shared" si="580"/>
        <v>1</v>
      </c>
      <c r="O237" s="60"/>
      <c r="P237" s="58"/>
      <c r="Q237" s="59">
        <f t="shared" si="581"/>
        <v>1</v>
      </c>
      <c r="R237" s="60"/>
      <c r="S237" s="58"/>
      <c r="T237" s="61">
        <f t="shared" si="582"/>
        <v>1</v>
      </c>
      <c r="U237" s="60"/>
      <c r="V237" s="58"/>
      <c r="W237" s="59">
        <f t="shared" si="583"/>
        <v>1</v>
      </c>
      <c r="X237" s="60"/>
      <c r="Y237" s="58"/>
      <c r="Z237" s="61">
        <f t="shared" si="584"/>
        <v>1</v>
      </c>
      <c r="AA237" s="60"/>
      <c r="AB237" s="58"/>
      <c r="AC237" s="59">
        <f t="shared" si="585"/>
        <v>1</v>
      </c>
      <c r="AD237" s="57"/>
      <c r="AE237" s="58"/>
      <c r="AF237" s="243">
        <f t="shared" si="586"/>
        <v>1</v>
      </c>
      <c r="AG237" s="60"/>
      <c r="AH237" s="58"/>
      <c r="AI237" s="62">
        <f t="shared" si="587"/>
        <v>1</v>
      </c>
      <c r="AJ237" s="60"/>
      <c r="AK237" s="58"/>
      <c r="AL237" s="62">
        <f t="shared" si="588"/>
        <v>1</v>
      </c>
      <c r="AM237" s="60"/>
      <c r="AN237" s="58"/>
      <c r="AO237" s="62">
        <f t="shared" si="589"/>
        <v>1</v>
      </c>
      <c r="AP237" s="60"/>
      <c r="AQ237" s="58"/>
      <c r="AR237" s="62">
        <f t="shared" si="590"/>
        <v>1</v>
      </c>
      <c r="AS237" s="60"/>
      <c r="AT237" s="58"/>
      <c r="AU237" s="62">
        <f t="shared" si="591"/>
        <v>1</v>
      </c>
      <c r="AV237" s="83">
        <f t="shared" si="592"/>
        <v>0</v>
      </c>
      <c r="AW237" s="83">
        <f t="shared" si="593"/>
        <v>0</v>
      </c>
      <c r="AX237" s="64">
        <f t="shared" si="594"/>
        <v>0</v>
      </c>
      <c r="AY237" s="65" t="e">
        <f t="shared" si="560"/>
        <v>#DIV/0!</v>
      </c>
      <c r="AZ237" s="66">
        <f t="shared" si="561"/>
        <v>0</v>
      </c>
      <c r="BA237" s="67">
        <f>MAX(0, Table176252626[[#This Row],[Column6]])</f>
        <v>1</v>
      </c>
      <c r="BB237" s="68">
        <v>0</v>
      </c>
      <c r="BC237" s="84">
        <f t="shared" si="460"/>
        <v>1</v>
      </c>
      <c r="BD237" s="83">
        <f t="shared" si="458"/>
        <v>1</v>
      </c>
      <c r="BE237" s="85">
        <v>2</v>
      </c>
      <c r="BF237" s="86">
        <v>44179.671342592592</v>
      </c>
      <c r="BG237" s="72">
        <f t="shared" si="463"/>
        <v>46265</v>
      </c>
      <c r="BH237" s="87">
        <f t="shared" si="562"/>
        <v>2085.3286574074082</v>
      </c>
      <c r="BI237" s="80" t="str">
        <f t="shared" si="459"/>
        <v>Dead Stock</v>
      </c>
      <c r="BJ237" s="238">
        <v>2184.46</v>
      </c>
    </row>
    <row r="238" spans="1:293" ht="13">
      <c r="A238" s="75"/>
      <c r="B238" s="76"/>
      <c r="C238" s="51">
        <v>235</v>
      </c>
      <c r="D238" s="110" t="s">
        <v>1517</v>
      </c>
      <c r="E238" s="110">
        <v>21</v>
      </c>
      <c r="F238" s="80" t="s">
        <v>459</v>
      </c>
      <c r="G238" s="81" t="s">
        <v>460</v>
      </c>
      <c r="H238" s="81" t="s">
        <v>302</v>
      </c>
      <c r="I238" s="80" t="s">
        <v>458</v>
      </c>
      <c r="J238" s="82">
        <f t="shared" si="579"/>
        <v>1</v>
      </c>
      <c r="K238" s="80">
        <v>1</v>
      </c>
      <c r="L238" s="57"/>
      <c r="M238" s="58"/>
      <c r="N238" s="59">
        <f t="shared" si="580"/>
        <v>1</v>
      </c>
      <c r="O238" s="60"/>
      <c r="P238" s="58">
        <v>1</v>
      </c>
      <c r="Q238" s="59">
        <f t="shared" si="581"/>
        <v>0</v>
      </c>
      <c r="R238" s="60"/>
      <c r="S238" s="58"/>
      <c r="T238" s="61">
        <f t="shared" si="582"/>
        <v>0</v>
      </c>
      <c r="U238" s="60"/>
      <c r="V238" s="58"/>
      <c r="W238" s="59">
        <f t="shared" si="583"/>
        <v>0</v>
      </c>
      <c r="X238" s="60"/>
      <c r="Y238" s="58"/>
      <c r="Z238" s="61">
        <f t="shared" si="584"/>
        <v>0</v>
      </c>
      <c r="AA238" s="60"/>
      <c r="AB238" s="58"/>
      <c r="AC238" s="59">
        <f t="shared" si="585"/>
        <v>0</v>
      </c>
      <c r="AD238" s="57"/>
      <c r="AE238" s="58"/>
      <c r="AF238" s="243">
        <f t="shared" si="586"/>
        <v>0</v>
      </c>
      <c r="AG238" s="60">
        <v>1</v>
      </c>
      <c r="AH238" s="58"/>
      <c r="AI238" s="62">
        <f t="shared" si="587"/>
        <v>1</v>
      </c>
      <c r="AJ238" s="60"/>
      <c r="AK238" s="58"/>
      <c r="AL238" s="62">
        <f t="shared" si="588"/>
        <v>1</v>
      </c>
      <c r="AM238" s="60"/>
      <c r="AN238" s="58"/>
      <c r="AO238" s="62">
        <f t="shared" si="589"/>
        <v>1</v>
      </c>
      <c r="AP238" s="60"/>
      <c r="AQ238" s="58"/>
      <c r="AR238" s="62">
        <f t="shared" si="590"/>
        <v>1</v>
      </c>
      <c r="AS238" s="60"/>
      <c r="AT238" s="58"/>
      <c r="AU238" s="62">
        <f t="shared" si="591"/>
        <v>1</v>
      </c>
      <c r="AV238" s="83">
        <f t="shared" si="592"/>
        <v>1</v>
      </c>
      <c r="AW238" s="83">
        <f t="shared" si="593"/>
        <v>1</v>
      </c>
      <c r="AX238" s="64">
        <f t="shared" si="594"/>
        <v>1</v>
      </c>
      <c r="AY238" s="65">
        <f t="shared" si="560"/>
        <v>1</v>
      </c>
      <c r="AZ238" s="66">
        <f t="shared" si="561"/>
        <v>1</v>
      </c>
      <c r="BA238" s="67">
        <v>1</v>
      </c>
      <c r="BB238" s="68">
        <v>0</v>
      </c>
      <c r="BC238" s="84">
        <f t="shared" si="460"/>
        <v>1</v>
      </c>
      <c r="BD238" s="83">
        <f t="shared" si="458"/>
        <v>1</v>
      </c>
      <c r="BE238" s="85">
        <v>2</v>
      </c>
      <c r="BF238" s="86">
        <v>46258</v>
      </c>
      <c r="BG238" s="72">
        <f t="shared" si="463"/>
        <v>46265</v>
      </c>
      <c r="BH238" s="87">
        <f t="shared" si="562"/>
        <v>7</v>
      </c>
      <c r="BI238" s="80" t="str">
        <f t="shared" si="459"/>
        <v/>
      </c>
      <c r="BJ238" s="238">
        <v>1650</v>
      </c>
    </row>
    <row r="239" spans="1:293" ht="13">
      <c r="A239" s="49"/>
      <c r="B239" s="76"/>
      <c r="C239" s="77">
        <v>236</v>
      </c>
      <c r="D239" s="110" t="s">
        <v>1517</v>
      </c>
      <c r="E239" s="110">
        <v>22</v>
      </c>
      <c r="F239" s="80" t="s">
        <v>78</v>
      </c>
      <c r="G239" s="81" t="s">
        <v>79</v>
      </c>
      <c r="H239" s="81" t="s">
        <v>297</v>
      </c>
      <c r="I239" s="80" t="s">
        <v>458</v>
      </c>
      <c r="J239" s="82">
        <f t="shared" si="579"/>
        <v>1</v>
      </c>
      <c r="K239" s="80">
        <v>1</v>
      </c>
      <c r="L239" s="57"/>
      <c r="M239" s="58"/>
      <c r="N239" s="59">
        <f t="shared" si="580"/>
        <v>1</v>
      </c>
      <c r="O239" s="60"/>
      <c r="P239" s="58"/>
      <c r="Q239" s="59">
        <f t="shared" si="581"/>
        <v>1</v>
      </c>
      <c r="R239" s="60"/>
      <c r="S239" s="58"/>
      <c r="T239" s="61">
        <f t="shared" si="582"/>
        <v>1</v>
      </c>
      <c r="U239" s="60"/>
      <c r="V239" s="58"/>
      <c r="W239" s="59">
        <f t="shared" si="583"/>
        <v>1</v>
      </c>
      <c r="X239" s="60"/>
      <c r="Y239" s="58"/>
      <c r="Z239" s="61">
        <f t="shared" si="584"/>
        <v>1</v>
      </c>
      <c r="AA239" s="60"/>
      <c r="AB239" s="58"/>
      <c r="AC239" s="59">
        <f t="shared" si="585"/>
        <v>1</v>
      </c>
      <c r="AD239" s="57"/>
      <c r="AE239" s="58"/>
      <c r="AF239" s="243">
        <f t="shared" si="586"/>
        <v>1</v>
      </c>
      <c r="AG239" s="60"/>
      <c r="AH239" s="58"/>
      <c r="AI239" s="62">
        <f t="shared" si="587"/>
        <v>1</v>
      </c>
      <c r="AJ239" s="60"/>
      <c r="AK239" s="58"/>
      <c r="AL239" s="62">
        <f t="shared" si="588"/>
        <v>1</v>
      </c>
      <c r="AM239" s="60"/>
      <c r="AN239" s="58"/>
      <c r="AO239" s="62">
        <f t="shared" si="589"/>
        <v>1</v>
      </c>
      <c r="AP239" s="60"/>
      <c r="AQ239" s="58"/>
      <c r="AR239" s="62">
        <f t="shared" si="590"/>
        <v>1</v>
      </c>
      <c r="AS239" s="60"/>
      <c r="AT239" s="58"/>
      <c r="AU239" s="62">
        <f t="shared" si="591"/>
        <v>1</v>
      </c>
      <c r="AV239" s="83">
        <f t="shared" si="592"/>
        <v>0</v>
      </c>
      <c r="AW239" s="83">
        <f t="shared" si="593"/>
        <v>0</v>
      </c>
      <c r="AX239" s="64">
        <f t="shared" si="594"/>
        <v>0</v>
      </c>
      <c r="AY239" s="65" t="e">
        <f t="shared" si="560"/>
        <v>#DIV/0!</v>
      </c>
      <c r="AZ239" s="66">
        <f t="shared" si="561"/>
        <v>0</v>
      </c>
      <c r="BA239" s="67">
        <f>MAX(0, Table176252626[[#This Row],[Column6]])</f>
        <v>1</v>
      </c>
      <c r="BB239" s="68">
        <v>0</v>
      </c>
      <c r="BC239" s="84">
        <f t="shared" si="460"/>
        <v>1</v>
      </c>
      <c r="BD239" s="83">
        <f t="shared" si="458"/>
        <v>1</v>
      </c>
      <c r="BE239" s="85">
        <v>2</v>
      </c>
      <c r="BF239" s="86">
        <v>42902.647233796299</v>
      </c>
      <c r="BG239" s="72">
        <f t="shared" si="463"/>
        <v>46265</v>
      </c>
      <c r="BH239" s="87">
        <f t="shared" si="562"/>
        <v>3362.3527662037013</v>
      </c>
      <c r="BI239" s="80" t="str">
        <f t="shared" si="459"/>
        <v>Dead Stock</v>
      </c>
      <c r="BJ239" s="238">
        <v>3564.8</v>
      </c>
    </row>
    <row r="240" spans="1:293" s="48" customFormat="1" ht="13">
      <c r="A240" s="90"/>
      <c r="B240" s="91"/>
      <c r="C240" s="77">
        <v>237</v>
      </c>
      <c r="D240" s="110" t="s">
        <v>1517</v>
      </c>
      <c r="E240" s="110">
        <v>23</v>
      </c>
      <c r="F240" s="80" t="s">
        <v>1144</v>
      </c>
      <c r="G240" s="106" t="s">
        <v>1912</v>
      </c>
      <c r="H240" s="81" t="s">
        <v>292</v>
      </c>
      <c r="I240" s="80" t="s">
        <v>458</v>
      </c>
      <c r="J240" s="82">
        <f t="shared" si="579"/>
        <v>3</v>
      </c>
      <c r="K240" s="80">
        <v>3</v>
      </c>
      <c r="L240" s="57"/>
      <c r="M240" s="58"/>
      <c r="N240" s="59">
        <f t="shared" si="580"/>
        <v>3</v>
      </c>
      <c r="O240" s="60"/>
      <c r="P240" s="58"/>
      <c r="Q240" s="59">
        <f t="shared" si="581"/>
        <v>3</v>
      </c>
      <c r="R240" s="60"/>
      <c r="S240" s="58"/>
      <c r="T240" s="61">
        <f t="shared" si="582"/>
        <v>3</v>
      </c>
      <c r="U240" s="60"/>
      <c r="V240" s="58"/>
      <c r="W240" s="59">
        <f t="shared" si="583"/>
        <v>3</v>
      </c>
      <c r="X240" s="60"/>
      <c r="Y240" s="58"/>
      <c r="Z240" s="61">
        <f t="shared" si="584"/>
        <v>3</v>
      </c>
      <c r="AA240" s="60"/>
      <c r="AB240" s="58"/>
      <c r="AC240" s="59">
        <f t="shared" si="585"/>
        <v>3</v>
      </c>
      <c r="AD240" s="57"/>
      <c r="AE240" s="58"/>
      <c r="AF240" s="243">
        <f t="shared" si="586"/>
        <v>3</v>
      </c>
      <c r="AG240" s="60"/>
      <c r="AH240" s="58"/>
      <c r="AI240" s="62">
        <f t="shared" si="587"/>
        <v>3</v>
      </c>
      <c r="AJ240" s="60"/>
      <c r="AK240" s="58"/>
      <c r="AL240" s="62">
        <f t="shared" si="588"/>
        <v>3</v>
      </c>
      <c r="AM240" s="60"/>
      <c r="AN240" s="58"/>
      <c r="AO240" s="62">
        <f t="shared" si="589"/>
        <v>3</v>
      </c>
      <c r="AP240" s="60"/>
      <c r="AQ240" s="58"/>
      <c r="AR240" s="62">
        <f t="shared" si="590"/>
        <v>3</v>
      </c>
      <c r="AS240" s="60"/>
      <c r="AT240" s="58"/>
      <c r="AU240" s="62">
        <f t="shared" si="591"/>
        <v>3</v>
      </c>
      <c r="AV240" s="83">
        <f t="shared" si="592"/>
        <v>0</v>
      </c>
      <c r="AW240" s="83">
        <f t="shared" si="593"/>
        <v>0</v>
      </c>
      <c r="AX240" s="64">
        <f t="shared" si="594"/>
        <v>0</v>
      </c>
      <c r="AY240" s="65" t="e">
        <f t="shared" si="560"/>
        <v>#DIV/0!</v>
      </c>
      <c r="AZ240" s="66">
        <f t="shared" si="561"/>
        <v>0</v>
      </c>
      <c r="BA240" s="67">
        <f>MAX(0, Table176252626[[#This Row],[Column6]])</f>
        <v>3</v>
      </c>
      <c r="BB240" s="68">
        <v>1</v>
      </c>
      <c r="BC240" s="84">
        <f t="shared" si="460"/>
        <v>3</v>
      </c>
      <c r="BD240" s="83">
        <f t="shared" si="458"/>
        <v>2</v>
      </c>
      <c r="BE240" s="85">
        <v>2</v>
      </c>
      <c r="BF240" s="86">
        <v>45632.643321759257</v>
      </c>
      <c r="BG240" s="72">
        <f t="shared" si="463"/>
        <v>46265</v>
      </c>
      <c r="BH240" s="87">
        <f t="shared" si="562"/>
        <v>632.35667824074335</v>
      </c>
      <c r="BI240" s="80" t="str">
        <f t="shared" si="459"/>
        <v>Dead Stock</v>
      </c>
      <c r="BJ240" s="238">
        <v>1287</v>
      </c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  <c r="FS240" s="30"/>
      <c r="FT240" s="30"/>
      <c r="FU240" s="30"/>
      <c r="FV240" s="30"/>
      <c r="FW240" s="30"/>
      <c r="FX240" s="30"/>
      <c r="FY240" s="30"/>
      <c r="FZ240" s="30"/>
      <c r="GA240" s="30"/>
      <c r="GB240" s="30"/>
      <c r="GC240" s="30"/>
      <c r="GD240" s="30"/>
      <c r="GE240" s="30"/>
      <c r="GF240" s="30"/>
      <c r="GG240" s="30"/>
      <c r="GH240" s="30"/>
      <c r="GI240" s="30"/>
      <c r="GJ240" s="30"/>
      <c r="GK240" s="30"/>
      <c r="GL240" s="30"/>
      <c r="GM240" s="30"/>
      <c r="GN240" s="30"/>
      <c r="GO240" s="30"/>
      <c r="GP240" s="30"/>
      <c r="GQ240" s="30"/>
      <c r="GR240" s="30"/>
      <c r="GS240" s="30"/>
      <c r="GT240" s="30"/>
      <c r="GU240" s="30"/>
      <c r="GV240" s="30"/>
      <c r="GW240" s="30"/>
      <c r="GX240" s="30"/>
      <c r="GY240" s="30"/>
      <c r="GZ240" s="30"/>
      <c r="HA240" s="30"/>
      <c r="HB240" s="30"/>
      <c r="HC240" s="30"/>
      <c r="HD240" s="30"/>
      <c r="HE240" s="30"/>
      <c r="HF240" s="30"/>
      <c r="HG240" s="30"/>
      <c r="HH240" s="30"/>
      <c r="HI240" s="30"/>
      <c r="HJ240" s="30"/>
      <c r="HK240" s="30"/>
      <c r="HL240" s="30"/>
      <c r="HM240" s="30"/>
      <c r="HN240" s="30"/>
      <c r="HO240" s="30"/>
      <c r="HP240" s="30"/>
      <c r="HQ240" s="30"/>
      <c r="HR240" s="30"/>
      <c r="HS240" s="30"/>
      <c r="HT240" s="30"/>
      <c r="HU240" s="30"/>
      <c r="HV240" s="30"/>
      <c r="HW240" s="30"/>
      <c r="HX240" s="30"/>
      <c r="HY240" s="30"/>
      <c r="HZ240" s="30"/>
      <c r="IA240" s="30"/>
      <c r="IB240" s="30"/>
      <c r="IC240" s="30"/>
      <c r="ID240" s="30"/>
      <c r="IE240" s="30"/>
      <c r="IF240" s="30"/>
      <c r="IG240" s="30"/>
      <c r="IH240" s="30"/>
      <c r="II240" s="30"/>
      <c r="IJ240" s="30"/>
      <c r="IK240" s="30"/>
      <c r="IL240" s="30"/>
      <c r="IM240" s="30"/>
      <c r="IN240" s="30"/>
      <c r="IO240" s="30"/>
      <c r="IP240" s="30"/>
      <c r="IQ240" s="30"/>
      <c r="IR240" s="30"/>
      <c r="IS240" s="30"/>
      <c r="IT240" s="30"/>
      <c r="IU240" s="30"/>
      <c r="IV240" s="30"/>
      <c r="IW240" s="30"/>
      <c r="IX240" s="30"/>
      <c r="IY240" s="30"/>
      <c r="IZ240" s="30"/>
      <c r="JA240" s="30"/>
      <c r="JB240" s="30"/>
      <c r="JC240" s="30"/>
      <c r="JD240" s="30"/>
      <c r="JE240" s="30"/>
      <c r="JF240" s="30"/>
      <c r="JG240" s="30"/>
      <c r="JH240" s="30"/>
      <c r="JI240" s="30"/>
      <c r="JJ240" s="30"/>
      <c r="JK240" s="30"/>
      <c r="JL240" s="30"/>
      <c r="JM240" s="30"/>
      <c r="JN240" s="30"/>
      <c r="JO240" s="30"/>
      <c r="JP240" s="30"/>
      <c r="JQ240" s="30"/>
      <c r="JR240" s="30"/>
      <c r="JS240" s="30"/>
      <c r="JT240" s="30"/>
      <c r="JU240" s="30"/>
      <c r="JV240" s="30"/>
      <c r="JW240" s="30"/>
      <c r="JX240" s="30"/>
      <c r="JY240" s="30"/>
      <c r="JZ240" s="30"/>
      <c r="KA240" s="30"/>
      <c r="KB240" s="30"/>
      <c r="KC240" s="30"/>
      <c r="KD240" s="30"/>
      <c r="KE240" s="30"/>
      <c r="KF240" s="30"/>
      <c r="KG240" s="30"/>
    </row>
    <row r="241" spans="1:62" ht="13">
      <c r="A241" s="49"/>
      <c r="B241" s="50"/>
      <c r="C241" s="51">
        <v>238</v>
      </c>
      <c r="D241" s="110" t="s">
        <v>1517</v>
      </c>
      <c r="E241" s="110">
        <v>24</v>
      </c>
      <c r="F241" s="80" t="s">
        <v>823</v>
      </c>
      <c r="G241" s="81" t="s">
        <v>824</v>
      </c>
      <c r="H241" s="81" t="s">
        <v>293</v>
      </c>
      <c r="I241" s="80" t="s">
        <v>458</v>
      </c>
      <c r="J241" s="82">
        <f t="shared" si="579"/>
        <v>2</v>
      </c>
      <c r="K241" s="80">
        <v>3</v>
      </c>
      <c r="L241" s="57"/>
      <c r="M241" s="58"/>
      <c r="N241" s="59">
        <f t="shared" si="580"/>
        <v>3</v>
      </c>
      <c r="O241" s="60"/>
      <c r="P241" s="58"/>
      <c r="Q241" s="59">
        <f t="shared" si="581"/>
        <v>3</v>
      </c>
      <c r="R241" s="60"/>
      <c r="S241" s="58"/>
      <c r="T241" s="61">
        <f t="shared" si="582"/>
        <v>3</v>
      </c>
      <c r="U241" s="60"/>
      <c r="V241" s="58">
        <v>1</v>
      </c>
      <c r="W241" s="59">
        <f t="shared" si="583"/>
        <v>2</v>
      </c>
      <c r="X241" s="60"/>
      <c r="Y241" s="58">
        <v>1</v>
      </c>
      <c r="Z241" s="61">
        <f t="shared" si="584"/>
        <v>1</v>
      </c>
      <c r="AA241" s="60"/>
      <c r="AB241" s="58"/>
      <c r="AC241" s="59">
        <f t="shared" si="585"/>
        <v>1</v>
      </c>
      <c r="AD241" s="57"/>
      <c r="AE241" s="58">
        <v>1</v>
      </c>
      <c r="AF241" s="243">
        <f t="shared" si="586"/>
        <v>0</v>
      </c>
      <c r="AG241" s="60">
        <v>2</v>
      </c>
      <c r="AH241" s="58"/>
      <c r="AI241" s="62">
        <f t="shared" si="587"/>
        <v>2</v>
      </c>
      <c r="AJ241" s="60"/>
      <c r="AK241" s="58"/>
      <c r="AL241" s="62">
        <f t="shared" si="588"/>
        <v>2</v>
      </c>
      <c r="AM241" s="60"/>
      <c r="AN241" s="58"/>
      <c r="AO241" s="62">
        <f t="shared" si="589"/>
        <v>2</v>
      </c>
      <c r="AP241" s="60"/>
      <c r="AQ241" s="58"/>
      <c r="AR241" s="62">
        <f t="shared" si="590"/>
        <v>2</v>
      </c>
      <c r="AS241" s="60"/>
      <c r="AT241" s="58"/>
      <c r="AU241" s="62">
        <f t="shared" si="591"/>
        <v>2</v>
      </c>
      <c r="AV241" s="83">
        <f t="shared" si="592"/>
        <v>2</v>
      </c>
      <c r="AW241" s="83">
        <f t="shared" si="593"/>
        <v>3</v>
      </c>
      <c r="AX241" s="64">
        <f t="shared" si="594"/>
        <v>3</v>
      </c>
      <c r="AY241" s="65">
        <f t="shared" si="560"/>
        <v>1</v>
      </c>
      <c r="AZ241" s="66">
        <f t="shared" si="561"/>
        <v>3</v>
      </c>
      <c r="BA241" s="67">
        <v>2</v>
      </c>
      <c r="BB241" s="68">
        <v>0</v>
      </c>
      <c r="BC241" s="84">
        <f t="shared" si="460"/>
        <v>2</v>
      </c>
      <c r="BD241" s="83">
        <f t="shared" si="458"/>
        <v>2</v>
      </c>
      <c r="BE241" s="85">
        <v>2</v>
      </c>
      <c r="BF241" s="86">
        <v>46242</v>
      </c>
      <c r="BG241" s="72">
        <f t="shared" si="463"/>
        <v>46265</v>
      </c>
      <c r="BH241" s="87">
        <f t="shared" si="562"/>
        <v>23</v>
      </c>
      <c r="BI241" s="80" t="str">
        <f t="shared" si="459"/>
        <v/>
      </c>
      <c r="BJ241" s="238">
        <v>1459.5</v>
      </c>
    </row>
    <row r="242" spans="1:62" ht="13">
      <c r="A242" s="49"/>
      <c r="B242" s="50"/>
      <c r="C242" s="51">
        <v>239</v>
      </c>
      <c r="D242" s="110" t="s">
        <v>1517</v>
      </c>
      <c r="E242" s="110">
        <v>25</v>
      </c>
      <c r="F242" s="80" t="s">
        <v>607</v>
      </c>
      <c r="G242" s="81" t="s">
        <v>608</v>
      </c>
      <c r="H242" s="81" t="s">
        <v>1647</v>
      </c>
      <c r="I242" s="80" t="s">
        <v>799</v>
      </c>
      <c r="J242" s="82">
        <f t="shared" si="579"/>
        <v>1</v>
      </c>
      <c r="K242" s="80">
        <v>1</v>
      </c>
      <c r="L242" s="57"/>
      <c r="M242" s="58"/>
      <c r="N242" s="59">
        <f t="shared" si="580"/>
        <v>1</v>
      </c>
      <c r="O242" s="60"/>
      <c r="P242" s="58"/>
      <c r="Q242" s="59">
        <f t="shared" si="581"/>
        <v>1</v>
      </c>
      <c r="R242" s="60"/>
      <c r="S242" s="58"/>
      <c r="T242" s="61">
        <f t="shared" si="582"/>
        <v>1</v>
      </c>
      <c r="U242" s="60"/>
      <c r="V242" s="58"/>
      <c r="W242" s="59">
        <f t="shared" si="583"/>
        <v>1</v>
      </c>
      <c r="X242" s="60"/>
      <c r="Y242" s="58"/>
      <c r="Z242" s="61">
        <f t="shared" si="584"/>
        <v>1</v>
      </c>
      <c r="AA242" s="60"/>
      <c r="AB242" s="58"/>
      <c r="AC242" s="59">
        <f t="shared" si="585"/>
        <v>1</v>
      </c>
      <c r="AD242" s="57"/>
      <c r="AE242" s="58"/>
      <c r="AF242" s="243">
        <f t="shared" si="586"/>
        <v>1</v>
      </c>
      <c r="AG242" s="60"/>
      <c r="AH242" s="58"/>
      <c r="AI242" s="62">
        <f t="shared" si="587"/>
        <v>1</v>
      </c>
      <c r="AJ242" s="60"/>
      <c r="AK242" s="58"/>
      <c r="AL242" s="62">
        <f t="shared" si="588"/>
        <v>1</v>
      </c>
      <c r="AM242" s="60"/>
      <c r="AN242" s="58"/>
      <c r="AO242" s="62">
        <f t="shared" si="589"/>
        <v>1</v>
      </c>
      <c r="AP242" s="60"/>
      <c r="AQ242" s="58"/>
      <c r="AR242" s="62">
        <f t="shared" si="590"/>
        <v>1</v>
      </c>
      <c r="AS242" s="60"/>
      <c r="AT242" s="58"/>
      <c r="AU242" s="62">
        <f t="shared" si="591"/>
        <v>1</v>
      </c>
      <c r="AV242" s="83">
        <f t="shared" si="592"/>
        <v>0</v>
      </c>
      <c r="AW242" s="83">
        <f t="shared" si="593"/>
        <v>0</v>
      </c>
      <c r="AX242" s="64">
        <f t="shared" si="594"/>
        <v>0</v>
      </c>
      <c r="AY242" s="65" t="e">
        <f t="shared" si="560"/>
        <v>#DIV/0!</v>
      </c>
      <c r="AZ242" s="66">
        <f t="shared" si="561"/>
        <v>0</v>
      </c>
      <c r="BA242" s="67">
        <f>MAX(0, Table176252626[[#This Row],[Column6]])</f>
        <v>1</v>
      </c>
      <c r="BB242" s="68">
        <v>0</v>
      </c>
      <c r="BC242" s="84">
        <f t="shared" si="460"/>
        <v>1</v>
      </c>
      <c r="BD242" s="83">
        <f t="shared" si="458"/>
        <v>1</v>
      </c>
      <c r="BE242" s="85">
        <v>2</v>
      </c>
      <c r="BF242" s="86">
        <v>44384.457349537035</v>
      </c>
      <c r="BG242" s="72">
        <f t="shared" si="463"/>
        <v>46265</v>
      </c>
      <c r="BH242" s="87">
        <f t="shared" si="562"/>
        <v>1880.542650462965</v>
      </c>
      <c r="BI242" s="80" t="str">
        <f t="shared" si="459"/>
        <v>Dead Stock</v>
      </c>
      <c r="BJ242" s="238">
        <v>2746.82</v>
      </c>
    </row>
    <row r="243" spans="1:62" ht="13">
      <c r="A243" s="49"/>
      <c r="B243" s="50"/>
      <c r="C243" s="51">
        <v>240</v>
      </c>
      <c r="D243" s="110" t="s">
        <v>1517</v>
      </c>
      <c r="E243" s="110">
        <v>26</v>
      </c>
      <c r="F243" s="80" t="s">
        <v>1026</v>
      </c>
      <c r="G243" s="81" t="s">
        <v>696</v>
      </c>
      <c r="H243" s="89" t="s">
        <v>290</v>
      </c>
      <c r="I243" s="80" t="s">
        <v>458</v>
      </c>
      <c r="J243" s="93">
        <f t="shared" si="579"/>
        <v>2</v>
      </c>
      <c r="K243" s="80">
        <v>2</v>
      </c>
      <c r="L243" s="57"/>
      <c r="M243" s="58"/>
      <c r="N243" s="59">
        <f t="shared" si="580"/>
        <v>2</v>
      </c>
      <c r="O243" s="60"/>
      <c r="P243" s="58"/>
      <c r="Q243" s="59">
        <f t="shared" si="581"/>
        <v>2</v>
      </c>
      <c r="R243" s="60"/>
      <c r="S243" s="58"/>
      <c r="T243" s="61">
        <f t="shared" si="582"/>
        <v>2</v>
      </c>
      <c r="U243" s="60"/>
      <c r="V243" s="58"/>
      <c r="W243" s="59">
        <f t="shared" si="583"/>
        <v>2</v>
      </c>
      <c r="X243" s="60"/>
      <c r="Y243" s="58"/>
      <c r="Z243" s="61">
        <f t="shared" si="584"/>
        <v>2</v>
      </c>
      <c r="AA243" s="60"/>
      <c r="AB243" s="58"/>
      <c r="AC243" s="59">
        <f t="shared" si="585"/>
        <v>2</v>
      </c>
      <c r="AD243" s="57"/>
      <c r="AE243" s="58"/>
      <c r="AF243" s="243">
        <f t="shared" si="586"/>
        <v>2</v>
      </c>
      <c r="AG243" s="60"/>
      <c r="AH243" s="58"/>
      <c r="AI243" s="62">
        <f t="shared" si="587"/>
        <v>2</v>
      </c>
      <c r="AJ243" s="60"/>
      <c r="AK243" s="58"/>
      <c r="AL243" s="62">
        <f t="shared" si="588"/>
        <v>2</v>
      </c>
      <c r="AM243" s="60"/>
      <c r="AN243" s="58"/>
      <c r="AO243" s="62">
        <f t="shared" si="589"/>
        <v>2</v>
      </c>
      <c r="AP243" s="60"/>
      <c r="AQ243" s="58"/>
      <c r="AR243" s="62">
        <f t="shared" si="590"/>
        <v>2</v>
      </c>
      <c r="AS243" s="60"/>
      <c r="AT243" s="58"/>
      <c r="AU243" s="62">
        <f t="shared" si="591"/>
        <v>2</v>
      </c>
      <c r="AV243" s="83">
        <f t="shared" si="592"/>
        <v>0</v>
      </c>
      <c r="AW243" s="83">
        <f t="shared" si="593"/>
        <v>0</v>
      </c>
      <c r="AX243" s="64">
        <f t="shared" si="594"/>
        <v>0</v>
      </c>
      <c r="AY243" s="65" t="e">
        <f t="shared" si="560"/>
        <v>#DIV/0!</v>
      </c>
      <c r="AZ243" s="66">
        <f t="shared" si="561"/>
        <v>0</v>
      </c>
      <c r="BA243" s="67">
        <f>MAX(0, Table176252626[[#This Row],[Column6]])</f>
        <v>2</v>
      </c>
      <c r="BB243" s="68">
        <v>1</v>
      </c>
      <c r="BC243" s="84">
        <f t="shared" si="460"/>
        <v>2</v>
      </c>
      <c r="BD243" s="83">
        <f t="shared" si="458"/>
        <v>1</v>
      </c>
      <c r="BE243" s="85">
        <v>2</v>
      </c>
      <c r="BF243" s="86">
        <v>43727.601342592592</v>
      </c>
      <c r="BG243" s="72">
        <f t="shared" si="463"/>
        <v>46265</v>
      </c>
      <c r="BH243" s="87">
        <f t="shared" si="562"/>
        <v>2537.3986574074079</v>
      </c>
      <c r="BI243" s="80" t="str">
        <f t="shared" si="459"/>
        <v>Dead Stock</v>
      </c>
      <c r="BJ243" s="238">
        <v>516</v>
      </c>
    </row>
    <row r="244" spans="1:62" ht="13">
      <c r="A244" s="75"/>
      <c r="B244" s="76"/>
      <c r="C244" s="51">
        <v>241</v>
      </c>
      <c r="D244" s="110" t="s">
        <v>1517</v>
      </c>
      <c r="E244" s="110">
        <v>27</v>
      </c>
      <c r="F244" s="80" t="s">
        <v>931</v>
      </c>
      <c r="G244" s="81" t="s">
        <v>1499</v>
      </c>
      <c r="H244" s="81" t="s">
        <v>1700</v>
      </c>
      <c r="I244" s="80" t="s">
        <v>458</v>
      </c>
      <c r="J244" s="82">
        <f t="shared" si="579"/>
        <v>2</v>
      </c>
      <c r="K244" s="80">
        <v>3</v>
      </c>
      <c r="L244" s="57"/>
      <c r="M244" s="58">
        <v>1</v>
      </c>
      <c r="N244" s="59">
        <f t="shared" si="580"/>
        <v>2</v>
      </c>
      <c r="O244" s="60"/>
      <c r="P244" s="58"/>
      <c r="Q244" s="59">
        <f t="shared" ref="Q244" si="595">SUM(N244+O244-P244)</f>
        <v>2</v>
      </c>
      <c r="R244" s="60"/>
      <c r="S244" s="58"/>
      <c r="T244" s="61">
        <f t="shared" si="582"/>
        <v>2</v>
      </c>
      <c r="U244" s="60"/>
      <c r="V244" s="58">
        <v>1</v>
      </c>
      <c r="W244" s="59">
        <f t="shared" si="583"/>
        <v>1</v>
      </c>
      <c r="X244" s="60">
        <v>2</v>
      </c>
      <c r="Y244" s="58"/>
      <c r="Z244" s="61">
        <f t="shared" ref="Z244" si="596">SUM(W244+X244-Y244)</f>
        <v>3</v>
      </c>
      <c r="AA244" s="60"/>
      <c r="AB244" s="58">
        <v>2</v>
      </c>
      <c r="AC244" s="59">
        <f t="shared" ref="AC244" si="597">SUM(Z244+AA244-AB244)</f>
        <v>1</v>
      </c>
      <c r="AD244" s="57">
        <v>3</v>
      </c>
      <c r="AE244" s="58">
        <v>1</v>
      </c>
      <c r="AF244" s="243">
        <f t="shared" ref="AF244" si="598">SUM(AC244+AD244-AE244)</f>
        <v>3</v>
      </c>
      <c r="AG244" s="60"/>
      <c r="AH244" s="58">
        <v>1</v>
      </c>
      <c r="AI244" s="62">
        <f t="shared" ref="AI244" si="599">SUM(AF244+AG244-AH244)</f>
        <v>2</v>
      </c>
      <c r="AJ244" s="60"/>
      <c r="AK244" s="58"/>
      <c r="AL244" s="62">
        <f t="shared" ref="AL244" si="600">SUM(AI244+AJ244-AK244)</f>
        <v>2</v>
      </c>
      <c r="AM244" s="60"/>
      <c r="AN244" s="58"/>
      <c r="AO244" s="62">
        <f t="shared" si="589"/>
        <v>2</v>
      </c>
      <c r="AP244" s="60"/>
      <c r="AQ244" s="58"/>
      <c r="AR244" s="62">
        <f t="shared" si="590"/>
        <v>2</v>
      </c>
      <c r="AS244" s="60"/>
      <c r="AT244" s="58"/>
      <c r="AU244" s="62">
        <f t="shared" si="591"/>
        <v>2</v>
      </c>
      <c r="AV244" s="83">
        <f t="shared" ref="AV244:AW244" si="601">SUM(L244+O244+R244+U244+X244+AA244+AD244+AG244+AJ244+AM244+AP244+AS244)</f>
        <v>5</v>
      </c>
      <c r="AW244" s="83">
        <f t="shared" si="601"/>
        <v>6</v>
      </c>
      <c r="AX244" s="64">
        <f t="shared" ref="AX244" si="602">SUM(M244,P244,S244,V244,Y244,AB244,AE244,AH244,AK244,AN244,AQ244,AT244)</f>
        <v>6</v>
      </c>
      <c r="AY244" s="65">
        <f t="shared" si="560"/>
        <v>1.2</v>
      </c>
      <c r="AZ244" s="66">
        <f t="shared" si="561"/>
        <v>5</v>
      </c>
      <c r="BA244" s="67">
        <f>MAX(0, Table176252626[[#This Row],[Column6]])</f>
        <v>2</v>
      </c>
      <c r="BB244" s="68">
        <v>1</v>
      </c>
      <c r="BC244" s="84">
        <f t="shared" si="460"/>
        <v>2</v>
      </c>
      <c r="BD244" s="83">
        <f t="shared" si="458"/>
        <v>1</v>
      </c>
      <c r="BE244" s="85">
        <v>2</v>
      </c>
      <c r="BF244" s="86">
        <v>46220.361655092594</v>
      </c>
      <c r="BG244" s="72">
        <f t="shared" si="463"/>
        <v>46265</v>
      </c>
      <c r="BH244" s="87">
        <f t="shared" si="562"/>
        <v>44.638344907405553</v>
      </c>
      <c r="BI244" s="80" t="str">
        <f t="shared" si="459"/>
        <v/>
      </c>
      <c r="BJ244" s="238">
        <v>1617</v>
      </c>
    </row>
    <row r="245" spans="1:62" ht="13">
      <c r="A245" s="49"/>
      <c r="B245" s="50"/>
      <c r="C245" s="77">
        <v>242</v>
      </c>
      <c r="D245" s="110" t="s">
        <v>1517</v>
      </c>
      <c r="E245" s="110">
        <v>28</v>
      </c>
      <c r="F245" s="80" t="s">
        <v>933</v>
      </c>
      <c r="G245" s="81" t="s">
        <v>932</v>
      </c>
      <c r="H245" s="81" t="s">
        <v>1700</v>
      </c>
      <c r="I245" s="80" t="s">
        <v>458</v>
      </c>
      <c r="J245" s="82">
        <f t="shared" si="579"/>
        <v>3</v>
      </c>
      <c r="K245" s="80">
        <v>2</v>
      </c>
      <c r="L245" s="57"/>
      <c r="M245" s="58">
        <f>1</f>
        <v>1</v>
      </c>
      <c r="N245" s="59">
        <f t="shared" si="580"/>
        <v>1</v>
      </c>
      <c r="O245" s="60"/>
      <c r="P245" s="58"/>
      <c r="Q245" s="59">
        <f t="shared" ref="Q245:Q261" si="603">SUM(N245+O245-P245)</f>
        <v>1</v>
      </c>
      <c r="R245" s="60"/>
      <c r="S245" s="58">
        <v>1</v>
      </c>
      <c r="T245" s="61">
        <f t="shared" si="582"/>
        <v>0</v>
      </c>
      <c r="U245" s="60">
        <v>3</v>
      </c>
      <c r="V245" s="58"/>
      <c r="W245" s="59">
        <f t="shared" si="583"/>
        <v>3</v>
      </c>
      <c r="X245" s="60"/>
      <c r="Y245" s="58"/>
      <c r="Z245" s="61">
        <f t="shared" ref="Z245:Z261" si="604">SUM(W245+X245-Y245)</f>
        <v>3</v>
      </c>
      <c r="AA245" s="60"/>
      <c r="AB245" s="58"/>
      <c r="AC245" s="59">
        <f t="shared" ref="AC245:AC261" si="605">SUM(Z245+AA245-AB245)</f>
        <v>3</v>
      </c>
      <c r="AD245" s="57"/>
      <c r="AE245" s="58"/>
      <c r="AF245" s="243">
        <f t="shared" ref="AF245:AF261" si="606">SUM(AC245+AD245-AE245)</f>
        <v>3</v>
      </c>
      <c r="AG245" s="60"/>
      <c r="AH245" s="58"/>
      <c r="AI245" s="62">
        <f t="shared" ref="AI245:AI261" si="607">SUM(AF245+AG245-AH245)</f>
        <v>3</v>
      </c>
      <c r="AJ245" s="60"/>
      <c r="AK245" s="58"/>
      <c r="AL245" s="62">
        <f t="shared" ref="AL245:AL261" si="608">SUM(AI245+AJ245-AK245)</f>
        <v>3</v>
      </c>
      <c r="AM245" s="60"/>
      <c r="AN245" s="58"/>
      <c r="AO245" s="62">
        <f t="shared" si="589"/>
        <v>3</v>
      </c>
      <c r="AP245" s="60"/>
      <c r="AQ245" s="58"/>
      <c r="AR245" s="62">
        <f t="shared" si="590"/>
        <v>3</v>
      </c>
      <c r="AS245" s="60"/>
      <c r="AT245" s="58"/>
      <c r="AU245" s="62">
        <f t="shared" si="591"/>
        <v>3</v>
      </c>
      <c r="AV245" s="83">
        <f t="shared" ref="AV245:AW249" si="609">SUM(L245+O245+R245+U245+X245+AA245+AD245+AG245+AJ245+AM245+AP245+AS245)</f>
        <v>3</v>
      </c>
      <c r="AW245" s="83">
        <f t="shared" si="609"/>
        <v>2</v>
      </c>
      <c r="AX245" s="64">
        <f t="shared" ref="AX245:AX261" si="610">SUM(M245,P245,S245,V245,Y245,AB245,AE245,AH245,AK245,AN245,AQ245,AT245)</f>
        <v>2</v>
      </c>
      <c r="AY245" s="65">
        <f t="shared" si="560"/>
        <v>1</v>
      </c>
      <c r="AZ245" s="66">
        <f t="shared" si="561"/>
        <v>2</v>
      </c>
      <c r="BA245" s="67">
        <f>MAX(0, Table176252626[[#This Row],[Column6]])</f>
        <v>3</v>
      </c>
      <c r="BB245" s="68">
        <v>1</v>
      </c>
      <c r="BC245" s="84">
        <f t="shared" si="460"/>
        <v>3</v>
      </c>
      <c r="BD245" s="83">
        <f t="shared" si="458"/>
        <v>2</v>
      </c>
      <c r="BE245" s="85">
        <v>2</v>
      </c>
      <c r="BF245" s="86">
        <v>46135.462997685187</v>
      </c>
      <c r="BG245" s="72">
        <f t="shared" si="463"/>
        <v>46265</v>
      </c>
      <c r="BH245" s="107">
        <f t="shared" si="562"/>
        <v>129.53700231481344</v>
      </c>
      <c r="BI245" s="80" t="str">
        <f t="shared" si="459"/>
        <v/>
      </c>
      <c r="BJ245" s="238">
        <v>1126.5</v>
      </c>
    </row>
    <row r="246" spans="1:62" ht="13">
      <c r="A246" s="49"/>
      <c r="B246" s="76"/>
      <c r="C246" s="77">
        <v>243</v>
      </c>
      <c r="D246" s="110" t="s">
        <v>1517</v>
      </c>
      <c r="E246" s="110">
        <v>29</v>
      </c>
      <c r="F246" s="88" t="s">
        <v>1662</v>
      </c>
      <c r="G246" s="89" t="s">
        <v>1663</v>
      </c>
      <c r="H246" s="81" t="s">
        <v>1701</v>
      </c>
      <c r="I246" s="88" t="s">
        <v>458</v>
      </c>
      <c r="J246" s="93">
        <f t="shared" si="579"/>
        <v>1</v>
      </c>
      <c r="K246" s="88">
        <v>2</v>
      </c>
      <c r="L246" s="58"/>
      <c r="M246" s="58"/>
      <c r="N246" s="62">
        <f t="shared" si="580"/>
        <v>2</v>
      </c>
      <c r="O246" s="60"/>
      <c r="P246" s="58"/>
      <c r="Q246" s="62">
        <f t="shared" si="603"/>
        <v>2</v>
      </c>
      <c r="R246" s="60"/>
      <c r="S246" s="58"/>
      <c r="T246" s="94">
        <f t="shared" si="582"/>
        <v>2</v>
      </c>
      <c r="U246" s="60"/>
      <c r="V246" s="58"/>
      <c r="W246" s="62">
        <f t="shared" si="583"/>
        <v>2</v>
      </c>
      <c r="X246" s="60"/>
      <c r="Y246" s="58"/>
      <c r="Z246" s="94">
        <f t="shared" si="604"/>
        <v>2</v>
      </c>
      <c r="AA246" s="60"/>
      <c r="AB246" s="58">
        <v>1</v>
      </c>
      <c r="AC246" s="62">
        <f t="shared" si="605"/>
        <v>1</v>
      </c>
      <c r="AD246" s="57"/>
      <c r="AE246" s="58"/>
      <c r="AF246" s="165">
        <f t="shared" si="606"/>
        <v>1</v>
      </c>
      <c r="AG246" s="60"/>
      <c r="AH246" s="58"/>
      <c r="AI246" s="62">
        <f t="shared" si="607"/>
        <v>1</v>
      </c>
      <c r="AJ246" s="60"/>
      <c r="AK246" s="58"/>
      <c r="AL246" s="62">
        <f t="shared" si="608"/>
        <v>1</v>
      </c>
      <c r="AM246" s="60"/>
      <c r="AN246" s="58"/>
      <c r="AO246" s="62">
        <f t="shared" si="589"/>
        <v>1</v>
      </c>
      <c r="AP246" s="60"/>
      <c r="AQ246" s="58"/>
      <c r="AR246" s="62">
        <f t="shared" si="590"/>
        <v>1</v>
      </c>
      <c r="AS246" s="60"/>
      <c r="AT246" s="58"/>
      <c r="AU246" s="62">
        <f t="shared" si="591"/>
        <v>1</v>
      </c>
      <c r="AV246" s="96">
        <f t="shared" si="609"/>
        <v>0</v>
      </c>
      <c r="AW246" s="97">
        <f t="shared" si="609"/>
        <v>1</v>
      </c>
      <c r="AX246" s="98">
        <f t="shared" si="610"/>
        <v>1</v>
      </c>
      <c r="AY246" s="99">
        <f t="shared" si="560"/>
        <v>1</v>
      </c>
      <c r="AZ246" s="100">
        <f t="shared" si="561"/>
        <v>1</v>
      </c>
      <c r="BA246" s="101">
        <f>MAX(M246,P246,S246,V246,Y246,AB246,AE246,AH246,AK246,AN246,AQ246,AT246)</f>
        <v>1</v>
      </c>
      <c r="BB246" s="102">
        <v>0</v>
      </c>
      <c r="BC246" s="84">
        <f t="shared" si="460"/>
        <v>1</v>
      </c>
      <c r="BD246" s="83">
        <f t="shared" si="458"/>
        <v>1</v>
      </c>
      <c r="BE246" s="85">
        <v>2</v>
      </c>
      <c r="BF246" s="86">
        <v>45667.433310185188</v>
      </c>
      <c r="BG246" s="72">
        <f t="shared" si="463"/>
        <v>46265</v>
      </c>
      <c r="BH246" s="103">
        <f t="shared" si="562"/>
        <v>597.56668981481198</v>
      </c>
      <c r="BI246" s="80" t="str">
        <f t="shared" si="459"/>
        <v>Dead Stock</v>
      </c>
      <c r="BJ246" s="238">
        <v>3389</v>
      </c>
    </row>
    <row r="247" spans="1:62" ht="13">
      <c r="A247" s="49"/>
      <c r="B247" s="50"/>
      <c r="C247" s="51">
        <v>244</v>
      </c>
      <c r="D247" s="110" t="s">
        <v>1517</v>
      </c>
      <c r="E247" s="110">
        <v>30</v>
      </c>
      <c r="F247" s="88" t="s">
        <v>1739</v>
      </c>
      <c r="G247" s="89" t="s">
        <v>1740</v>
      </c>
      <c r="H247" s="89" t="s">
        <v>1741</v>
      </c>
      <c r="I247" s="88" t="s">
        <v>458</v>
      </c>
      <c r="J247" s="93">
        <f t="shared" si="579"/>
        <v>3</v>
      </c>
      <c r="K247" s="80">
        <v>3</v>
      </c>
      <c r="L247" s="58"/>
      <c r="M247" s="58"/>
      <c r="N247" s="62">
        <f t="shared" si="580"/>
        <v>3</v>
      </c>
      <c r="O247" s="60"/>
      <c r="P247" s="58"/>
      <c r="Q247" s="62">
        <f t="shared" si="603"/>
        <v>3</v>
      </c>
      <c r="R247" s="60"/>
      <c r="S247" s="58"/>
      <c r="T247" s="94">
        <f t="shared" si="582"/>
        <v>3</v>
      </c>
      <c r="U247" s="60"/>
      <c r="V247" s="58"/>
      <c r="W247" s="62">
        <f t="shared" si="583"/>
        <v>3</v>
      </c>
      <c r="X247" s="60"/>
      <c r="Y247" s="58"/>
      <c r="Z247" s="94">
        <f t="shared" si="604"/>
        <v>3</v>
      </c>
      <c r="AA247" s="60"/>
      <c r="AB247" s="58"/>
      <c r="AC247" s="62">
        <f t="shared" si="605"/>
        <v>3</v>
      </c>
      <c r="AD247" s="57"/>
      <c r="AE247" s="58"/>
      <c r="AF247" s="165">
        <f t="shared" si="606"/>
        <v>3</v>
      </c>
      <c r="AG247" s="60"/>
      <c r="AH247" s="58"/>
      <c r="AI247" s="62">
        <f t="shared" si="607"/>
        <v>3</v>
      </c>
      <c r="AJ247" s="60"/>
      <c r="AK247" s="58"/>
      <c r="AL247" s="62">
        <f t="shared" si="608"/>
        <v>3</v>
      </c>
      <c r="AM247" s="60"/>
      <c r="AN247" s="58"/>
      <c r="AO247" s="62">
        <f t="shared" si="589"/>
        <v>3</v>
      </c>
      <c r="AP247" s="60"/>
      <c r="AQ247" s="58"/>
      <c r="AR247" s="62">
        <f t="shared" si="590"/>
        <v>3</v>
      </c>
      <c r="AS247" s="60"/>
      <c r="AT247" s="58"/>
      <c r="AU247" s="62">
        <f t="shared" si="591"/>
        <v>3</v>
      </c>
      <c r="AV247" s="96">
        <f t="shared" si="609"/>
        <v>0</v>
      </c>
      <c r="AW247" s="97">
        <f t="shared" si="609"/>
        <v>0</v>
      </c>
      <c r="AX247" s="98">
        <f t="shared" si="610"/>
        <v>0</v>
      </c>
      <c r="AY247" s="99" t="e">
        <f t="shared" si="560"/>
        <v>#DIV/0!</v>
      </c>
      <c r="AZ247" s="100">
        <f t="shared" si="561"/>
        <v>0</v>
      </c>
      <c r="BA247" s="101">
        <v>3</v>
      </c>
      <c r="BB247" s="102">
        <v>1</v>
      </c>
      <c r="BC247" s="84">
        <f t="shared" si="460"/>
        <v>3</v>
      </c>
      <c r="BD247" s="83">
        <f t="shared" si="458"/>
        <v>2</v>
      </c>
      <c r="BE247" s="85">
        <v>2</v>
      </c>
      <c r="BF247" s="86">
        <v>45820</v>
      </c>
      <c r="BG247" s="72">
        <f t="shared" si="463"/>
        <v>46265</v>
      </c>
      <c r="BH247" s="103">
        <f t="shared" si="562"/>
        <v>445</v>
      </c>
      <c r="BI247" s="80" t="str">
        <f t="shared" si="459"/>
        <v>Dead Stock</v>
      </c>
      <c r="BJ247" s="238">
        <v>2414.25</v>
      </c>
    </row>
    <row r="248" spans="1:62" ht="13">
      <c r="A248" s="49"/>
      <c r="B248" s="76"/>
      <c r="C248" s="51">
        <v>245</v>
      </c>
      <c r="D248" s="110" t="s">
        <v>1517</v>
      </c>
      <c r="E248" s="110">
        <v>31</v>
      </c>
      <c r="F248" s="80" t="s">
        <v>189</v>
      </c>
      <c r="G248" s="81" t="s">
        <v>2034</v>
      </c>
      <c r="H248" s="81" t="s">
        <v>293</v>
      </c>
      <c r="I248" s="80" t="s">
        <v>458</v>
      </c>
      <c r="J248" s="82">
        <f t="shared" si="579"/>
        <v>2</v>
      </c>
      <c r="K248" s="80">
        <v>2</v>
      </c>
      <c r="L248" s="57"/>
      <c r="M248" s="58"/>
      <c r="N248" s="59">
        <f t="shared" si="580"/>
        <v>2</v>
      </c>
      <c r="O248" s="60"/>
      <c r="P248" s="58"/>
      <c r="Q248" s="59">
        <f t="shared" si="603"/>
        <v>2</v>
      </c>
      <c r="R248" s="60"/>
      <c r="S248" s="58"/>
      <c r="T248" s="61">
        <f t="shared" si="582"/>
        <v>2</v>
      </c>
      <c r="U248" s="60"/>
      <c r="V248" s="58"/>
      <c r="W248" s="59">
        <f t="shared" si="583"/>
        <v>2</v>
      </c>
      <c r="X248" s="60"/>
      <c r="Y248" s="58"/>
      <c r="Z248" s="61">
        <f t="shared" si="604"/>
        <v>2</v>
      </c>
      <c r="AA248" s="60"/>
      <c r="AB248" s="58"/>
      <c r="AC248" s="59">
        <f t="shared" si="605"/>
        <v>2</v>
      </c>
      <c r="AD248" s="57"/>
      <c r="AE248" s="58"/>
      <c r="AF248" s="243">
        <f t="shared" si="606"/>
        <v>2</v>
      </c>
      <c r="AG248" s="60"/>
      <c r="AH248" s="58"/>
      <c r="AI248" s="62">
        <f t="shared" si="607"/>
        <v>2</v>
      </c>
      <c r="AJ248" s="60"/>
      <c r="AK248" s="58"/>
      <c r="AL248" s="62">
        <f t="shared" si="608"/>
        <v>2</v>
      </c>
      <c r="AM248" s="60"/>
      <c r="AN248" s="58"/>
      <c r="AO248" s="62">
        <f t="shared" si="589"/>
        <v>2</v>
      </c>
      <c r="AP248" s="60"/>
      <c r="AQ248" s="58"/>
      <c r="AR248" s="62">
        <f t="shared" si="590"/>
        <v>2</v>
      </c>
      <c r="AS248" s="60"/>
      <c r="AT248" s="58"/>
      <c r="AU248" s="62">
        <f t="shared" si="591"/>
        <v>2</v>
      </c>
      <c r="AV248" s="83">
        <f t="shared" si="609"/>
        <v>0</v>
      </c>
      <c r="AW248" s="83">
        <f t="shared" si="609"/>
        <v>0</v>
      </c>
      <c r="AX248" s="64">
        <f t="shared" si="610"/>
        <v>0</v>
      </c>
      <c r="AY248" s="65" t="e">
        <f t="shared" si="560"/>
        <v>#DIV/0!</v>
      </c>
      <c r="AZ248" s="66">
        <f t="shared" si="561"/>
        <v>0</v>
      </c>
      <c r="BA248" s="67">
        <f>MAX(0, Table176252626[[#This Row],[Column6]])</f>
        <v>2</v>
      </c>
      <c r="BB248" s="68">
        <v>1</v>
      </c>
      <c r="BC248" s="84">
        <f t="shared" si="460"/>
        <v>2</v>
      </c>
      <c r="BD248" s="83">
        <f t="shared" si="458"/>
        <v>1</v>
      </c>
      <c r="BE248" s="85">
        <v>2</v>
      </c>
      <c r="BF248" s="86">
        <v>45513.369247685187</v>
      </c>
      <c r="BG248" s="72">
        <f t="shared" si="463"/>
        <v>46265</v>
      </c>
      <c r="BH248" s="87">
        <f t="shared" si="562"/>
        <v>751.63075231481344</v>
      </c>
      <c r="BI248" s="80" t="str">
        <f t="shared" si="459"/>
        <v>Dead Stock</v>
      </c>
      <c r="BJ248" s="238">
        <v>1616.25</v>
      </c>
    </row>
    <row r="249" spans="1:62" ht="13">
      <c r="A249" s="75"/>
      <c r="B249" s="76"/>
      <c r="C249" s="51">
        <v>246</v>
      </c>
      <c r="D249" s="110" t="s">
        <v>1517</v>
      </c>
      <c r="E249" s="110">
        <v>32</v>
      </c>
      <c r="F249" s="80" t="s">
        <v>761</v>
      </c>
      <c r="G249" s="81" t="s">
        <v>762</v>
      </c>
      <c r="H249" s="81" t="s">
        <v>293</v>
      </c>
      <c r="I249" s="80" t="s">
        <v>458</v>
      </c>
      <c r="J249" s="82">
        <f t="shared" si="579"/>
        <v>1</v>
      </c>
      <c r="K249" s="80">
        <v>1</v>
      </c>
      <c r="L249" s="124"/>
      <c r="M249" s="125"/>
      <c r="N249" s="59">
        <f t="shared" si="580"/>
        <v>1</v>
      </c>
      <c r="O249" s="126"/>
      <c r="P249" s="125"/>
      <c r="Q249" s="59">
        <f t="shared" si="603"/>
        <v>1</v>
      </c>
      <c r="R249" s="126"/>
      <c r="S249" s="125"/>
      <c r="T249" s="61">
        <f t="shared" si="582"/>
        <v>1</v>
      </c>
      <c r="U249" s="126"/>
      <c r="V249" s="125"/>
      <c r="W249" s="59">
        <f t="shared" si="583"/>
        <v>1</v>
      </c>
      <c r="X249" s="126"/>
      <c r="Y249" s="125"/>
      <c r="Z249" s="61">
        <f t="shared" si="604"/>
        <v>1</v>
      </c>
      <c r="AA249" s="126"/>
      <c r="AB249" s="125"/>
      <c r="AC249" s="59">
        <f t="shared" si="605"/>
        <v>1</v>
      </c>
      <c r="AD249" s="124"/>
      <c r="AE249" s="125"/>
      <c r="AF249" s="243">
        <f t="shared" si="606"/>
        <v>1</v>
      </c>
      <c r="AG249" s="126"/>
      <c r="AH249" s="125"/>
      <c r="AI249" s="62">
        <f t="shared" si="607"/>
        <v>1</v>
      </c>
      <c r="AJ249" s="126"/>
      <c r="AK249" s="125"/>
      <c r="AL249" s="62">
        <f t="shared" si="608"/>
        <v>1</v>
      </c>
      <c r="AM249" s="126"/>
      <c r="AN249" s="125"/>
      <c r="AO249" s="59">
        <f t="shared" si="589"/>
        <v>1</v>
      </c>
      <c r="AP249" s="126"/>
      <c r="AQ249" s="125"/>
      <c r="AR249" s="59">
        <f t="shared" si="590"/>
        <v>1</v>
      </c>
      <c r="AS249" s="126"/>
      <c r="AT249" s="125"/>
      <c r="AU249" s="59">
        <f t="shared" si="591"/>
        <v>1</v>
      </c>
      <c r="AV249" s="83">
        <f t="shared" si="609"/>
        <v>0</v>
      </c>
      <c r="AW249" s="83">
        <f t="shared" si="609"/>
        <v>0</v>
      </c>
      <c r="AX249" s="64">
        <f t="shared" si="610"/>
        <v>0</v>
      </c>
      <c r="AY249" s="65" t="e">
        <f t="shared" si="560"/>
        <v>#DIV/0!</v>
      </c>
      <c r="AZ249" s="66">
        <f t="shared" si="561"/>
        <v>0</v>
      </c>
      <c r="BA249" s="67">
        <f>MAX(0, Table176252626[[#This Row],[Column6]])</f>
        <v>1</v>
      </c>
      <c r="BB249" s="68">
        <v>0</v>
      </c>
      <c r="BC249" s="84">
        <f t="shared" si="460"/>
        <v>1</v>
      </c>
      <c r="BD249" s="83">
        <f t="shared" si="458"/>
        <v>1</v>
      </c>
      <c r="BE249" s="85">
        <v>2</v>
      </c>
      <c r="BF249" s="86">
        <v>44613.429432870369</v>
      </c>
      <c r="BG249" s="72">
        <f t="shared" si="463"/>
        <v>46265</v>
      </c>
      <c r="BH249" s="107">
        <f t="shared" si="562"/>
        <v>1651.5705671296309</v>
      </c>
      <c r="BI249" s="80" t="str">
        <f t="shared" si="459"/>
        <v>Dead Stock</v>
      </c>
      <c r="BJ249" s="238">
        <v>5387</v>
      </c>
    </row>
    <row r="250" spans="1:62" ht="13">
      <c r="A250" s="90"/>
      <c r="B250" s="91"/>
      <c r="C250" s="51">
        <v>247</v>
      </c>
      <c r="D250" s="110" t="s">
        <v>1517</v>
      </c>
      <c r="E250" s="110">
        <v>34</v>
      </c>
      <c r="F250" s="80" t="s">
        <v>609</v>
      </c>
      <c r="G250" s="81" t="s">
        <v>610</v>
      </c>
      <c r="H250" s="89" t="s">
        <v>1646</v>
      </c>
      <c r="I250" s="80" t="s">
        <v>458</v>
      </c>
      <c r="J250" s="82">
        <f>AU250</f>
        <v>12</v>
      </c>
      <c r="K250" s="88">
        <v>8</v>
      </c>
      <c r="L250" s="57"/>
      <c r="M250" s="58">
        <f>1+3</f>
        <v>4</v>
      </c>
      <c r="N250" s="59">
        <f>SUM(K250+L250-M250)</f>
        <v>4</v>
      </c>
      <c r="O250" s="60"/>
      <c r="P250" s="58"/>
      <c r="Q250" s="59">
        <f>SUM(N250+O250-P250)</f>
        <v>4</v>
      </c>
      <c r="R250" s="60"/>
      <c r="S250" s="58"/>
      <c r="T250" s="61">
        <f>SUM(Q250+R250-S250)</f>
        <v>4</v>
      </c>
      <c r="U250" s="60"/>
      <c r="V250" s="58"/>
      <c r="W250" s="59">
        <f>SUM(T250+U250-V250)</f>
        <v>4</v>
      </c>
      <c r="X250" s="60"/>
      <c r="Y250" s="58">
        <f>1+1</f>
        <v>2</v>
      </c>
      <c r="Z250" s="61">
        <f>SUM(W250+X250-Y250)</f>
        <v>2</v>
      </c>
      <c r="AA250" s="60"/>
      <c r="AB250" s="58">
        <v>2</v>
      </c>
      <c r="AC250" s="59">
        <f>SUM(Z250+AA250-AB250)</f>
        <v>0</v>
      </c>
      <c r="AD250" s="57">
        <f>10+10</f>
        <v>20</v>
      </c>
      <c r="AE250" s="58">
        <f>5+1</f>
        <v>6</v>
      </c>
      <c r="AF250" s="243">
        <f>SUM(AC250+AD250-AE250)</f>
        <v>14</v>
      </c>
      <c r="AG250" s="60"/>
      <c r="AH250" s="58">
        <f>1+1</f>
        <v>2</v>
      </c>
      <c r="AI250" s="62">
        <f>SUM(AF250+AG250-AH250)</f>
        <v>12</v>
      </c>
      <c r="AJ250" s="60"/>
      <c r="AK250" s="58"/>
      <c r="AL250" s="62">
        <f>SUM(AI250+AJ250-AK250)</f>
        <v>12</v>
      </c>
      <c r="AM250" s="60"/>
      <c r="AN250" s="58"/>
      <c r="AO250" s="62">
        <f>SUM(AL250+AM250-AN250)</f>
        <v>12</v>
      </c>
      <c r="AP250" s="60"/>
      <c r="AQ250" s="58"/>
      <c r="AR250" s="62">
        <f>SUM(AO250+AP250-AQ250)</f>
        <v>12</v>
      </c>
      <c r="AS250" s="60"/>
      <c r="AT250" s="58"/>
      <c r="AU250" s="62">
        <f>SUM(AR250+AS250-AT250)</f>
        <v>12</v>
      </c>
      <c r="AV250" s="83">
        <f>SUM(L250+O250+R250+U250+X250+AA250+AD250+AG250+AJ250+AM250+AP250+AS250)</f>
        <v>20</v>
      </c>
      <c r="AW250" s="83">
        <f>SUM(M250+P250+S250+V250+Y250+AB250+AE250+AH250+AK250+AN250+AQ250+AT250)</f>
        <v>16</v>
      </c>
      <c r="AX250" s="64">
        <f>SUM(M250,P250,S250,V250,Y250,AB250,AE250,AH250,AK250,AN250,AQ250,AT250)</f>
        <v>16</v>
      </c>
      <c r="AY250" s="65">
        <f>AVERAGE(M250,P250,S250,V250,Y250,AB250,AE250,AH250,AK250,AN250,AQ250,AT250)</f>
        <v>3.2</v>
      </c>
      <c r="AZ250" s="66">
        <f>COUNT(M250,P250,S250,V250,Y250,AB250,AE250,AH250,AK250,AN250,AQ250,AT250)</f>
        <v>5</v>
      </c>
      <c r="BA250" s="67">
        <f>MAX(0, Table176252626[[#This Row],[Column6]])</f>
        <v>12</v>
      </c>
      <c r="BB250" s="68">
        <v>1</v>
      </c>
      <c r="BC250" s="84">
        <f t="shared" si="460"/>
        <v>12</v>
      </c>
      <c r="BD250" s="83">
        <f t="shared" si="458"/>
        <v>11</v>
      </c>
      <c r="BE250" s="85">
        <v>2</v>
      </c>
      <c r="BF250" s="86">
        <v>46212</v>
      </c>
      <c r="BG250" s="72">
        <f t="shared" si="463"/>
        <v>46265</v>
      </c>
      <c r="BH250" s="87">
        <f>BG250-BF250</f>
        <v>53</v>
      </c>
      <c r="BI250" s="80" t="str">
        <f t="shared" si="459"/>
        <v/>
      </c>
      <c r="BJ250" s="238">
        <v>802.5</v>
      </c>
    </row>
    <row r="251" spans="1:62" ht="13">
      <c r="A251" s="49"/>
      <c r="B251" s="76"/>
      <c r="C251" s="77">
        <v>248</v>
      </c>
      <c r="D251" s="110" t="s">
        <v>1517</v>
      </c>
      <c r="E251" s="110">
        <v>35</v>
      </c>
      <c r="F251" s="88" t="s">
        <v>1418</v>
      </c>
      <c r="G251" s="89" t="s">
        <v>1419</v>
      </c>
      <c r="H251" s="81" t="s">
        <v>1700</v>
      </c>
      <c r="I251" s="80" t="s">
        <v>458</v>
      </c>
      <c r="J251" s="93">
        <f t="shared" si="579"/>
        <v>4</v>
      </c>
      <c r="K251" s="88">
        <v>6</v>
      </c>
      <c r="L251" s="58"/>
      <c r="M251" s="58"/>
      <c r="N251" s="62">
        <f t="shared" si="580"/>
        <v>6</v>
      </c>
      <c r="O251" s="60"/>
      <c r="P251" s="58"/>
      <c r="Q251" s="62">
        <f t="shared" si="603"/>
        <v>6</v>
      </c>
      <c r="R251" s="60"/>
      <c r="S251" s="58"/>
      <c r="T251" s="94">
        <f t="shared" si="582"/>
        <v>6</v>
      </c>
      <c r="U251" s="60"/>
      <c r="V251" s="58"/>
      <c r="W251" s="62">
        <f t="shared" si="583"/>
        <v>6</v>
      </c>
      <c r="X251" s="60"/>
      <c r="Y251" s="58"/>
      <c r="Z251" s="94">
        <f t="shared" si="604"/>
        <v>6</v>
      </c>
      <c r="AA251" s="60"/>
      <c r="AB251" s="58">
        <v>1</v>
      </c>
      <c r="AC251" s="62">
        <f t="shared" si="605"/>
        <v>5</v>
      </c>
      <c r="AD251" s="57"/>
      <c r="AE251" s="58"/>
      <c r="AF251" s="165">
        <f t="shared" si="606"/>
        <v>5</v>
      </c>
      <c r="AG251" s="60"/>
      <c r="AH251" s="58">
        <v>1</v>
      </c>
      <c r="AI251" s="62">
        <f t="shared" si="607"/>
        <v>4</v>
      </c>
      <c r="AJ251" s="60"/>
      <c r="AK251" s="58"/>
      <c r="AL251" s="62">
        <f t="shared" si="608"/>
        <v>4</v>
      </c>
      <c r="AM251" s="60"/>
      <c r="AN251" s="58"/>
      <c r="AO251" s="62">
        <f t="shared" si="589"/>
        <v>4</v>
      </c>
      <c r="AP251" s="60"/>
      <c r="AQ251" s="58"/>
      <c r="AR251" s="62">
        <f t="shared" si="590"/>
        <v>4</v>
      </c>
      <c r="AS251" s="60"/>
      <c r="AT251" s="58"/>
      <c r="AU251" s="62">
        <f t="shared" si="591"/>
        <v>4</v>
      </c>
      <c r="AV251" s="96">
        <f t="shared" ref="AV251:AV262" si="611">SUM(L251+O251+R251+U251+X251+AA251+AD251+AG251+AJ251+AM251+AP251+AS251)</f>
        <v>0</v>
      </c>
      <c r="AW251" s="97">
        <f t="shared" ref="AW251:AW262" si="612">SUM(M251+P251+S251+V251+Y251+AB251+AE251+AH251+AK251+AN251+AQ251+AT251)</f>
        <v>2</v>
      </c>
      <c r="AX251" s="98">
        <f t="shared" si="610"/>
        <v>2</v>
      </c>
      <c r="AY251" s="99">
        <f t="shared" si="560"/>
        <v>1</v>
      </c>
      <c r="AZ251" s="100">
        <f t="shared" si="561"/>
        <v>2</v>
      </c>
      <c r="BA251" s="101">
        <v>4</v>
      </c>
      <c r="BB251" s="102">
        <f>MIN(M251,P251,S251,V251,Y251,AB251,AE251,AH251,AK251,AN251,AQ251,AT251)</f>
        <v>1</v>
      </c>
      <c r="BC251" s="84">
        <f t="shared" si="460"/>
        <v>4</v>
      </c>
      <c r="BD251" s="83">
        <f t="shared" si="458"/>
        <v>3</v>
      </c>
      <c r="BE251" s="85">
        <v>2</v>
      </c>
      <c r="BF251" s="86">
        <v>45220.762627314813</v>
      </c>
      <c r="BG251" s="72">
        <f t="shared" si="463"/>
        <v>46265</v>
      </c>
      <c r="BH251" s="109">
        <f t="shared" si="562"/>
        <v>1044.2373726851874</v>
      </c>
      <c r="BI251" s="80" t="str">
        <f t="shared" si="459"/>
        <v>Dead Stock</v>
      </c>
      <c r="BJ251" s="238">
        <v>3040</v>
      </c>
    </row>
    <row r="252" spans="1:62" ht="13">
      <c r="A252" s="49"/>
      <c r="B252" s="50"/>
      <c r="C252" s="77">
        <v>249</v>
      </c>
      <c r="D252" s="110" t="s">
        <v>1517</v>
      </c>
      <c r="E252" s="110">
        <v>36</v>
      </c>
      <c r="F252" s="80" t="s">
        <v>1050</v>
      </c>
      <c r="G252" s="81" t="s">
        <v>1051</v>
      </c>
      <c r="H252" s="81" t="s">
        <v>1700</v>
      </c>
      <c r="I252" s="80" t="s">
        <v>458</v>
      </c>
      <c r="J252" s="82">
        <f t="shared" si="579"/>
        <v>1</v>
      </c>
      <c r="K252" s="80">
        <v>1</v>
      </c>
      <c r="L252" s="57"/>
      <c r="M252" s="58"/>
      <c r="N252" s="59">
        <f t="shared" si="580"/>
        <v>1</v>
      </c>
      <c r="O252" s="60"/>
      <c r="P252" s="58"/>
      <c r="Q252" s="59">
        <f t="shared" si="603"/>
        <v>1</v>
      </c>
      <c r="R252" s="60"/>
      <c r="S252" s="58"/>
      <c r="T252" s="61">
        <f t="shared" si="582"/>
        <v>1</v>
      </c>
      <c r="U252" s="60"/>
      <c r="V252" s="58"/>
      <c r="W252" s="59">
        <f t="shared" si="583"/>
        <v>1</v>
      </c>
      <c r="X252" s="60"/>
      <c r="Y252" s="58"/>
      <c r="Z252" s="61">
        <f t="shared" si="604"/>
        <v>1</v>
      </c>
      <c r="AA252" s="60"/>
      <c r="AB252" s="58"/>
      <c r="AC252" s="59">
        <f t="shared" si="605"/>
        <v>1</v>
      </c>
      <c r="AD252" s="57"/>
      <c r="AE252" s="58"/>
      <c r="AF252" s="243">
        <f t="shared" si="606"/>
        <v>1</v>
      </c>
      <c r="AG252" s="60"/>
      <c r="AH252" s="58"/>
      <c r="AI252" s="62">
        <f t="shared" si="607"/>
        <v>1</v>
      </c>
      <c r="AJ252" s="60"/>
      <c r="AK252" s="58"/>
      <c r="AL252" s="62">
        <f t="shared" si="608"/>
        <v>1</v>
      </c>
      <c r="AM252" s="60"/>
      <c r="AN252" s="58"/>
      <c r="AO252" s="62">
        <f t="shared" si="589"/>
        <v>1</v>
      </c>
      <c r="AP252" s="60"/>
      <c r="AQ252" s="58"/>
      <c r="AR252" s="104">
        <f t="shared" si="590"/>
        <v>1</v>
      </c>
      <c r="AS252" s="57"/>
      <c r="AT252" s="58"/>
      <c r="AU252" s="62">
        <f t="shared" si="591"/>
        <v>1</v>
      </c>
      <c r="AV252" s="83">
        <f t="shared" si="611"/>
        <v>0</v>
      </c>
      <c r="AW252" s="83">
        <f t="shared" si="612"/>
        <v>0</v>
      </c>
      <c r="AX252" s="64">
        <f t="shared" si="610"/>
        <v>0</v>
      </c>
      <c r="AY252" s="65" t="e">
        <f t="shared" si="560"/>
        <v>#DIV/0!</v>
      </c>
      <c r="AZ252" s="66">
        <f t="shared" si="561"/>
        <v>0</v>
      </c>
      <c r="BA252" s="67">
        <f>MAX(0, Table176252626[[#This Row],[Column6]])</f>
        <v>1</v>
      </c>
      <c r="BB252" s="68">
        <v>0</v>
      </c>
      <c r="BC252" s="84">
        <f t="shared" si="460"/>
        <v>1</v>
      </c>
      <c r="BD252" s="83">
        <f t="shared" si="458"/>
        <v>1</v>
      </c>
      <c r="BE252" s="85">
        <v>2</v>
      </c>
      <c r="BF252" s="86">
        <v>44336.561516203707</v>
      </c>
      <c r="BG252" s="72">
        <f t="shared" si="463"/>
        <v>46265</v>
      </c>
      <c r="BH252" s="87">
        <f t="shared" si="562"/>
        <v>1928.4384837962934</v>
      </c>
      <c r="BI252" s="80" t="str">
        <f t="shared" si="459"/>
        <v>Dead Stock</v>
      </c>
      <c r="BJ252" s="238">
        <v>42000</v>
      </c>
    </row>
    <row r="253" spans="1:62" ht="13">
      <c r="A253" s="49"/>
      <c r="B253" s="50"/>
      <c r="C253" s="51">
        <v>250</v>
      </c>
      <c r="D253" s="110" t="s">
        <v>1517</v>
      </c>
      <c r="E253" s="110">
        <v>39</v>
      </c>
      <c r="F253" s="80" t="s">
        <v>836</v>
      </c>
      <c r="G253" s="81" t="s">
        <v>837</v>
      </c>
      <c r="H253" s="81" t="s">
        <v>1700</v>
      </c>
      <c r="I253" s="80" t="s">
        <v>458</v>
      </c>
      <c r="J253" s="82">
        <f t="shared" si="579"/>
        <v>1</v>
      </c>
      <c r="K253" s="80">
        <v>3</v>
      </c>
      <c r="L253" s="57"/>
      <c r="M253" s="58">
        <v>2</v>
      </c>
      <c r="N253" s="59">
        <f t="shared" si="580"/>
        <v>1</v>
      </c>
      <c r="O253" s="60">
        <v>2</v>
      </c>
      <c r="P253" s="58"/>
      <c r="Q253" s="59">
        <f t="shared" si="603"/>
        <v>3</v>
      </c>
      <c r="R253" s="60"/>
      <c r="S253" s="58">
        <v>1</v>
      </c>
      <c r="T253" s="61">
        <f t="shared" si="582"/>
        <v>2</v>
      </c>
      <c r="U253" s="60"/>
      <c r="V253" s="58"/>
      <c r="W253" s="59">
        <f t="shared" si="583"/>
        <v>2</v>
      </c>
      <c r="X253" s="60">
        <v>2</v>
      </c>
      <c r="Y253" s="58"/>
      <c r="Z253" s="61">
        <f t="shared" si="604"/>
        <v>4</v>
      </c>
      <c r="AA253" s="60"/>
      <c r="AB253" s="58">
        <f>1+1+1</f>
        <v>3</v>
      </c>
      <c r="AC253" s="59">
        <f t="shared" si="605"/>
        <v>1</v>
      </c>
      <c r="AD253" s="57">
        <v>2</v>
      </c>
      <c r="AE253" s="58"/>
      <c r="AF253" s="243">
        <f t="shared" si="606"/>
        <v>3</v>
      </c>
      <c r="AG253" s="60"/>
      <c r="AH253" s="58">
        <f>1+1</f>
        <v>2</v>
      </c>
      <c r="AI253" s="62">
        <f t="shared" si="607"/>
        <v>1</v>
      </c>
      <c r="AJ253" s="60"/>
      <c r="AK253" s="58"/>
      <c r="AL253" s="62">
        <f t="shared" si="608"/>
        <v>1</v>
      </c>
      <c r="AM253" s="60"/>
      <c r="AN253" s="58"/>
      <c r="AO253" s="62">
        <f t="shared" si="589"/>
        <v>1</v>
      </c>
      <c r="AP253" s="60"/>
      <c r="AQ253" s="58"/>
      <c r="AR253" s="62">
        <f t="shared" si="590"/>
        <v>1</v>
      </c>
      <c r="AS253" s="60"/>
      <c r="AT253" s="58"/>
      <c r="AU253" s="62">
        <f t="shared" si="591"/>
        <v>1</v>
      </c>
      <c r="AV253" s="83">
        <f t="shared" si="611"/>
        <v>6</v>
      </c>
      <c r="AW253" s="83">
        <f t="shared" si="612"/>
        <v>8</v>
      </c>
      <c r="AX253" s="64">
        <f t="shared" si="610"/>
        <v>8</v>
      </c>
      <c r="AY253" s="65">
        <f t="shared" si="560"/>
        <v>2</v>
      </c>
      <c r="AZ253" s="66">
        <f t="shared" si="561"/>
        <v>4</v>
      </c>
      <c r="BA253" s="67">
        <f>MAX(0, Table176252626[[#This Row],[Column6]])</f>
        <v>1</v>
      </c>
      <c r="BB253" s="68">
        <v>1</v>
      </c>
      <c r="BC253" s="84">
        <f t="shared" si="460"/>
        <v>1</v>
      </c>
      <c r="BD253" s="83">
        <f t="shared" si="458"/>
        <v>0</v>
      </c>
      <c r="BE253" s="85">
        <v>2</v>
      </c>
      <c r="BF253" s="86">
        <v>46229</v>
      </c>
      <c r="BG253" s="72">
        <f t="shared" si="463"/>
        <v>46265</v>
      </c>
      <c r="BH253" s="87">
        <f t="shared" si="562"/>
        <v>36</v>
      </c>
      <c r="BI253" s="80" t="str">
        <f t="shared" si="459"/>
        <v/>
      </c>
      <c r="BJ253" s="238">
        <v>7920</v>
      </c>
    </row>
    <row r="254" spans="1:62" ht="13">
      <c r="A254" s="75"/>
      <c r="B254" s="76"/>
      <c r="C254" s="51">
        <v>251</v>
      </c>
      <c r="D254" s="110" t="s">
        <v>1517</v>
      </c>
      <c r="E254" s="110">
        <v>40</v>
      </c>
      <c r="F254" s="80" t="s">
        <v>838</v>
      </c>
      <c r="G254" s="81" t="s">
        <v>1936</v>
      </c>
      <c r="H254" s="81" t="s">
        <v>1700</v>
      </c>
      <c r="I254" s="80" t="s">
        <v>458</v>
      </c>
      <c r="J254" s="82">
        <f t="shared" si="579"/>
        <v>1</v>
      </c>
      <c r="K254" s="80">
        <v>2</v>
      </c>
      <c r="L254" s="57"/>
      <c r="M254" s="58">
        <v>1</v>
      </c>
      <c r="N254" s="59">
        <f t="shared" si="580"/>
        <v>1</v>
      </c>
      <c r="O254" s="60">
        <v>4</v>
      </c>
      <c r="P254" s="58"/>
      <c r="Q254" s="59">
        <f t="shared" si="603"/>
        <v>5</v>
      </c>
      <c r="R254" s="60"/>
      <c r="S254" s="58"/>
      <c r="T254" s="61">
        <f t="shared" si="582"/>
        <v>5</v>
      </c>
      <c r="U254" s="60"/>
      <c r="V254" s="58"/>
      <c r="W254" s="59">
        <f t="shared" si="583"/>
        <v>5</v>
      </c>
      <c r="X254" s="60"/>
      <c r="Y254" s="58"/>
      <c r="Z254" s="61">
        <f t="shared" si="604"/>
        <v>5</v>
      </c>
      <c r="AA254" s="60"/>
      <c r="AB254" s="58">
        <v>2</v>
      </c>
      <c r="AC254" s="59">
        <f t="shared" si="605"/>
        <v>3</v>
      </c>
      <c r="AD254" s="57">
        <f>2+2</f>
        <v>4</v>
      </c>
      <c r="AE254" s="58">
        <v>2</v>
      </c>
      <c r="AF254" s="243">
        <f t="shared" si="606"/>
        <v>5</v>
      </c>
      <c r="AG254" s="60"/>
      <c r="AH254" s="58">
        <f>2+2</f>
        <v>4</v>
      </c>
      <c r="AI254" s="62">
        <f t="shared" si="607"/>
        <v>1</v>
      </c>
      <c r="AJ254" s="60"/>
      <c r="AK254" s="58"/>
      <c r="AL254" s="62">
        <f t="shared" si="608"/>
        <v>1</v>
      </c>
      <c r="AM254" s="60"/>
      <c r="AN254" s="58"/>
      <c r="AO254" s="62">
        <f t="shared" si="589"/>
        <v>1</v>
      </c>
      <c r="AP254" s="60"/>
      <c r="AQ254" s="58"/>
      <c r="AR254" s="62">
        <f t="shared" si="590"/>
        <v>1</v>
      </c>
      <c r="AS254" s="60"/>
      <c r="AT254" s="58"/>
      <c r="AU254" s="62">
        <f t="shared" si="591"/>
        <v>1</v>
      </c>
      <c r="AV254" s="83">
        <f t="shared" si="611"/>
        <v>8</v>
      </c>
      <c r="AW254" s="83">
        <f t="shared" si="612"/>
        <v>9</v>
      </c>
      <c r="AX254" s="64">
        <f t="shared" si="610"/>
        <v>9</v>
      </c>
      <c r="AY254" s="65">
        <f t="shared" si="560"/>
        <v>2.25</v>
      </c>
      <c r="AZ254" s="66">
        <f t="shared" si="561"/>
        <v>4</v>
      </c>
      <c r="BA254" s="67">
        <v>3</v>
      </c>
      <c r="BB254" s="68">
        <v>1</v>
      </c>
      <c r="BC254" s="84">
        <f t="shared" si="460"/>
        <v>1</v>
      </c>
      <c r="BD254" s="83">
        <f t="shared" si="458"/>
        <v>0</v>
      </c>
      <c r="BE254" s="85">
        <v>2</v>
      </c>
      <c r="BF254" s="86">
        <v>46229</v>
      </c>
      <c r="BG254" s="72">
        <f t="shared" si="463"/>
        <v>46265</v>
      </c>
      <c r="BH254" s="87">
        <f t="shared" si="562"/>
        <v>36</v>
      </c>
      <c r="BI254" s="80" t="str">
        <f t="shared" si="459"/>
        <v/>
      </c>
      <c r="BJ254" s="238">
        <v>7920</v>
      </c>
    </row>
    <row r="255" spans="1:62" ht="13">
      <c r="A255" s="49"/>
      <c r="B255" s="76"/>
      <c r="C255" s="51">
        <v>252</v>
      </c>
      <c r="D255" s="110" t="s">
        <v>1517</v>
      </c>
      <c r="E255" s="110">
        <v>41</v>
      </c>
      <c r="F255" s="80" t="s">
        <v>839</v>
      </c>
      <c r="G255" s="81" t="s">
        <v>2035</v>
      </c>
      <c r="H255" s="81" t="s">
        <v>1700</v>
      </c>
      <c r="I255" s="80" t="s">
        <v>458</v>
      </c>
      <c r="J255" s="82">
        <f t="shared" si="579"/>
        <v>2</v>
      </c>
      <c r="K255" s="80">
        <v>2</v>
      </c>
      <c r="L255" s="57"/>
      <c r="M255" s="58">
        <v>2</v>
      </c>
      <c r="N255" s="59">
        <f t="shared" si="580"/>
        <v>0</v>
      </c>
      <c r="O255" s="60">
        <v>2</v>
      </c>
      <c r="P255" s="58"/>
      <c r="Q255" s="59">
        <f t="shared" si="603"/>
        <v>2</v>
      </c>
      <c r="R255" s="60"/>
      <c r="S255" s="58"/>
      <c r="T255" s="61">
        <f t="shared" si="582"/>
        <v>2</v>
      </c>
      <c r="U255" s="60"/>
      <c r="V255" s="58"/>
      <c r="W255" s="59">
        <f t="shared" si="583"/>
        <v>2</v>
      </c>
      <c r="X255" s="60"/>
      <c r="Y255" s="58"/>
      <c r="Z255" s="61">
        <f t="shared" si="604"/>
        <v>2</v>
      </c>
      <c r="AA255" s="60"/>
      <c r="AB255" s="58"/>
      <c r="AC255" s="59">
        <f t="shared" si="605"/>
        <v>2</v>
      </c>
      <c r="AD255" s="57"/>
      <c r="AE255" s="58"/>
      <c r="AF255" s="243">
        <f t="shared" si="606"/>
        <v>2</v>
      </c>
      <c r="AG255" s="60"/>
      <c r="AH255" s="58"/>
      <c r="AI255" s="62">
        <f t="shared" si="607"/>
        <v>2</v>
      </c>
      <c r="AJ255" s="60"/>
      <c r="AK255" s="58"/>
      <c r="AL255" s="62">
        <f t="shared" si="608"/>
        <v>2</v>
      </c>
      <c r="AM255" s="60"/>
      <c r="AN255" s="58"/>
      <c r="AO255" s="62">
        <f t="shared" si="589"/>
        <v>2</v>
      </c>
      <c r="AP255" s="60"/>
      <c r="AQ255" s="58"/>
      <c r="AR255" s="62">
        <f t="shared" si="590"/>
        <v>2</v>
      </c>
      <c r="AS255" s="60"/>
      <c r="AT255" s="58"/>
      <c r="AU255" s="62">
        <f t="shared" si="591"/>
        <v>2</v>
      </c>
      <c r="AV255" s="83">
        <f t="shared" si="611"/>
        <v>2</v>
      </c>
      <c r="AW255" s="83">
        <f t="shared" si="612"/>
        <v>2</v>
      </c>
      <c r="AX255" s="64">
        <f t="shared" si="610"/>
        <v>2</v>
      </c>
      <c r="AY255" s="65">
        <f t="shared" si="560"/>
        <v>2</v>
      </c>
      <c r="AZ255" s="66">
        <f t="shared" si="561"/>
        <v>1</v>
      </c>
      <c r="BA255" s="67">
        <f>MAX(M255,P255,S255,V255,Y255,AB255,AE255,AH255,AK255,AN255,AQ255,AT255)</f>
        <v>2</v>
      </c>
      <c r="BB255" s="68">
        <f>MIN(M255,P255,S255,V255,Y255,AB255,AE255,AH255,AK255,AN255,AQ255,AT255)</f>
        <v>2</v>
      </c>
      <c r="BC255" s="84">
        <f t="shared" si="460"/>
        <v>2</v>
      </c>
      <c r="BD255" s="83">
        <f t="shared" si="458"/>
        <v>0</v>
      </c>
      <c r="BE255" s="85">
        <v>2</v>
      </c>
      <c r="BF255" s="86">
        <v>46229</v>
      </c>
      <c r="BG255" s="72">
        <f t="shared" si="463"/>
        <v>46265</v>
      </c>
      <c r="BH255" s="107">
        <f t="shared" si="562"/>
        <v>36</v>
      </c>
      <c r="BI255" s="80" t="str">
        <f t="shared" si="459"/>
        <v/>
      </c>
      <c r="BJ255" s="238">
        <v>9800</v>
      </c>
    </row>
    <row r="256" spans="1:62" ht="13">
      <c r="A256" s="49"/>
      <c r="B256" s="76"/>
      <c r="C256" s="51">
        <v>253</v>
      </c>
      <c r="D256" s="110" t="s">
        <v>1517</v>
      </c>
      <c r="E256" s="110">
        <v>42</v>
      </c>
      <c r="F256" s="80" t="s">
        <v>763</v>
      </c>
      <c r="G256" s="81" t="s">
        <v>1372</v>
      </c>
      <c r="H256" s="81" t="s">
        <v>289</v>
      </c>
      <c r="I256" s="80" t="s">
        <v>458</v>
      </c>
      <c r="J256" s="82">
        <f t="shared" si="579"/>
        <v>4</v>
      </c>
      <c r="K256" s="80">
        <v>4</v>
      </c>
      <c r="L256" s="57">
        <v>5</v>
      </c>
      <c r="M256" s="58">
        <v>1</v>
      </c>
      <c r="N256" s="59">
        <f t="shared" si="580"/>
        <v>8</v>
      </c>
      <c r="O256" s="60"/>
      <c r="P256" s="58">
        <v>1</v>
      </c>
      <c r="Q256" s="59">
        <f t="shared" si="603"/>
        <v>7</v>
      </c>
      <c r="R256" s="60"/>
      <c r="S256" s="58"/>
      <c r="T256" s="61">
        <f t="shared" si="582"/>
        <v>7</v>
      </c>
      <c r="U256" s="60"/>
      <c r="V256" s="58"/>
      <c r="W256" s="59">
        <f t="shared" si="583"/>
        <v>7</v>
      </c>
      <c r="X256" s="60"/>
      <c r="Y256" s="58">
        <v>2</v>
      </c>
      <c r="Z256" s="61">
        <f t="shared" si="604"/>
        <v>5</v>
      </c>
      <c r="AA256" s="60"/>
      <c r="AB256" s="58"/>
      <c r="AC256" s="59">
        <f t="shared" si="605"/>
        <v>5</v>
      </c>
      <c r="AD256" s="57"/>
      <c r="AE256" s="58">
        <v>1</v>
      </c>
      <c r="AF256" s="243">
        <f t="shared" si="606"/>
        <v>4</v>
      </c>
      <c r="AG256" s="60"/>
      <c r="AH256" s="58"/>
      <c r="AI256" s="62">
        <f t="shared" si="607"/>
        <v>4</v>
      </c>
      <c r="AJ256" s="60"/>
      <c r="AK256" s="58"/>
      <c r="AL256" s="62">
        <f t="shared" si="608"/>
        <v>4</v>
      </c>
      <c r="AM256" s="60"/>
      <c r="AN256" s="58"/>
      <c r="AO256" s="62">
        <f t="shared" si="589"/>
        <v>4</v>
      </c>
      <c r="AP256" s="60"/>
      <c r="AQ256" s="58"/>
      <c r="AR256" s="104">
        <f t="shared" si="590"/>
        <v>4</v>
      </c>
      <c r="AS256" s="57"/>
      <c r="AT256" s="58"/>
      <c r="AU256" s="62">
        <f t="shared" si="591"/>
        <v>4</v>
      </c>
      <c r="AV256" s="83">
        <f t="shared" si="611"/>
        <v>5</v>
      </c>
      <c r="AW256" s="83">
        <f t="shared" si="612"/>
        <v>5</v>
      </c>
      <c r="AX256" s="64">
        <f t="shared" si="610"/>
        <v>5</v>
      </c>
      <c r="AY256" s="65">
        <f t="shared" si="560"/>
        <v>1.25</v>
      </c>
      <c r="AZ256" s="66">
        <f t="shared" si="561"/>
        <v>4</v>
      </c>
      <c r="BA256" s="67">
        <f>MAX(0, Table176252626[[#This Row],[Column6]])</f>
        <v>4</v>
      </c>
      <c r="BB256" s="68">
        <v>1</v>
      </c>
      <c r="BC256" s="84">
        <f t="shared" si="460"/>
        <v>4</v>
      </c>
      <c r="BD256" s="83">
        <f t="shared" si="458"/>
        <v>3</v>
      </c>
      <c r="BE256" s="85">
        <v>2</v>
      </c>
      <c r="BF256" s="86">
        <v>46041</v>
      </c>
      <c r="BG256" s="72">
        <f t="shared" si="463"/>
        <v>46265</v>
      </c>
      <c r="BH256" s="87">
        <f t="shared" si="562"/>
        <v>224</v>
      </c>
      <c r="BI256" s="80" t="str">
        <f t="shared" si="459"/>
        <v/>
      </c>
      <c r="BJ256" s="238">
        <v>1772</v>
      </c>
    </row>
    <row r="257" spans="1:293" ht="13">
      <c r="A257" s="49"/>
      <c r="B257" s="50"/>
      <c r="C257" s="77">
        <v>254</v>
      </c>
      <c r="D257" s="110" t="s">
        <v>1517</v>
      </c>
      <c r="E257" s="110">
        <v>42</v>
      </c>
      <c r="F257" s="80" t="s">
        <v>1255</v>
      </c>
      <c r="G257" s="30" t="s">
        <v>1256</v>
      </c>
      <c r="H257" s="81" t="s">
        <v>301</v>
      </c>
      <c r="I257" s="80" t="s">
        <v>458</v>
      </c>
      <c r="J257" s="82">
        <f t="shared" si="579"/>
        <v>2</v>
      </c>
      <c r="K257" s="80">
        <v>2</v>
      </c>
      <c r="L257" s="57"/>
      <c r="M257" s="58"/>
      <c r="N257" s="59">
        <f t="shared" si="580"/>
        <v>2</v>
      </c>
      <c r="O257" s="60"/>
      <c r="P257" s="58"/>
      <c r="Q257" s="59">
        <f t="shared" si="603"/>
        <v>2</v>
      </c>
      <c r="R257" s="60"/>
      <c r="S257" s="58"/>
      <c r="T257" s="61">
        <f t="shared" si="582"/>
        <v>2</v>
      </c>
      <c r="U257" s="60"/>
      <c r="V257" s="58"/>
      <c r="W257" s="59">
        <f t="shared" si="583"/>
        <v>2</v>
      </c>
      <c r="X257" s="60"/>
      <c r="Y257" s="58"/>
      <c r="Z257" s="61">
        <f t="shared" si="604"/>
        <v>2</v>
      </c>
      <c r="AA257" s="60"/>
      <c r="AB257" s="58"/>
      <c r="AC257" s="59">
        <f t="shared" si="605"/>
        <v>2</v>
      </c>
      <c r="AD257" s="57"/>
      <c r="AE257" s="58"/>
      <c r="AF257" s="243">
        <f t="shared" si="606"/>
        <v>2</v>
      </c>
      <c r="AG257" s="60"/>
      <c r="AH257" s="58"/>
      <c r="AI257" s="62">
        <f t="shared" si="607"/>
        <v>2</v>
      </c>
      <c r="AJ257" s="60"/>
      <c r="AK257" s="58"/>
      <c r="AL257" s="62">
        <f t="shared" si="608"/>
        <v>2</v>
      </c>
      <c r="AM257" s="60"/>
      <c r="AN257" s="58"/>
      <c r="AO257" s="62">
        <f t="shared" si="589"/>
        <v>2</v>
      </c>
      <c r="AP257" s="60"/>
      <c r="AQ257" s="58"/>
      <c r="AR257" s="104">
        <f t="shared" si="590"/>
        <v>2</v>
      </c>
      <c r="AS257" s="57"/>
      <c r="AT257" s="58"/>
      <c r="AU257" s="62">
        <f t="shared" si="591"/>
        <v>2</v>
      </c>
      <c r="AV257" s="83">
        <f t="shared" si="611"/>
        <v>0</v>
      </c>
      <c r="AW257" s="83">
        <f t="shared" si="612"/>
        <v>0</v>
      </c>
      <c r="AX257" s="64">
        <f t="shared" si="610"/>
        <v>0</v>
      </c>
      <c r="AY257" s="65" t="e">
        <f t="shared" si="560"/>
        <v>#DIV/0!</v>
      </c>
      <c r="AZ257" s="66">
        <f t="shared" si="561"/>
        <v>0</v>
      </c>
      <c r="BA257" s="67">
        <f>MAX(0, Table176252626[[#This Row],[Column6]])</f>
        <v>2</v>
      </c>
      <c r="BB257" s="68">
        <v>1</v>
      </c>
      <c r="BC257" s="84">
        <f t="shared" si="460"/>
        <v>2</v>
      </c>
      <c r="BD257" s="83">
        <f t="shared" si="458"/>
        <v>1</v>
      </c>
      <c r="BE257" s="85">
        <v>2</v>
      </c>
      <c r="BF257" s="86">
        <v>45051.443414351852</v>
      </c>
      <c r="BG257" s="72">
        <f t="shared" si="463"/>
        <v>46265</v>
      </c>
      <c r="BH257" s="107">
        <f t="shared" si="562"/>
        <v>1213.556585648148</v>
      </c>
      <c r="BI257" s="80" t="str">
        <f t="shared" si="459"/>
        <v>Dead Stock</v>
      </c>
      <c r="BJ257" s="238">
        <v>1020</v>
      </c>
    </row>
    <row r="258" spans="1:293" ht="13">
      <c r="A258" s="90"/>
      <c r="B258" s="91"/>
      <c r="C258" s="77">
        <v>255</v>
      </c>
      <c r="D258" s="110" t="s">
        <v>1517</v>
      </c>
      <c r="E258" s="110">
        <v>43</v>
      </c>
      <c r="F258" s="88" t="s">
        <v>480</v>
      </c>
      <c r="G258" s="89" t="s">
        <v>1181</v>
      </c>
      <c r="H258" s="89" t="s">
        <v>290</v>
      </c>
      <c r="I258" s="80" t="s">
        <v>458</v>
      </c>
      <c r="J258" s="93">
        <f t="shared" si="579"/>
        <v>1</v>
      </c>
      <c r="K258" s="88">
        <v>2</v>
      </c>
      <c r="L258" s="57"/>
      <c r="M258" s="58"/>
      <c r="N258" s="59">
        <f t="shared" si="580"/>
        <v>2</v>
      </c>
      <c r="O258" s="60"/>
      <c r="P258" s="58"/>
      <c r="Q258" s="59">
        <f t="shared" si="603"/>
        <v>2</v>
      </c>
      <c r="R258" s="60"/>
      <c r="S258" s="58"/>
      <c r="T258" s="61">
        <f t="shared" si="582"/>
        <v>2</v>
      </c>
      <c r="U258" s="60"/>
      <c r="V258" s="58"/>
      <c r="W258" s="59">
        <f t="shared" si="583"/>
        <v>2</v>
      </c>
      <c r="X258" s="60"/>
      <c r="Y258" s="58"/>
      <c r="Z258" s="61">
        <f t="shared" si="604"/>
        <v>2</v>
      </c>
      <c r="AA258" s="60"/>
      <c r="AB258" s="58">
        <v>1</v>
      </c>
      <c r="AC258" s="59">
        <f t="shared" si="605"/>
        <v>1</v>
      </c>
      <c r="AD258" s="57"/>
      <c r="AE258" s="58"/>
      <c r="AF258" s="243">
        <f t="shared" si="606"/>
        <v>1</v>
      </c>
      <c r="AG258" s="60"/>
      <c r="AH258" s="58"/>
      <c r="AI258" s="62">
        <f t="shared" si="607"/>
        <v>1</v>
      </c>
      <c r="AJ258" s="60"/>
      <c r="AK258" s="58"/>
      <c r="AL258" s="62">
        <f t="shared" si="608"/>
        <v>1</v>
      </c>
      <c r="AM258" s="60"/>
      <c r="AN258" s="58"/>
      <c r="AO258" s="62">
        <f t="shared" si="589"/>
        <v>1</v>
      </c>
      <c r="AP258" s="60"/>
      <c r="AQ258" s="58"/>
      <c r="AR258" s="62">
        <f t="shared" si="590"/>
        <v>1</v>
      </c>
      <c r="AS258" s="60"/>
      <c r="AT258" s="58"/>
      <c r="AU258" s="62">
        <f t="shared" si="591"/>
        <v>1</v>
      </c>
      <c r="AV258" s="83">
        <f t="shared" si="611"/>
        <v>0</v>
      </c>
      <c r="AW258" s="83">
        <f t="shared" si="612"/>
        <v>1</v>
      </c>
      <c r="AX258" s="64">
        <f t="shared" si="610"/>
        <v>1</v>
      </c>
      <c r="AY258" s="65">
        <f t="shared" si="560"/>
        <v>1</v>
      </c>
      <c r="AZ258" s="66">
        <f t="shared" si="561"/>
        <v>1</v>
      </c>
      <c r="BA258" s="67">
        <f>MAX(0, Table176252626[[#This Row],[Column6]])</f>
        <v>1</v>
      </c>
      <c r="BB258" s="68">
        <v>0</v>
      </c>
      <c r="BC258" s="84">
        <f t="shared" si="460"/>
        <v>1</v>
      </c>
      <c r="BD258" s="83">
        <f t="shared" si="458"/>
        <v>1</v>
      </c>
      <c r="BE258" s="85">
        <v>2</v>
      </c>
      <c r="BF258" s="86">
        <v>43201.732939814814</v>
      </c>
      <c r="BG258" s="72">
        <f t="shared" si="463"/>
        <v>46265</v>
      </c>
      <c r="BH258" s="87">
        <f t="shared" si="562"/>
        <v>3063.267060185186</v>
      </c>
      <c r="BI258" s="80" t="str">
        <f t="shared" si="459"/>
        <v>Dead Stock</v>
      </c>
      <c r="BJ258" s="238">
        <v>1387</v>
      </c>
    </row>
    <row r="259" spans="1:293" ht="13">
      <c r="A259" s="75"/>
      <c r="B259" s="76"/>
      <c r="C259" s="51">
        <v>256</v>
      </c>
      <c r="D259" s="110" t="s">
        <v>1517</v>
      </c>
      <c r="E259" s="110">
        <v>44</v>
      </c>
      <c r="F259" s="80" t="s">
        <v>627</v>
      </c>
      <c r="G259" s="81" t="s">
        <v>628</v>
      </c>
      <c r="H259" s="81" t="s">
        <v>294</v>
      </c>
      <c r="I259" s="80" t="s">
        <v>458</v>
      </c>
      <c r="J259" s="82">
        <f t="shared" si="579"/>
        <v>1</v>
      </c>
      <c r="K259" s="80">
        <v>1</v>
      </c>
      <c r="L259" s="57"/>
      <c r="M259" s="58"/>
      <c r="N259" s="59">
        <f t="shared" si="580"/>
        <v>1</v>
      </c>
      <c r="O259" s="60"/>
      <c r="P259" s="58"/>
      <c r="Q259" s="59">
        <f t="shared" si="603"/>
        <v>1</v>
      </c>
      <c r="R259" s="60"/>
      <c r="S259" s="58"/>
      <c r="T259" s="61">
        <f t="shared" si="582"/>
        <v>1</v>
      </c>
      <c r="U259" s="60"/>
      <c r="V259" s="58"/>
      <c r="W259" s="59">
        <f t="shared" si="583"/>
        <v>1</v>
      </c>
      <c r="X259" s="60"/>
      <c r="Y259" s="58"/>
      <c r="Z259" s="61">
        <f t="shared" si="604"/>
        <v>1</v>
      </c>
      <c r="AA259" s="60"/>
      <c r="AB259" s="58"/>
      <c r="AC259" s="59">
        <f t="shared" si="605"/>
        <v>1</v>
      </c>
      <c r="AD259" s="57"/>
      <c r="AE259" s="58"/>
      <c r="AF259" s="243">
        <f t="shared" si="606"/>
        <v>1</v>
      </c>
      <c r="AG259" s="60"/>
      <c r="AH259" s="58"/>
      <c r="AI259" s="62">
        <f t="shared" si="607"/>
        <v>1</v>
      </c>
      <c r="AJ259" s="60"/>
      <c r="AK259" s="58"/>
      <c r="AL259" s="62">
        <f t="shared" si="608"/>
        <v>1</v>
      </c>
      <c r="AM259" s="60"/>
      <c r="AN259" s="58"/>
      <c r="AO259" s="62">
        <f t="shared" si="589"/>
        <v>1</v>
      </c>
      <c r="AP259" s="60"/>
      <c r="AQ259" s="58"/>
      <c r="AR259" s="62">
        <f t="shared" si="590"/>
        <v>1</v>
      </c>
      <c r="AS259" s="60"/>
      <c r="AT259" s="58"/>
      <c r="AU259" s="62">
        <f t="shared" si="591"/>
        <v>1</v>
      </c>
      <c r="AV259" s="83">
        <f t="shared" si="611"/>
        <v>0</v>
      </c>
      <c r="AW259" s="83">
        <f t="shared" si="612"/>
        <v>0</v>
      </c>
      <c r="AX259" s="64">
        <f t="shared" si="610"/>
        <v>0</v>
      </c>
      <c r="AY259" s="65" t="e">
        <f t="shared" si="560"/>
        <v>#DIV/0!</v>
      </c>
      <c r="AZ259" s="66">
        <f t="shared" si="561"/>
        <v>0</v>
      </c>
      <c r="BA259" s="67">
        <f>MAX(0, Table176252626[[#This Row],[Column6]])</f>
        <v>1</v>
      </c>
      <c r="BB259" s="68">
        <v>0</v>
      </c>
      <c r="BC259" s="84">
        <f t="shared" si="460"/>
        <v>1</v>
      </c>
      <c r="BD259" s="83">
        <f t="shared" ref="BD259:BD319" si="613">SUM(BC259-BB259)</f>
        <v>1</v>
      </c>
      <c r="BE259" s="85">
        <v>2</v>
      </c>
      <c r="BF259" s="86">
        <v>43739.384652777779</v>
      </c>
      <c r="BG259" s="72">
        <f t="shared" si="463"/>
        <v>46265</v>
      </c>
      <c r="BH259" s="87">
        <f t="shared" si="562"/>
        <v>2525.6153472222213</v>
      </c>
      <c r="BI259" s="80" t="str">
        <f t="shared" ref="BI259:BI319" si="614">IF(AND(J259&gt;0,BH259&gt;365),"Dead Stock","")</f>
        <v>Dead Stock</v>
      </c>
      <c r="BJ259" s="238">
        <v>3172</v>
      </c>
    </row>
    <row r="260" spans="1:293" ht="13">
      <c r="A260" s="49"/>
      <c r="B260" s="76"/>
      <c r="C260" s="51">
        <v>257</v>
      </c>
      <c r="D260" s="110" t="s">
        <v>1517</v>
      </c>
      <c r="E260" s="110">
        <v>45</v>
      </c>
      <c r="F260" s="80" t="s">
        <v>645</v>
      </c>
      <c r="G260" s="81" t="s">
        <v>1266</v>
      </c>
      <c r="H260" s="81" t="s">
        <v>1030</v>
      </c>
      <c r="I260" s="80" t="s">
        <v>458</v>
      </c>
      <c r="J260" s="82">
        <f t="shared" si="579"/>
        <v>2</v>
      </c>
      <c r="K260" s="80">
        <v>3</v>
      </c>
      <c r="L260" s="57"/>
      <c r="M260" s="58"/>
      <c r="N260" s="59">
        <f t="shared" si="580"/>
        <v>3</v>
      </c>
      <c r="O260" s="60"/>
      <c r="P260" s="58"/>
      <c r="Q260" s="59">
        <f t="shared" si="603"/>
        <v>3</v>
      </c>
      <c r="R260" s="60"/>
      <c r="S260" s="58"/>
      <c r="T260" s="61">
        <f t="shared" si="582"/>
        <v>3</v>
      </c>
      <c r="U260" s="60"/>
      <c r="V260" s="58"/>
      <c r="W260" s="59">
        <f t="shared" si="583"/>
        <v>3</v>
      </c>
      <c r="X260" s="60"/>
      <c r="Y260" s="58"/>
      <c r="Z260" s="61">
        <f t="shared" si="604"/>
        <v>3</v>
      </c>
      <c r="AA260" s="60"/>
      <c r="AB260" s="58"/>
      <c r="AC260" s="59">
        <f t="shared" si="605"/>
        <v>3</v>
      </c>
      <c r="AD260" s="57"/>
      <c r="AE260" s="58"/>
      <c r="AF260" s="243">
        <f t="shared" si="606"/>
        <v>3</v>
      </c>
      <c r="AG260" s="60"/>
      <c r="AH260" s="58">
        <v>1</v>
      </c>
      <c r="AI260" s="62">
        <f t="shared" si="607"/>
        <v>2</v>
      </c>
      <c r="AJ260" s="60"/>
      <c r="AK260" s="58"/>
      <c r="AL260" s="62">
        <f t="shared" si="608"/>
        <v>2</v>
      </c>
      <c r="AM260" s="60"/>
      <c r="AN260" s="58"/>
      <c r="AO260" s="62">
        <f t="shared" si="589"/>
        <v>2</v>
      </c>
      <c r="AP260" s="60"/>
      <c r="AQ260" s="58"/>
      <c r="AR260" s="62">
        <f t="shared" si="590"/>
        <v>2</v>
      </c>
      <c r="AS260" s="60"/>
      <c r="AT260" s="58"/>
      <c r="AU260" s="62">
        <f t="shared" si="591"/>
        <v>2</v>
      </c>
      <c r="AV260" s="83">
        <f t="shared" si="611"/>
        <v>0</v>
      </c>
      <c r="AW260" s="83">
        <f t="shared" si="612"/>
        <v>1</v>
      </c>
      <c r="AX260" s="64">
        <f t="shared" si="610"/>
        <v>1</v>
      </c>
      <c r="AY260" s="65">
        <f t="shared" si="560"/>
        <v>1</v>
      </c>
      <c r="AZ260" s="66">
        <f t="shared" si="561"/>
        <v>1</v>
      </c>
      <c r="BA260" s="67">
        <v>3</v>
      </c>
      <c r="BB260" s="68">
        <v>1</v>
      </c>
      <c r="BC260" s="84">
        <f t="shared" si="460"/>
        <v>2</v>
      </c>
      <c r="BD260" s="83">
        <f t="shared" si="613"/>
        <v>1</v>
      </c>
      <c r="BE260" s="85">
        <v>2</v>
      </c>
      <c r="BF260" s="86">
        <v>43241.41878472222</v>
      </c>
      <c r="BG260" s="72">
        <f t="shared" si="463"/>
        <v>46265</v>
      </c>
      <c r="BH260" s="87">
        <f t="shared" si="562"/>
        <v>3023.5812152777798</v>
      </c>
      <c r="BI260" s="80" t="str">
        <f t="shared" si="614"/>
        <v>Dead Stock</v>
      </c>
      <c r="BJ260" s="238">
        <v>1544</v>
      </c>
    </row>
    <row r="261" spans="1:293" ht="13">
      <c r="A261" s="75"/>
      <c r="B261" s="76"/>
      <c r="C261" s="51">
        <v>258</v>
      </c>
      <c r="D261" s="110" t="s">
        <v>1517</v>
      </c>
      <c r="E261" s="110">
        <v>46</v>
      </c>
      <c r="F261" s="88" t="s">
        <v>1277</v>
      </c>
      <c r="G261" s="89" t="s">
        <v>1278</v>
      </c>
      <c r="H261" s="89" t="s">
        <v>611</v>
      </c>
      <c r="I261" s="88" t="s">
        <v>458</v>
      </c>
      <c r="J261" s="93">
        <f t="shared" si="579"/>
        <v>2</v>
      </c>
      <c r="K261" s="88">
        <v>2</v>
      </c>
      <c r="L261" s="58"/>
      <c r="M261" s="58"/>
      <c r="N261" s="62">
        <f t="shared" si="580"/>
        <v>2</v>
      </c>
      <c r="O261" s="60"/>
      <c r="P261" s="58"/>
      <c r="Q261" s="62">
        <f t="shared" si="603"/>
        <v>2</v>
      </c>
      <c r="R261" s="60"/>
      <c r="S261" s="58"/>
      <c r="T261" s="94">
        <f t="shared" si="582"/>
        <v>2</v>
      </c>
      <c r="U261" s="60"/>
      <c r="V261" s="58">
        <v>1</v>
      </c>
      <c r="W261" s="62">
        <f t="shared" si="583"/>
        <v>1</v>
      </c>
      <c r="X261" s="60"/>
      <c r="Y261" s="58"/>
      <c r="Z261" s="94">
        <f t="shared" si="604"/>
        <v>1</v>
      </c>
      <c r="AA261" s="60">
        <v>2</v>
      </c>
      <c r="AB261" s="58"/>
      <c r="AC261" s="62">
        <f t="shared" si="605"/>
        <v>3</v>
      </c>
      <c r="AD261" s="57"/>
      <c r="AE261" s="58">
        <v>1</v>
      </c>
      <c r="AF261" s="165">
        <f t="shared" si="606"/>
        <v>2</v>
      </c>
      <c r="AG261" s="60"/>
      <c r="AH261" s="58"/>
      <c r="AI261" s="62">
        <f t="shared" si="607"/>
        <v>2</v>
      </c>
      <c r="AJ261" s="60"/>
      <c r="AK261" s="58"/>
      <c r="AL261" s="62">
        <f t="shared" si="608"/>
        <v>2</v>
      </c>
      <c r="AM261" s="60"/>
      <c r="AN261" s="58"/>
      <c r="AO261" s="62">
        <f t="shared" si="589"/>
        <v>2</v>
      </c>
      <c r="AP261" s="60"/>
      <c r="AQ261" s="58"/>
      <c r="AR261" s="62">
        <f t="shared" si="590"/>
        <v>2</v>
      </c>
      <c r="AS261" s="60"/>
      <c r="AT261" s="58"/>
      <c r="AU261" s="62">
        <f t="shared" si="591"/>
        <v>2</v>
      </c>
      <c r="AV261" s="96">
        <f t="shared" si="611"/>
        <v>2</v>
      </c>
      <c r="AW261" s="97">
        <f t="shared" si="612"/>
        <v>2</v>
      </c>
      <c r="AX261" s="98">
        <f t="shared" si="610"/>
        <v>2</v>
      </c>
      <c r="AY261" s="99">
        <f t="shared" si="560"/>
        <v>1</v>
      </c>
      <c r="AZ261" s="100">
        <f t="shared" si="561"/>
        <v>2</v>
      </c>
      <c r="BA261" s="67">
        <f>MAX(0, Table176252626[[#This Row],[Column6]])</f>
        <v>2</v>
      </c>
      <c r="BB261" s="68">
        <v>1</v>
      </c>
      <c r="BC261" s="84">
        <f t="shared" si="460"/>
        <v>2</v>
      </c>
      <c r="BD261" s="83">
        <f t="shared" si="613"/>
        <v>1</v>
      </c>
      <c r="BE261" s="85">
        <v>2</v>
      </c>
      <c r="BF261" s="86">
        <v>46182</v>
      </c>
      <c r="BG261" s="72">
        <f t="shared" si="463"/>
        <v>46265</v>
      </c>
      <c r="BH261" s="87">
        <f t="shared" si="562"/>
        <v>83</v>
      </c>
      <c r="BI261" s="80" t="str">
        <f t="shared" si="614"/>
        <v/>
      </c>
      <c r="BJ261" s="238">
        <v>1848</v>
      </c>
    </row>
    <row r="262" spans="1:293" ht="13">
      <c r="A262" s="49"/>
      <c r="B262" s="50"/>
      <c r="C262" s="51">
        <v>259</v>
      </c>
      <c r="D262" s="110" t="s">
        <v>1517</v>
      </c>
      <c r="E262" s="110">
        <v>47</v>
      </c>
      <c r="F262" s="80" t="s">
        <v>937</v>
      </c>
      <c r="G262" s="81" t="s">
        <v>938</v>
      </c>
      <c r="H262" s="81" t="s">
        <v>289</v>
      </c>
      <c r="I262" s="80" t="s">
        <v>458</v>
      </c>
      <c r="J262" s="82">
        <f t="shared" ref="J262" si="615">AU262</f>
        <v>1</v>
      </c>
      <c r="K262" s="80">
        <v>1</v>
      </c>
      <c r="L262" s="57"/>
      <c r="M262" s="58"/>
      <c r="N262" s="59">
        <f t="shared" ref="N262" si="616">SUM(K262+L262-M262)</f>
        <v>1</v>
      </c>
      <c r="O262" s="60"/>
      <c r="P262" s="58"/>
      <c r="Q262" s="59">
        <f t="shared" ref="Q262" si="617">SUM(N262+O262-P262)</f>
        <v>1</v>
      </c>
      <c r="R262" s="60"/>
      <c r="S262" s="58"/>
      <c r="T262" s="61">
        <f t="shared" ref="T262" si="618">SUM(Q262+R262-S262)</f>
        <v>1</v>
      </c>
      <c r="U262" s="60"/>
      <c r="V262" s="58"/>
      <c r="W262" s="59">
        <f t="shared" ref="W262" si="619">SUM(T262+U262-V262)</f>
        <v>1</v>
      </c>
      <c r="X262" s="60"/>
      <c r="Y262" s="58"/>
      <c r="Z262" s="61">
        <f t="shared" ref="Z262" si="620">SUM(W262+X262-Y262)</f>
        <v>1</v>
      </c>
      <c r="AA262" s="60"/>
      <c r="AB262" s="58"/>
      <c r="AC262" s="59">
        <f t="shared" ref="AC262" si="621">SUM(Z262+AA262-AB262)</f>
        <v>1</v>
      </c>
      <c r="AD262" s="57"/>
      <c r="AE262" s="58"/>
      <c r="AF262" s="243">
        <f t="shared" ref="AF262" si="622">SUM(AC262+AD262-AE262)</f>
        <v>1</v>
      </c>
      <c r="AG262" s="60"/>
      <c r="AH262" s="58"/>
      <c r="AI262" s="62">
        <f t="shared" ref="AI262" si="623">SUM(AF262+AG262-AH262)</f>
        <v>1</v>
      </c>
      <c r="AJ262" s="60"/>
      <c r="AK262" s="58"/>
      <c r="AL262" s="62">
        <f t="shared" ref="AL262" si="624">SUM(AI262+AJ262-AK262)</f>
        <v>1</v>
      </c>
      <c r="AM262" s="60"/>
      <c r="AN262" s="58"/>
      <c r="AO262" s="62">
        <f t="shared" ref="AO262" si="625">SUM(AL262+AM262-AN262)</f>
        <v>1</v>
      </c>
      <c r="AP262" s="60"/>
      <c r="AQ262" s="58"/>
      <c r="AR262" s="62">
        <f t="shared" ref="AR262" si="626">SUM(AO262+AP262-AQ262)</f>
        <v>1</v>
      </c>
      <c r="AS262" s="60"/>
      <c r="AT262" s="58"/>
      <c r="AU262" s="62">
        <f t="shared" ref="AU262" si="627">SUM(AR262+AS262-AT262)</f>
        <v>1</v>
      </c>
      <c r="AV262" s="83">
        <f t="shared" si="611"/>
        <v>0</v>
      </c>
      <c r="AW262" s="83">
        <f t="shared" si="612"/>
        <v>0</v>
      </c>
      <c r="AX262" s="64">
        <f t="shared" ref="AX262" si="628">SUM(M262,P262,S262,V262,Y262,AB262,AE262,AH262,AK262,AN262,AQ262,AT262)</f>
        <v>0</v>
      </c>
      <c r="AY262" s="65" t="e">
        <f t="shared" si="560"/>
        <v>#DIV/0!</v>
      </c>
      <c r="AZ262" s="66">
        <f t="shared" si="561"/>
        <v>0</v>
      </c>
      <c r="BA262" s="67">
        <f>MAX(0, Table176252626[[#This Row],[Column6]])</f>
        <v>1</v>
      </c>
      <c r="BB262" s="68">
        <v>0</v>
      </c>
      <c r="BC262" s="84">
        <f t="shared" ref="BC262:BC321" si="629">J262</f>
        <v>1</v>
      </c>
      <c r="BD262" s="83">
        <f t="shared" si="613"/>
        <v>1</v>
      </c>
      <c r="BE262" s="85">
        <v>2</v>
      </c>
      <c r="BF262" s="86">
        <v>43201.732939814814</v>
      </c>
      <c r="BG262" s="72">
        <f t="shared" si="463"/>
        <v>46265</v>
      </c>
      <c r="BH262" s="87">
        <f t="shared" si="562"/>
        <v>3063.267060185186</v>
      </c>
      <c r="BI262" s="80" t="str">
        <f t="shared" si="614"/>
        <v>Dead Stock</v>
      </c>
      <c r="BJ262" s="238">
        <v>1921</v>
      </c>
    </row>
    <row r="263" spans="1:293" ht="13">
      <c r="A263" s="75"/>
      <c r="B263" s="76"/>
      <c r="C263" s="77">
        <v>260</v>
      </c>
      <c r="D263" s="127" t="s">
        <v>1519</v>
      </c>
      <c r="E263" s="127">
        <v>1</v>
      </c>
      <c r="F263" s="80" t="s">
        <v>207</v>
      </c>
      <c r="G263" s="81" t="s">
        <v>461</v>
      </c>
      <c r="H263" s="81" t="s">
        <v>289</v>
      </c>
      <c r="I263" s="80" t="s">
        <v>458</v>
      </c>
      <c r="J263" s="82">
        <f>AU263</f>
        <v>3</v>
      </c>
      <c r="K263" s="80">
        <v>0</v>
      </c>
      <c r="L263" s="57"/>
      <c r="M263" s="58"/>
      <c r="N263" s="59">
        <f>SUM(K263+L263-M263)</f>
        <v>0</v>
      </c>
      <c r="O263" s="60"/>
      <c r="P263" s="58"/>
      <c r="Q263" s="59">
        <f>SUM(N263+O263-P263)</f>
        <v>0</v>
      </c>
      <c r="R263" s="60"/>
      <c r="S263" s="58"/>
      <c r="T263" s="61">
        <f>SUM(Q263+R263-S263)</f>
        <v>0</v>
      </c>
      <c r="U263" s="60"/>
      <c r="V263" s="58"/>
      <c r="W263" s="59">
        <f>SUM(T263+U263-V263)</f>
        <v>0</v>
      </c>
      <c r="X263" s="60">
        <f>2+2</f>
        <v>4</v>
      </c>
      <c r="Y263" s="58"/>
      <c r="Z263" s="61">
        <f>SUM(W263+X263-Y263)</f>
        <v>4</v>
      </c>
      <c r="AA263" s="60"/>
      <c r="AB263" s="58"/>
      <c r="AC263" s="59">
        <f>SUM(Z263+AA263-AB263)</f>
        <v>4</v>
      </c>
      <c r="AD263" s="57"/>
      <c r="AE263" s="58"/>
      <c r="AF263" s="243">
        <f>SUM(AC263+AD263-AE263)</f>
        <v>4</v>
      </c>
      <c r="AG263" s="60"/>
      <c r="AH263" s="58">
        <v>1</v>
      </c>
      <c r="AI263" s="62">
        <f>SUM(AF263+AG263-AH263)</f>
        <v>3</v>
      </c>
      <c r="AJ263" s="60"/>
      <c r="AK263" s="58"/>
      <c r="AL263" s="62">
        <f>SUM(AI263+AJ263-AK263)</f>
        <v>3</v>
      </c>
      <c r="AM263" s="60"/>
      <c r="AN263" s="58"/>
      <c r="AO263" s="62">
        <f>SUM(AL263+AM263-AN263)</f>
        <v>3</v>
      </c>
      <c r="AP263" s="60"/>
      <c r="AQ263" s="58"/>
      <c r="AR263" s="62">
        <f>SUM(AO263+AP263-AQ263)</f>
        <v>3</v>
      </c>
      <c r="AS263" s="60"/>
      <c r="AT263" s="58"/>
      <c r="AU263" s="62">
        <f>SUM(AR263+AS263-AT263)</f>
        <v>3</v>
      </c>
      <c r="AV263" s="83">
        <f>SUM(L263+O263+R263+U263+X263+AA263+AD263+AG263+AJ263+AM263+AP263+AS263)</f>
        <v>4</v>
      </c>
      <c r="AW263" s="83">
        <f>SUM(M263+P263+S263+V263+Y263+AB263+AE263+AH263+AK263+AN263+AQ263+AT263)</f>
        <v>1</v>
      </c>
      <c r="AX263" s="64">
        <f>SUM(M263,P263,S263,V263,Y263,AB263,AE263,AH263,AK263,AN263,AQ263,AT263)</f>
        <v>1</v>
      </c>
      <c r="AY263" s="65">
        <f t="shared" ref="AY263:AY276" si="630">AVERAGE(M263,P263,S263,V263,Y263,AB263,AE263,AH263,AK263,AN263,AQ263,AT263)</f>
        <v>1</v>
      </c>
      <c r="AZ263" s="66">
        <f t="shared" ref="AZ263:AZ276" si="631">COUNT(M263,P263,S263,V263,Y263,AB263,AE263,AH263,AK263,AN263,AQ263,AT263)</f>
        <v>1</v>
      </c>
      <c r="BA263" s="67">
        <f>MAX(0, Table176252626[[#This Row],[Column6]])</f>
        <v>3</v>
      </c>
      <c r="BB263" s="68">
        <v>1</v>
      </c>
      <c r="BC263" s="84">
        <f t="shared" si="629"/>
        <v>3</v>
      </c>
      <c r="BD263" s="83">
        <f t="shared" si="613"/>
        <v>2</v>
      </c>
      <c r="BE263" s="85">
        <v>2</v>
      </c>
      <c r="BF263" s="86">
        <v>46227</v>
      </c>
      <c r="BG263" s="72">
        <f t="shared" si="463"/>
        <v>46265</v>
      </c>
      <c r="BH263" s="87">
        <f>BG263-BF263</f>
        <v>38</v>
      </c>
      <c r="BI263" s="80" t="str">
        <f t="shared" si="614"/>
        <v/>
      </c>
      <c r="BJ263" s="238">
        <v>325</v>
      </c>
    </row>
    <row r="264" spans="1:293" ht="13">
      <c r="A264" s="75"/>
      <c r="B264" s="76"/>
      <c r="C264" s="77">
        <v>261</v>
      </c>
      <c r="D264" s="127" t="s">
        <v>1519</v>
      </c>
      <c r="E264" s="127">
        <v>2</v>
      </c>
      <c r="F264" s="88" t="s">
        <v>1728</v>
      </c>
      <c r="G264" s="89" t="s">
        <v>1729</v>
      </c>
      <c r="H264" s="89" t="s">
        <v>1730</v>
      </c>
      <c r="I264" s="88" t="s">
        <v>458</v>
      </c>
      <c r="J264" s="93">
        <f>AU264</f>
        <v>2</v>
      </c>
      <c r="K264" s="88">
        <v>2</v>
      </c>
      <c r="L264" s="58"/>
      <c r="M264" s="58"/>
      <c r="N264" s="62">
        <f>SUM(K264+L264-M264)</f>
        <v>2</v>
      </c>
      <c r="O264" s="60"/>
      <c r="P264" s="58"/>
      <c r="Q264" s="62">
        <f>SUM(N264+O264-P264)</f>
        <v>2</v>
      </c>
      <c r="R264" s="60"/>
      <c r="S264" s="58"/>
      <c r="T264" s="94">
        <f>SUM(Q264+R264-S264)</f>
        <v>2</v>
      </c>
      <c r="U264" s="60"/>
      <c r="V264" s="58"/>
      <c r="W264" s="62">
        <f>SUM(T264+U264-V264)</f>
        <v>2</v>
      </c>
      <c r="X264" s="60"/>
      <c r="Y264" s="58"/>
      <c r="Z264" s="94">
        <f>SUM(W264+X264-Y264)</f>
        <v>2</v>
      </c>
      <c r="AA264" s="60"/>
      <c r="AB264" s="58"/>
      <c r="AC264" s="62">
        <f>SUM(Z264+AA264-AB264)</f>
        <v>2</v>
      </c>
      <c r="AD264" s="57"/>
      <c r="AE264" s="58"/>
      <c r="AF264" s="165">
        <f>SUM(AC264+AD264-AE264)</f>
        <v>2</v>
      </c>
      <c r="AG264" s="60"/>
      <c r="AH264" s="58"/>
      <c r="AI264" s="62">
        <f>SUM(AF264+AG264-AH264)</f>
        <v>2</v>
      </c>
      <c r="AJ264" s="60"/>
      <c r="AK264" s="58"/>
      <c r="AL264" s="62">
        <f>SUM(AI264+AJ264-AK264)</f>
        <v>2</v>
      </c>
      <c r="AM264" s="60"/>
      <c r="AN264" s="58"/>
      <c r="AO264" s="62">
        <f>SUM(AL264+AM264-AN264)</f>
        <v>2</v>
      </c>
      <c r="AP264" s="60"/>
      <c r="AQ264" s="58"/>
      <c r="AR264" s="62">
        <f>SUM(AO264+AP264-AQ264)</f>
        <v>2</v>
      </c>
      <c r="AS264" s="60"/>
      <c r="AT264" s="58"/>
      <c r="AU264" s="62">
        <f>SUM(AR264+AS264-AT264)</f>
        <v>2</v>
      </c>
      <c r="AV264" s="96">
        <f t="shared" ref="AV264:AW264" si="632">SUM(L264+O264+R264+U264+X264+AA264+AD264+AG264+AJ264+AM264+AP264+AS264)</f>
        <v>0</v>
      </c>
      <c r="AW264" s="97">
        <f t="shared" si="632"/>
        <v>0</v>
      </c>
      <c r="AX264" s="98">
        <f>SUM(M264,P264,S264,V264,Y264,AB264,AE264,AH264,AK264,AN264,AQ264,AT264)</f>
        <v>0</v>
      </c>
      <c r="AY264" s="99" t="e">
        <f t="shared" si="630"/>
        <v>#DIV/0!</v>
      </c>
      <c r="AZ264" s="100">
        <f t="shared" si="631"/>
        <v>0</v>
      </c>
      <c r="BA264" s="67">
        <f>MAX(0, Table176252626[[#This Row],[Column6]])</f>
        <v>2</v>
      </c>
      <c r="BB264" s="68">
        <v>1</v>
      </c>
      <c r="BC264" s="84">
        <f t="shared" si="629"/>
        <v>2</v>
      </c>
      <c r="BD264" s="83">
        <f t="shared" si="613"/>
        <v>1</v>
      </c>
      <c r="BE264" s="85">
        <v>2</v>
      </c>
      <c r="BF264" s="86">
        <v>45798.489259259259</v>
      </c>
      <c r="BG264" s="72">
        <f t="shared" si="463"/>
        <v>46265</v>
      </c>
      <c r="BH264" s="87">
        <f>BG264-BF264</f>
        <v>466.51074074074131</v>
      </c>
      <c r="BI264" s="80" t="str">
        <f t="shared" si="614"/>
        <v>Dead Stock</v>
      </c>
      <c r="BJ264" s="238">
        <v>450</v>
      </c>
    </row>
    <row r="265" spans="1:293" ht="13">
      <c r="A265" s="49"/>
      <c r="B265" s="76"/>
      <c r="C265" s="51">
        <v>262</v>
      </c>
      <c r="D265" s="127" t="s">
        <v>1519</v>
      </c>
      <c r="E265" s="127">
        <v>3</v>
      </c>
      <c r="F265" s="80" t="s">
        <v>994</v>
      </c>
      <c r="G265" s="81" t="s">
        <v>995</v>
      </c>
      <c r="H265" s="81" t="s">
        <v>295</v>
      </c>
      <c r="I265" s="80" t="s">
        <v>458</v>
      </c>
      <c r="J265" s="82">
        <f t="shared" ref="J265:J307" si="633">AU265</f>
        <v>1</v>
      </c>
      <c r="K265" s="80">
        <v>1</v>
      </c>
      <c r="L265" s="57"/>
      <c r="M265" s="58"/>
      <c r="N265" s="59">
        <f t="shared" ref="N265:N307" si="634">SUM(K265+L265-M265)</f>
        <v>1</v>
      </c>
      <c r="O265" s="60"/>
      <c r="P265" s="58"/>
      <c r="Q265" s="59">
        <f t="shared" ref="Q265:Q307" si="635">SUM(N265+O265-P265)</f>
        <v>1</v>
      </c>
      <c r="R265" s="60"/>
      <c r="S265" s="58"/>
      <c r="T265" s="61">
        <f t="shared" ref="T265:T307" si="636">SUM(Q265+R265-S265)</f>
        <v>1</v>
      </c>
      <c r="U265" s="60"/>
      <c r="V265" s="58"/>
      <c r="W265" s="59">
        <f t="shared" ref="W265:W307" si="637">SUM(T265+U265-V265)</f>
        <v>1</v>
      </c>
      <c r="X265" s="60"/>
      <c r="Y265" s="58"/>
      <c r="Z265" s="61">
        <f t="shared" ref="Z265:Z307" si="638">SUM(W265+X265-Y265)</f>
        <v>1</v>
      </c>
      <c r="AA265" s="60"/>
      <c r="AB265" s="58"/>
      <c r="AC265" s="59">
        <f t="shared" ref="AC265:AC307" si="639">SUM(Z265+AA265-AB265)</f>
        <v>1</v>
      </c>
      <c r="AD265" s="57"/>
      <c r="AE265" s="58"/>
      <c r="AF265" s="243">
        <f t="shared" ref="AF265:AF307" si="640">SUM(AC265+AD265-AE265)</f>
        <v>1</v>
      </c>
      <c r="AG265" s="60"/>
      <c r="AH265" s="58"/>
      <c r="AI265" s="62">
        <f t="shared" ref="AI265:AI307" si="641">SUM(AF265+AG265-AH265)</f>
        <v>1</v>
      </c>
      <c r="AJ265" s="60"/>
      <c r="AK265" s="58"/>
      <c r="AL265" s="62">
        <f t="shared" ref="AL265:AL307" si="642">SUM(AI265+AJ265-AK265)</f>
        <v>1</v>
      </c>
      <c r="AM265" s="60"/>
      <c r="AN265" s="58"/>
      <c r="AO265" s="62">
        <f t="shared" ref="AO265:AO307" si="643">SUM(AL265+AM265-AN265)</f>
        <v>1</v>
      </c>
      <c r="AP265" s="60"/>
      <c r="AQ265" s="58"/>
      <c r="AR265" s="62">
        <f t="shared" ref="AR265:AR307" si="644">SUM(AO265+AP265-AQ265)</f>
        <v>1</v>
      </c>
      <c r="AS265" s="60"/>
      <c r="AT265" s="58"/>
      <c r="AU265" s="62">
        <f t="shared" ref="AU265:AU307" si="645">SUM(AR265+AS265-AT265)</f>
        <v>1</v>
      </c>
      <c r="AV265" s="83">
        <f t="shared" ref="AV265:AV307" si="646">SUM(L265+O265+R265+U265+X265+AA265+AD265+AG265+AJ265+AM265+AP265+AS265)</f>
        <v>0</v>
      </c>
      <c r="AW265" s="83">
        <f t="shared" ref="AW265:AW276" si="647">SUM(M265+P265+S265+V265+Y265+AB265+AE265+AH265+AK265+AN265+AQ265+AT265)</f>
        <v>0</v>
      </c>
      <c r="AX265" s="64">
        <f t="shared" ref="AX265:AX307" si="648">SUM(M265,P265,S265,V265,Y265,AB265,AE265,AH265,AK265,AN265,AQ265,AT265)</f>
        <v>0</v>
      </c>
      <c r="AY265" s="65" t="e">
        <f t="shared" si="630"/>
        <v>#DIV/0!</v>
      </c>
      <c r="AZ265" s="66">
        <f t="shared" si="631"/>
        <v>0</v>
      </c>
      <c r="BA265" s="67">
        <f>MAX(0, Table176252626[[#This Row],[Column6]])</f>
        <v>1</v>
      </c>
      <c r="BB265" s="68">
        <v>0</v>
      </c>
      <c r="BC265" s="84">
        <f t="shared" si="629"/>
        <v>1</v>
      </c>
      <c r="BD265" s="83">
        <f t="shared" si="613"/>
        <v>1</v>
      </c>
      <c r="BE265" s="85">
        <v>2</v>
      </c>
      <c r="BF265" s="86">
        <v>44512.411377314813</v>
      </c>
      <c r="BG265" s="72">
        <f t="shared" si="463"/>
        <v>46265</v>
      </c>
      <c r="BH265" s="87">
        <f t="shared" ref="BH265:BH307" si="649">BG265-BF265</f>
        <v>1752.5886226851871</v>
      </c>
      <c r="BI265" s="80" t="str">
        <f t="shared" si="614"/>
        <v>Dead Stock</v>
      </c>
      <c r="BJ265" s="238">
        <v>624</v>
      </c>
    </row>
    <row r="266" spans="1:293" ht="13">
      <c r="A266" s="49"/>
      <c r="B266" s="76"/>
      <c r="C266" s="51">
        <v>263</v>
      </c>
      <c r="D266" s="127" t="s">
        <v>1519</v>
      </c>
      <c r="E266" s="127">
        <v>4</v>
      </c>
      <c r="F266" s="80" t="s">
        <v>996</v>
      </c>
      <c r="G266" s="81" t="s">
        <v>997</v>
      </c>
      <c r="H266" s="81" t="s">
        <v>295</v>
      </c>
      <c r="I266" s="80" t="s">
        <v>458</v>
      </c>
      <c r="J266" s="82">
        <f t="shared" si="633"/>
        <v>1</v>
      </c>
      <c r="K266" s="80">
        <v>1</v>
      </c>
      <c r="L266" s="57"/>
      <c r="M266" s="58"/>
      <c r="N266" s="59">
        <f t="shared" si="634"/>
        <v>1</v>
      </c>
      <c r="O266" s="60"/>
      <c r="P266" s="58"/>
      <c r="Q266" s="59">
        <f t="shared" si="635"/>
        <v>1</v>
      </c>
      <c r="R266" s="60"/>
      <c r="S266" s="58"/>
      <c r="T266" s="61">
        <f t="shared" si="636"/>
        <v>1</v>
      </c>
      <c r="U266" s="60"/>
      <c r="V266" s="58"/>
      <c r="W266" s="59">
        <f t="shared" si="637"/>
        <v>1</v>
      </c>
      <c r="X266" s="60"/>
      <c r="Y266" s="58"/>
      <c r="Z266" s="61">
        <f t="shared" si="638"/>
        <v>1</v>
      </c>
      <c r="AA266" s="60"/>
      <c r="AB266" s="58"/>
      <c r="AC266" s="59">
        <f t="shared" si="639"/>
        <v>1</v>
      </c>
      <c r="AD266" s="57"/>
      <c r="AE266" s="58"/>
      <c r="AF266" s="243">
        <f t="shared" si="640"/>
        <v>1</v>
      </c>
      <c r="AG266" s="60"/>
      <c r="AH266" s="58"/>
      <c r="AI266" s="62">
        <f t="shared" si="641"/>
        <v>1</v>
      </c>
      <c r="AJ266" s="60"/>
      <c r="AK266" s="58"/>
      <c r="AL266" s="62">
        <f t="shared" si="642"/>
        <v>1</v>
      </c>
      <c r="AM266" s="60"/>
      <c r="AN266" s="58"/>
      <c r="AO266" s="62">
        <f t="shared" si="643"/>
        <v>1</v>
      </c>
      <c r="AP266" s="60"/>
      <c r="AQ266" s="58"/>
      <c r="AR266" s="62">
        <f t="shared" si="644"/>
        <v>1</v>
      </c>
      <c r="AS266" s="60"/>
      <c r="AT266" s="58"/>
      <c r="AU266" s="62">
        <f t="shared" si="645"/>
        <v>1</v>
      </c>
      <c r="AV266" s="83">
        <f t="shared" si="646"/>
        <v>0</v>
      </c>
      <c r="AW266" s="83">
        <f t="shared" si="647"/>
        <v>0</v>
      </c>
      <c r="AX266" s="64">
        <f t="shared" si="648"/>
        <v>0</v>
      </c>
      <c r="AY266" s="65" t="e">
        <f t="shared" si="630"/>
        <v>#DIV/0!</v>
      </c>
      <c r="AZ266" s="66">
        <f t="shared" si="631"/>
        <v>0</v>
      </c>
      <c r="BA266" s="67">
        <f>MAX(0, Table176252626[[#This Row],[Column6]])</f>
        <v>1</v>
      </c>
      <c r="BB266" s="68">
        <v>0</v>
      </c>
      <c r="BC266" s="84">
        <f t="shared" si="629"/>
        <v>1</v>
      </c>
      <c r="BD266" s="83">
        <f t="shared" si="613"/>
        <v>1</v>
      </c>
      <c r="BE266" s="85">
        <v>2</v>
      </c>
      <c r="BF266" s="86">
        <v>44509.575590277775</v>
      </c>
      <c r="BG266" s="72">
        <f t="shared" ref="BG266:BG329" si="650">BG265</f>
        <v>46265</v>
      </c>
      <c r="BH266" s="87">
        <f t="shared" si="649"/>
        <v>1755.4244097222254</v>
      </c>
      <c r="BI266" s="80" t="str">
        <f t="shared" si="614"/>
        <v>Dead Stock</v>
      </c>
      <c r="BJ266" s="238">
        <v>610</v>
      </c>
    </row>
    <row r="267" spans="1:293" ht="13">
      <c r="A267" s="49"/>
      <c r="B267" s="50"/>
      <c r="C267" s="51">
        <v>264</v>
      </c>
      <c r="D267" s="127" t="s">
        <v>1519</v>
      </c>
      <c r="E267" s="127">
        <v>6</v>
      </c>
      <c r="F267" s="88" t="s">
        <v>1351</v>
      </c>
      <c r="G267" s="89" t="s">
        <v>1352</v>
      </c>
      <c r="H267" s="89" t="s">
        <v>1030</v>
      </c>
      <c r="I267" s="88" t="s">
        <v>364</v>
      </c>
      <c r="J267" s="93">
        <f t="shared" ref="J267:J276" si="651">AU267</f>
        <v>2</v>
      </c>
      <c r="K267" s="88">
        <v>1</v>
      </c>
      <c r="L267" s="58"/>
      <c r="M267" s="58"/>
      <c r="N267" s="62">
        <f t="shared" ref="N267:N276" si="652">SUM(K267+L267-M267)</f>
        <v>1</v>
      </c>
      <c r="O267" s="60"/>
      <c r="P267" s="58"/>
      <c r="Q267" s="62">
        <f t="shared" ref="Q267:Q276" si="653">SUM(N267+O267-P267)</f>
        <v>1</v>
      </c>
      <c r="R267" s="60"/>
      <c r="S267" s="58"/>
      <c r="T267" s="94">
        <f t="shared" ref="T267:T276" si="654">SUM(Q267+R267-S267)</f>
        <v>1</v>
      </c>
      <c r="U267" s="60"/>
      <c r="V267" s="58"/>
      <c r="W267" s="62">
        <f t="shared" ref="W267:W276" si="655">SUM(T267+U267-V267)</f>
        <v>1</v>
      </c>
      <c r="X267" s="60"/>
      <c r="Y267" s="58"/>
      <c r="Z267" s="94">
        <f t="shared" ref="Z267:Z276" si="656">SUM(W267+X267-Y267)</f>
        <v>1</v>
      </c>
      <c r="AA267" s="60"/>
      <c r="AB267" s="58"/>
      <c r="AC267" s="62">
        <f t="shared" ref="AC267:AC276" si="657">SUM(Z267+AA267-AB267)</f>
        <v>1</v>
      </c>
      <c r="AD267" s="57"/>
      <c r="AE267" s="58">
        <v>1</v>
      </c>
      <c r="AF267" s="165">
        <f t="shared" ref="AF267:AF276" si="658">SUM(AC267+AD267-AE267)</f>
        <v>0</v>
      </c>
      <c r="AG267" s="60">
        <v>2</v>
      </c>
      <c r="AH267" s="58"/>
      <c r="AI267" s="62">
        <f t="shared" ref="AI267:AI276" si="659">SUM(AF267+AG267-AH267)</f>
        <v>2</v>
      </c>
      <c r="AJ267" s="60"/>
      <c r="AK267" s="58"/>
      <c r="AL267" s="62">
        <f t="shared" ref="AL267:AL276" si="660">SUM(AI267+AJ267-AK267)</f>
        <v>2</v>
      </c>
      <c r="AM267" s="60"/>
      <c r="AN267" s="58"/>
      <c r="AO267" s="62">
        <f t="shared" ref="AO267:AO276" si="661">SUM(AL267+AM267-AN267)</f>
        <v>2</v>
      </c>
      <c r="AP267" s="60"/>
      <c r="AQ267" s="58"/>
      <c r="AR267" s="62">
        <f t="shared" ref="AR267:AR276" si="662">SUM(AO267+AP267-AQ267)</f>
        <v>2</v>
      </c>
      <c r="AS267" s="60"/>
      <c r="AT267" s="58"/>
      <c r="AU267" s="62">
        <f t="shared" ref="AU267:AU276" si="663">SUM(AR267+AS267-AT267)</f>
        <v>2</v>
      </c>
      <c r="AV267" s="96">
        <f t="shared" ref="AV267:AV276" si="664">SUM(L267+O267+R267+U267+X267+AA267+AD267+AG267+AJ267+AM267+AP267+AS267)</f>
        <v>2</v>
      </c>
      <c r="AW267" s="97">
        <f t="shared" si="647"/>
        <v>1</v>
      </c>
      <c r="AX267" s="98">
        <f t="shared" ref="AX267:AX276" si="665">SUM(M267,P267,S267,V267,Y267,AB267,AE267,AH267,AK267,AN267,AQ267,AT267)</f>
        <v>1</v>
      </c>
      <c r="AY267" s="99">
        <f t="shared" si="630"/>
        <v>1</v>
      </c>
      <c r="AZ267" s="100">
        <f t="shared" si="631"/>
        <v>1</v>
      </c>
      <c r="BA267" s="101">
        <v>1</v>
      </c>
      <c r="BB267" s="102">
        <v>0</v>
      </c>
      <c r="BC267" s="84">
        <f t="shared" si="629"/>
        <v>2</v>
      </c>
      <c r="BD267" s="83">
        <f t="shared" si="613"/>
        <v>2</v>
      </c>
      <c r="BE267" s="85">
        <v>2</v>
      </c>
      <c r="BF267" s="86">
        <v>46262</v>
      </c>
      <c r="BG267" s="72">
        <f t="shared" si="650"/>
        <v>46265</v>
      </c>
      <c r="BH267" s="103">
        <f t="shared" ref="BH267:BH276" si="666">BG267-BF267</f>
        <v>3</v>
      </c>
      <c r="BI267" s="80" t="str">
        <f t="shared" si="614"/>
        <v/>
      </c>
      <c r="BJ267" s="238">
        <v>617</v>
      </c>
    </row>
    <row r="268" spans="1:293" ht="13">
      <c r="A268" s="90"/>
      <c r="B268" s="91"/>
      <c r="C268" s="51">
        <v>265</v>
      </c>
      <c r="D268" s="127" t="s">
        <v>1519</v>
      </c>
      <c r="E268" s="127">
        <v>7</v>
      </c>
      <c r="F268" s="80" t="s">
        <v>885</v>
      </c>
      <c r="G268" s="81" t="s">
        <v>886</v>
      </c>
      <c r="H268" s="81" t="s">
        <v>294</v>
      </c>
      <c r="I268" s="80" t="s">
        <v>458</v>
      </c>
      <c r="J268" s="82">
        <f t="shared" si="651"/>
        <v>2</v>
      </c>
      <c r="K268" s="80">
        <v>2</v>
      </c>
      <c r="L268" s="57"/>
      <c r="M268" s="58"/>
      <c r="N268" s="59">
        <f t="shared" si="652"/>
        <v>2</v>
      </c>
      <c r="O268" s="60"/>
      <c r="P268" s="58"/>
      <c r="Q268" s="59">
        <f t="shared" si="653"/>
        <v>2</v>
      </c>
      <c r="R268" s="60"/>
      <c r="S268" s="58"/>
      <c r="T268" s="61">
        <f t="shared" si="654"/>
        <v>2</v>
      </c>
      <c r="U268" s="60"/>
      <c r="V268" s="58"/>
      <c r="W268" s="59">
        <f t="shared" si="655"/>
        <v>2</v>
      </c>
      <c r="X268" s="60"/>
      <c r="Y268" s="58"/>
      <c r="Z268" s="61">
        <f t="shared" si="656"/>
        <v>2</v>
      </c>
      <c r="AA268" s="60"/>
      <c r="AB268" s="58"/>
      <c r="AC268" s="59">
        <f t="shared" si="657"/>
        <v>2</v>
      </c>
      <c r="AD268" s="57"/>
      <c r="AE268" s="58"/>
      <c r="AF268" s="243">
        <f t="shared" si="658"/>
        <v>2</v>
      </c>
      <c r="AG268" s="60"/>
      <c r="AH268" s="58"/>
      <c r="AI268" s="62">
        <f t="shared" si="659"/>
        <v>2</v>
      </c>
      <c r="AJ268" s="60"/>
      <c r="AK268" s="58"/>
      <c r="AL268" s="62">
        <f t="shared" si="660"/>
        <v>2</v>
      </c>
      <c r="AM268" s="60"/>
      <c r="AN268" s="58"/>
      <c r="AO268" s="62">
        <f t="shared" si="661"/>
        <v>2</v>
      </c>
      <c r="AP268" s="60"/>
      <c r="AQ268" s="58"/>
      <c r="AR268" s="62">
        <f t="shared" si="662"/>
        <v>2</v>
      </c>
      <c r="AS268" s="60"/>
      <c r="AT268" s="58"/>
      <c r="AU268" s="62">
        <f t="shared" si="663"/>
        <v>2</v>
      </c>
      <c r="AV268" s="83">
        <f t="shared" si="664"/>
        <v>0</v>
      </c>
      <c r="AW268" s="83">
        <f t="shared" si="647"/>
        <v>0</v>
      </c>
      <c r="AX268" s="64">
        <f t="shared" si="665"/>
        <v>0</v>
      </c>
      <c r="AY268" s="65" t="e">
        <f t="shared" si="630"/>
        <v>#DIV/0!</v>
      </c>
      <c r="AZ268" s="66">
        <f t="shared" si="631"/>
        <v>0</v>
      </c>
      <c r="BA268" s="67">
        <f>MAX(0, Table176252626[[#This Row],[Column6]])</f>
        <v>2</v>
      </c>
      <c r="BB268" s="68">
        <v>1</v>
      </c>
      <c r="BC268" s="84">
        <f t="shared" si="629"/>
        <v>2</v>
      </c>
      <c r="BD268" s="83">
        <f t="shared" si="613"/>
        <v>1</v>
      </c>
      <c r="BE268" s="85">
        <v>2</v>
      </c>
      <c r="BF268" s="86">
        <v>44243.55672453704</v>
      </c>
      <c r="BG268" s="72">
        <f t="shared" si="650"/>
        <v>46265</v>
      </c>
      <c r="BH268" s="87">
        <f t="shared" si="666"/>
        <v>2021.4432754629597</v>
      </c>
      <c r="BI268" s="80" t="str">
        <f t="shared" si="614"/>
        <v>Dead Stock</v>
      </c>
      <c r="BJ268" s="238">
        <v>365</v>
      </c>
    </row>
    <row r="269" spans="1:293" ht="13">
      <c r="A269" s="49"/>
      <c r="B269" s="50"/>
      <c r="C269" s="77">
        <v>266</v>
      </c>
      <c r="D269" s="127" t="s">
        <v>1519</v>
      </c>
      <c r="E269" s="127">
        <v>8</v>
      </c>
      <c r="F269" s="80" t="s">
        <v>134</v>
      </c>
      <c r="G269" s="81" t="s">
        <v>135</v>
      </c>
      <c r="H269" s="81" t="s">
        <v>290</v>
      </c>
      <c r="I269" s="80" t="s">
        <v>458</v>
      </c>
      <c r="J269" s="82">
        <f t="shared" si="651"/>
        <v>3</v>
      </c>
      <c r="K269" s="80">
        <v>3</v>
      </c>
      <c r="L269" s="57"/>
      <c r="M269" s="58"/>
      <c r="N269" s="59">
        <f t="shared" si="652"/>
        <v>3</v>
      </c>
      <c r="O269" s="60"/>
      <c r="P269" s="58"/>
      <c r="Q269" s="59">
        <f t="shared" si="653"/>
        <v>3</v>
      </c>
      <c r="R269" s="60"/>
      <c r="S269" s="58"/>
      <c r="T269" s="61">
        <f t="shared" si="654"/>
        <v>3</v>
      </c>
      <c r="U269" s="60"/>
      <c r="V269" s="58"/>
      <c r="W269" s="59">
        <f t="shared" si="655"/>
        <v>3</v>
      </c>
      <c r="X269" s="60"/>
      <c r="Y269" s="58"/>
      <c r="Z269" s="61">
        <f t="shared" si="656"/>
        <v>3</v>
      </c>
      <c r="AA269" s="60"/>
      <c r="AB269" s="58"/>
      <c r="AC269" s="59">
        <f t="shared" si="657"/>
        <v>3</v>
      </c>
      <c r="AD269" s="57"/>
      <c r="AE269" s="58"/>
      <c r="AF269" s="243">
        <f t="shared" si="658"/>
        <v>3</v>
      </c>
      <c r="AG269" s="60"/>
      <c r="AH269" s="58"/>
      <c r="AI269" s="62">
        <f t="shared" si="659"/>
        <v>3</v>
      </c>
      <c r="AJ269" s="60"/>
      <c r="AK269" s="58"/>
      <c r="AL269" s="62">
        <f t="shared" si="660"/>
        <v>3</v>
      </c>
      <c r="AM269" s="60"/>
      <c r="AN269" s="58"/>
      <c r="AO269" s="62">
        <f t="shared" si="661"/>
        <v>3</v>
      </c>
      <c r="AP269" s="60"/>
      <c r="AQ269" s="58"/>
      <c r="AR269" s="62">
        <f t="shared" si="662"/>
        <v>3</v>
      </c>
      <c r="AS269" s="60"/>
      <c r="AT269" s="58"/>
      <c r="AU269" s="62">
        <f t="shared" si="663"/>
        <v>3</v>
      </c>
      <c r="AV269" s="83">
        <f t="shared" si="664"/>
        <v>0</v>
      </c>
      <c r="AW269" s="83">
        <f t="shared" si="647"/>
        <v>0</v>
      </c>
      <c r="AX269" s="64">
        <f t="shared" si="665"/>
        <v>0</v>
      </c>
      <c r="AY269" s="65" t="e">
        <f t="shared" si="630"/>
        <v>#DIV/0!</v>
      </c>
      <c r="AZ269" s="66">
        <f t="shared" si="631"/>
        <v>0</v>
      </c>
      <c r="BA269" s="67">
        <v>3</v>
      </c>
      <c r="BB269" s="68">
        <v>1</v>
      </c>
      <c r="BC269" s="84">
        <f t="shared" si="629"/>
        <v>3</v>
      </c>
      <c r="BD269" s="83">
        <f t="shared" si="613"/>
        <v>2</v>
      </c>
      <c r="BE269" s="85">
        <v>2</v>
      </c>
      <c r="BF269" s="86">
        <v>42741.640486111108</v>
      </c>
      <c r="BG269" s="72">
        <f t="shared" si="650"/>
        <v>46265</v>
      </c>
      <c r="BH269" s="87">
        <f t="shared" si="666"/>
        <v>3523.3595138888923</v>
      </c>
      <c r="BI269" s="80" t="str">
        <f t="shared" si="614"/>
        <v>Dead Stock</v>
      </c>
      <c r="BJ269" s="238">
        <v>550</v>
      </c>
    </row>
    <row r="270" spans="1:293" ht="13">
      <c r="A270" s="75"/>
      <c r="B270" s="76"/>
      <c r="C270" s="77">
        <v>267</v>
      </c>
      <c r="D270" s="127" t="s">
        <v>1519</v>
      </c>
      <c r="E270" s="127">
        <v>9</v>
      </c>
      <c r="F270" s="80" t="s">
        <v>1082</v>
      </c>
      <c r="G270" s="81" t="s">
        <v>1083</v>
      </c>
      <c r="H270" s="81" t="s">
        <v>294</v>
      </c>
      <c r="I270" s="80" t="s">
        <v>458</v>
      </c>
      <c r="J270" s="82">
        <f t="shared" si="651"/>
        <v>3</v>
      </c>
      <c r="K270" s="80">
        <v>3</v>
      </c>
      <c r="L270" s="57"/>
      <c r="M270" s="58"/>
      <c r="N270" s="59">
        <f t="shared" si="652"/>
        <v>3</v>
      </c>
      <c r="O270" s="60"/>
      <c r="P270" s="58"/>
      <c r="Q270" s="59">
        <f t="shared" si="653"/>
        <v>3</v>
      </c>
      <c r="R270" s="60"/>
      <c r="S270" s="58"/>
      <c r="T270" s="61">
        <f t="shared" si="654"/>
        <v>3</v>
      </c>
      <c r="U270" s="60"/>
      <c r="V270" s="58"/>
      <c r="W270" s="59">
        <f t="shared" si="655"/>
        <v>3</v>
      </c>
      <c r="X270" s="60"/>
      <c r="Y270" s="58"/>
      <c r="Z270" s="61">
        <f t="shared" si="656"/>
        <v>3</v>
      </c>
      <c r="AA270" s="60"/>
      <c r="AB270" s="58"/>
      <c r="AC270" s="59">
        <f t="shared" si="657"/>
        <v>3</v>
      </c>
      <c r="AD270" s="57"/>
      <c r="AE270" s="58"/>
      <c r="AF270" s="243">
        <f t="shared" si="658"/>
        <v>3</v>
      </c>
      <c r="AG270" s="60"/>
      <c r="AH270" s="58"/>
      <c r="AI270" s="62">
        <f t="shared" si="659"/>
        <v>3</v>
      </c>
      <c r="AJ270" s="60"/>
      <c r="AK270" s="58"/>
      <c r="AL270" s="62">
        <f t="shared" si="660"/>
        <v>3</v>
      </c>
      <c r="AM270" s="60"/>
      <c r="AN270" s="58"/>
      <c r="AO270" s="62">
        <f t="shared" si="661"/>
        <v>3</v>
      </c>
      <c r="AP270" s="60"/>
      <c r="AQ270" s="58"/>
      <c r="AR270" s="104">
        <f t="shared" si="662"/>
        <v>3</v>
      </c>
      <c r="AS270" s="57"/>
      <c r="AT270" s="58"/>
      <c r="AU270" s="62">
        <f t="shared" si="663"/>
        <v>3</v>
      </c>
      <c r="AV270" s="83">
        <f t="shared" ref="AV270" si="667">SUM(L270+O270+R270+U270+X270+AA270+AD270+AG270+AJ270+AM270+AP270+AS270)</f>
        <v>0</v>
      </c>
      <c r="AW270" s="83">
        <f t="shared" ref="AW270" si="668">SUM(M270+P270+S270+V270+Y270+AB270+AE270+AH270+AK270+AN270+AQ270+AT270)</f>
        <v>0</v>
      </c>
      <c r="AX270" s="64">
        <f t="shared" si="665"/>
        <v>0</v>
      </c>
      <c r="AY270" s="65" t="e">
        <f t="shared" si="630"/>
        <v>#DIV/0!</v>
      </c>
      <c r="AZ270" s="66">
        <f t="shared" si="631"/>
        <v>0</v>
      </c>
      <c r="BA270" s="67">
        <v>3</v>
      </c>
      <c r="BB270" s="68">
        <v>1</v>
      </c>
      <c r="BC270" s="84">
        <f t="shared" si="629"/>
        <v>3</v>
      </c>
      <c r="BD270" s="83">
        <f t="shared" si="613"/>
        <v>2</v>
      </c>
      <c r="BE270" s="85">
        <v>2</v>
      </c>
      <c r="BF270" s="86">
        <v>44761.430092592593</v>
      </c>
      <c r="BG270" s="72">
        <f t="shared" si="650"/>
        <v>46265</v>
      </c>
      <c r="BH270" s="107">
        <f t="shared" si="666"/>
        <v>1503.5699074074073</v>
      </c>
      <c r="BI270" s="80" t="str">
        <f t="shared" si="614"/>
        <v>Dead Stock</v>
      </c>
      <c r="BJ270" s="238">
        <v>580</v>
      </c>
    </row>
    <row r="271" spans="1:293" s="48" customFormat="1" ht="13">
      <c r="A271" s="49"/>
      <c r="B271" s="76"/>
      <c r="C271" s="51">
        <v>268</v>
      </c>
      <c r="D271" s="127" t="s">
        <v>1519</v>
      </c>
      <c r="E271" s="127">
        <v>10</v>
      </c>
      <c r="F271" s="80" t="s">
        <v>1101</v>
      </c>
      <c r="G271" s="106" t="s">
        <v>1102</v>
      </c>
      <c r="H271" s="81" t="s">
        <v>1754</v>
      </c>
      <c r="I271" s="80" t="s">
        <v>458</v>
      </c>
      <c r="J271" s="82">
        <f t="shared" si="651"/>
        <v>4</v>
      </c>
      <c r="K271" s="80">
        <v>4</v>
      </c>
      <c r="L271" s="57"/>
      <c r="M271" s="58"/>
      <c r="N271" s="59">
        <f t="shared" si="652"/>
        <v>4</v>
      </c>
      <c r="O271" s="60"/>
      <c r="P271" s="58"/>
      <c r="Q271" s="59">
        <f t="shared" si="653"/>
        <v>4</v>
      </c>
      <c r="R271" s="60"/>
      <c r="S271" s="58"/>
      <c r="T271" s="61">
        <f t="shared" si="654"/>
        <v>4</v>
      </c>
      <c r="U271" s="60"/>
      <c r="V271" s="58"/>
      <c r="W271" s="59">
        <f t="shared" si="655"/>
        <v>4</v>
      </c>
      <c r="X271" s="60"/>
      <c r="Y271" s="58"/>
      <c r="Z271" s="61">
        <f t="shared" si="656"/>
        <v>4</v>
      </c>
      <c r="AA271" s="60"/>
      <c r="AB271" s="58"/>
      <c r="AC271" s="59">
        <f t="shared" si="657"/>
        <v>4</v>
      </c>
      <c r="AD271" s="57"/>
      <c r="AE271" s="58"/>
      <c r="AF271" s="243">
        <f t="shared" si="658"/>
        <v>4</v>
      </c>
      <c r="AG271" s="60"/>
      <c r="AH271" s="58"/>
      <c r="AI271" s="62">
        <f t="shared" si="659"/>
        <v>4</v>
      </c>
      <c r="AJ271" s="60"/>
      <c r="AK271" s="58"/>
      <c r="AL271" s="62">
        <f t="shared" si="660"/>
        <v>4</v>
      </c>
      <c r="AM271" s="60"/>
      <c r="AN271" s="58"/>
      <c r="AO271" s="62">
        <f t="shared" si="661"/>
        <v>4</v>
      </c>
      <c r="AP271" s="60"/>
      <c r="AQ271" s="58"/>
      <c r="AR271" s="62">
        <f t="shared" si="662"/>
        <v>4</v>
      </c>
      <c r="AS271" s="60"/>
      <c r="AT271" s="58"/>
      <c r="AU271" s="62">
        <f t="shared" si="663"/>
        <v>4</v>
      </c>
      <c r="AV271" s="83">
        <f t="shared" si="664"/>
        <v>0</v>
      </c>
      <c r="AW271" s="83">
        <f t="shared" si="647"/>
        <v>0</v>
      </c>
      <c r="AX271" s="64">
        <f t="shared" si="665"/>
        <v>0</v>
      </c>
      <c r="AY271" s="65" t="e">
        <f t="shared" si="630"/>
        <v>#DIV/0!</v>
      </c>
      <c r="AZ271" s="66">
        <f t="shared" si="631"/>
        <v>0</v>
      </c>
      <c r="BA271" s="67">
        <f>MAX(0, Table176252626[[#This Row],[Column6]])</f>
        <v>4</v>
      </c>
      <c r="BB271" s="68">
        <v>1</v>
      </c>
      <c r="BC271" s="84">
        <f t="shared" si="629"/>
        <v>4</v>
      </c>
      <c r="BD271" s="83">
        <f t="shared" si="613"/>
        <v>3</v>
      </c>
      <c r="BE271" s="85">
        <v>2</v>
      </c>
      <c r="BF271" s="86">
        <v>44795.663969907408</v>
      </c>
      <c r="BG271" s="72">
        <f t="shared" si="650"/>
        <v>46265</v>
      </c>
      <c r="BH271" s="107">
        <f t="shared" si="666"/>
        <v>1469.3360300925924</v>
      </c>
      <c r="BI271" s="80" t="str">
        <f t="shared" si="614"/>
        <v>Dead Stock</v>
      </c>
      <c r="BJ271" s="238">
        <v>324</v>
      </c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  <c r="FS271" s="30"/>
      <c r="FT271" s="30"/>
      <c r="FU271" s="30"/>
      <c r="FV271" s="30"/>
      <c r="FW271" s="30"/>
      <c r="FX271" s="30"/>
      <c r="FY271" s="30"/>
      <c r="FZ271" s="30"/>
      <c r="GA271" s="30"/>
      <c r="GB271" s="30"/>
      <c r="GC271" s="30"/>
      <c r="GD271" s="30"/>
      <c r="GE271" s="30"/>
      <c r="GF271" s="30"/>
      <c r="GG271" s="30"/>
      <c r="GH271" s="30"/>
      <c r="GI271" s="30"/>
      <c r="GJ271" s="30"/>
      <c r="GK271" s="30"/>
      <c r="GL271" s="30"/>
      <c r="GM271" s="30"/>
      <c r="GN271" s="30"/>
      <c r="GO271" s="30"/>
      <c r="GP271" s="30"/>
      <c r="GQ271" s="30"/>
      <c r="GR271" s="30"/>
      <c r="GS271" s="30"/>
      <c r="GT271" s="30"/>
      <c r="GU271" s="30"/>
      <c r="GV271" s="30"/>
      <c r="GW271" s="30"/>
      <c r="GX271" s="30"/>
      <c r="GY271" s="30"/>
      <c r="GZ271" s="30"/>
      <c r="HA271" s="30"/>
      <c r="HB271" s="30"/>
      <c r="HC271" s="30"/>
      <c r="HD271" s="30"/>
      <c r="HE271" s="30"/>
      <c r="HF271" s="30"/>
      <c r="HG271" s="30"/>
      <c r="HH271" s="30"/>
      <c r="HI271" s="30"/>
      <c r="HJ271" s="30"/>
      <c r="HK271" s="30"/>
      <c r="HL271" s="30"/>
      <c r="HM271" s="30"/>
      <c r="HN271" s="30"/>
      <c r="HO271" s="30"/>
      <c r="HP271" s="30"/>
      <c r="HQ271" s="30"/>
      <c r="HR271" s="30"/>
      <c r="HS271" s="30"/>
      <c r="HT271" s="30"/>
      <c r="HU271" s="30"/>
      <c r="HV271" s="30"/>
      <c r="HW271" s="30"/>
      <c r="HX271" s="30"/>
      <c r="HY271" s="30"/>
      <c r="HZ271" s="30"/>
      <c r="IA271" s="30"/>
      <c r="IB271" s="30"/>
      <c r="IC271" s="30"/>
      <c r="ID271" s="30"/>
      <c r="IE271" s="30"/>
      <c r="IF271" s="30"/>
      <c r="IG271" s="30"/>
      <c r="IH271" s="30"/>
      <c r="II271" s="30"/>
      <c r="IJ271" s="30"/>
      <c r="IK271" s="30"/>
      <c r="IL271" s="30"/>
      <c r="IM271" s="30"/>
      <c r="IN271" s="30"/>
      <c r="IO271" s="30"/>
      <c r="IP271" s="30"/>
      <c r="IQ271" s="30"/>
      <c r="IR271" s="30"/>
      <c r="IS271" s="30"/>
      <c r="IT271" s="30"/>
      <c r="IU271" s="30"/>
      <c r="IV271" s="30"/>
      <c r="IW271" s="30"/>
      <c r="IX271" s="30"/>
      <c r="IY271" s="30"/>
      <c r="IZ271" s="30"/>
      <c r="JA271" s="30"/>
      <c r="JB271" s="30"/>
      <c r="JC271" s="30"/>
      <c r="JD271" s="30"/>
      <c r="JE271" s="30"/>
      <c r="JF271" s="30"/>
      <c r="JG271" s="30"/>
      <c r="JH271" s="30"/>
      <c r="JI271" s="30"/>
      <c r="JJ271" s="30"/>
      <c r="JK271" s="30"/>
      <c r="JL271" s="30"/>
      <c r="JM271" s="30"/>
      <c r="JN271" s="30"/>
      <c r="JO271" s="30"/>
      <c r="JP271" s="30"/>
      <c r="JQ271" s="30"/>
      <c r="JR271" s="30"/>
      <c r="JS271" s="30"/>
      <c r="JT271" s="30"/>
      <c r="JU271" s="30"/>
      <c r="JV271" s="30"/>
      <c r="JW271" s="30"/>
      <c r="JX271" s="30"/>
      <c r="JY271" s="30"/>
      <c r="JZ271" s="30"/>
      <c r="KA271" s="30"/>
      <c r="KB271" s="30"/>
      <c r="KC271" s="30"/>
      <c r="KD271" s="30"/>
      <c r="KE271" s="30"/>
      <c r="KF271" s="30"/>
      <c r="KG271" s="30"/>
    </row>
    <row r="272" spans="1:293" s="48" customFormat="1" ht="13">
      <c r="A272" s="49"/>
      <c r="B272" s="76"/>
      <c r="C272" s="51">
        <v>269</v>
      </c>
      <c r="D272" s="127" t="s">
        <v>1519</v>
      </c>
      <c r="E272" s="127">
        <v>11</v>
      </c>
      <c r="F272" s="80" t="s">
        <v>183</v>
      </c>
      <c r="G272" s="81" t="s">
        <v>859</v>
      </c>
      <c r="H272" s="81" t="s">
        <v>290</v>
      </c>
      <c r="I272" s="80" t="s">
        <v>458</v>
      </c>
      <c r="J272" s="82">
        <f t="shared" si="651"/>
        <v>1</v>
      </c>
      <c r="K272" s="80">
        <v>1</v>
      </c>
      <c r="L272" s="57"/>
      <c r="M272" s="58"/>
      <c r="N272" s="59">
        <f t="shared" si="652"/>
        <v>1</v>
      </c>
      <c r="O272" s="60"/>
      <c r="P272" s="58"/>
      <c r="Q272" s="59">
        <f t="shared" si="653"/>
        <v>1</v>
      </c>
      <c r="R272" s="60"/>
      <c r="S272" s="58"/>
      <c r="T272" s="61">
        <f t="shared" si="654"/>
        <v>1</v>
      </c>
      <c r="U272" s="60"/>
      <c r="V272" s="58"/>
      <c r="W272" s="59">
        <f t="shared" si="655"/>
        <v>1</v>
      </c>
      <c r="X272" s="60"/>
      <c r="Y272" s="58"/>
      <c r="Z272" s="61">
        <f t="shared" si="656"/>
        <v>1</v>
      </c>
      <c r="AA272" s="60"/>
      <c r="AB272" s="58"/>
      <c r="AC272" s="59">
        <f t="shared" si="657"/>
        <v>1</v>
      </c>
      <c r="AD272" s="57"/>
      <c r="AE272" s="58"/>
      <c r="AF272" s="243">
        <f t="shared" si="658"/>
        <v>1</v>
      </c>
      <c r="AG272" s="60"/>
      <c r="AH272" s="58"/>
      <c r="AI272" s="62">
        <f t="shared" si="659"/>
        <v>1</v>
      </c>
      <c r="AJ272" s="60"/>
      <c r="AK272" s="58"/>
      <c r="AL272" s="62">
        <f t="shared" si="660"/>
        <v>1</v>
      </c>
      <c r="AM272" s="60"/>
      <c r="AN272" s="58"/>
      <c r="AO272" s="62">
        <f t="shared" si="661"/>
        <v>1</v>
      </c>
      <c r="AP272" s="60"/>
      <c r="AQ272" s="58"/>
      <c r="AR272" s="62">
        <f t="shared" si="662"/>
        <v>1</v>
      </c>
      <c r="AS272" s="60"/>
      <c r="AT272" s="58"/>
      <c r="AU272" s="62">
        <f t="shared" si="663"/>
        <v>1</v>
      </c>
      <c r="AV272" s="83">
        <f t="shared" si="664"/>
        <v>0</v>
      </c>
      <c r="AW272" s="83">
        <f t="shared" si="647"/>
        <v>0</v>
      </c>
      <c r="AX272" s="64">
        <f t="shared" si="665"/>
        <v>0</v>
      </c>
      <c r="AY272" s="65" t="e">
        <f t="shared" si="630"/>
        <v>#DIV/0!</v>
      </c>
      <c r="AZ272" s="66">
        <f t="shared" si="631"/>
        <v>0</v>
      </c>
      <c r="BA272" s="67">
        <f>MAX(0, Table176252626[[#This Row],[Column6]])</f>
        <v>1</v>
      </c>
      <c r="BB272" s="68">
        <v>0</v>
      </c>
      <c r="BC272" s="84">
        <f t="shared" si="629"/>
        <v>1</v>
      </c>
      <c r="BD272" s="83">
        <f t="shared" si="613"/>
        <v>1</v>
      </c>
      <c r="BE272" s="85">
        <v>2</v>
      </c>
      <c r="BF272" s="86">
        <v>43031.451620370368</v>
      </c>
      <c r="BG272" s="72">
        <f t="shared" si="650"/>
        <v>46265</v>
      </c>
      <c r="BH272" s="87">
        <f t="shared" si="666"/>
        <v>3233.5483796296321</v>
      </c>
      <c r="BI272" s="80" t="str">
        <f t="shared" si="614"/>
        <v>Dead Stock</v>
      </c>
      <c r="BJ272" s="238">
        <v>675</v>
      </c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  <c r="FS272" s="30"/>
      <c r="FT272" s="30"/>
      <c r="FU272" s="30"/>
      <c r="FV272" s="30"/>
      <c r="FW272" s="30"/>
      <c r="FX272" s="30"/>
      <c r="FY272" s="30"/>
      <c r="FZ272" s="30"/>
      <c r="GA272" s="30"/>
      <c r="GB272" s="30"/>
      <c r="GC272" s="30"/>
      <c r="GD272" s="30"/>
      <c r="GE272" s="30"/>
      <c r="GF272" s="30"/>
      <c r="GG272" s="30"/>
      <c r="GH272" s="30"/>
      <c r="GI272" s="30"/>
      <c r="GJ272" s="30"/>
      <c r="GK272" s="30"/>
      <c r="GL272" s="30"/>
      <c r="GM272" s="30"/>
      <c r="GN272" s="30"/>
      <c r="GO272" s="30"/>
      <c r="GP272" s="30"/>
      <c r="GQ272" s="30"/>
      <c r="GR272" s="30"/>
      <c r="GS272" s="30"/>
      <c r="GT272" s="30"/>
      <c r="GU272" s="30"/>
      <c r="GV272" s="30"/>
      <c r="GW272" s="30"/>
      <c r="GX272" s="30"/>
      <c r="GY272" s="30"/>
      <c r="GZ272" s="30"/>
      <c r="HA272" s="30"/>
      <c r="HB272" s="30"/>
      <c r="HC272" s="30"/>
      <c r="HD272" s="30"/>
      <c r="HE272" s="30"/>
      <c r="HF272" s="30"/>
      <c r="HG272" s="30"/>
      <c r="HH272" s="30"/>
      <c r="HI272" s="30"/>
      <c r="HJ272" s="30"/>
      <c r="HK272" s="30"/>
      <c r="HL272" s="30"/>
      <c r="HM272" s="30"/>
      <c r="HN272" s="30"/>
      <c r="HO272" s="30"/>
      <c r="HP272" s="30"/>
      <c r="HQ272" s="30"/>
      <c r="HR272" s="30"/>
      <c r="HS272" s="30"/>
      <c r="HT272" s="30"/>
      <c r="HU272" s="30"/>
      <c r="HV272" s="30"/>
      <c r="HW272" s="30"/>
      <c r="HX272" s="30"/>
      <c r="HY272" s="30"/>
      <c r="HZ272" s="30"/>
      <c r="IA272" s="30"/>
      <c r="IB272" s="30"/>
      <c r="IC272" s="30"/>
      <c r="ID272" s="30"/>
      <c r="IE272" s="30"/>
      <c r="IF272" s="30"/>
      <c r="IG272" s="30"/>
      <c r="IH272" s="30"/>
      <c r="II272" s="30"/>
      <c r="IJ272" s="30"/>
      <c r="IK272" s="30"/>
      <c r="IL272" s="30"/>
      <c r="IM272" s="30"/>
      <c r="IN272" s="30"/>
      <c r="IO272" s="30"/>
      <c r="IP272" s="30"/>
      <c r="IQ272" s="30"/>
      <c r="IR272" s="30"/>
      <c r="IS272" s="30"/>
      <c r="IT272" s="30"/>
      <c r="IU272" s="30"/>
      <c r="IV272" s="30"/>
      <c r="IW272" s="30"/>
      <c r="IX272" s="30"/>
      <c r="IY272" s="30"/>
      <c r="IZ272" s="30"/>
      <c r="JA272" s="30"/>
      <c r="JB272" s="30"/>
      <c r="JC272" s="30"/>
      <c r="JD272" s="30"/>
      <c r="JE272" s="30"/>
      <c r="JF272" s="30"/>
      <c r="JG272" s="30"/>
      <c r="JH272" s="30"/>
      <c r="JI272" s="30"/>
      <c r="JJ272" s="30"/>
      <c r="JK272" s="30"/>
      <c r="JL272" s="30"/>
      <c r="JM272" s="30"/>
      <c r="JN272" s="30"/>
      <c r="JO272" s="30"/>
      <c r="JP272" s="30"/>
      <c r="JQ272" s="30"/>
      <c r="JR272" s="30"/>
      <c r="JS272" s="30"/>
      <c r="JT272" s="30"/>
      <c r="JU272" s="30"/>
      <c r="JV272" s="30"/>
      <c r="JW272" s="30"/>
      <c r="JX272" s="30"/>
      <c r="JY272" s="30"/>
      <c r="JZ272" s="30"/>
      <c r="KA272" s="30"/>
      <c r="KB272" s="30"/>
      <c r="KC272" s="30"/>
      <c r="KD272" s="30"/>
      <c r="KE272" s="30"/>
      <c r="KF272" s="30"/>
      <c r="KG272" s="30"/>
    </row>
    <row r="273" spans="1:293" s="48" customFormat="1" ht="13">
      <c r="A273" s="49"/>
      <c r="B273" s="50"/>
      <c r="C273" s="51">
        <v>270</v>
      </c>
      <c r="D273" s="127" t="s">
        <v>1519</v>
      </c>
      <c r="E273" s="127">
        <v>12</v>
      </c>
      <c r="F273" s="80" t="s">
        <v>235</v>
      </c>
      <c r="G273" s="81" t="s">
        <v>1980</v>
      </c>
      <c r="H273" s="81" t="s">
        <v>290</v>
      </c>
      <c r="I273" s="80" t="s">
        <v>458</v>
      </c>
      <c r="J273" s="82">
        <f t="shared" si="651"/>
        <v>1</v>
      </c>
      <c r="K273" s="80">
        <v>1</v>
      </c>
      <c r="L273" s="57"/>
      <c r="M273" s="58"/>
      <c r="N273" s="59">
        <f t="shared" si="652"/>
        <v>1</v>
      </c>
      <c r="O273" s="60"/>
      <c r="P273" s="58"/>
      <c r="Q273" s="59">
        <f t="shared" si="653"/>
        <v>1</v>
      </c>
      <c r="R273" s="60"/>
      <c r="S273" s="58"/>
      <c r="T273" s="61">
        <f t="shared" si="654"/>
        <v>1</v>
      </c>
      <c r="U273" s="60"/>
      <c r="V273" s="58"/>
      <c r="W273" s="59">
        <f t="shared" si="655"/>
        <v>1</v>
      </c>
      <c r="X273" s="60"/>
      <c r="Y273" s="58"/>
      <c r="Z273" s="61">
        <f t="shared" si="656"/>
        <v>1</v>
      </c>
      <c r="AA273" s="60"/>
      <c r="AB273" s="58"/>
      <c r="AC273" s="59">
        <f t="shared" si="657"/>
        <v>1</v>
      </c>
      <c r="AD273" s="57">
        <v>1</v>
      </c>
      <c r="AE273" s="58">
        <v>1</v>
      </c>
      <c r="AF273" s="243">
        <f t="shared" si="658"/>
        <v>1</v>
      </c>
      <c r="AG273" s="60"/>
      <c r="AH273" s="58"/>
      <c r="AI273" s="62">
        <f t="shared" si="659"/>
        <v>1</v>
      </c>
      <c r="AJ273" s="60"/>
      <c r="AK273" s="58"/>
      <c r="AL273" s="62">
        <f t="shared" si="660"/>
        <v>1</v>
      </c>
      <c r="AM273" s="60"/>
      <c r="AN273" s="58"/>
      <c r="AO273" s="62">
        <f t="shared" si="661"/>
        <v>1</v>
      </c>
      <c r="AP273" s="60"/>
      <c r="AQ273" s="58"/>
      <c r="AR273" s="62">
        <f t="shared" si="662"/>
        <v>1</v>
      </c>
      <c r="AS273" s="60"/>
      <c r="AT273" s="58"/>
      <c r="AU273" s="62">
        <f t="shared" si="663"/>
        <v>1</v>
      </c>
      <c r="AV273" s="83">
        <f t="shared" si="664"/>
        <v>1</v>
      </c>
      <c r="AW273" s="83">
        <f t="shared" si="647"/>
        <v>1</v>
      </c>
      <c r="AX273" s="64">
        <f t="shared" si="665"/>
        <v>1</v>
      </c>
      <c r="AY273" s="65">
        <f t="shared" si="630"/>
        <v>1</v>
      </c>
      <c r="AZ273" s="66">
        <f t="shared" si="631"/>
        <v>1</v>
      </c>
      <c r="BA273" s="67">
        <f>MAX(0, Table176252626[[#This Row],[Column6]])</f>
        <v>1</v>
      </c>
      <c r="BB273" s="68">
        <v>0</v>
      </c>
      <c r="BC273" s="84">
        <f t="shared" si="629"/>
        <v>1</v>
      </c>
      <c r="BD273" s="83">
        <f t="shared" si="613"/>
        <v>1</v>
      </c>
      <c r="BE273" s="85">
        <v>2</v>
      </c>
      <c r="BF273" s="86">
        <v>46227</v>
      </c>
      <c r="BG273" s="72">
        <f t="shared" si="650"/>
        <v>46265</v>
      </c>
      <c r="BH273" s="107">
        <f t="shared" si="666"/>
        <v>38</v>
      </c>
      <c r="BI273" s="80" t="str">
        <f t="shared" si="614"/>
        <v/>
      </c>
      <c r="BJ273" s="238">
        <v>1323</v>
      </c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  <c r="FS273" s="30"/>
      <c r="FT273" s="30"/>
      <c r="FU273" s="30"/>
      <c r="FV273" s="30"/>
      <c r="FW273" s="30"/>
      <c r="FX273" s="30"/>
      <c r="FY273" s="30"/>
      <c r="FZ273" s="30"/>
      <c r="GA273" s="30"/>
      <c r="GB273" s="30"/>
      <c r="GC273" s="30"/>
      <c r="GD273" s="30"/>
      <c r="GE273" s="30"/>
      <c r="GF273" s="30"/>
      <c r="GG273" s="30"/>
      <c r="GH273" s="30"/>
      <c r="GI273" s="30"/>
      <c r="GJ273" s="30"/>
      <c r="GK273" s="30"/>
      <c r="GL273" s="30"/>
      <c r="GM273" s="30"/>
      <c r="GN273" s="30"/>
      <c r="GO273" s="30"/>
      <c r="GP273" s="30"/>
      <c r="GQ273" s="30"/>
      <c r="GR273" s="30"/>
      <c r="GS273" s="30"/>
      <c r="GT273" s="30"/>
      <c r="GU273" s="30"/>
      <c r="GV273" s="30"/>
      <c r="GW273" s="30"/>
      <c r="GX273" s="30"/>
      <c r="GY273" s="30"/>
      <c r="GZ273" s="30"/>
      <c r="HA273" s="30"/>
      <c r="HB273" s="30"/>
      <c r="HC273" s="30"/>
      <c r="HD273" s="30"/>
      <c r="HE273" s="30"/>
      <c r="HF273" s="30"/>
      <c r="HG273" s="30"/>
      <c r="HH273" s="30"/>
      <c r="HI273" s="30"/>
      <c r="HJ273" s="30"/>
      <c r="HK273" s="30"/>
      <c r="HL273" s="30"/>
      <c r="HM273" s="30"/>
      <c r="HN273" s="30"/>
      <c r="HO273" s="30"/>
      <c r="HP273" s="30"/>
      <c r="HQ273" s="30"/>
      <c r="HR273" s="30"/>
      <c r="HS273" s="30"/>
      <c r="HT273" s="30"/>
      <c r="HU273" s="30"/>
      <c r="HV273" s="30"/>
      <c r="HW273" s="30"/>
      <c r="HX273" s="30"/>
      <c r="HY273" s="30"/>
      <c r="HZ273" s="30"/>
      <c r="IA273" s="30"/>
      <c r="IB273" s="30"/>
      <c r="IC273" s="30"/>
      <c r="ID273" s="30"/>
      <c r="IE273" s="30"/>
      <c r="IF273" s="30"/>
      <c r="IG273" s="30"/>
      <c r="IH273" s="30"/>
      <c r="II273" s="30"/>
      <c r="IJ273" s="30"/>
      <c r="IK273" s="30"/>
      <c r="IL273" s="30"/>
      <c r="IM273" s="30"/>
      <c r="IN273" s="30"/>
      <c r="IO273" s="30"/>
      <c r="IP273" s="30"/>
      <c r="IQ273" s="30"/>
      <c r="IR273" s="30"/>
      <c r="IS273" s="30"/>
      <c r="IT273" s="30"/>
      <c r="IU273" s="30"/>
      <c r="IV273" s="30"/>
      <c r="IW273" s="30"/>
      <c r="IX273" s="30"/>
      <c r="IY273" s="30"/>
      <c r="IZ273" s="30"/>
      <c r="JA273" s="30"/>
      <c r="JB273" s="30"/>
      <c r="JC273" s="30"/>
      <c r="JD273" s="30"/>
      <c r="JE273" s="30"/>
      <c r="JF273" s="30"/>
      <c r="JG273" s="30"/>
      <c r="JH273" s="30"/>
      <c r="JI273" s="30"/>
      <c r="JJ273" s="30"/>
      <c r="JK273" s="30"/>
      <c r="JL273" s="30"/>
      <c r="JM273" s="30"/>
      <c r="JN273" s="30"/>
      <c r="JO273" s="30"/>
      <c r="JP273" s="30"/>
      <c r="JQ273" s="30"/>
      <c r="JR273" s="30"/>
      <c r="JS273" s="30"/>
      <c r="JT273" s="30"/>
      <c r="JU273" s="30"/>
      <c r="JV273" s="30"/>
      <c r="JW273" s="30"/>
      <c r="JX273" s="30"/>
      <c r="JY273" s="30"/>
      <c r="JZ273" s="30"/>
      <c r="KA273" s="30"/>
      <c r="KB273" s="30"/>
      <c r="KC273" s="30"/>
      <c r="KD273" s="30"/>
      <c r="KE273" s="30"/>
      <c r="KF273" s="30"/>
      <c r="KG273" s="30"/>
    </row>
    <row r="274" spans="1:293" ht="13">
      <c r="A274" s="75"/>
      <c r="B274" s="76"/>
      <c r="C274" s="51">
        <v>271</v>
      </c>
      <c r="D274" s="127" t="s">
        <v>1519</v>
      </c>
      <c r="E274" s="127">
        <v>13</v>
      </c>
      <c r="F274" s="80" t="s">
        <v>629</v>
      </c>
      <c r="G274" s="81" t="s">
        <v>1059</v>
      </c>
      <c r="H274" s="81" t="s">
        <v>290</v>
      </c>
      <c r="I274" s="80" t="s">
        <v>458</v>
      </c>
      <c r="J274" s="82">
        <f t="shared" si="651"/>
        <v>10</v>
      </c>
      <c r="K274" s="80">
        <v>10</v>
      </c>
      <c r="L274" s="57"/>
      <c r="M274" s="58"/>
      <c r="N274" s="59">
        <f t="shared" si="652"/>
        <v>10</v>
      </c>
      <c r="O274" s="60"/>
      <c r="P274" s="58"/>
      <c r="Q274" s="59">
        <f t="shared" si="653"/>
        <v>10</v>
      </c>
      <c r="R274" s="60"/>
      <c r="S274" s="58"/>
      <c r="T274" s="61">
        <f t="shared" si="654"/>
        <v>10</v>
      </c>
      <c r="U274" s="60"/>
      <c r="V274" s="58"/>
      <c r="W274" s="59">
        <f t="shared" si="655"/>
        <v>10</v>
      </c>
      <c r="X274" s="60"/>
      <c r="Y274" s="58"/>
      <c r="Z274" s="61">
        <f t="shared" si="656"/>
        <v>10</v>
      </c>
      <c r="AA274" s="60"/>
      <c r="AB274" s="58"/>
      <c r="AC274" s="59">
        <f t="shared" si="657"/>
        <v>10</v>
      </c>
      <c r="AD274" s="57"/>
      <c r="AE274" s="58"/>
      <c r="AF274" s="243">
        <f t="shared" si="658"/>
        <v>10</v>
      </c>
      <c r="AG274" s="60"/>
      <c r="AH274" s="58"/>
      <c r="AI274" s="62">
        <f t="shared" si="659"/>
        <v>10</v>
      </c>
      <c r="AJ274" s="60"/>
      <c r="AK274" s="58"/>
      <c r="AL274" s="62">
        <f t="shared" si="660"/>
        <v>10</v>
      </c>
      <c r="AM274" s="60"/>
      <c r="AN274" s="58"/>
      <c r="AO274" s="62">
        <f t="shared" si="661"/>
        <v>10</v>
      </c>
      <c r="AP274" s="60"/>
      <c r="AQ274" s="58"/>
      <c r="AR274" s="62">
        <f t="shared" si="662"/>
        <v>10</v>
      </c>
      <c r="AS274" s="60"/>
      <c r="AT274" s="58"/>
      <c r="AU274" s="62">
        <f t="shared" si="663"/>
        <v>10</v>
      </c>
      <c r="AV274" s="83">
        <f t="shared" si="664"/>
        <v>0</v>
      </c>
      <c r="AW274" s="83">
        <f t="shared" si="647"/>
        <v>0</v>
      </c>
      <c r="AX274" s="64">
        <f t="shared" si="665"/>
        <v>0</v>
      </c>
      <c r="AY274" s="65" t="e">
        <f t="shared" si="630"/>
        <v>#DIV/0!</v>
      </c>
      <c r="AZ274" s="66">
        <f t="shared" si="631"/>
        <v>0</v>
      </c>
      <c r="BA274" s="67">
        <v>9</v>
      </c>
      <c r="BB274" s="68">
        <v>1</v>
      </c>
      <c r="BC274" s="84">
        <f t="shared" si="629"/>
        <v>10</v>
      </c>
      <c r="BD274" s="83">
        <f t="shared" si="613"/>
        <v>9</v>
      </c>
      <c r="BE274" s="85">
        <v>2</v>
      </c>
      <c r="BF274" s="86">
        <v>45450.475648148145</v>
      </c>
      <c r="BG274" s="72">
        <f t="shared" si="650"/>
        <v>46265</v>
      </c>
      <c r="BH274" s="87">
        <f t="shared" si="666"/>
        <v>814.52435185185459</v>
      </c>
      <c r="BI274" s="80" t="str">
        <f t="shared" si="614"/>
        <v>Dead Stock</v>
      </c>
      <c r="BJ274" s="238">
        <v>107</v>
      </c>
    </row>
    <row r="275" spans="1:293" ht="13">
      <c r="A275" s="49"/>
      <c r="B275" s="50"/>
      <c r="C275" s="77">
        <v>272</v>
      </c>
      <c r="D275" s="127" t="s">
        <v>1519</v>
      </c>
      <c r="E275" s="127">
        <v>14</v>
      </c>
      <c r="F275" s="80" t="s">
        <v>111</v>
      </c>
      <c r="G275" s="81" t="s">
        <v>112</v>
      </c>
      <c r="H275" s="81" t="s">
        <v>294</v>
      </c>
      <c r="I275" s="88" t="s">
        <v>458</v>
      </c>
      <c r="J275" s="82">
        <f t="shared" si="651"/>
        <v>9</v>
      </c>
      <c r="K275" s="80">
        <v>9</v>
      </c>
      <c r="L275" s="57"/>
      <c r="M275" s="58"/>
      <c r="N275" s="59">
        <f t="shared" si="652"/>
        <v>9</v>
      </c>
      <c r="O275" s="60"/>
      <c r="P275" s="58"/>
      <c r="Q275" s="59">
        <f t="shared" si="653"/>
        <v>9</v>
      </c>
      <c r="R275" s="60"/>
      <c r="S275" s="58"/>
      <c r="T275" s="61">
        <f t="shared" si="654"/>
        <v>9</v>
      </c>
      <c r="U275" s="60"/>
      <c r="V275" s="58"/>
      <c r="W275" s="59">
        <f t="shared" si="655"/>
        <v>9</v>
      </c>
      <c r="X275" s="60"/>
      <c r="Y275" s="58"/>
      <c r="Z275" s="61">
        <f t="shared" si="656"/>
        <v>9</v>
      </c>
      <c r="AA275" s="60"/>
      <c r="AB275" s="58"/>
      <c r="AC275" s="59">
        <f t="shared" si="657"/>
        <v>9</v>
      </c>
      <c r="AD275" s="57"/>
      <c r="AE275" s="58"/>
      <c r="AF275" s="243">
        <f t="shared" si="658"/>
        <v>9</v>
      </c>
      <c r="AG275" s="60"/>
      <c r="AH275" s="58"/>
      <c r="AI275" s="62">
        <f t="shared" si="659"/>
        <v>9</v>
      </c>
      <c r="AJ275" s="60"/>
      <c r="AK275" s="58"/>
      <c r="AL275" s="62">
        <f t="shared" si="660"/>
        <v>9</v>
      </c>
      <c r="AM275" s="60"/>
      <c r="AN275" s="58"/>
      <c r="AO275" s="62">
        <f t="shared" si="661"/>
        <v>9</v>
      </c>
      <c r="AP275" s="60"/>
      <c r="AQ275" s="58"/>
      <c r="AR275" s="62">
        <f t="shared" si="662"/>
        <v>9</v>
      </c>
      <c r="AS275" s="60"/>
      <c r="AT275" s="58"/>
      <c r="AU275" s="62">
        <f t="shared" si="663"/>
        <v>9</v>
      </c>
      <c r="AV275" s="83">
        <f t="shared" si="664"/>
        <v>0</v>
      </c>
      <c r="AW275" s="83">
        <f t="shared" si="647"/>
        <v>0</v>
      </c>
      <c r="AX275" s="64">
        <f t="shared" si="665"/>
        <v>0</v>
      </c>
      <c r="AY275" s="65" t="e">
        <f t="shared" si="630"/>
        <v>#DIV/0!</v>
      </c>
      <c r="AZ275" s="66">
        <f t="shared" si="631"/>
        <v>0</v>
      </c>
      <c r="BA275" s="67">
        <v>9</v>
      </c>
      <c r="BB275" s="68">
        <v>1</v>
      </c>
      <c r="BC275" s="84">
        <f t="shared" si="629"/>
        <v>9</v>
      </c>
      <c r="BD275" s="83">
        <f t="shared" si="613"/>
        <v>8</v>
      </c>
      <c r="BE275" s="85">
        <v>2</v>
      </c>
      <c r="BF275" s="86">
        <v>43003.485601851855</v>
      </c>
      <c r="BG275" s="72">
        <f t="shared" si="650"/>
        <v>46265</v>
      </c>
      <c r="BH275" s="87">
        <f t="shared" si="666"/>
        <v>3261.5143981481451</v>
      </c>
      <c r="BI275" s="80" t="str">
        <f t="shared" si="614"/>
        <v>Dead Stock</v>
      </c>
      <c r="BJ275" s="238">
        <v>235</v>
      </c>
    </row>
    <row r="276" spans="1:293" ht="13">
      <c r="A276" s="90"/>
      <c r="B276" s="91"/>
      <c r="C276" s="77">
        <v>273</v>
      </c>
      <c r="D276" s="127" t="s">
        <v>1519</v>
      </c>
      <c r="E276" s="127">
        <v>15</v>
      </c>
      <c r="F276" s="80" t="s">
        <v>506</v>
      </c>
      <c r="G276" s="81" t="s">
        <v>507</v>
      </c>
      <c r="H276" s="81" t="s">
        <v>294</v>
      </c>
      <c r="I276" s="80" t="s">
        <v>458</v>
      </c>
      <c r="J276" s="82">
        <f t="shared" si="651"/>
        <v>3</v>
      </c>
      <c r="K276" s="80">
        <v>3</v>
      </c>
      <c r="L276" s="57"/>
      <c r="M276" s="58"/>
      <c r="N276" s="59">
        <f t="shared" si="652"/>
        <v>3</v>
      </c>
      <c r="O276" s="60"/>
      <c r="P276" s="58"/>
      <c r="Q276" s="59">
        <f t="shared" si="653"/>
        <v>3</v>
      </c>
      <c r="R276" s="60"/>
      <c r="S276" s="58"/>
      <c r="T276" s="61">
        <f t="shared" si="654"/>
        <v>3</v>
      </c>
      <c r="U276" s="60"/>
      <c r="V276" s="58"/>
      <c r="W276" s="59">
        <f t="shared" si="655"/>
        <v>3</v>
      </c>
      <c r="X276" s="60"/>
      <c r="Y276" s="58"/>
      <c r="Z276" s="61">
        <f t="shared" si="656"/>
        <v>3</v>
      </c>
      <c r="AA276" s="60"/>
      <c r="AB276" s="58"/>
      <c r="AC276" s="59">
        <f t="shared" si="657"/>
        <v>3</v>
      </c>
      <c r="AD276" s="57"/>
      <c r="AE276" s="58"/>
      <c r="AF276" s="243">
        <f t="shared" si="658"/>
        <v>3</v>
      </c>
      <c r="AG276" s="60"/>
      <c r="AH276" s="58"/>
      <c r="AI276" s="62">
        <f t="shared" si="659"/>
        <v>3</v>
      </c>
      <c r="AJ276" s="60"/>
      <c r="AK276" s="58"/>
      <c r="AL276" s="62">
        <f t="shared" si="660"/>
        <v>3</v>
      </c>
      <c r="AM276" s="60"/>
      <c r="AN276" s="58"/>
      <c r="AO276" s="62">
        <f t="shared" si="661"/>
        <v>3</v>
      </c>
      <c r="AP276" s="60"/>
      <c r="AQ276" s="58"/>
      <c r="AR276" s="62">
        <f t="shared" si="662"/>
        <v>3</v>
      </c>
      <c r="AS276" s="60"/>
      <c r="AT276" s="58"/>
      <c r="AU276" s="62">
        <f t="shared" si="663"/>
        <v>3</v>
      </c>
      <c r="AV276" s="83">
        <f t="shared" si="664"/>
        <v>0</v>
      </c>
      <c r="AW276" s="83">
        <f t="shared" si="647"/>
        <v>0</v>
      </c>
      <c r="AX276" s="64">
        <f t="shared" si="665"/>
        <v>0</v>
      </c>
      <c r="AY276" s="65" t="e">
        <f t="shared" si="630"/>
        <v>#DIV/0!</v>
      </c>
      <c r="AZ276" s="66">
        <f t="shared" si="631"/>
        <v>0</v>
      </c>
      <c r="BA276" s="67">
        <v>3</v>
      </c>
      <c r="BB276" s="68">
        <v>1</v>
      </c>
      <c r="BC276" s="84">
        <f t="shared" si="629"/>
        <v>3</v>
      </c>
      <c r="BD276" s="83">
        <f t="shared" si="613"/>
        <v>2</v>
      </c>
      <c r="BE276" s="85">
        <v>2</v>
      </c>
      <c r="BF276" s="86">
        <v>43276.564120370371</v>
      </c>
      <c r="BG276" s="72">
        <f t="shared" si="650"/>
        <v>46265</v>
      </c>
      <c r="BH276" s="87">
        <f t="shared" si="666"/>
        <v>2988.4358796296292</v>
      </c>
      <c r="BI276" s="80" t="str">
        <f t="shared" si="614"/>
        <v>Dead Stock</v>
      </c>
      <c r="BJ276" s="238">
        <v>932</v>
      </c>
    </row>
    <row r="277" spans="1:293" s="48" customFormat="1" ht="13">
      <c r="A277" s="49"/>
      <c r="B277" s="50"/>
      <c r="C277" s="51">
        <v>274</v>
      </c>
      <c r="D277" s="127" t="s">
        <v>1519</v>
      </c>
      <c r="E277" s="127">
        <v>16</v>
      </c>
      <c r="F277" s="88" t="s">
        <v>646</v>
      </c>
      <c r="G277" s="89" t="s">
        <v>647</v>
      </c>
      <c r="H277" s="81" t="s">
        <v>290</v>
      </c>
      <c r="I277" s="80" t="s">
        <v>458</v>
      </c>
      <c r="J277" s="82">
        <f t="shared" ref="J277" si="669">AU277</f>
        <v>2</v>
      </c>
      <c r="K277" s="80">
        <v>2</v>
      </c>
      <c r="L277" s="57"/>
      <c r="M277" s="58"/>
      <c r="N277" s="59">
        <f t="shared" ref="N277" si="670">SUM(K277+L277-M277)</f>
        <v>2</v>
      </c>
      <c r="O277" s="60"/>
      <c r="P277" s="58"/>
      <c r="Q277" s="59">
        <f t="shared" ref="Q277" si="671">SUM(N277+O277-P277)</f>
        <v>2</v>
      </c>
      <c r="R277" s="60"/>
      <c r="S277" s="58"/>
      <c r="T277" s="61">
        <f t="shared" ref="T277" si="672">SUM(Q277+R277-S277)</f>
        <v>2</v>
      </c>
      <c r="U277" s="60"/>
      <c r="V277" s="58"/>
      <c r="W277" s="59">
        <f t="shared" ref="W277" si="673">SUM(T277+U277-V277)</f>
        <v>2</v>
      </c>
      <c r="X277" s="60"/>
      <c r="Y277" s="58"/>
      <c r="Z277" s="61">
        <f t="shared" ref="Z277" si="674">SUM(W277+X277-Y277)</f>
        <v>2</v>
      </c>
      <c r="AA277" s="60"/>
      <c r="AB277" s="58">
        <v>1</v>
      </c>
      <c r="AC277" s="59">
        <f t="shared" ref="AC277" si="675">SUM(Z277+AA277-AB277)</f>
        <v>1</v>
      </c>
      <c r="AD277" s="57">
        <v>2</v>
      </c>
      <c r="AE277" s="58">
        <v>1</v>
      </c>
      <c r="AF277" s="243">
        <f t="shared" ref="AF277" si="676">SUM(AC277+AD277-AE277)</f>
        <v>2</v>
      </c>
      <c r="AG277" s="60"/>
      <c r="AH277" s="58"/>
      <c r="AI277" s="62">
        <f t="shared" ref="AI277" si="677">SUM(AF277+AG277-AH277)</f>
        <v>2</v>
      </c>
      <c r="AJ277" s="60"/>
      <c r="AK277" s="58"/>
      <c r="AL277" s="62">
        <f t="shared" ref="AL277" si="678">SUM(AI277+AJ277-AK277)</f>
        <v>2</v>
      </c>
      <c r="AM277" s="60"/>
      <c r="AN277" s="58"/>
      <c r="AO277" s="62">
        <f t="shared" ref="AO277" si="679">SUM(AL277+AM277-AN277)</f>
        <v>2</v>
      </c>
      <c r="AP277" s="60"/>
      <c r="AQ277" s="58"/>
      <c r="AR277" s="62">
        <f t="shared" ref="AR277" si="680">SUM(AO277+AP277-AQ277)</f>
        <v>2</v>
      </c>
      <c r="AS277" s="60"/>
      <c r="AT277" s="58"/>
      <c r="AU277" s="62">
        <f t="shared" ref="AU277" si="681">SUM(AR277+AS277-AT277)</f>
        <v>2</v>
      </c>
      <c r="AV277" s="83">
        <f t="shared" ref="AV277" si="682">SUM(L277+O277+R277+U277+X277+AA277+AD277+AG277+AJ277+AM277+AP277+AS277)</f>
        <v>2</v>
      </c>
      <c r="AW277" s="83">
        <f t="shared" ref="AW277:AW281" si="683">SUM(M277+P277+S277+V277+Y277+AB277+AE277+AH277+AK277+AN277+AQ277+AT277)</f>
        <v>2</v>
      </c>
      <c r="AX277" s="64">
        <f t="shared" ref="AX277" si="684">SUM(M277,P277,S277,V277,Y277,AB277,AE277,AH277,AK277,AN277,AQ277,AT277)</f>
        <v>2</v>
      </c>
      <c r="AY277" s="65">
        <f t="shared" ref="AY277" si="685">AVERAGE(M277,P277,S277,V277,Y277,AB277,AE277,AH277,AK277,AN277,AQ277,AT277)</f>
        <v>1</v>
      </c>
      <c r="AZ277" s="66">
        <f t="shared" ref="AZ277" si="686">COUNT(M277,P277,S277,V277,Y277,AB277,AE277,AH277,AK277,AN277,AQ277,AT277)</f>
        <v>2</v>
      </c>
      <c r="BA277" s="67">
        <f>MAX(0, Table176252626[[#This Row],[Column6]])</f>
        <v>2</v>
      </c>
      <c r="BB277" s="68">
        <v>1</v>
      </c>
      <c r="BC277" s="84">
        <f t="shared" si="629"/>
        <v>2</v>
      </c>
      <c r="BD277" s="83">
        <f t="shared" si="613"/>
        <v>1</v>
      </c>
      <c r="BE277" s="85">
        <v>2</v>
      </c>
      <c r="BF277" s="86">
        <v>46217</v>
      </c>
      <c r="BG277" s="72">
        <f t="shared" si="650"/>
        <v>46265</v>
      </c>
      <c r="BH277" s="87">
        <f t="shared" ref="BH277" si="687">BG277-BF277</f>
        <v>48</v>
      </c>
      <c r="BI277" s="80" t="str">
        <f t="shared" si="614"/>
        <v/>
      </c>
      <c r="BJ277" s="238">
        <v>981</v>
      </c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  <c r="FS277" s="30"/>
      <c r="FT277" s="30"/>
      <c r="FU277" s="30"/>
      <c r="FV277" s="30"/>
      <c r="FW277" s="30"/>
      <c r="FX277" s="30"/>
      <c r="FY277" s="30"/>
      <c r="FZ277" s="30"/>
      <c r="GA277" s="30"/>
      <c r="GB277" s="30"/>
      <c r="GC277" s="30"/>
      <c r="GD277" s="30"/>
      <c r="GE277" s="30"/>
      <c r="GF277" s="30"/>
      <c r="GG277" s="30"/>
      <c r="GH277" s="30"/>
      <c r="GI277" s="30"/>
      <c r="GJ277" s="30"/>
      <c r="GK277" s="30"/>
      <c r="GL277" s="30"/>
      <c r="GM277" s="30"/>
      <c r="GN277" s="30"/>
      <c r="GO277" s="30"/>
      <c r="GP277" s="30"/>
      <c r="GQ277" s="30"/>
      <c r="GR277" s="30"/>
      <c r="GS277" s="30"/>
      <c r="GT277" s="30"/>
      <c r="GU277" s="30"/>
      <c r="GV277" s="30"/>
      <c r="GW277" s="30"/>
      <c r="GX277" s="30"/>
      <c r="GY277" s="30"/>
      <c r="GZ277" s="30"/>
      <c r="HA277" s="30"/>
      <c r="HB277" s="30"/>
      <c r="HC277" s="30"/>
      <c r="HD277" s="30"/>
      <c r="HE277" s="30"/>
      <c r="HF277" s="30"/>
      <c r="HG277" s="30"/>
      <c r="HH277" s="30"/>
      <c r="HI277" s="30"/>
      <c r="HJ277" s="30"/>
      <c r="HK277" s="30"/>
      <c r="HL277" s="30"/>
      <c r="HM277" s="30"/>
      <c r="HN277" s="30"/>
      <c r="HO277" s="30"/>
      <c r="HP277" s="30"/>
      <c r="HQ277" s="30"/>
      <c r="HR277" s="30"/>
      <c r="HS277" s="30"/>
      <c r="HT277" s="30"/>
      <c r="HU277" s="30"/>
      <c r="HV277" s="30"/>
      <c r="HW277" s="30"/>
      <c r="HX277" s="30"/>
      <c r="HY277" s="30"/>
      <c r="HZ277" s="30"/>
      <c r="IA277" s="30"/>
      <c r="IB277" s="30"/>
      <c r="IC277" s="30"/>
      <c r="ID277" s="30"/>
      <c r="IE277" s="30"/>
      <c r="IF277" s="30"/>
      <c r="IG277" s="30"/>
      <c r="IH277" s="30"/>
      <c r="II277" s="30"/>
      <c r="IJ277" s="30"/>
      <c r="IK277" s="30"/>
      <c r="IL277" s="30"/>
      <c r="IM277" s="30"/>
      <c r="IN277" s="30"/>
      <c r="IO277" s="30"/>
      <c r="IP277" s="30"/>
      <c r="IQ277" s="30"/>
      <c r="IR277" s="30"/>
      <c r="IS277" s="30"/>
      <c r="IT277" s="30"/>
      <c r="IU277" s="30"/>
      <c r="IV277" s="30"/>
      <c r="IW277" s="30"/>
      <c r="IX277" s="30"/>
      <c r="IY277" s="30"/>
      <c r="IZ277" s="30"/>
      <c r="JA277" s="30"/>
      <c r="JB277" s="30"/>
      <c r="JC277" s="30"/>
      <c r="JD277" s="30"/>
      <c r="JE277" s="30"/>
      <c r="JF277" s="30"/>
      <c r="JG277" s="30"/>
      <c r="JH277" s="30"/>
      <c r="JI277" s="30"/>
      <c r="JJ277" s="30"/>
      <c r="JK277" s="30"/>
      <c r="JL277" s="30"/>
      <c r="JM277" s="30"/>
      <c r="JN277" s="30"/>
      <c r="JO277" s="30"/>
      <c r="JP277" s="30"/>
      <c r="JQ277" s="30"/>
      <c r="JR277" s="30"/>
      <c r="JS277" s="30"/>
      <c r="JT277" s="30"/>
      <c r="JU277" s="30"/>
      <c r="JV277" s="30"/>
      <c r="JW277" s="30"/>
      <c r="JX277" s="30"/>
      <c r="JY277" s="30"/>
      <c r="JZ277" s="30"/>
      <c r="KA277" s="30"/>
      <c r="KB277" s="30"/>
      <c r="KC277" s="30"/>
      <c r="KD277" s="30"/>
      <c r="KE277" s="30"/>
      <c r="KF277" s="30"/>
      <c r="KG277" s="30"/>
    </row>
    <row r="278" spans="1:293" ht="13">
      <c r="A278" s="49"/>
      <c r="B278" s="50"/>
      <c r="C278" s="51">
        <v>275</v>
      </c>
      <c r="D278" s="127" t="s">
        <v>1519</v>
      </c>
      <c r="E278" s="127">
        <v>17</v>
      </c>
      <c r="F278" s="88" t="s">
        <v>1761</v>
      </c>
      <c r="G278" s="89" t="s">
        <v>1762</v>
      </c>
      <c r="H278" s="89" t="s">
        <v>294</v>
      </c>
      <c r="I278" s="88" t="s">
        <v>458</v>
      </c>
      <c r="J278" s="93">
        <f>AU278</f>
        <v>4</v>
      </c>
      <c r="K278" s="80">
        <v>5</v>
      </c>
      <c r="L278" s="58"/>
      <c r="M278" s="58"/>
      <c r="N278" s="62">
        <f t="shared" ref="N278:N305" si="688">SUM(K278+L278-M278)</f>
        <v>5</v>
      </c>
      <c r="O278" s="60"/>
      <c r="P278" s="58"/>
      <c r="Q278" s="62">
        <f t="shared" ref="Q278:Q305" si="689">SUM(N278+O278-P278)</f>
        <v>5</v>
      </c>
      <c r="R278" s="60"/>
      <c r="S278" s="58"/>
      <c r="T278" s="94">
        <f t="shared" ref="T278:T305" si="690">SUM(Q278+R278-S278)</f>
        <v>5</v>
      </c>
      <c r="U278" s="60"/>
      <c r="V278" s="58"/>
      <c r="W278" s="62">
        <f t="shared" ref="W278:W305" si="691">SUM(T278+U278-V278)</f>
        <v>5</v>
      </c>
      <c r="X278" s="60"/>
      <c r="Y278" s="58"/>
      <c r="Z278" s="94">
        <f t="shared" ref="Z278:Z305" si="692">SUM(W278+X278-Y278)</f>
        <v>5</v>
      </c>
      <c r="AA278" s="60"/>
      <c r="AB278" s="58"/>
      <c r="AC278" s="62">
        <f t="shared" ref="AC278:AC305" si="693">SUM(Z278+AA278-AB278)</f>
        <v>5</v>
      </c>
      <c r="AD278" s="57"/>
      <c r="AE278" s="58"/>
      <c r="AF278" s="165">
        <f t="shared" ref="AF278:AF305" si="694">SUM(AC278+AD278-AE278)</f>
        <v>5</v>
      </c>
      <c r="AG278" s="60"/>
      <c r="AH278" s="58">
        <v>1</v>
      </c>
      <c r="AI278" s="62">
        <f t="shared" ref="AI278:AI305" si="695">SUM(AF278+AG278-AH278)</f>
        <v>4</v>
      </c>
      <c r="AJ278" s="60"/>
      <c r="AK278" s="58"/>
      <c r="AL278" s="62">
        <f t="shared" ref="AL278:AL305" si="696">SUM(AI278+AJ278-AK278)</f>
        <v>4</v>
      </c>
      <c r="AM278" s="60"/>
      <c r="AN278" s="58"/>
      <c r="AO278" s="62">
        <f t="shared" ref="AO278:AO305" si="697">SUM(AL278+AM278-AN278)</f>
        <v>4</v>
      </c>
      <c r="AP278" s="60"/>
      <c r="AQ278" s="58"/>
      <c r="AR278" s="62">
        <f t="shared" ref="AR278:AR305" si="698">SUM(AO278+AP278-AQ278)</f>
        <v>4</v>
      </c>
      <c r="AS278" s="60"/>
      <c r="AT278" s="58"/>
      <c r="AU278" s="62">
        <f t="shared" ref="AU278:AU282" si="699">SUM(AR278+AS278-AT278)</f>
        <v>4</v>
      </c>
      <c r="AV278" s="96">
        <f>SUM(L278+O278+R278+U278+X278+AA278+AD278+AG278+AJ278+AM278+AP278+AS278)</f>
        <v>0</v>
      </c>
      <c r="AW278" s="97">
        <f t="shared" si="683"/>
        <v>1</v>
      </c>
      <c r="AX278" s="98">
        <f t="shared" ref="AX278:AX282" si="700">SUM(M278,P278,S278,V278,Y278,AB278,AE278,AH278,AK278,AN278,AQ278,AT278)</f>
        <v>1</v>
      </c>
      <c r="AY278" s="99">
        <f t="shared" ref="AY278:AY297" si="701">AVERAGE(M278,P278,S278,V278,Y278,AB278,AE278,AH278,AK278,AN278,AQ278,AT278)</f>
        <v>1</v>
      </c>
      <c r="AZ278" s="100">
        <f t="shared" ref="AZ278:AZ297" si="702">COUNT(M278,P278,S278,V278,Y278,AB278,AE278,AH278,AK278,AN278,AQ278,AT278)</f>
        <v>1</v>
      </c>
      <c r="BA278" s="101">
        <v>5</v>
      </c>
      <c r="BB278" s="102">
        <v>1</v>
      </c>
      <c r="BC278" s="84">
        <f t="shared" si="629"/>
        <v>4</v>
      </c>
      <c r="BD278" s="83">
        <f t="shared" si="613"/>
        <v>3</v>
      </c>
      <c r="BE278" s="85">
        <v>2</v>
      </c>
      <c r="BF278" s="86">
        <v>45833</v>
      </c>
      <c r="BG278" s="72">
        <f t="shared" si="650"/>
        <v>46265</v>
      </c>
      <c r="BH278" s="103">
        <f t="shared" ref="BH278:BH306" si="703">BG278-BF278</f>
        <v>432</v>
      </c>
      <c r="BI278" s="80" t="str">
        <f t="shared" si="614"/>
        <v>Dead Stock</v>
      </c>
      <c r="BJ278" s="238">
        <v>405</v>
      </c>
    </row>
    <row r="279" spans="1:293" s="48" customFormat="1" ht="13">
      <c r="A279" s="49"/>
      <c r="B279" s="76"/>
      <c r="C279" s="51">
        <v>276</v>
      </c>
      <c r="D279" s="127" t="s">
        <v>1519</v>
      </c>
      <c r="E279" s="127">
        <v>18</v>
      </c>
      <c r="F279" s="80" t="s">
        <v>190</v>
      </c>
      <c r="G279" s="81" t="s">
        <v>191</v>
      </c>
      <c r="H279" s="81" t="s">
        <v>290</v>
      </c>
      <c r="I279" s="80" t="s">
        <v>458</v>
      </c>
      <c r="J279" s="82">
        <f>AU279</f>
        <v>1</v>
      </c>
      <c r="K279" s="80">
        <v>1</v>
      </c>
      <c r="L279" s="57"/>
      <c r="M279" s="58"/>
      <c r="N279" s="59">
        <f t="shared" si="688"/>
        <v>1</v>
      </c>
      <c r="O279" s="60"/>
      <c r="P279" s="58"/>
      <c r="Q279" s="59">
        <f t="shared" si="689"/>
        <v>1</v>
      </c>
      <c r="R279" s="60"/>
      <c r="S279" s="58"/>
      <c r="T279" s="61">
        <f t="shared" si="690"/>
        <v>1</v>
      </c>
      <c r="U279" s="60"/>
      <c r="V279" s="58"/>
      <c r="W279" s="59">
        <f t="shared" si="691"/>
        <v>1</v>
      </c>
      <c r="X279" s="60"/>
      <c r="Y279" s="58"/>
      <c r="Z279" s="61">
        <f t="shared" si="692"/>
        <v>1</v>
      </c>
      <c r="AA279" s="60"/>
      <c r="AB279" s="58"/>
      <c r="AC279" s="59">
        <f t="shared" si="693"/>
        <v>1</v>
      </c>
      <c r="AD279" s="57"/>
      <c r="AE279" s="58"/>
      <c r="AF279" s="243">
        <f t="shared" si="694"/>
        <v>1</v>
      </c>
      <c r="AG279" s="60"/>
      <c r="AH279" s="58"/>
      <c r="AI279" s="62">
        <f t="shared" si="695"/>
        <v>1</v>
      </c>
      <c r="AJ279" s="60"/>
      <c r="AK279" s="58"/>
      <c r="AL279" s="62">
        <f t="shared" si="696"/>
        <v>1</v>
      </c>
      <c r="AM279" s="60"/>
      <c r="AN279" s="58"/>
      <c r="AO279" s="62">
        <f t="shared" si="697"/>
        <v>1</v>
      </c>
      <c r="AP279" s="60"/>
      <c r="AQ279" s="58"/>
      <c r="AR279" s="62">
        <f t="shared" si="698"/>
        <v>1</v>
      </c>
      <c r="AS279" s="60"/>
      <c r="AT279" s="58"/>
      <c r="AU279" s="62">
        <f t="shared" si="699"/>
        <v>1</v>
      </c>
      <c r="AV279" s="83">
        <f>SUM(L279+O279+R279+U279+X279+AA279+AD279+AG279+AJ279+AM279+AP279+AS279)</f>
        <v>0</v>
      </c>
      <c r="AW279" s="83">
        <f t="shared" si="683"/>
        <v>0</v>
      </c>
      <c r="AX279" s="64">
        <f t="shared" si="700"/>
        <v>0</v>
      </c>
      <c r="AY279" s="65" t="e">
        <f t="shared" si="701"/>
        <v>#DIV/0!</v>
      </c>
      <c r="AZ279" s="66">
        <f t="shared" si="702"/>
        <v>0</v>
      </c>
      <c r="BA279" s="67">
        <f>MAX(0, Table176252626[[#This Row],[Column6]])</f>
        <v>1</v>
      </c>
      <c r="BB279" s="68">
        <v>0</v>
      </c>
      <c r="BC279" s="84">
        <f t="shared" si="629"/>
        <v>1</v>
      </c>
      <c r="BD279" s="83">
        <f t="shared" si="613"/>
        <v>1</v>
      </c>
      <c r="BE279" s="85">
        <v>2</v>
      </c>
      <c r="BF279" s="86">
        <v>44459.531458333331</v>
      </c>
      <c r="BG279" s="72">
        <f t="shared" si="650"/>
        <v>46265</v>
      </c>
      <c r="BH279" s="87">
        <f t="shared" si="703"/>
        <v>1805.4685416666689</v>
      </c>
      <c r="BI279" s="80" t="str">
        <f t="shared" si="614"/>
        <v>Dead Stock</v>
      </c>
      <c r="BJ279" s="238">
        <v>310</v>
      </c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  <c r="FS279" s="30"/>
      <c r="FT279" s="30"/>
      <c r="FU279" s="30"/>
      <c r="FV279" s="30"/>
      <c r="FW279" s="30"/>
      <c r="FX279" s="30"/>
      <c r="FY279" s="30"/>
      <c r="FZ279" s="30"/>
      <c r="GA279" s="30"/>
      <c r="GB279" s="30"/>
      <c r="GC279" s="30"/>
      <c r="GD279" s="30"/>
      <c r="GE279" s="30"/>
      <c r="GF279" s="30"/>
      <c r="GG279" s="30"/>
      <c r="GH279" s="30"/>
      <c r="GI279" s="30"/>
      <c r="GJ279" s="30"/>
      <c r="GK279" s="30"/>
      <c r="GL279" s="30"/>
      <c r="GM279" s="30"/>
      <c r="GN279" s="30"/>
      <c r="GO279" s="30"/>
      <c r="GP279" s="30"/>
      <c r="GQ279" s="30"/>
      <c r="GR279" s="30"/>
      <c r="GS279" s="30"/>
      <c r="GT279" s="30"/>
      <c r="GU279" s="30"/>
      <c r="GV279" s="30"/>
      <c r="GW279" s="30"/>
      <c r="GX279" s="30"/>
      <c r="GY279" s="30"/>
      <c r="GZ279" s="30"/>
      <c r="HA279" s="30"/>
      <c r="HB279" s="30"/>
      <c r="HC279" s="30"/>
      <c r="HD279" s="30"/>
      <c r="HE279" s="30"/>
      <c r="HF279" s="30"/>
      <c r="HG279" s="30"/>
      <c r="HH279" s="30"/>
      <c r="HI279" s="30"/>
      <c r="HJ279" s="30"/>
      <c r="HK279" s="30"/>
      <c r="HL279" s="30"/>
      <c r="HM279" s="30"/>
      <c r="HN279" s="30"/>
      <c r="HO279" s="30"/>
      <c r="HP279" s="30"/>
      <c r="HQ279" s="30"/>
      <c r="HR279" s="30"/>
      <c r="HS279" s="30"/>
      <c r="HT279" s="30"/>
      <c r="HU279" s="30"/>
      <c r="HV279" s="30"/>
      <c r="HW279" s="30"/>
      <c r="HX279" s="30"/>
      <c r="HY279" s="30"/>
      <c r="HZ279" s="30"/>
      <c r="IA279" s="30"/>
      <c r="IB279" s="30"/>
      <c r="IC279" s="30"/>
      <c r="ID279" s="30"/>
      <c r="IE279" s="30"/>
      <c r="IF279" s="30"/>
      <c r="IG279" s="30"/>
      <c r="IH279" s="30"/>
      <c r="II279" s="30"/>
      <c r="IJ279" s="30"/>
      <c r="IK279" s="30"/>
      <c r="IL279" s="30"/>
      <c r="IM279" s="30"/>
      <c r="IN279" s="30"/>
      <c r="IO279" s="30"/>
      <c r="IP279" s="30"/>
      <c r="IQ279" s="30"/>
      <c r="IR279" s="30"/>
      <c r="IS279" s="30"/>
      <c r="IT279" s="30"/>
      <c r="IU279" s="30"/>
      <c r="IV279" s="30"/>
      <c r="IW279" s="30"/>
      <c r="IX279" s="30"/>
      <c r="IY279" s="30"/>
      <c r="IZ279" s="30"/>
      <c r="JA279" s="30"/>
      <c r="JB279" s="30"/>
      <c r="JC279" s="30"/>
      <c r="JD279" s="30"/>
      <c r="JE279" s="30"/>
      <c r="JF279" s="30"/>
      <c r="JG279" s="30"/>
      <c r="JH279" s="30"/>
      <c r="JI279" s="30"/>
      <c r="JJ279" s="30"/>
      <c r="JK279" s="30"/>
      <c r="JL279" s="30"/>
      <c r="JM279" s="30"/>
      <c r="JN279" s="30"/>
      <c r="JO279" s="30"/>
      <c r="JP279" s="30"/>
      <c r="JQ279" s="30"/>
      <c r="JR279" s="30"/>
      <c r="JS279" s="30"/>
      <c r="JT279" s="30"/>
      <c r="JU279" s="30"/>
      <c r="JV279" s="30"/>
      <c r="JW279" s="30"/>
      <c r="JX279" s="30"/>
      <c r="JY279" s="30"/>
      <c r="JZ279" s="30"/>
      <c r="KA279" s="30"/>
      <c r="KB279" s="30"/>
      <c r="KC279" s="30"/>
      <c r="KD279" s="30"/>
      <c r="KE279" s="30"/>
      <c r="KF279" s="30"/>
      <c r="KG279" s="30"/>
    </row>
    <row r="280" spans="1:293" s="48" customFormat="1" ht="13">
      <c r="A280" s="49"/>
      <c r="B280" s="76"/>
      <c r="C280" s="51">
        <v>277</v>
      </c>
      <c r="D280" s="127" t="s">
        <v>1519</v>
      </c>
      <c r="E280" s="127">
        <v>19</v>
      </c>
      <c r="F280" s="80" t="s">
        <v>494</v>
      </c>
      <c r="G280" s="81" t="s">
        <v>495</v>
      </c>
      <c r="H280" s="81" t="s">
        <v>290</v>
      </c>
      <c r="I280" s="80" t="s">
        <v>458</v>
      </c>
      <c r="J280" s="82">
        <f t="shared" ref="J280" si="704">AU280</f>
        <v>2</v>
      </c>
      <c r="K280" s="80">
        <v>2</v>
      </c>
      <c r="L280" s="57"/>
      <c r="M280" s="58"/>
      <c r="N280" s="59">
        <f t="shared" si="688"/>
        <v>2</v>
      </c>
      <c r="O280" s="60"/>
      <c r="P280" s="58"/>
      <c r="Q280" s="59">
        <f t="shared" si="689"/>
        <v>2</v>
      </c>
      <c r="R280" s="60"/>
      <c r="S280" s="58"/>
      <c r="T280" s="61">
        <f t="shared" si="690"/>
        <v>2</v>
      </c>
      <c r="U280" s="60"/>
      <c r="V280" s="58"/>
      <c r="W280" s="59">
        <f t="shared" si="691"/>
        <v>2</v>
      </c>
      <c r="X280" s="60"/>
      <c r="Y280" s="58"/>
      <c r="Z280" s="61">
        <f t="shared" si="692"/>
        <v>2</v>
      </c>
      <c r="AA280" s="60"/>
      <c r="AB280" s="58"/>
      <c r="AC280" s="59">
        <f t="shared" si="693"/>
        <v>2</v>
      </c>
      <c r="AD280" s="57"/>
      <c r="AE280" s="58"/>
      <c r="AF280" s="243">
        <f t="shared" si="694"/>
        <v>2</v>
      </c>
      <c r="AG280" s="60"/>
      <c r="AH280" s="58"/>
      <c r="AI280" s="62">
        <f t="shared" si="695"/>
        <v>2</v>
      </c>
      <c r="AJ280" s="60"/>
      <c r="AK280" s="58"/>
      <c r="AL280" s="62">
        <f t="shared" si="696"/>
        <v>2</v>
      </c>
      <c r="AM280" s="60"/>
      <c r="AN280" s="58"/>
      <c r="AO280" s="62">
        <f t="shared" si="697"/>
        <v>2</v>
      </c>
      <c r="AP280" s="60"/>
      <c r="AQ280" s="58"/>
      <c r="AR280" s="62">
        <f t="shared" si="698"/>
        <v>2</v>
      </c>
      <c r="AS280" s="60"/>
      <c r="AT280" s="58"/>
      <c r="AU280" s="62">
        <f t="shared" si="699"/>
        <v>2</v>
      </c>
      <c r="AV280" s="83">
        <f>SUM(L280+O280+R280+U280+X280+AA280+AD280+AG280+AJ280+AM280+AP280+AS280)</f>
        <v>0</v>
      </c>
      <c r="AW280" s="83">
        <f t="shared" si="683"/>
        <v>0</v>
      </c>
      <c r="AX280" s="64">
        <f t="shared" si="700"/>
        <v>0</v>
      </c>
      <c r="AY280" s="65" t="e">
        <f t="shared" si="701"/>
        <v>#DIV/0!</v>
      </c>
      <c r="AZ280" s="66">
        <f t="shared" si="702"/>
        <v>0</v>
      </c>
      <c r="BA280" s="67">
        <f>MAX(0, Table176252626[[#This Row],[Column6]])</f>
        <v>2</v>
      </c>
      <c r="BB280" s="68">
        <v>1</v>
      </c>
      <c r="BC280" s="84">
        <f t="shared" si="629"/>
        <v>2</v>
      </c>
      <c r="BD280" s="83">
        <f t="shared" si="613"/>
        <v>1</v>
      </c>
      <c r="BE280" s="85">
        <v>2</v>
      </c>
      <c r="BF280" s="86">
        <v>43256.549745370372</v>
      </c>
      <c r="BG280" s="72">
        <f t="shared" si="650"/>
        <v>46265</v>
      </c>
      <c r="BH280" s="87">
        <f t="shared" si="703"/>
        <v>3008.450254629628</v>
      </c>
      <c r="BI280" s="80" t="str">
        <f t="shared" si="614"/>
        <v>Dead Stock</v>
      </c>
      <c r="BJ280" s="238">
        <v>150</v>
      </c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  <c r="FS280" s="30"/>
      <c r="FT280" s="30"/>
      <c r="FU280" s="30"/>
      <c r="FV280" s="30"/>
      <c r="FW280" s="30"/>
      <c r="FX280" s="30"/>
      <c r="FY280" s="30"/>
      <c r="FZ280" s="30"/>
      <c r="GA280" s="30"/>
      <c r="GB280" s="30"/>
      <c r="GC280" s="30"/>
      <c r="GD280" s="30"/>
      <c r="GE280" s="30"/>
      <c r="GF280" s="30"/>
      <c r="GG280" s="30"/>
      <c r="GH280" s="30"/>
      <c r="GI280" s="30"/>
      <c r="GJ280" s="30"/>
      <c r="GK280" s="30"/>
      <c r="GL280" s="30"/>
      <c r="GM280" s="30"/>
      <c r="GN280" s="30"/>
      <c r="GO280" s="30"/>
      <c r="GP280" s="30"/>
      <c r="GQ280" s="30"/>
      <c r="GR280" s="30"/>
      <c r="GS280" s="30"/>
      <c r="GT280" s="30"/>
      <c r="GU280" s="30"/>
      <c r="GV280" s="30"/>
      <c r="GW280" s="30"/>
      <c r="GX280" s="30"/>
      <c r="GY280" s="30"/>
      <c r="GZ280" s="30"/>
      <c r="HA280" s="30"/>
      <c r="HB280" s="30"/>
      <c r="HC280" s="30"/>
      <c r="HD280" s="30"/>
      <c r="HE280" s="30"/>
      <c r="HF280" s="30"/>
      <c r="HG280" s="30"/>
      <c r="HH280" s="30"/>
      <c r="HI280" s="30"/>
      <c r="HJ280" s="30"/>
      <c r="HK280" s="30"/>
      <c r="HL280" s="30"/>
      <c r="HM280" s="30"/>
      <c r="HN280" s="30"/>
      <c r="HO280" s="30"/>
      <c r="HP280" s="30"/>
      <c r="HQ280" s="30"/>
      <c r="HR280" s="30"/>
      <c r="HS280" s="30"/>
      <c r="HT280" s="30"/>
      <c r="HU280" s="30"/>
      <c r="HV280" s="30"/>
      <c r="HW280" s="30"/>
      <c r="HX280" s="30"/>
      <c r="HY280" s="30"/>
      <c r="HZ280" s="30"/>
      <c r="IA280" s="30"/>
      <c r="IB280" s="30"/>
      <c r="IC280" s="30"/>
      <c r="ID280" s="30"/>
      <c r="IE280" s="30"/>
      <c r="IF280" s="30"/>
      <c r="IG280" s="30"/>
      <c r="IH280" s="30"/>
      <c r="II280" s="30"/>
      <c r="IJ280" s="30"/>
      <c r="IK280" s="30"/>
      <c r="IL280" s="30"/>
      <c r="IM280" s="30"/>
      <c r="IN280" s="30"/>
      <c r="IO280" s="30"/>
      <c r="IP280" s="30"/>
      <c r="IQ280" s="30"/>
      <c r="IR280" s="30"/>
      <c r="IS280" s="30"/>
      <c r="IT280" s="30"/>
      <c r="IU280" s="30"/>
      <c r="IV280" s="30"/>
      <c r="IW280" s="30"/>
      <c r="IX280" s="30"/>
      <c r="IY280" s="30"/>
      <c r="IZ280" s="30"/>
      <c r="JA280" s="30"/>
      <c r="JB280" s="30"/>
      <c r="JC280" s="30"/>
      <c r="JD280" s="30"/>
      <c r="JE280" s="30"/>
      <c r="JF280" s="30"/>
      <c r="JG280" s="30"/>
      <c r="JH280" s="30"/>
      <c r="JI280" s="30"/>
      <c r="JJ280" s="30"/>
      <c r="JK280" s="30"/>
      <c r="JL280" s="30"/>
      <c r="JM280" s="30"/>
      <c r="JN280" s="30"/>
      <c r="JO280" s="30"/>
      <c r="JP280" s="30"/>
      <c r="JQ280" s="30"/>
      <c r="JR280" s="30"/>
      <c r="JS280" s="30"/>
      <c r="JT280" s="30"/>
      <c r="JU280" s="30"/>
      <c r="JV280" s="30"/>
      <c r="JW280" s="30"/>
      <c r="JX280" s="30"/>
      <c r="JY280" s="30"/>
      <c r="JZ280" s="30"/>
      <c r="KA280" s="30"/>
      <c r="KB280" s="30"/>
      <c r="KC280" s="30"/>
      <c r="KD280" s="30"/>
      <c r="KE280" s="30"/>
      <c r="KF280" s="30"/>
      <c r="KG280" s="30"/>
    </row>
    <row r="281" spans="1:293" ht="13">
      <c r="A281" s="75"/>
      <c r="B281" s="76"/>
      <c r="C281" s="77">
        <v>278</v>
      </c>
      <c r="D281" s="127" t="s">
        <v>1519</v>
      </c>
      <c r="E281" s="127">
        <v>21</v>
      </c>
      <c r="F281" s="54" t="s">
        <v>930</v>
      </c>
      <c r="G281" s="55" t="s">
        <v>929</v>
      </c>
      <c r="H281" s="81" t="s">
        <v>297</v>
      </c>
      <c r="I281" s="88" t="s">
        <v>458</v>
      </c>
      <c r="J281" s="82">
        <f t="shared" ref="J281:J306" si="705">AU281</f>
        <v>2</v>
      </c>
      <c r="K281" s="80">
        <v>2</v>
      </c>
      <c r="L281" s="124"/>
      <c r="M281" s="125"/>
      <c r="N281" s="59">
        <f t="shared" si="688"/>
        <v>2</v>
      </c>
      <c r="O281" s="126"/>
      <c r="P281" s="125"/>
      <c r="Q281" s="59">
        <f t="shared" si="689"/>
        <v>2</v>
      </c>
      <c r="R281" s="126"/>
      <c r="S281" s="125"/>
      <c r="T281" s="61">
        <f t="shared" si="690"/>
        <v>2</v>
      </c>
      <c r="U281" s="126"/>
      <c r="V281" s="125"/>
      <c r="W281" s="59">
        <f t="shared" si="691"/>
        <v>2</v>
      </c>
      <c r="X281" s="126"/>
      <c r="Y281" s="125"/>
      <c r="Z281" s="61">
        <f t="shared" si="692"/>
        <v>2</v>
      </c>
      <c r="AA281" s="126"/>
      <c r="AB281" s="125"/>
      <c r="AC281" s="59">
        <f t="shared" si="693"/>
        <v>2</v>
      </c>
      <c r="AD281" s="124"/>
      <c r="AE281" s="125"/>
      <c r="AF281" s="243">
        <f t="shared" si="694"/>
        <v>2</v>
      </c>
      <c r="AG281" s="126"/>
      <c r="AH281" s="125"/>
      <c r="AI281" s="62">
        <f t="shared" si="695"/>
        <v>2</v>
      </c>
      <c r="AJ281" s="126"/>
      <c r="AK281" s="125"/>
      <c r="AL281" s="62">
        <f t="shared" si="696"/>
        <v>2</v>
      </c>
      <c r="AM281" s="126"/>
      <c r="AN281" s="125"/>
      <c r="AO281" s="59">
        <f t="shared" si="697"/>
        <v>2</v>
      </c>
      <c r="AP281" s="126"/>
      <c r="AQ281" s="125"/>
      <c r="AR281" s="59">
        <f t="shared" si="698"/>
        <v>2</v>
      </c>
      <c r="AS281" s="126"/>
      <c r="AT281" s="125"/>
      <c r="AU281" s="59">
        <f t="shared" si="699"/>
        <v>2</v>
      </c>
      <c r="AV281" s="83">
        <f>SUM(L281+O281+R281+U281+X281+AA281+AD281+AG281+AJ281+AM281+AP281+AS281)</f>
        <v>0</v>
      </c>
      <c r="AW281" s="83">
        <f t="shared" si="683"/>
        <v>0</v>
      </c>
      <c r="AX281" s="64">
        <f t="shared" si="700"/>
        <v>0</v>
      </c>
      <c r="AY281" s="65" t="e">
        <f t="shared" si="701"/>
        <v>#DIV/0!</v>
      </c>
      <c r="AZ281" s="66">
        <f t="shared" si="702"/>
        <v>0</v>
      </c>
      <c r="BA281" s="67">
        <f>MAX(0, Table176252626[[#This Row],[Column6]])</f>
        <v>2</v>
      </c>
      <c r="BB281" s="68">
        <v>1</v>
      </c>
      <c r="BC281" s="84">
        <f t="shared" si="629"/>
        <v>2</v>
      </c>
      <c r="BD281" s="83">
        <f t="shared" si="613"/>
        <v>1</v>
      </c>
      <c r="BE281" s="85">
        <v>2</v>
      </c>
      <c r="BF281" s="86">
        <v>44392.441886574074</v>
      </c>
      <c r="BG281" s="72">
        <f t="shared" si="650"/>
        <v>46265</v>
      </c>
      <c r="BH281" s="87">
        <f t="shared" si="703"/>
        <v>1872.5581134259264</v>
      </c>
      <c r="BI281" s="80" t="str">
        <f t="shared" si="614"/>
        <v>Dead Stock</v>
      </c>
      <c r="BJ281" s="238">
        <v>567</v>
      </c>
    </row>
    <row r="282" spans="1:293" ht="13">
      <c r="A282" s="49"/>
      <c r="B282" s="50"/>
      <c r="C282" s="77">
        <v>279</v>
      </c>
      <c r="D282" s="127" t="s">
        <v>1519</v>
      </c>
      <c r="E282" s="127">
        <v>22</v>
      </c>
      <c r="F282" s="105" t="s">
        <v>964</v>
      </c>
      <c r="G282" s="81" t="s">
        <v>963</v>
      </c>
      <c r="H282" s="81" t="s">
        <v>291</v>
      </c>
      <c r="I282" s="80" t="s">
        <v>458</v>
      </c>
      <c r="J282" s="82">
        <f t="shared" si="705"/>
        <v>2</v>
      </c>
      <c r="K282" s="80">
        <v>2</v>
      </c>
      <c r="L282" s="57"/>
      <c r="M282" s="58"/>
      <c r="N282" s="59">
        <f t="shared" si="688"/>
        <v>2</v>
      </c>
      <c r="O282" s="60"/>
      <c r="P282" s="58"/>
      <c r="Q282" s="59">
        <f t="shared" si="689"/>
        <v>2</v>
      </c>
      <c r="R282" s="60"/>
      <c r="S282" s="58"/>
      <c r="T282" s="61">
        <f t="shared" si="690"/>
        <v>2</v>
      </c>
      <c r="U282" s="60"/>
      <c r="V282" s="58"/>
      <c r="W282" s="59">
        <f t="shared" si="691"/>
        <v>2</v>
      </c>
      <c r="X282" s="60"/>
      <c r="Y282" s="58"/>
      <c r="Z282" s="61">
        <f t="shared" si="692"/>
        <v>2</v>
      </c>
      <c r="AA282" s="60"/>
      <c r="AB282" s="58"/>
      <c r="AC282" s="59">
        <f t="shared" si="693"/>
        <v>2</v>
      </c>
      <c r="AD282" s="57"/>
      <c r="AE282" s="58"/>
      <c r="AF282" s="243">
        <f t="shared" si="694"/>
        <v>2</v>
      </c>
      <c r="AG282" s="60"/>
      <c r="AH282" s="58"/>
      <c r="AI282" s="62">
        <f t="shared" si="695"/>
        <v>2</v>
      </c>
      <c r="AJ282" s="60"/>
      <c r="AK282" s="58"/>
      <c r="AL282" s="62">
        <f t="shared" si="696"/>
        <v>2</v>
      </c>
      <c r="AM282" s="60"/>
      <c r="AN282" s="58"/>
      <c r="AO282" s="62">
        <f t="shared" si="697"/>
        <v>2</v>
      </c>
      <c r="AP282" s="60"/>
      <c r="AQ282" s="58"/>
      <c r="AR282" s="62">
        <f t="shared" si="698"/>
        <v>2</v>
      </c>
      <c r="AS282" s="60"/>
      <c r="AT282" s="58"/>
      <c r="AU282" s="62">
        <f t="shared" si="699"/>
        <v>2</v>
      </c>
      <c r="AV282" s="83">
        <f t="shared" ref="AV282:AW282" si="706">SUM(L282+O282+R282+U282+X282+AA282+AD282+AG282+AJ282+AM282+AP282+AS282)</f>
        <v>0</v>
      </c>
      <c r="AW282" s="83">
        <f t="shared" si="706"/>
        <v>0</v>
      </c>
      <c r="AX282" s="64">
        <f t="shared" si="700"/>
        <v>0</v>
      </c>
      <c r="AY282" s="65" t="e">
        <f t="shared" si="701"/>
        <v>#DIV/0!</v>
      </c>
      <c r="AZ282" s="66">
        <f t="shared" si="702"/>
        <v>0</v>
      </c>
      <c r="BA282" s="67">
        <f>MAX(0, Table176252626[[#This Row],[Column6]])</f>
        <v>2</v>
      </c>
      <c r="BB282" s="68">
        <v>1</v>
      </c>
      <c r="BC282" s="84">
        <f t="shared" si="629"/>
        <v>2</v>
      </c>
      <c r="BD282" s="83">
        <f t="shared" si="613"/>
        <v>1</v>
      </c>
      <c r="BE282" s="85">
        <v>2</v>
      </c>
      <c r="BF282" s="86">
        <v>44461.344328703701</v>
      </c>
      <c r="BG282" s="72">
        <f t="shared" si="650"/>
        <v>46265</v>
      </c>
      <c r="BH282" s="87">
        <f t="shared" si="703"/>
        <v>1803.6556712962993</v>
      </c>
      <c r="BI282" s="80" t="str">
        <f t="shared" si="614"/>
        <v>Dead Stock</v>
      </c>
      <c r="BJ282" s="238">
        <v>640.5</v>
      </c>
    </row>
    <row r="283" spans="1:293" ht="13">
      <c r="A283" s="90"/>
      <c r="B283" s="91"/>
      <c r="C283" s="51">
        <v>280</v>
      </c>
      <c r="D283" s="127" t="s">
        <v>1519</v>
      </c>
      <c r="E283" s="127">
        <v>23</v>
      </c>
      <c r="F283" s="105" t="s">
        <v>947</v>
      </c>
      <c r="G283" s="81" t="s">
        <v>948</v>
      </c>
      <c r="H283" s="81" t="s">
        <v>291</v>
      </c>
      <c r="I283" s="80" t="s">
        <v>458</v>
      </c>
      <c r="J283" s="82">
        <f t="shared" si="705"/>
        <v>1</v>
      </c>
      <c r="K283" s="80">
        <v>1</v>
      </c>
      <c r="L283" s="57"/>
      <c r="M283" s="58"/>
      <c r="N283" s="59">
        <f t="shared" si="688"/>
        <v>1</v>
      </c>
      <c r="O283" s="60"/>
      <c r="P283" s="58"/>
      <c r="Q283" s="59">
        <f t="shared" si="689"/>
        <v>1</v>
      </c>
      <c r="R283" s="60"/>
      <c r="S283" s="58"/>
      <c r="T283" s="61">
        <f t="shared" si="690"/>
        <v>1</v>
      </c>
      <c r="U283" s="60"/>
      <c r="V283" s="58"/>
      <c r="W283" s="59">
        <f t="shared" si="691"/>
        <v>1</v>
      </c>
      <c r="X283" s="60"/>
      <c r="Y283" s="58"/>
      <c r="Z283" s="61">
        <f t="shared" si="692"/>
        <v>1</v>
      </c>
      <c r="AA283" s="60"/>
      <c r="AB283" s="58"/>
      <c r="AC283" s="59">
        <f t="shared" si="693"/>
        <v>1</v>
      </c>
      <c r="AD283" s="57"/>
      <c r="AE283" s="58"/>
      <c r="AF283" s="243">
        <f t="shared" si="694"/>
        <v>1</v>
      </c>
      <c r="AG283" s="60"/>
      <c r="AH283" s="58"/>
      <c r="AI283" s="62">
        <f t="shared" si="695"/>
        <v>1</v>
      </c>
      <c r="AJ283" s="60"/>
      <c r="AK283" s="58"/>
      <c r="AL283" s="62">
        <f t="shared" si="696"/>
        <v>1</v>
      </c>
      <c r="AM283" s="60"/>
      <c r="AN283" s="58"/>
      <c r="AO283" s="62">
        <f t="shared" si="697"/>
        <v>1</v>
      </c>
      <c r="AP283" s="60"/>
      <c r="AQ283" s="58"/>
      <c r="AR283" s="62">
        <f t="shared" si="698"/>
        <v>1</v>
      </c>
      <c r="AS283" s="60"/>
      <c r="AT283" s="58"/>
      <c r="AU283" s="62">
        <f t="shared" ref="AU283" si="707">SUM(AR283+AS283-AT283)</f>
        <v>1</v>
      </c>
      <c r="AV283" s="83">
        <f t="shared" ref="AV283" si="708">SUM(L283+O283+R283+U283+X283+AA283+AD283+AG283+AJ283+AM283+AP283+AS283)</f>
        <v>0</v>
      </c>
      <c r="AW283" s="83">
        <f t="shared" ref="AW283:AW343" si="709">SUM(M283+P283+S283+V283+Y283+AB283+AE283+AH283+AK283+AN283+AQ283+AT283)</f>
        <v>0</v>
      </c>
      <c r="AX283" s="64">
        <f t="shared" ref="AX283" si="710">SUM(M283,P283,S283,V283,Y283,AB283,AE283,AH283,AK283,AN283,AQ283,AT283)</f>
        <v>0</v>
      </c>
      <c r="AY283" s="65" t="e">
        <f t="shared" si="701"/>
        <v>#DIV/0!</v>
      </c>
      <c r="AZ283" s="66">
        <f t="shared" si="702"/>
        <v>0</v>
      </c>
      <c r="BA283" s="67">
        <f>MAX(0, Table176252626[[#This Row],[Column6]])</f>
        <v>1</v>
      </c>
      <c r="BB283" s="68">
        <v>0</v>
      </c>
      <c r="BC283" s="84">
        <f t="shared" si="629"/>
        <v>1</v>
      </c>
      <c r="BD283" s="83">
        <f t="shared" si="613"/>
        <v>1</v>
      </c>
      <c r="BE283" s="85">
        <v>2</v>
      </c>
      <c r="BF283" s="86">
        <v>44485.384780092594</v>
      </c>
      <c r="BG283" s="72">
        <f t="shared" si="650"/>
        <v>46265</v>
      </c>
      <c r="BH283" s="87">
        <f t="shared" si="703"/>
        <v>1779.6152199074058</v>
      </c>
      <c r="BI283" s="80" t="str">
        <f t="shared" si="614"/>
        <v>Dead Stock</v>
      </c>
      <c r="BJ283" s="238">
        <v>1360</v>
      </c>
    </row>
    <row r="284" spans="1:293" ht="13">
      <c r="A284" s="49"/>
      <c r="B284" s="50"/>
      <c r="C284" s="51">
        <v>281</v>
      </c>
      <c r="D284" s="127" t="s">
        <v>1519</v>
      </c>
      <c r="E284" s="127">
        <v>24</v>
      </c>
      <c r="F284" s="105" t="s">
        <v>946</v>
      </c>
      <c r="G284" s="81" t="s">
        <v>1041</v>
      </c>
      <c r="H284" s="81" t="s">
        <v>291</v>
      </c>
      <c r="I284" s="80" t="s">
        <v>458</v>
      </c>
      <c r="J284" s="82">
        <f t="shared" si="705"/>
        <v>3</v>
      </c>
      <c r="K284" s="80">
        <v>3</v>
      </c>
      <c r="L284" s="57"/>
      <c r="M284" s="58"/>
      <c r="N284" s="59">
        <f t="shared" si="688"/>
        <v>3</v>
      </c>
      <c r="O284" s="60"/>
      <c r="P284" s="58"/>
      <c r="Q284" s="59">
        <f t="shared" si="689"/>
        <v>3</v>
      </c>
      <c r="R284" s="60"/>
      <c r="S284" s="58"/>
      <c r="T284" s="61">
        <f t="shared" si="690"/>
        <v>3</v>
      </c>
      <c r="U284" s="60"/>
      <c r="V284" s="58"/>
      <c r="W284" s="59">
        <f t="shared" si="691"/>
        <v>3</v>
      </c>
      <c r="X284" s="60"/>
      <c r="Y284" s="58"/>
      <c r="Z284" s="61">
        <f t="shared" si="692"/>
        <v>3</v>
      </c>
      <c r="AA284" s="60"/>
      <c r="AB284" s="58"/>
      <c r="AC284" s="59">
        <f t="shared" si="693"/>
        <v>3</v>
      </c>
      <c r="AD284" s="57"/>
      <c r="AE284" s="58"/>
      <c r="AF284" s="243">
        <f t="shared" si="694"/>
        <v>3</v>
      </c>
      <c r="AG284" s="60"/>
      <c r="AH284" s="58"/>
      <c r="AI284" s="62">
        <f t="shared" si="695"/>
        <v>3</v>
      </c>
      <c r="AJ284" s="60"/>
      <c r="AK284" s="58"/>
      <c r="AL284" s="62">
        <f t="shared" si="696"/>
        <v>3</v>
      </c>
      <c r="AM284" s="60"/>
      <c r="AN284" s="58"/>
      <c r="AO284" s="62">
        <f t="shared" si="697"/>
        <v>3</v>
      </c>
      <c r="AP284" s="60"/>
      <c r="AQ284" s="58"/>
      <c r="AR284" s="62">
        <f t="shared" si="698"/>
        <v>3</v>
      </c>
      <c r="AS284" s="60"/>
      <c r="AT284" s="58"/>
      <c r="AU284" s="62">
        <f t="shared" ref="AU284:AU306" si="711">SUM(AR284+AS284-AT284)</f>
        <v>3</v>
      </c>
      <c r="AV284" s="83">
        <f t="shared" ref="AV284:AV297" si="712">SUM(L284+O284+R284+U284+X284+AA284+AD284+AG284+AJ284+AM284+AP284+AS284)</f>
        <v>0</v>
      </c>
      <c r="AW284" s="83">
        <f t="shared" si="709"/>
        <v>0</v>
      </c>
      <c r="AX284" s="64">
        <f t="shared" ref="AX284:AX306" si="713">SUM(M284,P284,S284,V284,Y284,AB284,AE284,AH284,AK284,AN284,AQ284,AT284)</f>
        <v>0</v>
      </c>
      <c r="AY284" s="65" t="e">
        <f t="shared" si="701"/>
        <v>#DIV/0!</v>
      </c>
      <c r="AZ284" s="66">
        <f t="shared" si="702"/>
        <v>0</v>
      </c>
      <c r="BA284" s="67">
        <v>3</v>
      </c>
      <c r="BB284" s="68">
        <v>1</v>
      </c>
      <c r="BC284" s="84">
        <f t="shared" si="629"/>
        <v>3</v>
      </c>
      <c r="BD284" s="83">
        <f t="shared" si="613"/>
        <v>2</v>
      </c>
      <c r="BE284" s="85">
        <v>2</v>
      </c>
      <c r="BF284" s="86">
        <v>44449.367083333331</v>
      </c>
      <c r="BG284" s="72">
        <f t="shared" si="650"/>
        <v>46265</v>
      </c>
      <c r="BH284" s="87">
        <f t="shared" si="703"/>
        <v>1815.6329166666692</v>
      </c>
      <c r="BI284" s="80" t="str">
        <f t="shared" si="614"/>
        <v>Dead Stock</v>
      </c>
      <c r="BJ284" s="238">
        <v>878</v>
      </c>
    </row>
    <row r="285" spans="1:293" ht="13">
      <c r="A285" s="49"/>
      <c r="B285" s="50"/>
      <c r="C285" s="51">
        <v>282</v>
      </c>
      <c r="D285" s="127" t="s">
        <v>1519</v>
      </c>
      <c r="E285" s="127">
        <v>25</v>
      </c>
      <c r="F285" s="54" t="s">
        <v>1133</v>
      </c>
      <c r="G285" s="55" t="s">
        <v>1132</v>
      </c>
      <c r="H285" s="81" t="s">
        <v>1160</v>
      </c>
      <c r="I285" s="88" t="s">
        <v>458</v>
      </c>
      <c r="J285" s="82">
        <f t="shared" si="705"/>
        <v>4</v>
      </c>
      <c r="K285" s="80">
        <v>4</v>
      </c>
      <c r="L285" s="124"/>
      <c r="M285" s="125"/>
      <c r="N285" s="59">
        <f t="shared" si="688"/>
        <v>4</v>
      </c>
      <c r="O285" s="126"/>
      <c r="P285" s="125"/>
      <c r="Q285" s="59">
        <f t="shared" si="689"/>
        <v>4</v>
      </c>
      <c r="R285" s="126"/>
      <c r="S285" s="125"/>
      <c r="T285" s="61">
        <f t="shared" si="690"/>
        <v>4</v>
      </c>
      <c r="U285" s="126"/>
      <c r="V285" s="125"/>
      <c r="W285" s="59">
        <f t="shared" si="691"/>
        <v>4</v>
      </c>
      <c r="X285" s="126"/>
      <c r="Y285" s="125"/>
      <c r="Z285" s="61">
        <f t="shared" si="692"/>
        <v>4</v>
      </c>
      <c r="AA285" s="126"/>
      <c r="AB285" s="125"/>
      <c r="AC285" s="59">
        <f t="shared" si="693"/>
        <v>4</v>
      </c>
      <c r="AD285" s="124"/>
      <c r="AE285" s="125"/>
      <c r="AF285" s="243">
        <f t="shared" si="694"/>
        <v>4</v>
      </c>
      <c r="AG285" s="126"/>
      <c r="AH285" s="125"/>
      <c r="AI285" s="62">
        <f t="shared" si="695"/>
        <v>4</v>
      </c>
      <c r="AJ285" s="126"/>
      <c r="AK285" s="125"/>
      <c r="AL285" s="62">
        <f t="shared" si="696"/>
        <v>4</v>
      </c>
      <c r="AM285" s="126"/>
      <c r="AN285" s="125"/>
      <c r="AO285" s="59">
        <f t="shared" si="697"/>
        <v>4</v>
      </c>
      <c r="AP285" s="126"/>
      <c r="AQ285" s="125"/>
      <c r="AR285" s="59">
        <f t="shared" si="698"/>
        <v>4</v>
      </c>
      <c r="AS285" s="126"/>
      <c r="AT285" s="125"/>
      <c r="AU285" s="59">
        <f t="shared" si="711"/>
        <v>4</v>
      </c>
      <c r="AV285" s="83">
        <f t="shared" si="712"/>
        <v>0</v>
      </c>
      <c r="AW285" s="83">
        <f t="shared" si="709"/>
        <v>0</v>
      </c>
      <c r="AX285" s="64">
        <f t="shared" si="713"/>
        <v>0</v>
      </c>
      <c r="AY285" s="65" t="e">
        <f t="shared" si="701"/>
        <v>#DIV/0!</v>
      </c>
      <c r="AZ285" s="66">
        <f t="shared" si="702"/>
        <v>0</v>
      </c>
      <c r="BA285" s="67">
        <v>4</v>
      </c>
      <c r="BB285" s="68">
        <v>1</v>
      </c>
      <c r="BC285" s="84">
        <f t="shared" si="629"/>
        <v>4</v>
      </c>
      <c r="BD285" s="83">
        <f t="shared" si="613"/>
        <v>3</v>
      </c>
      <c r="BE285" s="85">
        <v>2</v>
      </c>
      <c r="BF285" s="86">
        <v>45336.34883101852</v>
      </c>
      <c r="BG285" s="72">
        <f t="shared" si="650"/>
        <v>46265</v>
      </c>
      <c r="BH285" s="87">
        <f t="shared" si="703"/>
        <v>928.65116898147971</v>
      </c>
      <c r="BI285" s="80" t="str">
        <f t="shared" si="614"/>
        <v>Dead Stock</v>
      </c>
      <c r="BJ285" s="238">
        <v>1550</v>
      </c>
    </row>
    <row r="286" spans="1:293" ht="13">
      <c r="A286" s="75"/>
      <c r="B286" s="76"/>
      <c r="C286" s="51">
        <v>283</v>
      </c>
      <c r="D286" s="127" t="s">
        <v>1519</v>
      </c>
      <c r="E286" s="127">
        <v>26</v>
      </c>
      <c r="F286" s="80" t="s">
        <v>1060</v>
      </c>
      <c r="G286" s="81" t="s">
        <v>1061</v>
      </c>
      <c r="H286" s="81" t="s">
        <v>1053</v>
      </c>
      <c r="I286" s="80" t="s">
        <v>458</v>
      </c>
      <c r="J286" s="82">
        <f t="shared" si="705"/>
        <v>2</v>
      </c>
      <c r="K286" s="80">
        <v>2</v>
      </c>
      <c r="L286" s="57"/>
      <c r="M286" s="58"/>
      <c r="N286" s="59">
        <f t="shared" si="688"/>
        <v>2</v>
      </c>
      <c r="O286" s="60"/>
      <c r="P286" s="58"/>
      <c r="Q286" s="59">
        <f t="shared" si="689"/>
        <v>2</v>
      </c>
      <c r="R286" s="60"/>
      <c r="S286" s="58"/>
      <c r="T286" s="61">
        <f t="shared" si="690"/>
        <v>2</v>
      </c>
      <c r="U286" s="60"/>
      <c r="V286" s="58"/>
      <c r="W286" s="59">
        <f t="shared" si="691"/>
        <v>2</v>
      </c>
      <c r="X286" s="60"/>
      <c r="Y286" s="58"/>
      <c r="Z286" s="61">
        <f t="shared" si="692"/>
        <v>2</v>
      </c>
      <c r="AA286" s="60"/>
      <c r="AB286" s="58"/>
      <c r="AC286" s="59">
        <f t="shared" si="693"/>
        <v>2</v>
      </c>
      <c r="AD286" s="57"/>
      <c r="AE286" s="58"/>
      <c r="AF286" s="243">
        <f t="shared" si="694"/>
        <v>2</v>
      </c>
      <c r="AG286" s="60"/>
      <c r="AH286" s="58"/>
      <c r="AI286" s="62">
        <f t="shared" si="695"/>
        <v>2</v>
      </c>
      <c r="AJ286" s="60"/>
      <c r="AK286" s="58"/>
      <c r="AL286" s="62">
        <f t="shared" si="696"/>
        <v>2</v>
      </c>
      <c r="AM286" s="60"/>
      <c r="AN286" s="58"/>
      <c r="AO286" s="62">
        <f t="shared" si="697"/>
        <v>2</v>
      </c>
      <c r="AP286" s="60"/>
      <c r="AQ286" s="58"/>
      <c r="AR286" s="62">
        <f t="shared" si="698"/>
        <v>2</v>
      </c>
      <c r="AS286" s="60"/>
      <c r="AT286" s="58"/>
      <c r="AU286" s="62">
        <f t="shared" si="711"/>
        <v>2</v>
      </c>
      <c r="AV286" s="83">
        <f t="shared" si="712"/>
        <v>0</v>
      </c>
      <c r="AW286" s="83">
        <f t="shared" si="709"/>
        <v>0</v>
      </c>
      <c r="AX286" s="64">
        <f t="shared" si="713"/>
        <v>0</v>
      </c>
      <c r="AY286" s="65" t="e">
        <f t="shared" si="701"/>
        <v>#DIV/0!</v>
      </c>
      <c r="AZ286" s="66">
        <f t="shared" si="702"/>
        <v>0</v>
      </c>
      <c r="BA286" s="67">
        <f>MAX(0, Table176252626[[#This Row],[Column6]])</f>
        <v>2</v>
      </c>
      <c r="BB286" s="68">
        <v>1</v>
      </c>
      <c r="BC286" s="84">
        <f t="shared" si="629"/>
        <v>2</v>
      </c>
      <c r="BD286" s="83">
        <f t="shared" si="613"/>
        <v>1</v>
      </c>
      <c r="BE286" s="85">
        <v>2</v>
      </c>
      <c r="BF286" s="86">
        <v>44652.54351851852</v>
      </c>
      <c r="BG286" s="72">
        <f t="shared" si="650"/>
        <v>46265</v>
      </c>
      <c r="BH286" s="87">
        <f t="shared" si="703"/>
        <v>1612.4564814814803</v>
      </c>
      <c r="BI286" s="80" t="str">
        <f t="shared" si="614"/>
        <v>Dead Stock</v>
      </c>
      <c r="BJ286" s="238">
        <v>460</v>
      </c>
    </row>
    <row r="287" spans="1:293" ht="13">
      <c r="A287" s="49"/>
      <c r="B287" s="76"/>
      <c r="C287" s="77">
        <v>284</v>
      </c>
      <c r="D287" s="127" t="s">
        <v>1519</v>
      </c>
      <c r="E287" s="127">
        <v>27</v>
      </c>
      <c r="F287" s="80" t="s">
        <v>1062</v>
      </c>
      <c r="G287" s="81" t="s">
        <v>1063</v>
      </c>
      <c r="H287" s="81" t="s">
        <v>1053</v>
      </c>
      <c r="I287" s="80" t="s">
        <v>458</v>
      </c>
      <c r="J287" s="82">
        <f t="shared" si="705"/>
        <v>2</v>
      </c>
      <c r="K287" s="80">
        <v>2</v>
      </c>
      <c r="L287" s="57"/>
      <c r="M287" s="58"/>
      <c r="N287" s="59">
        <f t="shared" si="688"/>
        <v>2</v>
      </c>
      <c r="O287" s="60"/>
      <c r="P287" s="58"/>
      <c r="Q287" s="59">
        <f t="shared" si="689"/>
        <v>2</v>
      </c>
      <c r="R287" s="60"/>
      <c r="S287" s="58"/>
      <c r="T287" s="61">
        <f t="shared" si="690"/>
        <v>2</v>
      </c>
      <c r="U287" s="60"/>
      <c r="V287" s="58"/>
      <c r="W287" s="59">
        <f t="shared" si="691"/>
        <v>2</v>
      </c>
      <c r="X287" s="60"/>
      <c r="Y287" s="58"/>
      <c r="Z287" s="61">
        <f t="shared" si="692"/>
        <v>2</v>
      </c>
      <c r="AA287" s="60"/>
      <c r="AB287" s="58"/>
      <c r="AC287" s="59">
        <f t="shared" si="693"/>
        <v>2</v>
      </c>
      <c r="AD287" s="57"/>
      <c r="AE287" s="58"/>
      <c r="AF287" s="243">
        <f t="shared" si="694"/>
        <v>2</v>
      </c>
      <c r="AG287" s="60"/>
      <c r="AH287" s="58"/>
      <c r="AI287" s="62">
        <f t="shared" si="695"/>
        <v>2</v>
      </c>
      <c r="AJ287" s="60"/>
      <c r="AK287" s="58"/>
      <c r="AL287" s="62">
        <f t="shared" si="696"/>
        <v>2</v>
      </c>
      <c r="AM287" s="60"/>
      <c r="AN287" s="58"/>
      <c r="AO287" s="62">
        <f t="shared" si="697"/>
        <v>2</v>
      </c>
      <c r="AP287" s="60"/>
      <c r="AQ287" s="58"/>
      <c r="AR287" s="62">
        <f t="shared" si="698"/>
        <v>2</v>
      </c>
      <c r="AS287" s="60"/>
      <c r="AT287" s="58"/>
      <c r="AU287" s="62">
        <f t="shared" si="711"/>
        <v>2</v>
      </c>
      <c r="AV287" s="83">
        <f t="shared" si="712"/>
        <v>0</v>
      </c>
      <c r="AW287" s="83">
        <f t="shared" si="709"/>
        <v>0</v>
      </c>
      <c r="AX287" s="64">
        <f t="shared" si="713"/>
        <v>0</v>
      </c>
      <c r="AY287" s="65" t="e">
        <f t="shared" si="701"/>
        <v>#DIV/0!</v>
      </c>
      <c r="AZ287" s="66">
        <f t="shared" si="702"/>
        <v>0</v>
      </c>
      <c r="BA287" s="67">
        <f>MAX(0, Table176252626[[#This Row],[Column6]])</f>
        <v>2</v>
      </c>
      <c r="BB287" s="68">
        <v>1</v>
      </c>
      <c r="BC287" s="84">
        <f t="shared" si="629"/>
        <v>2</v>
      </c>
      <c r="BD287" s="83">
        <f t="shared" si="613"/>
        <v>1</v>
      </c>
      <c r="BE287" s="85">
        <v>2</v>
      </c>
      <c r="BF287" s="86">
        <v>44652.54351851852</v>
      </c>
      <c r="BG287" s="72">
        <f t="shared" si="650"/>
        <v>46265</v>
      </c>
      <c r="BH287" s="87">
        <f t="shared" si="703"/>
        <v>1612.4564814814803</v>
      </c>
      <c r="BI287" s="80" t="str">
        <f t="shared" si="614"/>
        <v>Dead Stock</v>
      </c>
      <c r="BJ287" s="238">
        <v>460</v>
      </c>
    </row>
    <row r="288" spans="1:293" ht="13">
      <c r="A288" s="49"/>
      <c r="B288" s="76"/>
      <c r="C288" s="77">
        <v>285</v>
      </c>
      <c r="D288" s="127" t="s">
        <v>1519</v>
      </c>
      <c r="E288" s="127">
        <v>28</v>
      </c>
      <c r="F288" s="80" t="s">
        <v>1064</v>
      </c>
      <c r="G288" s="81" t="s">
        <v>1065</v>
      </c>
      <c r="H288" s="81" t="s">
        <v>1053</v>
      </c>
      <c r="I288" s="80" t="s">
        <v>458</v>
      </c>
      <c r="J288" s="82">
        <f t="shared" si="705"/>
        <v>2</v>
      </c>
      <c r="K288" s="80">
        <v>2</v>
      </c>
      <c r="L288" s="57"/>
      <c r="M288" s="58"/>
      <c r="N288" s="59">
        <f t="shared" si="688"/>
        <v>2</v>
      </c>
      <c r="O288" s="60"/>
      <c r="P288" s="58"/>
      <c r="Q288" s="59">
        <f t="shared" si="689"/>
        <v>2</v>
      </c>
      <c r="R288" s="60"/>
      <c r="S288" s="58"/>
      <c r="T288" s="61">
        <f t="shared" si="690"/>
        <v>2</v>
      </c>
      <c r="U288" s="60"/>
      <c r="V288" s="58"/>
      <c r="W288" s="59">
        <f t="shared" si="691"/>
        <v>2</v>
      </c>
      <c r="X288" s="60"/>
      <c r="Y288" s="58"/>
      <c r="Z288" s="61">
        <f t="shared" si="692"/>
        <v>2</v>
      </c>
      <c r="AA288" s="60"/>
      <c r="AB288" s="58"/>
      <c r="AC288" s="59">
        <f t="shared" si="693"/>
        <v>2</v>
      </c>
      <c r="AD288" s="57"/>
      <c r="AE288" s="58"/>
      <c r="AF288" s="243">
        <f t="shared" si="694"/>
        <v>2</v>
      </c>
      <c r="AG288" s="60"/>
      <c r="AH288" s="58"/>
      <c r="AI288" s="62">
        <f t="shared" si="695"/>
        <v>2</v>
      </c>
      <c r="AJ288" s="60"/>
      <c r="AK288" s="58"/>
      <c r="AL288" s="62">
        <f t="shared" si="696"/>
        <v>2</v>
      </c>
      <c r="AM288" s="60"/>
      <c r="AN288" s="58"/>
      <c r="AO288" s="62">
        <f t="shared" si="697"/>
        <v>2</v>
      </c>
      <c r="AP288" s="60"/>
      <c r="AQ288" s="58"/>
      <c r="AR288" s="62">
        <f t="shared" si="698"/>
        <v>2</v>
      </c>
      <c r="AS288" s="60"/>
      <c r="AT288" s="58"/>
      <c r="AU288" s="62">
        <f t="shared" si="711"/>
        <v>2</v>
      </c>
      <c r="AV288" s="83">
        <f t="shared" si="712"/>
        <v>0</v>
      </c>
      <c r="AW288" s="83">
        <f t="shared" si="709"/>
        <v>0</v>
      </c>
      <c r="AX288" s="64">
        <f t="shared" si="713"/>
        <v>0</v>
      </c>
      <c r="AY288" s="65" t="e">
        <f t="shared" si="701"/>
        <v>#DIV/0!</v>
      </c>
      <c r="AZ288" s="66">
        <f t="shared" si="702"/>
        <v>0</v>
      </c>
      <c r="BA288" s="67">
        <f>MAX(0, Table176252626[[#This Row],[Column6]])</f>
        <v>2</v>
      </c>
      <c r="BB288" s="68">
        <v>1</v>
      </c>
      <c r="BC288" s="84">
        <f t="shared" si="629"/>
        <v>2</v>
      </c>
      <c r="BD288" s="83">
        <f t="shared" si="613"/>
        <v>1</v>
      </c>
      <c r="BE288" s="85">
        <v>2</v>
      </c>
      <c r="BF288" s="86">
        <v>44652.54351851852</v>
      </c>
      <c r="BG288" s="72">
        <f t="shared" si="650"/>
        <v>46265</v>
      </c>
      <c r="BH288" s="87">
        <f t="shared" si="703"/>
        <v>1612.4564814814803</v>
      </c>
      <c r="BI288" s="80" t="str">
        <f t="shared" si="614"/>
        <v>Dead Stock</v>
      </c>
      <c r="BJ288" s="238">
        <v>460</v>
      </c>
    </row>
    <row r="289" spans="1:293" ht="13">
      <c r="A289" s="49"/>
      <c r="B289" s="50"/>
      <c r="C289" s="51">
        <v>286</v>
      </c>
      <c r="D289" s="127" t="s">
        <v>1519</v>
      </c>
      <c r="E289" s="127">
        <v>29</v>
      </c>
      <c r="F289" s="80" t="s">
        <v>1066</v>
      </c>
      <c r="G289" s="81" t="s">
        <v>1067</v>
      </c>
      <c r="H289" s="81" t="s">
        <v>1053</v>
      </c>
      <c r="I289" s="80" t="s">
        <v>458</v>
      </c>
      <c r="J289" s="82">
        <f t="shared" si="705"/>
        <v>2</v>
      </c>
      <c r="K289" s="80">
        <v>2</v>
      </c>
      <c r="L289" s="57"/>
      <c r="M289" s="58"/>
      <c r="N289" s="59">
        <f t="shared" si="688"/>
        <v>2</v>
      </c>
      <c r="O289" s="60"/>
      <c r="P289" s="58"/>
      <c r="Q289" s="59">
        <f t="shared" si="689"/>
        <v>2</v>
      </c>
      <c r="R289" s="60"/>
      <c r="S289" s="58"/>
      <c r="T289" s="61">
        <f t="shared" si="690"/>
        <v>2</v>
      </c>
      <c r="U289" s="60"/>
      <c r="V289" s="58"/>
      <c r="W289" s="59">
        <f t="shared" si="691"/>
        <v>2</v>
      </c>
      <c r="X289" s="60"/>
      <c r="Y289" s="58"/>
      <c r="Z289" s="61">
        <f t="shared" si="692"/>
        <v>2</v>
      </c>
      <c r="AA289" s="60"/>
      <c r="AB289" s="58"/>
      <c r="AC289" s="59">
        <f t="shared" si="693"/>
        <v>2</v>
      </c>
      <c r="AD289" s="57"/>
      <c r="AE289" s="58"/>
      <c r="AF289" s="243">
        <f t="shared" si="694"/>
        <v>2</v>
      </c>
      <c r="AG289" s="60"/>
      <c r="AH289" s="58"/>
      <c r="AI289" s="62">
        <f t="shared" si="695"/>
        <v>2</v>
      </c>
      <c r="AJ289" s="60"/>
      <c r="AK289" s="58"/>
      <c r="AL289" s="62">
        <f t="shared" si="696"/>
        <v>2</v>
      </c>
      <c r="AM289" s="60"/>
      <c r="AN289" s="58"/>
      <c r="AO289" s="62">
        <f t="shared" si="697"/>
        <v>2</v>
      </c>
      <c r="AP289" s="60"/>
      <c r="AQ289" s="58"/>
      <c r="AR289" s="62">
        <f t="shared" si="698"/>
        <v>2</v>
      </c>
      <c r="AS289" s="60"/>
      <c r="AT289" s="58"/>
      <c r="AU289" s="62">
        <f t="shared" si="711"/>
        <v>2</v>
      </c>
      <c r="AV289" s="83">
        <f t="shared" si="712"/>
        <v>0</v>
      </c>
      <c r="AW289" s="83">
        <f t="shared" si="709"/>
        <v>0</v>
      </c>
      <c r="AX289" s="64">
        <f t="shared" si="713"/>
        <v>0</v>
      </c>
      <c r="AY289" s="65" t="e">
        <f t="shared" si="701"/>
        <v>#DIV/0!</v>
      </c>
      <c r="AZ289" s="66">
        <f t="shared" si="702"/>
        <v>0</v>
      </c>
      <c r="BA289" s="67">
        <f>MAX(0, Table176252626[[#This Row],[Column6]])</f>
        <v>2</v>
      </c>
      <c r="BB289" s="68">
        <v>1</v>
      </c>
      <c r="BC289" s="84">
        <f t="shared" si="629"/>
        <v>2</v>
      </c>
      <c r="BD289" s="83">
        <f t="shared" si="613"/>
        <v>1</v>
      </c>
      <c r="BE289" s="85">
        <v>2</v>
      </c>
      <c r="BF289" s="86">
        <v>44652.54351851852</v>
      </c>
      <c r="BG289" s="72">
        <f t="shared" si="650"/>
        <v>46265</v>
      </c>
      <c r="BH289" s="87">
        <f t="shared" si="703"/>
        <v>1612.4564814814803</v>
      </c>
      <c r="BI289" s="80" t="str">
        <f t="shared" si="614"/>
        <v>Dead Stock</v>
      </c>
      <c r="BJ289" s="238">
        <v>460</v>
      </c>
    </row>
    <row r="290" spans="1:293" ht="13">
      <c r="A290" s="75"/>
      <c r="B290" s="76"/>
      <c r="C290" s="51">
        <v>287</v>
      </c>
      <c r="D290" s="127" t="s">
        <v>1519</v>
      </c>
      <c r="E290" s="127">
        <v>30</v>
      </c>
      <c r="F290" s="80" t="s">
        <v>1068</v>
      </c>
      <c r="G290" s="81" t="s">
        <v>1069</v>
      </c>
      <c r="H290" s="81" t="s">
        <v>1053</v>
      </c>
      <c r="I290" s="80" t="s">
        <v>458</v>
      </c>
      <c r="J290" s="82">
        <f t="shared" si="705"/>
        <v>2</v>
      </c>
      <c r="K290" s="80">
        <v>2</v>
      </c>
      <c r="L290" s="57"/>
      <c r="M290" s="58"/>
      <c r="N290" s="59">
        <f t="shared" si="688"/>
        <v>2</v>
      </c>
      <c r="O290" s="60"/>
      <c r="P290" s="58"/>
      <c r="Q290" s="59">
        <f t="shared" si="689"/>
        <v>2</v>
      </c>
      <c r="R290" s="60"/>
      <c r="S290" s="58"/>
      <c r="T290" s="61">
        <f t="shared" si="690"/>
        <v>2</v>
      </c>
      <c r="U290" s="60"/>
      <c r="V290" s="58"/>
      <c r="W290" s="59">
        <f t="shared" si="691"/>
        <v>2</v>
      </c>
      <c r="X290" s="60"/>
      <c r="Y290" s="58"/>
      <c r="Z290" s="61">
        <f t="shared" si="692"/>
        <v>2</v>
      </c>
      <c r="AA290" s="60"/>
      <c r="AB290" s="58"/>
      <c r="AC290" s="59">
        <f t="shared" si="693"/>
        <v>2</v>
      </c>
      <c r="AD290" s="57"/>
      <c r="AE290" s="58"/>
      <c r="AF290" s="243">
        <f t="shared" si="694"/>
        <v>2</v>
      </c>
      <c r="AG290" s="60"/>
      <c r="AH290" s="58"/>
      <c r="AI290" s="62">
        <f t="shared" si="695"/>
        <v>2</v>
      </c>
      <c r="AJ290" s="60"/>
      <c r="AK290" s="58"/>
      <c r="AL290" s="62">
        <f t="shared" si="696"/>
        <v>2</v>
      </c>
      <c r="AM290" s="60"/>
      <c r="AN290" s="58"/>
      <c r="AO290" s="62">
        <f t="shared" si="697"/>
        <v>2</v>
      </c>
      <c r="AP290" s="60"/>
      <c r="AQ290" s="58"/>
      <c r="AR290" s="62">
        <f t="shared" si="698"/>
        <v>2</v>
      </c>
      <c r="AS290" s="60"/>
      <c r="AT290" s="58"/>
      <c r="AU290" s="62">
        <f t="shared" si="711"/>
        <v>2</v>
      </c>
      <c r="AV290" s="83">
        <f t="shared" si="712"/>
        <v>0</v>
      </c>
      <c r="AW290" s="83">
        <f t="shared" si="709"/>
        <v>0</v>
      </c>
      <c r="AX290" s="64">
        <f t="shared" si="713"/>
        <v>0</v>
      </c>
      <c r="AY290" s="65" t="e">
        <f t="shared" si="701"/>
        <v>#DIV/0!</v>
      </c>
      <c r="AZ290" s="66">
        <f t="shared" si="702"/>
        <v>0</v>
      </c>
      <c r="BA290" s="67">
        <f>MAX(0, Table176252626[[#This Row],[Column6]])</f>
        <v>2</v>
      </c>
      <c r="BB290" s="68">
        <v>1</v>
      </c>
      <c r="BC290" s="84">
        <f t="shared" si="629"/>
        <v>2</v>
      </c>
      <c r="BD290" s="83">
        <f t="shared" si="613"/>
        <v>1</v>
      </c>
      <c r="BE290" s="85">
        <v>2</v>
      </c>
      <c r="BF290" s="86">
        <v>44652.54351851852</v>
      </c>
      <c r="BG290" s="72">
        <f t="shared" si="650"/>
        <v>46265</v>
      </c>
      <c r="BH290" s="87">
        <f t="shared" si="703"/>
        <v>1612.4564814814803</v>
      </c>
      <c r="BI290" s="80" t="str">
        <f t="shared" si="614"/>
        <v>Dead Stock</v>
      </c>
      <c r="BJ290" s="238">
        <v>460</v>
      </c>
    </row>
    <row r="291" spans="1:293" ht="13">
      <c r="A291" s="49"/>
      <c r="B291" s="50"/>
      <c r="C291" s="51">
        <v>288</v>
      </c>
      <c r="D291" s="127" t="s">
        <v>1519</v>
      </c>
      <c r="E291" s="127">
        <v>31</v>
      </c>
      <c r="F291" s="80" t="s">
        <v>1117</v>
      </c>
      <c r="G291" s="81" t="s">
        <v>1118</v>
      </c>
      <c r="H291" s="81" t="s">
        <v>1053</v>
      </c>
      <c r="I291" s="80" t="s">
        <v>458</v>
      </c>
      <c r="J291" s="82">
        <f t="shared" si="705"/>
        <v>2</v>
      </c>
      <c r="K291" s="80">
        <v>2</v>
      </c>
      <c r="L291" s="57"/>
      <c r="M291" s="58"/>
      <c r="N291" s="59">
        <f t="shared" si="688"/>
        <v>2</v>
      </c>
      <c r="O291" s="60"/>
      <c r="P291" s="58"/>
      <c r="Q291" s="59">
        <f t="shared" si="689"/>
        <v>2</v>
      </c>
      <c r="R291" s="60"/>
      <c r="S291" s="58"/>
      <c r="T291" s="61">
        <f t="shared" si="690"/>
        <v>2</v>
      </c>
      <c r="U291" s="60"/>
      <c r="V291" s="58"/>
      <c r="W291" s="59">
        <f t="shared" si="691"/>
        <v>2</v>
      </c>
      <c r="X291" s="60"/>
      <c r="Y291" s="58"/>
      <c r="Z291" s="61">
        <f t="shared" si="692"/>
        <v>2</v>
      </c>
      <c r="AA291" s="60"/>
      <c r="AB291" s="58"/>
      <c r="AC291" s="59">
        <f t="shared" si="693"/>
        <v>2</v>
      </c>
      <c r="AD291" s="57"/>
      <c r="AE291" s="58"/>
      <c r="AF291" s="243">
        <f t="shared" si="694"/>
        <v>2</v>
      </c>
      <c r="AG291" s="60"/>
      <c r="AH291" s="58"/>
      <c r="AI291" s="62">
        <f t="shared" si="695"/>
        <v>2</v>
      </c>
      <c r="AJ291" s="60"/>
      <c r="AK291" s="58"/>
      <c r="AL291" s="62">
        <f t="shared" si="696"/>
        <v>2</v>
      </c>
      <c r="AM291" s="60"/>
      <c r="AN291" s="58"/>
      <c r="AO291" s="62">
        <f t="shared" si="697"/>
        <v>2</v>
      </c>
      <c r="AP291" s="60"/>
      <c r="AQ291" s="58"/>
      <c r="AR291" s="62">
        <f t="shared" si="698"/>
        <v>2</v>
      </c>
      <c r="AS291" s="60"/>
      <c r="AT291" s="58"/>
      <c r="AU291" s="62">
        <f t="shared" si="711"/>
        <v>2</v>
      </c>
      <c r="AV291" s="83">
        <f t="shared" si="712"/>
        <v>0</v>
      </c>
      <c r="AW291" s="83">
        <f t="shared" si="709"/>
        <v>0</v>
      </c>
      <c r="AX291" s="64">
        <f t="shared" si="713"/>
        <v>0</v>
      </c>
      <c r="AY291" s="65" t="e">
        <f t="shared" si="701"/>
        <v>#DIV/0!</v>
      </c>
      <c r="AZ291" s="66">
        <f t="shared" si="702"/>
        <v>0</v>
      </c>
      <c r="BA291" s="67">
        <f>MAX(0, Table176252626[[#This Row],[Column6]])</f>
        <v>2</v>
      </c>
      <c r="BB291" s="68">
        <v>1</v>
      </c>
      <c r="BC291" s="84">
        <f t="shared" si="629"/>
        <v>2</v>
      </c>
      <c r="BD291" s="83">
        <f t="shared" si="613"/>
        <v>1</v>
      </c>
      <c r="BE291" s="85">
        <v>2</v>
      </c>
      <c r="BF291" s="86">
        <v>44655.534247685187</v>
      </c>
      <c r="BG291" s="72">
        <f t="shared" si="650"/>
        <v>46265</v>
      </c>
      <c r="BH291" s="87">
        <f t="shared" si="703"/>
        <v>1609.4657523148126</v>
      </c>
      <c r="BI291" s="80" t="str">
        <f t="shared" si="614"/>
        <v>Dead Stock</v>
      </c>
      <c r="BJ291" s="238">
        <v>516</v>
      </c>
    </row>
    <row r="292" spans="1:293" s="48" customFormat="1" ht="13">
      <c r="A292" s="49"/>
      <c r="B292" s="76"/>
      <c r="C292" s="51">
        <v>289</v>
      </c>
      <c r="D292" s="127" t="s">
        <v>1519</v>
      </c>
      <c r="E292" s="127">
        <v>32</v>
      </c>
      <c r="F292" s="80" t="s">
        <v>1099</v>
      </c>
      <c r="G292" s="106" t="s">
        <v>1100</v>
      </c>
      <c r="H292" s="81" t="s">
        <v>1324</v>
      </c>
      <c r="I292" s="80" t="s">
        <v>458</v>
      </c>
      <c r="J292" s="82">
        <f t="shared" si="705"/>
        <v>2</v>
      </c>
      <c r="K292" s="80">
        <v>2</v>
      </c>
      <c r="L292" s="57"/>
      <c r="M292" s="58"/>
      <c r="N292" s="59">
        <f t="shared" si="688"/>
        <v>2</v>
      </c>
      <c r="O292" s="60"/>
      <c r="P292" s="58"/>
      <c r="Q292" s="59">
        <f t="shared" si="689"/>
        <v>2</v>
      </c>
      <c r="R292" s="60"/>
      <c r="S292" s="58"/>
      <c r="T292" s="61">
        <f t="shared" si="690"/>
        <v>2</v>
      </c>
      <c r="U292" s="60"/>
      <c r="V292" s="58"/>
      <c r="W292" s="59">
        <f t="shared" si="691"/>
        <v>2</v>
      </c>
      <c r="X292" s="60"/>
      <c r="Y292" s="58"/>
      <c r="Z292" s="61">
        <f t="shared" si="692"/>
        <v>2</v>
      </c>
      <c r="AA292" s="60"/>
      <c r="AB292" s="58"/>
      <c r="AC292" s="59">
        <f t="shared" si="693"/>
        <v>2</v>
      </c>
      <c r="AD292" s="57"/>
      <c r="AE292" s="58"/>
      <c r="AF292" s="243">
        <f t="shared" si="694"/>
        <v>2</v>
      </c>
      <c r="AG292" s="60"/>
      <c r="AH292" s="58"/>
      <c r="AI292" s="62">
        <f t="shared" si="695"/>
        <v>2</v>
      </c>
      <c r="AJ292" s="60"/>
      <c r="AK292" s="58"/>
      <c r="AL292" s="62">
        <f t="shared" si="696"/>
        <v>2</v>
      </c>
      <c r="AM292" s="60"/>
      <c r="AN292" s="58"/>
      <c r="AO292" s="62">
        <f t="shared" si="697"/>
        <v>2</v>
      </c>
      <c r="AP292" s="60"/>
      <c r="AQ292" s="58"/>
      <c r="AR292" s="62">
        <f t="shared" si="698"/>
        <v>2</v>
      </c>
      <c r="AS292" s="60"/>
      <c r="AT292" s="58"/>
      <c r="AU292" s="62">
        <f t="shared" si="711"/>
        <v>2</v>
      </c>
      <c r="AV292" s="83">
        <f t="shared" si="712"/>
        <v>0</v>
      </c>
      <c r="AW292" s="83">
        <f t="shared" si="709"/>
        <v>0</v>
      </c>
      <c r="AX292" s="64">
        <f t="shared" si="713"/>
        <v>0</v>
      </c>
      <c r="AY292" s="65" t="e">
        <f t="shared" si="701"/>
        <v>#DIV/0!</v>
      </c>
      <c r="AZ292" s="66">
        <f t="shared" si="702"/>
        <v>0</v>
      </c>
      <c r="BA292" s="67">
        <f>MAX(0, Table176252626[[#This Row],[Column6]])</f>
        <v>2</v>
      </c>
      <c r="BB292" s="68">
        <v>1</v>
      </c>
      <c r="BC292" s="84">
        <f t="shared" si="629"/>
        <v>2</v>
      </c>
      <c r="BD292" s="83">
        <f t="shared" si="613"/>
        <v>1</v>
      </c>
      <c r="BE292" s="85">
        <v>2</v>
      </c>
      <c r="BF292" s="86">
        <v>44795.663969907408</v>
      </c>
      <c r="BG292" s="72">
        <f t="shared" si="650"/>
        <v>46265</v>
      </c>
      <c r="BH292" s="107">
        <f t="shared" si="703"/>
        <v>1469.3360300925924</v>
      </c>
      <c r="BI292" s="80" t="str">
        <f t="shared" si="614"/>
        <v>Dead Stock</v>
      </c>
      <c r="BJ292" s="238">
        <v>583</v>
      </c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  <c r="FS292" s="30"/>
      <c r="FT292" s="30"/>
      <c r="FU292" s="30"/>
      <c r="FV292" s="30"/>
      <c r="FW292" s="30"/>
      <c r="FX292" s="30"/>
      <c r="FY292" s="30"/>
      <c r="FZ292" s="30"/>
      <c r="GA292" s="30"/>
      <c r="GB292" s="30"/>
      <c r="GC292" s="30"/>
      <c r="GD292" s="30"/>
      <c r="GE292" s="30"/>
      <c r="GF292" s="30"/>
      <c r="GG292" s="30"/>
      <c r="GH292" s="30"/>
      <c r="GI292" s="30"/>
      <c r="GJ292" s="30"/>
      <c r="GK292" s="30"/>
      <c r="GL292" s="30"/>
      <c r="GM292" s="30"/>
      <c r="GN292" s="30"/>
      <c r="GO292" s="30"/>
      <c r="GP292" s="30"/>
      <c r="GQ292" s="30"/>
      <c r="GR292" s="30"/>
      <c r="GS292" s="30"/>
      <c r="GT292" s="30"/>
      <c r="GU292" s="30"/>
      <c r="GV292" s="30"/>
      <c r="GW292" s="30"/>
      <c r="GX292" s="30"/>
      <c r="GY292" s="30"/>
      <c r="GZ292" s="30"/>
      <c r="HA292" s="30"/>
      <c r="HB292" s="30"/>
      <c r="HC292" s="30"/>
      <c r="HD292" s="30"/>
      <c r="HE292" s="30"/>
      <c r="HF292" s="30"/>
      <c r="HG292" s="30"/>
      <c r="HH292" s="30"/>
      <c r="HI292" s="30"/>
      <c r="HJ292" s="30"/>
      <c r="HK292" s="30"/>
      <c r="HL292" s="30"/>
      <c r="HM292" s="30"/>
      <c r="HN292" s="30"/>
      <c r="HO292" s="30"/>
      <c r="HP292" s="30"/>
      <c r="HQ292" s="30"/>
      <c r="HR292" s="30"/>
      <c r="HS292" s="30"/>
      <c r="HT292" s="30"/>
      <c r="HU292" s="30"/>
      <c r="HV292" s="30"/>
      <c r="HW292" s="30"/>
      <c r="HX292" s="30"/>
      <c r="HY292" s="30"/>
      <c r="HZ292" s="30"/>
      <c r="IA292" s="30"/>
      <c r="IB292" s="30"/>
      <c r="IC292" s="30"/>
      <c r="ID292" s="30"/>
      <c r="IE292" s="30"/>
      <c r="IF292" s="30"/>
      <c r="IG292" s="30"/>
      <c r="IH292" s="30"/>
      <c r="II292" s="30"/>
      <c r="IJ292" s="30"/>
      <c r="IK292" s="30"/>
      <c r="IL292" s="30"/>
      <c r="IM292" s="30"/>
      <c r="IN292" s="30"/>
      <c r="IO292" s="30"/>
      <c r="IP292" s="30"/>
      <c r="IQ292" s="30"/>
      <c r="IR292" s="30"/>
      <c r="IS292" s="30"/>
      <c r="IT292" s="30"/>
      <c r="IU292" s="30"/>
      <c r="IV292" s="30"/>
      <c r="IW292" s="30"/>
      <c r="IX292" s="30"/>
      <c r="IY292" s="30"/>
      <c r="IZ292" s="30"/>
      <c r="JA292" s="30"/>
      <c r="JB292" s="30"/>
      <c r="JC292" s="30"/>
      <c r="JD292" s="30"/>
      <c r="JE292" s="30"/>
      <c r="JF292" s="30"/>
      <c r="JG292" s="30"/>
      <c r="JH292" s="30"/>
      <c r="JI292" s="30"/>
      <c r="JJ292" s="30"/>
      <c r="JK292" s="30"/>
      <c r="JL292" s="30"/>
      <c r="JM292" s="30"/>
      <c r="JN292" s="30"/>
      <c r="JO292" s="30"/>
      <c r="JP292" s="30"/>
      <c r="JQ292" s="30"/>
      <c r="JR292" s="30"/>
      <c r="JS292" s="30"/>
      <c r="JT292" s="30"/>
      <c r="JU292" s="30"/>
      <c r="JV292" s="30"/>
      <c r="JW292" s="30"/>
      <c r="JX292" s="30"/>
      <c r="JY292" s="30"/>
      <c r="JZ292" s="30"/>
      <c r="KA292" s="30"/>
      <c r="KB292" s="30"/>
      <c r="KC292" s="30"/>
      <c r="KD292" s="30"/>
      <c r="KE292" s="30"/>
      <c r="KF292" s="30"/>
      <c r="KG292" s="30"/>
    </row>
    <row r="293" spans="1:293" ht="13">
      <c r="A293" s="49"/>
      <c r="B293" s="50"/>
      <c r="C293" s="77">
        <v>290</v>
      </c>
      <c r="D293" s="127" t="s">
        <v>1519</v>
      </c>
      <c r="E293" s="127">
        <v>33</v>
      </c>
      <c r="F293" s="80" t="s">
        <v>1119</v>
      </c>
      <c r="G293" s="81" t="s">
        <v>1120</v>
      </c>
      <c r="H293" s="81" t="s">
        <v>289</v>
      </c>
      <c r="I293" s="80" t="s">
        <v>458</v>
      </c>
      <c r="J293" s="82">
        <f t="shared" si="705"/>
        <v>2</v>
      </c>
      <c r="K293" s="80">
        <v>2</v>
      </c>
      <c r="L293" s="57"/>
      <c r="M293" s="58"/>
      <c r="N293" s="59">
        <f t="shared" si="688"/>
        <v>2</v>
      </c>
      <c r="O293" s="60"/>
      <c r="P293" s="58"/>
      <c r="Q293" s="59">
        <f t="shared" si="689"/>
        <v>2</v>
      </c>
      <c r="R293" s="60"/>
      <c r="S293" s="58"/>
      <c r="T293" s="61">
        <f t="shared" si="690"/>
        <v>2</v>
      </c>
      <c r="U293" s="60"/>
      <c r="V293" s="58"/>
      <c r="W293" s="59">
        <f t="shared" si="691"/>
        <v>2</v>
      </c>
      <c r="X293" s="60"/>
      <c r="Y293" s="58"/>
      <c r="Z293" s="61">
        <f t="shared" si="692"/>
        <v>2</v>
      </c>
      <c r="AA293" s="60"/>
      <c r="AB293" s="58"/>
      <c r="AC293" s="59">
        <f t="shared" si="693"/>
        <v>2</v>
      </c>
      <c r="AD293" s="57"/>
      <c r="AE293" s="58"/>
      <c r="AF293" s="243">
        <f t="shared" si="694"/>
        <v>2</v>
      </c>
      <c r="AG293" s="60"/>
      <c r="AH293" s="58"/>
      <c r="AI293" s="62">
        <f t="shared" si="695"/>
        <v>2</v>
      </c>
      <c r="AJ293" s="60"/>
      <c r="AK293" s="58"/>
      <c r="AL293" s="62">
        <f t="shared" si="696"/>
        <v>2</v>
      </c>
      <c r="AM293" s="60"/>
      <c r="AN293" s="58"/>
      <c r="AO293" s="62">
        <f t="shared" si="697"/>
        <v>2</v>
      </c>
      <c r="AP293" s="60"/>
      <c r="AQ293" s="58"/>
      <c r="AR293" s="104">
        <f t="shared" si="698"/>
        <v>2</v>
      </c>
      <c r="AS293" s="57"/>
      <c r="AT293" s="58"/>
      <c r="AU293" s="62">
        <f t="shared" si="711"/>
        <v>2</v>
      </c>
      <c r="AV293" s="83">
        <f t="shared" si="712"/>
        <v>0</v>
      </c>
      <c r="AW293" s="83">
        <f t="shared" si="709"/>
        <v>0</v>
      </c>
      <c r="AX293" s="64">
        <f t="shared" si="713"/>
        <v>0</v>
      </c>
      <c r="AY293" s="65" t="e">
        <f t="shared" si="701"/>
        <v>#DIV/0!</v>
      </c>
      <c r="AZ293" s="66">
        <f t="shared" si="702"/>
        <v>0</v>
      </c>
      <c r="BA293" s="67">
        <f>MAX(0, Table176252626[[#This Row],[Column6]])</f>
        <v>2</v>
      </c>
      <c r="BB293" s="68">
        <v>1</v>
      </c>
      <c r="BC293" s="84">
        <f t="shared" si="629"/>
        <v>2</v>
      </c>
      <c r="BD293" s="83">
        <f t="shared" si="613"/>
        <v>1</v>
      </c>
      <c r="BE293" s="85">
        <v>2</v>
      </c>
      <c r="BF293" s="86">
        <v>44795.663969907408</v>
      </c>
      <c r="BG293" s="72">
        <f t="shared" si="650"/>
        <v>46265</v>
      </c>
      <c r="BH293" s="107">
        <f t="shared" si="703"/>
        <v>1469.3360300925924</v>
      </c>
      <c r="BI293" s="80" t="str">
        <f t="shared" si="614"/>
        <v>Dead Stock</v>
      </c>
      <c r="BJ293" s="238">
        <v>3800</v>
      </c>
    </row>
    <row r="294" spans="1:293" ht="13">
      <c r="A294" s="75"/>
      <c r="B294" s="76"/>
      <c r="C294" s="77">
        <v>291</v>
      </c>
      <c r="D294" s="127" t="s">
        <v>1519</v>
      </c>
      <c r="E294" s="127">
        <v>34</v>
      </c>
      <c r="F294" s="80" t="s">
        <v>1122</v>
      </c>
      <c r="G294" s="81" t="s">
        <v>1121</v>
      </c>
      <c r="H294" s="81" t="s">
        <v>289</v>
      </c>
      <c r="I294" s="80" t="s">
        <v>458</v>
      </c>
      <c r="J294" s="82">
        <f t="shared" si="705"/>
        <v>2</v>
      </c>
      <c r="K294" s="80">
        <v>2</v>
      </c>
      <c r="L294" s="57"/>
      <c r="M294" s="58"/>
      <c r="N294" s="59">
        <f t="shared" si="688"/>
        <v>2</v>
      </c>
      <c r="O294" s="60"/>
      <c r="P294" s="58"/>
      <c r="Q294" s="59">
        <f t="shared" si="689"/>
        <v>2</v>
      </c>
      <c r="R294" s="60"/>
      <c r="S294" s="58"/>
      <c r="T294" s="61">
        <f t="shared" si="690"/>
        <v>2</v>
      </c>
      <c r="U294" s="60"/>
      <c r="V294" s="58"/>
      <c r="W294" s="59">
        <f t="shared" si="691"/>
        <v>2</v>
      </c>
      <c r="X294" s="60"/>
      <c r="Y294" s="58"/>
      <c r="Z294" s="61">
        <f t="shared" si="692"/>
        <v>2</v>
      </c>
      <c r="AA294" s="60"/>
      <c r="AB294" s="58"/>
      <c r="AC294" s="59">
        <f t="shared" si="693"/>
        <v>2</v>
      </c>
      <c r="AD294" s="57"/>
      <c r="AE294" s="58"/>
      <c r="AF294" s="243">
        <f t="shared" si="694"/>
        <v>2</v>
      </c>
      <c r="AG294" s="60"/>
      <c r="AH294" s="58"/>
      <c r="AI294" s="62">
        <f t="shared" si="695"/>
        <v>2</v>
      </c>
      <c r="AJ294" s="60"/>
      <c r="AK294" s="58"/>
      <c r="AL294" s="62">
        <f t="shared" si="696"/>
        <v>2</v>
      </c>
      <c r="AM294" s="60"/>
      <c r="AN294" s="58"/>
      <c r="AO294" s="62">
        <f t="shared" si="697"/>
        <v>2</v>
      </c>
      <c r="AP294" s="60"/>
      <c r="AQ294" s="58"/>
      <c r="AR294" s="104">
        <f t="shared" si="698"/>
        <v>2</v>
      </c>
      <c r="AS294" s="57"/>
      <c r="AT294" s="58"/>
      <c r="AU294" s="62">
        <f t="shared" si="711"/>
        <v>2</v>
      </c>
      <c r="AV294" s="83">
        <f t="shared" si="712"/>
        <v>0</v>
      </c>
      <c r="AW294" s="83">
        <f t="shared" si="709"/>
        <v>0</v>
      </c>
      <c r="AX294" s="64">
        <f t="shared" si="713"/>
        <v>0</v>
      </c>
      <c r="AY294" s="65" t="e">
        <f t="shared" si="701"/>
        <v>#DIV/0!</v>
      </c>
      <c r="AZ294" s="66">
        <f t="shared" si="702"/>
        <v>0</v>
      </c>
      <c r="BA294" s="67">
        <f>MAX(0, Table176252626[[#This Row],[Column6]])</f>
        <v>2</v>
      </c>
      <c r="BB294" s="68">
        <v>1</v>
      </c>
      <c r="BC294" s="84">
        <f t="shared" si="629"/>
        <v>2</v>
      </c>
      <c r="BD294" s="83">
        <f t="shared" si="613"/>
        <v>1</v>
      </c>
      <c r="BE294" s="85">
        <v>2</v>
      </c>
      <c r="BF294" s="86">
        <v>44853.663530092592</v>
      </c>
      <c r="BG294" s="72">
        <f t="shared" si="650"/>
        <v>46265</v>
      </c>
      <c r="BH294" s="107">
        <f t="shared" si="703"/>
        <v>1411.3364699074082</v>
      </c>
      <c r="BI294" s="80" t="str">
        <f t="shared" si="614"/>
        <v>Dead Stock</v>
      </c>
      <c r="BJ294" s="238">
        <v>2400</v>
      </c>
    </row>
    <row r="295" spans="1:293" ht="13">
      <c r="A295" s="49"/>
      <c r="B295" s="50"/>
      <c r="C295" s="51">
        <v>292</v>
      </c>
      <c r="D295" s="127" t="s">
        <v>1519</v>
      </c>
      <c r="E295" s="127">
        <v>35</v>
      </c>
      <c r="F295" s="80" t="s">
        <v>1174</v>
      </c>
      <c r="G295" s="81" t="s">
        <v>1175</v>
      </c>
      <c r="H295" s="81" t="s">
        <v>295</v>
      </c>
      <c r="I295" s="80" t="s">
        <v>458</v>
      </c>
      <c r="J295" s="82">
        <f t="shared" si="705"/>
        <v>1</v>
      </c>
      <c r="K295" s="80">
        <v>2</v>
      </c>
      <c r="L295" s="57"/>
      <c r="M295" s="58"/>
      <c r="N295" s="59">
        <f t="shared" si="688"/>
        <v>2</v>
      </c>
      <c r="O295" s="60"/>
      <c r="P295" s="58"/>
      <c r="Q295" s="59">
        <f t="shared" si="689"/>
        <v>2</v>
      </c>
      <c r="R295" s="60"/>
      <c r="S295" s="58"/>
      <c r="T295" s="61">
        <f t="shared" si="690"/>
        <v>2</v>
      </c>
      <c r="U295" s="60"/>
      <c r="V295" s="58"/>
      <c r="W295" s="59">
        <f t="shared" si="691"/>
        <v>2</v>
      </c>
      <c r="X295" s="60"/>
      <c r="Y295" s="58"/>
      <c r="Z295" s="61">
        <f t="shared" si="692"/>
        <v>2</v>
      </c>
      <c r="AA295" s="60"/>
      <c r="AB295" s="58"/>
      <c r="AC295" s="59">
        <f t="shared" si="693"/>
        <v>2</v>
      </c>
      <c r="AD295" s="57"/>
      <c r="AE295" s="58">
        <v>1</v>
      </c>
      <c r="AF295" s="243">
        <f t="shared" si="694"/>
        <v>1</v>
      </c>
      <c r="AG295" s="60"/>
      <c r="AH295" s="58"/>
      <c r="AI295" s="62">
        <f t="shared" si="695"/>
        <v>1</v>
      </c>
      <c r="AJ295" s="60"/>
      <c r="AK295" s="58"/>
      <c r="AL295" s="62">
        <f t="shared" si="696"/>
        <v>1</v>
      </c>
      <c r="AM295" s="60"/>
      <c r="AN295" s="58"/>
      <c r="AO295" s="62">
        <f t="shared" si="697"/>
        <v>1</v>
      </c>
      <c r="AP295" s="60"/>
      <c r="AQ295" s="58"/>
      <c r="AR295" s="104">
        <f t="shared" si="698"/>
        <v>1</v>
      </c>
      <c r="AS295" s="57"/>
      <c r="AT295" s="58"/>
      <c r="AU295" s="62">
        <f t="shared" si="711"/>
        <v>1</v>
      </c>
      <c r="AV295" s="83">
        <f t="shared" si="712"/>
        <v>0</v>
      </c>
      <c r="AW295" s="83">
        <f t="shared" si="709"/>
        <v>1</v>
      </c>
      <c r="AX295" s="64">
        <f t="shared" si="713"/>
        <v>1</v>
      </c>
      <c r="AY295" s="65">
        <f t="shared" si="701"/>
        <v>1</v>
      </c>
      <c r="AZ295" s="66">
        <f t="shared" si="702"/>
        <v>1</v>
      </c>
      <c r="BA295" s="67">
        <f>MAX(0, Table176252626[[#This Row],[Column6]])</f>
        <v>1</v>
      </c>
      <c r="BB295" s="68">
        <v>0</v>
      </c>
      <c r="BC295" s="84">
        <f t="shared" si="629"/>
        <v>1</v>
      </c>
      <c r="BD295" s="83">
        <f t="shared" si="613"/>
        <v>1</v>
      </c>
      <c r="BE295" s="85">
        <v>2</v>
      </c>
      <c r="BF295" s="86">
        <v>44853.663530092592</v>
      </c>
      <c r="BG295" s="72">
        <f t="shared" si="650"/>
        <v>46265</v>
      </c>
      <c r="BH295" s="107">
        <f t="shared" si="703"/>
        <v>1411.3364699074082</v>
      </c>
      <c r="BI295" s="80" t="str">
        <f t="shared" si="614"/>
        <v>Dead Stock</v>
      </c>
      <c r="BJ295" s="238">
        <v>620</v>
      </c>
    </row>
    <row r="296" spans="1:293" ht="13">
      <c r="A296" s="90"/>
      <c r="B296" s="91"/>
      <c r="C296" s="51">
        <v>293</v>
      </c>
      <c r="D296" s="127" t="s">
        <v>1519</v>
      </c>
      <c r="E296" s="127">
        <v>36</v>
      </c>
      <c r="F296" s="80" t="s">
        <v>1074</v>
      </c>
      <c r="G296" s="81" t="s">
        <v>1075</v>
      </c>
      <c r="H296" s="81" t="s">
        <v>289</v>
      </c>
      <c r="I296" s="80" t="s">
        <v>458</v>
      </c>
      <c r="J296" s="82">
        <f t="shared" si="705"/>
        <v>2</v>
      </c>
      <c r="K296" s="80">
        <v>2</v>
      </c>
      <c r="L296" s="57"/>
      <c r="M296" s="58"/>
      <c r="N296" s="59">
        <f t="shared" si="688"/>
        <v>2</v>
      </c>
      <c r="O296" s="60"/>
      <c r="P296" s="58"/>
      <c r="Q296" s="59">
        <f t="shared" si="689"/>
        <v>2</v>
      </c>
      <c r="R296" s="60"/>
      <c r="S296" s="58"/>
      <c r="T296" s="61">
        <f t="shared" si="690"/>
        <v>2</v>
      </c>
      <c r="U296" s="60"/>
      <c r="V296" s="58"/>
      <c r="W296" s="59">
        <f t="shared" si="691"/>
        <v>2</v>
      </c>
      <c r="X296" s="60"/>
      <c r="Y296" s="58"/>
      <c r="Z296" s="61">
        <f t="shared" si="692"/>
        <v>2</v>
      </c>
      <c r="AA296" s="60"/>
      <c r="AB296" s="58"/>
      <c r="AC296" s="59">
        <f t="shared" si="693"/>
        <v>2</v>
      </c>
      <c r="AD296" s="57"/>
      <c r="AE296" s="58"/>
      <c r="AF296" s="243">
        <f t="shared" si="694"/>
        <v>2</v>
      </c>
      <c r="AG296" s="60"/>
      <c r="AH296" s="58"/>
      <c r="AI296" s="62">
        <f t="shared" si="695"/>
        <v>2</v>
      </c>
      <c r="AJ296" s="60"/>
      <c r="AK296" s="58"/>
      <c r="AL296" s="62">
        <f t="shared" si="696"/>
        <v>2</v>
      </c>
      <c r="AM296" s="60"/>
      <c r="AN296" s="58"/>
      <c r="AO296" s="62">
        <f t="shared" si="697"/>
        <v>2</v>
      </c>
      <c r="AP296" s="60"/>
      <c r="AQ296" s="58"/>
      <c r="AR296" s="104">
        <f t="shared" si="698"/>
        <v>2</v>
      </c>
      <c r="AS296" s="57"/>
      <c r="AT296" s="58"/>
      <c r="AU296" s="62">
        <f t="shared" si="711"/>
        <v>2</v>
      </c>
      <c r="AV296" s="83">
        <f t="shared" si="712"/>
        <v>0</v>
      </c>
      <c r="AW296" s="83">
        <f t="shared" si="709"/>
        <v>0</v>
      </c>
      <c r="AX296" s="64">
        <f t="shared" si="713"/>
        <v>0</v>
      </c>
      <c r="AY296" s="65" t="e">
        <f t="shared" si="701"/>
        <v>#DIV/0!</v>
      </c>
      <c r="AZ296" s="66">
        <f t="shared" si="702"/>
        <v>0</v>
      </c>
      <c r="BA296" s="67">
        <f>MAX(0, Table176252626[[#This Row],[Column6]])</f>
        <v>2</v>
      </c>
      <c r="BB296" s="68">
        <v>1</v>
      </c>
      <c r="BC296" s="84">
        <f t="shared" si="629"/>
        <v>2</v>
      </c>
      <c r="BD296" s="83">
        <f t="shared" si="613"/>
        <v>1</v>
      </c>
      <c r="BE296" s="85">
        <v>2</v>
      </c>
      <c r="BF296" s="86">
        <v>44743.562581018516</v>
      </c>
      <c r="BG296" s="72">
        <f t="shared" si="650"/>
        <v>46265</v>
      </c>
      <c r="BH296" s="107">
        <f t="shared" si="703"/>
        <v>1521.4374189814844</v>
      </c>
      <c r="BI296" s="80" t="str">
        <f t="shared" si="614"/>
        <v>Dead Stock</v>
      </c>
      <c r="BJ296" s="238">
        <v>1200</v>
      </c>
    </row>
    <row r="297" spans="1:293" s="48" customFormat="1" ht="13">
      <c r="A297" s="49"/>
      <c r="B297" s="50"/>
      <c r="C297" s="51">
        <v>294</v>
      </c>
      <c r="D297" s="127" t="s">
        <v>1519</v>
      </c>
      <c r="E297" s="127">
        <v>37</v>
      </c>
      <c r="F297" s="80" t="s">
        <v>208</v>
      </c>
      <c r="G297" s="81" t="s">
        <v>209</v>
      </c>
      <c r="H297" s="81" t="s">
        <v>290</v>
      </c>
      <c r="I297" s="80" t="s">
        <v>458</v>
      </c>
      <c r="J297" s="82">
        <f t="shared" si="705"/>
        <v>3</v>
      </c>
      <c r="K297" s="80">
        <v>3</v>
      </c>
      <c r="L297" s="57"/>
      <c r="M297" s="58"/>
      <c r="N297" s="59">
        <f t="shared" si="688"/>
        <v>3</v>
      </c>
      <c r="O297" s="60"/>
      <c r="P297" s="58"/>
      <c r="Q297" s="59">
        <f t="shared" si="689"/>
        <v>3</v>
      </c>
      <c r="R297" s="60"/>
      <c r="S297" s="58"/>
      <c r="T297" s="61">
        <f t="shared" si="690"/>
        <v>3</v>
      </c>
      <c r="U297" s="60"/>
      <c r="V297" s="58"/>
      <c r="W297" s="59">
        <f t="shared" si="691"/>
        <v>3</v>
      </c>
      <c r="X297" s="60"/>
      <c r="Y297" s="58"/>
      <c r="Z297" s="61">
        <f t="shared" si="692"/>
        <v>3</v>
      </c>
      <c r="AA297" s="60"/>
      <c r="AB297" s="58"/>
      <c r="AC297" s="59">
        <f t="shared" si="693"/>
        <v>3</v>
      </c>
      <c r="AD297" s="57"/>
      <c r="AE297" s="58"/>
      <c r="AF297" s="243">
        <f t="shared" si="694"/>
        <v>3</v>
      </c>
      <c r="AG297" s="60"/>
      <c r="AH297" s="58"/>
      <c r="AI297" s="62">
        <f t="shared" si="695"/>
        <v>3</v>
      </c>
      <c r="AJ297" s="60"/>
      <c r="AK297" s="58"/>
      <c r="AL297" s="62">
        <f t="shared" si="696"/>
        <v>3</v>
      </c>
      <c r="AM297" s="60"/>
      <c r="AN297" s="58"/>
      <c r="AO297" s="62">
        <f t="shared" si="697"/>
        <v>3</v>
      </c>
      <c r="AP297" s="60"/>
      <c r="AQ297" s="58"/>
      <c r="AR297" s="62">
        <f t="shared" si="698"/>
        <v>3</v>
      </c>
      <c r="AS297" s="60"/>
      <c r="AT297" s="58"/>
      <c r="AU297" s="62">
        <f t="shared" si="711"/>
        <v>3</v>
      </c>
      <c r="AV297" s="83">
        <f t="shared" si="712"/>
        <v>0</v>
      </c>
      <c r="AW297" s="83">
        <f t="shared" si="709"/>
        <v>0</v>
      </c>
      <c r="AX297" s="64">
        <f t="shared" si="713"/>
        <v>0</v>
      </c>
      <c r="AY297" s="65" t="e">
        <f t="shared" si="701"/>
        <v>#DIV/0!</v>
      </c>
      <c r="AZ297" s="66">
        <f t="shared" si="702"/>
        <v>0</v>
      </c>
      <c r="BA297" s="67">
        <v>3</v>
      </c>
      <c r="BB297" s="68">
        <v>1</v>
      </c>
      <c r="BC297" s="84">
        <f t="shared" si="629"/>
        <v>3</v>
      </c>
      <c r="BD297" s="83">
        <f t="shared" si="613"/>
        <v>2</v>
      </c>
      <c r="BE297" s="85">
        <v>2</v>
      </c>
      <c r="BF297" s="86">
        <v>45149.467627314814</v>
      </c>
      <c r="BG297" s="72">
        <f t="shared" si="650"/>
        <v>46265</v>
      </c>
      <c r="BH297" s="107">
        <f t="shared" si="703"/>
        <v>1115.5323726851857</v>
      </c>
      <c r="BI297" s="80" t="str">
        <f t="shared" si="614"/>
        <v>Dead Stock</v>
      </c>
      <c r="BJ297" s="238">
        <v>850</v>
      </c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  <c r="FS297" s="30"/>
      <c r="FT297" s="30"/>
      <c r="FU297" s="30"/>
      <c r="FV297" s="30"/>
      <c r="FW297" s="30"/>
      <c r="FX297" s="30"/>
      <c r="FY297" s="30"/>
      <c r="FZ297" s="30"/>
      <c r="GA297" s="30"/>
      <c r="GB297" s="30"/>
      <c r="GC297" s="30"/>
      <c r="GD297" s="30"/>
      <c r="GE297" s="30"/>
      <c r="GF297" s="30"/>
      <c r="GG297" s="30"/>
      <c r="GH297" s="30"/>
      <c r="GI297" s="30"/>
      <c r="GJ297" s="30"/>
      <c r="GK297" s="30"/>
      <c r="GL297" s="30"/>
      <c r="GM297" s="30"/>
      <c r="GN297" s="30"/>
      <c r="GO297" s="30"/>
      <c r="GP297" s="30"/>
      <c r="GQ297" s="30"/>
      <c r="GR297" s="30"/>
      <c r="GS297" s="30"/>
      <c r="GT297" s="30"/>
      <c r="GU297" s="30"/>
      <c r="GV297" s="30"/>
      <c r="GW297" s="30"/>
      <c r="GX297" s="30"/>
      <c r="GY297" s="30"/>
      <c r="GZ297" s="30"/>
      <c r="HA297" s="30"/>
      <c r="HB297" s="30"/>
      <c r="HC297" s="30"/>
      <c r="HD297" s="30"/>
      <c r="HE297" s="30"/>
      <c r="HF297" s="30"/>
      <c r="HG297" s="30"/>
      <c r="HH297" s="30"/>
      <c r="HI297" s="30"/>
      <c r="HJ297" s="30"/>
      <c r="HK297" s="30"/>
      <c r="HL297" s="30"/>
      <c r="HM297" s="30"/>
      <c r="HN297" s="30"/>
      <c r="HO297" s="30"/>
      <c r="HP297" s="30"/>
      <c r="HQ297" s="30"/>
      <c r="HR297" s="30"/>
      <c r="HS297" s="30"/>
      <c r="HT297" s="30"/>
      <c r="HU297" s="30"/>
      <c r="HV297" s="30"/>
      <c r="HW297" s="30"/>
      <c r="HX297" s="30"/>
      <c r="HY297" s="30"/>
      <c r="HZ297" s="30"/>
      <c r="IA297" s="30"/>
      <c r="IB297" s="30"/>
      <c r="IC297" s="30"/>
      <c r="ID297" s="30"/>
      <c r="IE297" s="30"/>
      <c r="IF297" s="30"/>
      <c r="IG297" s="30"/>
      <c r="IH297" s="30"/>
      <c r="II297" s="30"/>
      <c r="IJ297" s="30"/>
      <c r="IK297" s="30"/>
      <c r="IL297" s="30"/>
      <c r="IM297" s="30"/>
      <c r="IN297" s="30"/>
      <c r="IO297" s="30"/>
      <c r="IP297" s="30"/>
      <c r="IQ297" s="30"/>
      <c r="IR297" s="30"/>
      <c r="IS297" s="30"/>
      <c r="IT297" s="30"/>
      <c r="IU297" s="30"/>
      <c r="IV297" s="30"/>
      <c r="IW297" s="30"/>
      <c r="IX297" s="30"/>
      <c r="IY297" s="30"/>
      <c r="IZ297" s="30"/>
      <c r="JA297" s="30"/>
      <c r="JB297" s="30"/>
      <c r="JC297" s="30"/>
      <c r="JD297" s="30"/>
      <c r="JE297" s="30"/>
      <c r="JF297" s="30"/>
      <c r="JG297" s="30"/>
      <c r="JH297" s="30"/>
      <c r="JI297" s="30"/>
      <c r="JJ297" s="30"/>
      <c r="JK297" s="30"/>
      <c r="JL297" s="30"/>
      <c r="JM297" s="30"/>
      <c r="JN297" s="30"/>
      <c r="JO297" s="30"/>
      <c r="JP297" s="30"/>
      <c r="JQ297" s="30"/>
      <c r="JR297" s="30"/>
      <c r="JS297" s="30"/>
      <c r="JT297" s="30"/>
      <c r="JU297" s="30"/>
      <c r="JV297" s="30"/>
      <c r="JW297" s="30"/>
      <c r="JX297" s="30"/>
      <c r="JY297" s="30"/>
      <c r="JZ297" s="30"/>
      <c r="KA297" s="30"/>
      <c r="KB297" s="30"/>
      <c r="KC297" s="30"/>
      <c r="KD297" s="30"/>
      <c r="KE297" s="30"/>
      <c r="KF297" s="30"/>
      <c r="KG297" s="30"/>
    </row>
    <row r="298" spans="1:293" ht="13">
      <c r="A298" s="75"/>
      <c r="B298" s="76"/>
      <c r="C298" s="51">
        <v>295</v>
      </c>
      <c r="D298" s="127" t="s">
        <v>1519</v>
      </c>
      <c r="E298" s="127">
        <v>38</v>
      </c>
      <c r="F298" s="88" t="s">
        <v>1349</v>
      </c>
      <c r="G298" s="89" t="s">
        <v>1350</v>
      </c>
      <c r="H298" s="89" t="s">
        <v>1019</v>
      </c>
      <c r="I298" s="88" t="s">
        <v>364</v>
      </c>
      <c r="J298" s="93">
        <f>AU298</f>
        <v>1</v>
      </c>
      <c r="K298" s="88">
        <v>1</v>
      </c>
      <c r="L298" s="58"/>
      <c r="M298" s="58"/>
      <c r="N298" s="62">
        <f>SUM(K298+L298-M298)</f>
        <v>1</v>
      </c>
      <c r="O298" s="60"/>
      <c r="P298" s="58"/>
      <c r="Q298" s="62">
        <f>SUM(N298+O298-P298)</f>
        <v>1</v>
      </c>
      <c r="R298" s="60"/>
      <c r="S298" s="58"/>
      <c r="T298" s="94">
        <f>SUM(Q298+R298-S298)</f>
        <v>1</v>
      </c>
      <c r="U298" s="60"/>
      <c r="V298" s="58"/>
      <c r="W298" s="62">
        <f>SUM(T298+U298-V298)</f>
        <v>1</v>
      </c>
      <c r="X298" s="60"/>
      <c r="Y298" s="58"/>
      <c r="Z298" s="94">
        <f>SUM(W298+X298-Y298)</f>
        <v>1</v>
      </c>
      <c r="AA298" s="60"/>
      <c r="AB298" s="58"/>
      <c r="AC298" s="62">
        <f>SUM(Z298+AA298-AB298)</f>
        <v>1</v>
      </c>
      <c r="AD298" s="57"/>
      <c r="AE298" s="58"/>
      <c r="AF298" s="165">
        <f>SUM(AC298+AD298-AE298)</f>
        <v>1</v>
      </c>
      <c r="AG298" s="60"/>
      <c r="AH298" s="58"/>
      <c r="AI298" s="62">
        <f>SUM(AF298+AG298-AH298)</f>
        <v>1</v>
      </c>
      <c r="AJ298" s="60"/>
      <c r="AK298" s="58"/>
      <c r="AL298" s="62">
        <f>SUM(AI298+AJ298-AK298)</f>
        <v>1</v>
      </c>
      <c r="AM298" s="60"/>
      <c r="AN298" s="58"/>
      <c r="AO298" s="62">
        <f>SUM(AL298+AM298-AN298)</f>
        <v>1</v>
      </c>
      <c r="AP298" s="60"/>
      <c r="AQ298" s="58"/>
      <c r="AR298" s="62">
        <f>SUM(AO298+AP298-AQ298)</f>
        <v>1</v>
      </c>
      <c r="AS298" s="60"/>
      <c r="AT298" s="58"/>
      <c r="AU298" s="62">
        <f>SUM(AR298+AS298-AT298)</f>
        <v>1</v>
      </c>
      <c r="AV298" s="96">
        <f t="shared" ref="AV298" si="714">SUM(L298+O298+R298+U298+X298+AA298+AD298+AG298+AJ298+AM298+AP298+AS298)</f>
        <v>0</v>
      </c>
      <c r="AW298" s="83">
        <f t="shared" si="709"/>
        <v>0</v>
      </c>
      <c r="AX298" s="98">
        <f>SUM(M298,P298,S298,V298,Y298,AB298,AE298,AH298,AK298,AN298,AQ298,AT298)</f>
        <v>0</v>
      </c>
      <c r="AY298" s="99" t="e">
        <f>AVERAGE(M298,P298,S298,V298,Y298,AB298,AE298,AH298,AK298,AN298,AQ298,AT298)</f>
        <v>#DIV/0!</v>
      </c>
      <c r="AZ298" s="100">
        <f>COUNT(M298,P298,S298,V298,Y298,AB298,AE298,AH298,AK298,AN298,AQ298,AT298)</f>
        <v>0</v>
      </c>
      <c r="BA298" s="101">
        <v>1</v>
      </c>
      <c r="BB298" s="102">
        <v>0</v>
      </c>
      <c r="BC298" s="84">
        <f t="shared" si="629"/>
        <v>1</v>
      </c>
      <c r="BD298" s="83">
        <f t="shared" si="613"/>
        <v>1</v>
      </c>
      <c r="BE298" s="85">
        <v>2</v>
      </c>
      <c r="BF298" s="86">
        <v>45191.443842592591</v>
      </c>
      <c r="BG298" s="72">
        <f t="shared" si="650"/>
        <v>46265</v>
      </c>
      <c r="BH298" s="103">
        <f>BG298-BF298</f>
        <v>1073.556157407409</v>
      </c>
      <c r="BI298" s="80" t="str">
        <f t="shared" si="614"/>
        <v>Dead Stock</v>
      </c>
      <c r="BJ298" s="238">
        <v>12000</v>
      </c>
    </row>
    <row r="299" spans="1:293" ht="13">
      <c r="A299" s="49"/>
      <c r="B299" s="76"/>
      <c r="C299" s="77">
        <v>296</v>
      </c>
      <c r="D299" s="127" t="s">
        <v>1519</v>
      </c>
      <c r="E299" s="127">
        <v>39</v>
      </c>
      <c r="F299" s="88" t="s">
        <v>1318</v>
      </c>
      <c r="G299" s="89" t="s">
        <v>1317</v>
      </c>
      <c r="H299" s="89" t="s">
        <v>294</v>
      </c>
      <c r="I299" s="88" t="s">
        <v>458</v>
      </c>
      <c r="J299" s="93">
        <f t="shared" ref="J299" si="715">AU299</f>
        <v>3</v>
      </c>
      <c r="K299" s="88">
        <v>3</v>
      </c>
      <c r="L299" s="58"/>
      <c r="M299" s="58"/>
      <c r="N299" s="62">
        <f t="shared" ref="N299" si="716">SUM(K299+L299-M299)</f>
        <v>3</v>
      </c>
      <c r="O299" s="60"/>
      <c r="P299" s="58"/>
      <c r="Q299" s="62">
        <f t="shared" ref="Q299" si="717">SUM(N299+O299-P299)</f>
        <v>3</v>
      </c>
      <c r="R299" s="60"/>
      <c r="S299" s="58"/>
      <c r="T299" s="94">
        <f t="shared" ref="T299" si="718">SUM(Q299+R299-S299)</f>
        <v>3</v>
      </c>
      <c r="U299" s="60"/>
      <c r="V299" s="58"/>
      <c r="W299" s="62">
        <f t="shared" ref="W299" si="719">SUM(T299+U299-V299)</f>
        <v>3</v>
      </c>
      <c r="X299" s="60"/>
      <c r="Y299" s="58"/>
      <c r="Z299" s="94">
        <f t="shared" ref="Z299" si="720">SUM(W299+X299-Y299)</f>
        <v>3</v>
      </c>
      <c r="AA299" s="60"/>
      <c r="AB299" s="58"/>
      <c r="AC299" s="62">
        <f t="shared" ref="AC299" si="721">SUM(Z299+AA299-AB299)</f>
        <v>3</v>
      </c>
      <c r="AD299" s="57"/>
      <c r="AE299" s="58"/>
      <c r="AF299" s="165">
        <f t="shared" ref="AF299" si="722">SUM(AC299+AD299-AE299)</f>
        <v>3</v>
      </c>
      <c r="AG299" s="60"/>
      <c r="AH299" s="58"/>
      <c r="AI299" s="62">
        <f t="shared" ref="AI299" si="723">SUM(AF299+AG299-AH299)</f>
        <v>3</v>
      </c>
      <c r="AJ299" s="60"/>
      <c r="AK299" s="58"/>
      <c r="AL299" s="62">
        <f t="shared" ref="AL299" si="724">SUM(AI299+AJ299-AK299)</f>
        <v>3</v>
      </c>
      <c r="AM299" s="60"/>
      <c r="AN299" s="58"/>
      <c r="AO299" s="62">
        <f t="shared" ref="AO299" si="725">SUM(AL299+AM299-AN299)</f>
        <v>3</v>
      </c>
      <c r="AP299" s="60"/>
      <c r="AQ299" s="58"/>
      <c r="AR299" s="62">
        <f t="shared" ref="AR299" si="726">SUM(AO299+AP299-AQ299)</f>
        <v>3</v>
      </c>
      <c r="AS299" s="60"/>
      <c r="AT299" s="58"/>
      <c r="AU299" s="62">
        <f t="shared" ref="AU299" si="727">SUM(AR299+AS299-AT299)</f>
        <v>3</v>
      </c>
      <c r="AV299" s="96">
        <f t="shared" ref="AV299" si="728">SUM(L299+O299+R299+U299+X299+AA299+AD299+AG299+AJ299+AM299+AP299+AS299)</f>
        <v>0</v>
      </c>
      <c r="AW299" s="83">
        <f t="shared" si="709"/>
        <v>0</v>
      </c>
      <c r="AX299" s="98">
        <f t="shared" ref="AX299" si="729">SUM(M299,P299,S299,V299,Y299,AB299,AE299,AH299,AK299,AN299,AQ299,AT299)</f>
        <v>0</v>
      </c>
      <c r="AY299" s="99" t="e">
        <f>AVERAGE(M299,P299,S299,V299,Y299,AB299,AE299,AH299,AK299,AN299,AQ299,AT299)</f>
        <v>#DIV/0!</v>
      </c>
      <c r="AZ299" s="100">
        <f>COUNT(M299,P299,S299,V299,Y299,AB299,AE299,AH299,AK299,AN299,AQ299,AT299)</f>
        <v>0</v>
      </c>
      <c r="BA299" s="101">
        <v>3</v>
      </c>
      <c r="BB299" s="102">
        <v>1</v>
      </c>
      <c r="BC299" s="84">
        <f t="shared" si="629"/>
        <v>3</v>
      </c>
      <c r="BD299" s="83">
        <f t="shared" si="613"/>
        <v>2</v>
      </c>
      <c r="BE299" s="85">
        <v>2</v>
      </c>
      <c r="BF299" s="86">
        <v>45118.638761574075</v>
      </c>
      <c r="BG299" s="72">
        <f t="shared" si="650"/>
        <v>46265</v>
      </c>
      <c r="BH299" s="103">
        <f>BG299-BF299</f>
        <v>1146.361238425925</v>
      </c>
      <c r="BI299" s="80" t="str">
        <f t="shared" si="614"/>
        <v>Dead Stock</v>
      </c>
      <c r="BJ299" s="238">
        <v>630</v>
      </c>
    </row>
    <row r="300" spans="1:293" ht="13">
      <c r="A300" s="75"/>
      <c r="B300" s="76"/>
      <c r="C300" s="77">
        <v>297</v>
      </c>
      <c r="D300" s="127" t="s">
        <v>1519</v>
      </c>
      <c r="E300" s="127">
        <v>40</v>
      </c>
      <c r="F300" s="88" t="s">
        <v>1552</v>
      </c>
      <c r="G300" s="89" t="s">
        <v>1947</v>
      </c>
      <c r="H300" s="89" t="s">
        <v>294</v>
      </c>
      <c r="I300" s="88" t="s">
        <v>458</v>
      </c>
      <c r="J300" s="93">
        <f>AU300</f>
        <v>1</v>
      </c>
      <c r="K300" s="88">
        <v>2</v>
      </c>
      <c r="L300" s="58"/>
      <c r="M300" s="58"/>
      <c r="N300" s="62">
        <f>SUM(K300+L300-M300)</f>
        <v>2</v>
      </c>
      <c r="O300" s="60"/>
      <c r="P300" s="58">
        <v>1</v>
      </c>
      <c r="Q300" s="62">
        <f>SUM(N300+O300-P300)</f>
        <v>1</v>
      </c>
      <c r="R300" s="60"/>
      <c r="S300" s="58"/>
      <c r="T300" s="94">
        <f>SUM(Q300+R300-S300)</f>
        <v>1</v>
      </c>
      <c r="U300" s="60"/>
      <c r="V300" s="58"/>
      <c r="W300" s="62">
        <f>SUM(T300+U300-V300)</f>
        <v>1</v>
      </c>
      <c r="X300" s="60"/>
      <c r="Y300" s="58"/>
      <c r="Z300" s="94">
        <f>SUM(W300+X300-Y300)</f>
        <v>1</v>
      </c>
      <c r="AA300" s="60"/>
      <c r="AB300" s="58"/>
      <c r="AC300" s="62">
        <f>SUM(Z300+AA300-AB300)</f>
        <v>1</v>
      </c>
      <c r="AD300" s="57"/>
      <c r="AE300" s="58"/>
      <c r="AF300" s="165">
        <f>SUM(AC300+AD300-AE300)</f>
        <v>1</v>
      </c>
      <c r="AG300" s="60"/>
      <c r="AH300" s="58"/>
      <c r="AI300" s="62">
        <f>SUM(AF300+AG300-AH300)</f>
        <v>1</v>
      </c>
      <c r="AJ300" s="60"/>
      <c r="AK300" s="58"/>
      <c r="AL300" s="62">
        <f>SUM(AI300+AJ300-AK300)</f>
        <v>1</v>
      </c>
      <c r="AM300" s="60"/>
      <c r="AN300" s="58"/>
      <c r="AO300" s="62">
        <f>SUM(AL300+AM300-AN300)</f>
        <v>1</v>
      </c>
      <c r="AP300" s="60"/>
      <c r="AQ300" s="58"/>
      <c r="AR300" s="62">
        <f>SUM(AO300+AP300-AQ300)</f>
        <v>1</v>
      </c>
      <c r="AS300" s="60"/>
      <c r="AT300" s="58"/>
      <c r="AU300" s="62">
        <f>SUM(AR300+AS300-AT300)</f>
        <v>1</v>
      </c>
      <c r="AV300" s="96">
        <f t="shared" ref="AV300" si="730">SUM(L300+O300+R300+U300+X300+AA300+AD300+AG300+AJ300+AM300+AP300+AS300)</f>
        <v>0</v>
      </c>
      <c r="AW300" s="83">
        <f t="shared" si="709"/>
        <v>1</v>
      </c>
      <c r="AX300" s="98">
        <f>SUM(M300,P300,S300,V300,Y300,AB300,AE300,AH300,AK300,AN300,AQ300,AT300)</f>
        <v>1</v>
      </c>
      <c r="AY300" s="99">
        <f>AVERAGE(M300,P300,S300,V300,Y300,AB300,AE300,AH300,AK300,AN300,AQ300,AT300)</f>
        <v>1</v>
      </c>
      <c r="AZ300" s="100">
        <f>COUNT(M300,P300,S300,V300,Y300,AB300,AE300,AH300,AK300,AN300,AQ300,AT300)</f>
        <v>1</v>
      </c>
      <c r="BA300" s="101">
        <f t="shared" ref="BA300" si="731">MAX(M300,P300,S300,V300,Y300,AB300,AE300,AH300,AK300,AN300,AQ300,AT300)</f>
        <v>1</v>
      </c>
      <c r="BB300" s="102">
        <v>0</v>
      </c>
      <c r="BC300" s="84">
        <f t="shared" si="629"/>
        <v>1</v>
      </c>
      <c r="BD300" s="83">
        <f t="shared" si="613"/>
        <v>1</v>
      </c>
      <c r="BE300" s="85">
        <v>2</v>
      </c>
      <c r="BF300" s="86">
        <v>45387.439074074071</v>
      </c>
      <c r="BG300" s="72">
        <f t="shared" si="650"/>
        <v>46265</v>
      </c>
      <c r="BH300" s="103">
        <f>BG300-BF300</f>
        <v>877.56092592592904</v>
      </c>
      <c r="BI300" s="80" t="str">
        <f t="shared" si="614"/>
        <v>Dead Stock</v>
      </c>
      <c r="BJ300" s="238">
        <v>1170</v>
      </c>
    </row>
    <row r="301" spans="1:293" ht="13">
      <c r="A301" s="49"/>
      <c r="B301" s="76"/>
      <c r="C301" s="51">
        <v>298</v>
      </c>
      <c r="D301" s="127" t="s">
        <v>1519</v>
      </c>
      <c r="E301" s="127">
        <v>41</v>
      </c>
      <c r="F301" s="88" t="s">
        <v>1550</v>
      </c>
      <c r="G301" s="89" t="s">
        <v>1551</v>
      </c>
      <c r="H301" s="89" t="s">
        <v>294</v>
      </c>
      <c r="I301" s="88" t="s">
        <v>458</v>
      </c>
      <c r="J301" s="93">
        <f t="shared" si="705"/>
        <v>3</v>
      </c>
      <c r="K301" s="80">
        <v>3</v>
      </c>
      <c r="L301" s="58"/>
      <c r="M301" s="58"/>
      <c r="N301" s="62">
        <f t="shared" si="688"/>
        <v>3</v>
      </c>
      <c r="O301" s="60"/>
      <c r="P301" s="58"/>
      <c r="Q301" s="62">
        <f t="shared" si="689"/>
        <v>3</v>
      </c>
      <c r="R301" s="60"/>
      <c r="S301" s="58"/>
      <c r="T301" s="94">
        <f t="shared" si="690"/>
        <v>3</v>
      </c>
      <c r="U301" s="60"/>
      <c r="V301" s="58"/>
      <c r="W301" s="62">
        <f t="shared" si="691"/>
        <v>3</v>
      </c>
      <c r="X301" s="60"/>
      <c r="Y301" s="58"/>
      <c r="Z301" s="94">
        <f t="shared" si="692"/>
        <v>3</v>
      </c>
      <c r="AA301" s="60"/>
      <c r="AB301" s="58"/>
      <c r="AC301" s="62">
        <f t="shared" si="693"/>
        <v>3</v>
      </c>
      <c r="AD301" s="57"/>
      <c r="AE301" s="58"/>
      <c r="AF301" s="165">
        <f t="shared" si="694"/>
        <v>3</v>
      </c>
      <c r="AG301" s="60"/>
      <c r="AH301" s="58"/>
      <c r="AI301" s="62">
        <f t="shared" si="695"/>
        <v>3</v>
      </c>
      <c r="AJ301" s="60"/>
      <c r="AK301" s="58"/>
      <c r="AL301" s="62">
        <f t="shared" si="696"/>
        <v>3</v>
      </c>
      <c r="AM301" s="60"/>
      <c r="AN301" s="58"/>
      <c r="AO301" s="62">
        <f t="shared" si="697"/>
        <v>3</v>
      </c>
      <c r="AP301" s="60"/>
      <c r="AQ301" s="58"/>
      <c r="AR301" s="62">
        <f t="shared" si="698"/>
        <v>3</v>
      </c>
      <c r="AS301" s="60"/>
      <c r="AT301" s="58"/>
      <c r="AU301" s="62">
        <f t="shared" si="711"/>
        <v>3</v>
      </c>
      <c r="AV301" s="96">
        <f t="shared" ref="AV301" si="732">SUM(L301+O301+R301+U301+X301+AA301+AD301+AG301+AJ301+AM301+AP301+AS301)</f>
        <v>0</v>
      </c>
      <c r="AW301" s="83">
        <f t="shared" si="709"/>
        <v>0</v>
      </c>
      <c r="AX301" s="98">
        <f t="shared" si="713"/>
        <v>0</v>
      </c>
      <c r="AY301" s="99" t="e">
        <f t="shared" ref="AY301" si="733">AVERAGE(M301,P301,S301,V301,Y301,AB301,AE301,AH301,AK301,AN301,AQ301,AT301)</f>
        <v>#DIV/0!</v>
      </c>
      <c r="AZ301" s="100">
        <f t="shared" ref="AZ301" si="734">COUNT(M301,P301,S301,V301,Y301,AB301,AE301,AH301,AK301,AN301,AQ301,AT301)</f>
        <v>0</v>
      </c>
      <c r="BA301" s="101">
        <v>3</v>
      </c>
      <c r="BB301" s="102">
        <v>1</v>
      </c>
      <c r="BC301" s="84">
        <f t="shared" si="629"/>
        <v>3</v>
      </c>
      <c r="BD301" s="83">
        <f t="shared" si="613"/>
        <v>2</v>
      </c>
      <c r="BE301" s="85">
        <v>2</v>
      </c>
      <c r="BF301" s="86">
        <v>45387.439074074071</v>
      </c>
      <c r="BG301" s="72">
        <f t="shared" si="650"/>
        <v>46265</v>
      </c>
      <c r="BH301" s="109">
        <f t="shared" si="703"/>
        <v>877.56092592592904</v>
      </c>
      <c r="BI301" s="80" t="str">
        <f t="shared" si="614"/>
        <v>Dead Stock</v>
      </c>
      <c r="BJ301" s="238">
        <v>630</v>
      </c>
    </row>
    <row r="302" spans="1:293" ht="13">
      <c r="A302" s="49"/>
      <c r="B302" s="50"/>
      <c r="C302" s="51">
        <v>299</v>
      </c>
      <c r="D302" s="127" t="s">
        <v>1519</v>
      </c>
      <c r="E302" s="127">
        <v>42</v>
      </c>
      <c r="F302" s="88" t="s">
        <v>1769</v>
      </c>
      <c r="G302" s="89" t="s">
        <v>1768</v>
      </c>
      <c r="H302" s="89" t="s">
        <v>294</v>
      </c>
      <c r="I302" s="88" t="s">
        <v>458</v>
      </c>
      <c r="J302" s="93">
        <f t="shared" si="705"/>
        <v>2</v>
      </c>
      <c r="K302" s="80">
        <v>3</v>
      </c>
      <c r="L302" s="58"/>
      <c r="M302" s="58"/>
      <c r="N302" s="62">
        <f t="shared" si="688"/>
        <v>3</v>
      </c>
      <c r="O302" s="60"/>
      <c r="P302" s="58"/>
      <c r="Q302" s="62">
        <f t="shared" si="689"/>
        <v>3</v>
      </c>
      <c r="R302" s="60"/>
      <c r="S302" s="58"/>
      <c r="T302" s="94">
        <f t="shared" si="690"/>
        <v>3</v>
      </c>
      <c r="U302" s="60"/>
      <c r="V302" s="58"/>
      <c r="W302" s="62">
        <f t="shared" si="691"/>
        <v>3</v>
      </c>
      <c r="X302" s="60"/>
      <c r="Y302" s="58"/>
      <c r="Z302" s="94">
        <f t="shared" si="692"/>
        <v>3</v>
      </c>
      <c r="AA302" s="60"/>
      <c r="AB302" s="58"/>
      <c r="AC302" s="62">
        <f t="shared" si="693"/>
        <v>3</v>
      </c>
      <c r="AD302" s="57"/>
      <c r="AE302" s="58">
        <v>1</v>
      </c>
      <c r="AF302" s="165">
        <f t="shared" si="694"/>
        <v>2</v>
      </c>
      <c r="AG302" s="60"/>
      <c r="AH302" s="58"/>
      <c r="AI302" s="62">
        <f t="shared" si="695"/>
        <v>2</v>
      </c>
      <c r="AJ302" s="60"/>
      <c r="AK302" s="58"/>
      <c r="AL302" s="62">
        <f t="shared" si="696"/>
        <v>2</v>
      </c>
      <c r="AM302" s="60"/>
      <c r="AN302" s="58"/>
      <c r="AO302" s="62">
        <f t="shared" si="697"/>
        <v>2</v>
      </c>
      <c r="AP302" s="60"/>
      <c r="AQ302" s="58"/>
      <c r="AR302" s="62">
        <f t="shared" si="698"/>
        <v>2</v>
      </c>
      <c r="AS302" s="60"/>
      <c r="AT302" s="58"/>
      <c r="AU302" s="62">
        <f t="shared" si="711"/>
        <v>2</v>
      </c>
      <c r="AV302" s="96">
        <f>SUM(L302+O302+R302+U302+X302+AA302+AD302+AG302+AJ302+AM302+AP302+AS302)</f>
        <v>0</v>
      </c>
      <c r="AW302" s="83">
        <f t="shared" si="709"/>
        <v>1</v>
      </c>
      <c r="AX302" s="98">
        <f t="shared" si="713"/>
        <v>1</v>
      </c>
      <c r="AY302" s="99">
        <f>AVERAGE(M302,P302,S302,V302,Y302,AB302,AE302,AH302,AK302,AN302,AQ302,AT302)</f>
        <v>1</v>
      </c>
      <c r="AZ302" s="100">
        <f>COUNT(M302,P302,S302,V302,Y302,AB302,AE302,AH302,AK302,AN302,AQ302,AT302)</f>
        <v>1</v>
      </c>
      <c r="BA302" s="101">
        <v>2</v>
      </c>
      <c r="BB302" s="102">
        <f>MIN(M302,P302,S302,V302,Y302,AB302,AE302,AH302,AK302,AN302,AQ302,AT302)</f>
        <v>1</v>
      </c>
      <c r="BC302" s="84">
        <f t="shared" si="629"/>
        <v>2</v>
      </c>
      <c r="BD302" s="83">
        <f t="shared" si="613"/>
        <v>1</v>
      </c>
      <c r="BE302" s="85">
        <v>2</v>
      </c>
      <c r="BF302" s="86">
        <v>45603.422129629631</v>
      </c>
      <c r="BG302" s="72">
        <f t="shared" si="650"/>
        <v>46265</v>
      </c>
      <c r="BH302" s="103">
        <f t="shared" si="703"/>
        <v>661.57787037036906</v>
      </c>
      <c r="BI302" s="80" t="str">
        <f t="shared" si="614"/>
        <v>Dead Stock</v>
      </c>
      <c r="BJ302" s="238">
        <v>432</v>
      </c>
    </row>
    <row r="303" spans="1:293" ht="13">
      <c r="A303" s="90"/>
      <c r="B303" s="91"/>
      <c r="C303" s="51">
        <v>300</v>
      </c>
      <c r="D303" s="127" t="s">
        <v>1519</v>
      </c>
      <c r="E303" s="127">
        <v>43</v>
      </c>
      <c r="F303" s="80" t="s">
        <v>1720</v>
      </c>
      <c r="G303" s="106" t="s">
        <v>1721</v>
      </c>
      <c r="H303" s="81" t="s">
        <v>294</v>
      </c>
      <c r="I303" s="80" t="s">
        <v>458</v>
      </c>
      <c r="J303" s="82">
        <f t="shared" si="705"/>
        <v>3</v>
      </c>
      <c r="K303" s="80">
        <v>3</v>
      </c>
      <c r="L303" s="57"/>
      <c r="M303" s="58"/>
      <c r="N303" s="59">
        <f t="shared" si="688"/>
        <v>3</v>
      </c>
      <c r="O303" s="60"/>
      <c r="P303" s="58"/>
      <c r="Q303" s="59">
        <f t="shared" si="689"/>
        <v>3</v>
      </c>
      <c r="R303" s="60"/>
      <c r="S303" s="58"/>
      <c r="T303" s="61">
        <f t="shared" si="690"/>
        <v>3</v>
      </c>
      <c r="U303" s="60"/>
      <c r="V303" s="58"/>
      <c r="W303" s="59">
        <f t="shared" si="691"/>
        <v>3</v>
      </c>
      <c r="X303" s="60"/>
      <c r="Y303" s="58"/>
      <c r="Z303" s="61">
        <f t="shared" si="692"/>
        <v>3</v>
      </c>
      <c r="AA303" s="60"/>
      <c r="AB303" s="58"/>
      <c r="AC303" s="59">
        <f t="shared" si="693"/>
        <v>3</v>
      </c>
      <c r="AD303" s="57"/>
      <c r="AE303" s="58"/>
      <c r="AF303" s="243">
        <f t="shared" si="694"/>
        <v>3</v>
      </c>
      <c r="AG303" s="60"/>
      <c r="AH303" s="58"/>
      <c r="AI303" s="62">
        <f t="shared" si="695"/>
        <v>3</v>
      </c>
      <c r="AJ303" s="60"/>
      <c r="AK303" s="58"/>
      <c r="AL303" s="62">
        <f t="shared" si="696"/>
        <v>3</v>
      </c>
      <c r="AM303" s="60"/>
      <c r="AN303" s="58"/>
      <c r="AO303" s="62">
        <f t="shared" si="697"/>
        <v>3</v>
      </c>
      <c r="AP303" s="60"/>
      <c r="AQ303" s="58"/>
      <c r="AR303" s="62">
        <f t="shared" si="698"/>
        <v>3</v>
      </c>
      <c r="AS303" s="60"/>
      <c r="AT303" s="58"/>
      <c r="AU303" s="62">
        <f t="shared" si="711"/>
        <v>3</v>
      </c>
      <c r="AV303" s="128">
        <f>SUM(L303+O303+R303+U303+X303+AA303+AD303+AG303+AJ303+AM303+AP303+AS303)</f>
        <v>0</v>
      </c>
      <c r="AW303" s="83">
        <f t="shared" si="709"/>
        <v>0</v>
      </c>
      <c r="AX303" s="64">
        <f t="shared" si="713"/>
        <v>0</v>
      </c>
      <c r="AY303" s="65" t="e">
        <f t="shared" ref="AY303" si="735">AVERAGE(M303,P303,S303,V303,Y303,AB303,AE303,AH303,AK303,AN303,AQ303,AT303)</f>
        <v>#DIV/0!</v>
      </c>
      <c r="AZ303" s="66">
        <f t="shared" ref="AZ303" si="736">COUNT(M303,P303,S303,V303,Y303,AB303,AE303,AH303,AK303,AN303,AQ303,AT303)</f>
        <v>0</v>
      </c>
      <c r="BA303" s="67">
        <v>3</v>
      </c>
      <c r="BB303" s="68">
        <v>1</v>
      </c>
      <c r="BC303" s="84">
        <f t="shared" si="629"/>
        <v>3</v>
      </c>
      <c r="BD303" s="83">
        <f t="shared" si="613"/>
        <v>2</v>
      </c>
      <c r="BE303" s="85">
        <v>2</v>
      </c>
      <c r="BF303" s="86">
        <v>45736</v>
      </c>
      <c r="BG303" s="72">
        <f t="shared" si="650"/>
        <v>46265</v>
      </c>
      <c r="BH303" s="107">
        <f t="shared" si="703"/>
        <v>529</v>
      </c>
      <c r="BI303" s="80" t="str">
        <f t="shared" si="614"/>
        <v>Dead Stock</v>
      </c>
      <c r="BJ303" s="238">
        <v>4800</v>
      </c>
    </row>
    <row r="304" spans="1:293" ht="13">
      <c r="A304" s="90"/>
      <c r="B304" s="91"/>
      <c r="C304" s="51">
        <v>301</v>
      </c>
      <c r="D304" s="127" t="s">
        <v>1519</v>
      </c>
      <c r="E304" s="127">
        <v>44</v>
      </c>
      <c r="F304" s="80" t="s">
        <v>630</v>
      </c>
      <c r="G304" s="81" t="s">
        <v>631</v>
      </c>
      <c r="H304" s="81" t="s">
        <v>290</v>
      </c>
      <c r="I304" s="80" t="s">
        <v>458</v>
      </c>
      <c r="J304" s="82">
        <f t="shared" si="705"/>
        <v>4</v>
      </c>
      <c r="K304" s="80">
        <v>4</v>
      </c>
      <c r="L304" s="57"/>
      <c r="M304" s="58"/>
      <c r="N304" s="59">
        <f t="shared" si="688"/>
        <v>4</v>
      </c>
      <c r="O304" s="60"/>
      <c r="P304" s="58"/>
      <c r="Q304" s="59">
        <f t="shared" si="689"/>
        <v>4</v>
      </c>
      <c r="R304" s="60"/>
      <c r="S304" s="58"/>
      <c r="T304" s="61">
        <f t="shared" si="690"/>
        <v>4</v>
      </c>
      <c r="U304" s="60"/>
      <c r="V304" s="58"/>
      <c r="W304" s="59">
        <f t="shared" si="691"/>
        <v>4</v>
      </c>
      <c r="X304" s="60"/>
      <c r="Y304" s="58"/>
      <c r="Z304" s="61">
        <f t="shared" si="692"/>
        <v>4</v>
      </c>
      <c r="AA304" s="60"/>
      <c r="AB304" s="58"/>
      <c r="AC304" s="59">
        <f t="shared" si="693"/>
        <v>4</v>
      </c>
      <c r="AD304" s="57"/>
      <c r="AE304" s="58"/>
      <c r="AF304" s="243">
        <f t="shared" si="694"/>
        <v>4</v>
      </c>
      <c r="AG304" s="60"/>
      <c r="AH304" s="58"/>
      <c r="AI304" s="62">
        <f t="shared" si="695"/>
        <v>4</v>
      </c>
      <c r="AJ304" s="60"/>
      <c r="AK304" s="58"/>
      <c r="AL304" s="62">
        <f t="shared" si="696"/>
        <v>4</v>
      </c>
      <c r="AM304" s="60"/>
      <c r="AN304" s="58"/>
      <c r="AO304" s="62">
        <f t="shared" si="697"/>
        <v>4</v>
      </c>
      <c r="AP304" s="60"/>
      <c r="AQ304" s="58"/>
      <c r="AR304" s="62">
        <f t="shared" si="698"/>
        <v>4</v>
      </c>
      <c r="AS304" s="60"/>
      <c r="AT304" s="58"/>
      <c r="AU304" s="62">
        <f t="shared" si="711"/>
        <v>4</v>
      </c>
      <c r="AV304" s="83">
        <f t="shared" ref="AV304" si="737">SUM(L304+O304+R304+U304+X304+AA304+AD304+AG304+AJ304+AM304+AP304+AS304)</f>
        <v>0</v>
      </c>
      <c r="AW304" s="83">
        <f t="shared" si="709"/>
        <v>0</v>
      </c>
      <c r="AX304" s="64">
        <f t="shared" si="713"/>
        <v>0</v>
      </c>
      <c r="AY304" s="65" t="e">
        <f>AVERAGE(M304,P304,S304,V304,Y304,AB304,AE304,AH304,AK304,AN304,AQ304,AT304)</f>
        <v>#DIV/0!</v>
      </c>
      <c r="AZ304" s="66">
        <f>COUNT(M304,P304,S304,V304,Y304,AB304,AE304,AH304,AK304,AN304,AQ304,AT304)</f>
        <v>0</v>
      </c>
      <c r="BA304" s="67">
        <f>MAX(0, Table176252626[[#This Row],[Column6]])</f>
        <v>4</v>
      </c>
      <c r="BB304" s="68">
        <v>1</v>
      </c>
      <c r="BC304" s="84">
        <f t="shared" si="629"/>
        <v>4</v>
      </c>
      <c r="BD304" s="83">
        <f t="shared" si="613"/>
        <v>3</v>
      </c>
      <c r="BE304" s="85">
        <v>2</v>
      </c>
      <c r="BF304" s="86">
        <v>45425.440474537034</v>
      </c>
      <c r="BG304" s="72">
        <f t="shared" si="650"/>
        <v>46265</v>
      </c>
      <c r="BH304" s="87">
        <f t="shared" si="703"/>
        <v>839.55952546296612</v>
      </c>
      <c r="BI304" s="80" t="str">
        <f t="shared" si="614"/>
        <v>Dead Stock</v>
      </c>
      <c r="BJ304" s="238">
        <v>3950</v>
      </c>
    </row>
    <row r="305" spans="1:62" ht="13">
      <c r="A305" s="49"/>
      <c r="B305" s="76"/>
      <c r="C305" s="77">
        <v>302</v>
      </c>
      <c r="D305" s="127" t="s">
        <v>1519</v>
      </c>
      <c r="E305" s="127">
        <v>45</v>
      </c>
      <c r="F305" s="88" t="s">
        <v>1766</v>
      </c>
      <c r="G305" s="89" t="s">
        <v>1767</v>
      </c>
      <c r="H305" s="81" t="s">
        <v>294</v>
      </c>
      <c r="I305" s="88" t="s">
        <v>458</v>
      </c>
      <c r="J305" s="93">
        <f t="shared" si="705"/>
        <v>3</v>
      </c>
      <c r="K305" s="80">
        <v>3</v>
      </c>
      <c r="L305" s="58"/>
      <c r="M305" s="58"/>
      <c r="N305" s="62">
        <f t="shared" si="688"/>
        <v>3</v>
      </c>
      <c r="O305" s="60"/>
      <c r="P305" s="58"/>
      <c r="Q305" s="62">
        <f t="shared" si="689"/>
        <v>3</v>
      </c>
      <c r="R305" s="60"/>
      <c r="S305" s="58"/>
      <c r="T305" s="94">
        <f t="shared" si="690"/>
        <v>3</v>
      </c>
      <c r="U305" s="60"/>
      <c r="V305" s="58"/>
      <c r="W305" s="62">
        <f t="shared" si="691"/>
        <v>3</v>
      </c>
      <c r="X305" s="60"/>
      <c r="Y305" s="58"/>
      <c r="Z305" s="94">
        <f t="shared" si="692"/>
        <v>3</v>
      </c>
      <c r="AA305" s="60"/>
      <c r="AB305" s="58"/>
      <c r="AC305" s="62">
        <f t="shared" si="693"/>
        <v>3</v>
      </c>
      <c r="AD305" s="57"/>
      <c r="AE305" s="58"/>
      <c r="AF305" s="165">
        <f t="shared" si="694"/>
        <v>3</v>
      </c>
      <c r="AG305" s="60"/>
      <c r="AH305" s="58"/>
      <c r="AI305" s="62">
        <f t="shared" si="695"/>
        <v>3</v>
      </c>
      <c r="AJ305" s="60"/>
      <c r="AK305" s="58"/>
      <c r="AL305" s="62">
        <f t="shared" si="696"/>
        <v>3</v>
      </c>
      <c r="AM305" s="60"/>
      <c r="AN305" s="58"/>
      <c r="AO305" s="62">
        <f t="shared" si="697"/>
        <v>3</v>
      </c>
      <c r="AP305" s="60"/>
      <c r="AQ305" s="58"/>
      <c r="AR305" s="62">
        <f t="shared" si="698"/>
        <v>3</v>
      </c>
      <c r="AS305" s="60"/>
      <c r="AT305" s="58"/>
      <c r="AU305" s="62">
        <f t="shared" si="711"/>
        <v>3</v>
      </c>
      <c r="AV305" s="96">
        <f>SUM(L305+O305+R305+U305+X305+AA305+AD305+AG305+AJ305+AM305+AP305+AS305)</f>
        <v>0</v>
      </c>
      <c r="AW305" s="83">
        <f t="shared" si="709"/>
        <v>0</v>
      </c>
      <c r="AX305" s="98">
        <f t="shared" si="713"/>
        <v>0</v>
      </c>
      <c r="AY305" s="99" t="e">
        <f>AVERAGE(M305,P305,S305,V305,Y305,AB305,AE305,AH305,AK305,AN305,AQ305,AT305)</f>
        <v>#DIV/0!</v>
      </c>
      <c r="AZ305" s="100">
        <f>COUNT(M305,P305,S305,V305,Y305,AB305,AE305,AH305,AK305,AN305,AQ305,AT305)</f>
        <v>0</v>
      </c>
      <c r="BA305" s="101">
        <v>3</v>
      </c>
      <c r="BB305" s="102">
        <v>1</v>
      </c>
      <c r="BC305" s="84">
        <f t="shared" si="629"/>
        <v>3</v>
      </c>
      <c r="BD305" s="83">
        <f t="shared" si="613"/>
        <v>2</v>
      </c>
      <c r="BE305" s="85">
        <v>2</v>
      </c>
      <c r="BF305" s="86">
        <v>45484.458553240744</v>
      </c>
      <c r="BG305" s="72">
        <f t="shared" si="650"/>
        <v>46265</v>
      </c>
      <c r="BH305" s="109">
        <f t="shared" si="703"/>
        <v>780.54144675925636</v>
      </c>
      <c r="BI305" s="80" t="str">
        <f t="shared" si="614"/>
        <v>Dead Stock</v>
      </c>
      <c r="BJ305" s="238">
        <v>542</v>
      </c>
    </row>
    <row r="306" spans="1:62" ht="13">
      <c r="A306" s="75"/>
      <c r="B306" s="76"/>
      <c r="C306" s="77">
        <v>303</v>
      </c>
      <c r="D306" s="127" t="s">
        <v>1519</v>
      </c>
      <c r="E306" s="127">
        <v>46</v>
      </c>
      <c r="F306" s="80" t="s">
        <v>31</v>
      </c>
      <c r="G306" s="81" t="s">
        <v>920</v>
      </c>
      <c r="H306" s="81" t="s">
        <v>295</v>
      </c>
      <c r="I306" s="80" t="s">
        <v>458</v>
      </c>
      <c r="J306" s="82">
        <f t="shared" si="705"/>
        <v>2</v>
      </c>
      <c r="K306" s="80">
        <v>2</v>
      </c>
      <c r="L306" s="57"/>
      <c r="M306" s="58"/>
      <c r="N306" s="59">
        <f t="shared" ref="N306" si="738">SUM(K306+L306-M306)</f>
        <v>2</v>
      </c>
      <c r="O306" s="60"/>
      <c r="P306" s="58"/>
      <c r="Q306" s="59">
        <f t="shared" ref="Q306" si="739">SUM(N306+O306-P306)</f>
        <v>2</v>
      </c>
      <c r="R306" s="60"/>
      <c r="S306" s="58"/>
      <c r="T306" s="61">
        <f t="shared" ref="T306" si="740">SUM(Q306+R306-S306)</f>
        <v>2</v>
      </c>
      <c r="U306" s="60"/>
      <c r="V306" s="58"/>
      <c r="W306" s="59">
        <f t="shared" ref="W306" si="741">SUM(T306+U306-V306)</f>
        <v>2</v>
      </c>
      <c r="X306" s="60"/>
      <c r="Y306" s="58"/>
      <c r="Z306" s="61">
        <f t="shared" ref="Z306" si="742">SUM(W306+X306-Y306)</f>
        <v>2</v>
      </c>
      <c r="AA306" s="60"/>
      <c r="AB306" s="58"/>
      <c r="AC306" s="59">
        <f t="shared" ref="AC306" si="743">SUM(Z306+AA306-AB306)</f>
        <v>2</v>
      </c>
      <c r="AD306" s="57"/>
      <c r="AE306" s="58"/>
      <c r="AF306" s="243">
        <f t="shared" ref="AF306" si="744">SUM(AC306+AD306-AE306)</f>
        <v>2</v>
      </c>
      <c r="AG306" s="60"/>
      <c r="AH306" s="58"/>
      <c r="AI306" s="62">
        <f t="shared" ref="AI306" si="745">SUM(AF306+AG306-AH306)</f>
        <v>2</v>
      </c>
      <c r="AJ306" s="60"/>
      <c r="AK306" s="58"/>
      <c r="AL306" s="62">
        <f t="shared" ref="AL306" si="746">SUM(AI306+AJ306-AK306)</f>
        <v>2</v>
      </c>
      <c r="AM306" s="60"/>
      <c r="AN306" s="58"/>
      <c r="AO306" s="62">
        <f t="shared" ref="AO306" si="747">SUM(AL306+AM306-AN306)</f>
        <v>2</v>
      </c>
      <c r="AP306" s="60"/>
      <c r="AQ306" s="58"/>
      <c r="AR306" s="62">
        <f t="shared" ref="AR306" si="748">SUM(AO306+AP306-AQ306)</f>
        <v>2</v>
      </c>
      <c r="AS306" s="60"/>
      <c r="AT306" s="58"/>
      <c r="AU306" s="62">
        <f t="shared" si="711"/>
        <v>2</v>
      </c>
      <c r="AV306" s="83">
        <f>SUM(L306+O306+R306+U306+X306+AA306+AD306+AG306+AJ306+AM306+AP306+AS306)</f>
        <v>0</v>
      </c>
      <c r="AW306" s="83">
        <f t="shared" si="709"/>
        <v>0</v>
      </c>
      <c r="AX306" s="64">
        <f t="shared" si="713"/>
        <v>0</v>
      </c>
      <c r="AY306" s="65" t="e">
        <f>AVERAGE(M306,P306,S306,V306,Y306,AB306,AE306,AH306,AK306,AN306,AQ306,AT306)</f>
        <v>#DIV/0!</v>
      </c>
      <c r="AZ306" s="66">
        <f>COUNT(M306,P306,S306,V306,Y306,AB306,AE306,AH306,AK306,AN306,AQ306,AT306)</f>
        <v>0</v>
      </c>
      <c r="BA306" s="67">
        <f>MAX(0, Table176252626[[#This Row],[Column6]])</f>
        <v>2</v>
      </c>
      <c r="BB306" s="68">
        <v>1</v>
      </c>
      <c r="BC306" s="84">
        <f t="shared" si="629"/>
        <v>2</v>
      </c>
      <c r="BD306" s="83">
        <f t="shared" si="613"/>
        <v>1</v>
      </c>
      <c r="BE306" s="85">
        <v>2</v>
      </c>
      <c r="BF306" s="86">
        <v>43004.404999999999</v>
      </c>
      <c r="BG306" s="72">
        <f t="shared" si="650"/>
        <v>46265</v>
      </c>
      <c r="BH306" s="87">
        <f t="shared" si="703"/>
        <v>3260.5950000000012</v>
      </c>
      <c r="BI306" s="80" t="str">
        <f t="shared" si="614"/>
        <v>Dead Stock</v>
      </c>
      <c r="BJ306" s="238">
        <v>1275</v>
      </c>
    </row>
    <row r="307" spans="1:62" ht="13">
      <c r="A307" s="49"/>
      <c r="B307" s="50"/>
      <c r="C307" s="51">
        <v>304</v>
      </c>
      <c r="D307" s="127" t="s">
        <v>1519</v>
      </c>
      <c r="E307" s="127">
        <v>47</v>
      </c>
      <c r="F307" s="80" t="s">
        <v>998</v>
      </c>
      <c r="G307" s="81" t="s">
        <v>999</v>
      </c>
      <c r="H307" s="81" t="s">
        <v>295</v>
      </c>
      <c r="I307" s="80" t="s">
        <v>458</v>
      </c>
      <c r="J307" s="82">
        <f t="shared" si="633"/>
        <v>1</v>
      </c>
      <c r="K307" s="80">
        <v>1</v>
      </c>
      <c r="L307" s="57"/>
      <c r="M307" s="58"/>
      <c r="N307" s="59">
        <f t="shared" si="634"/>
        <v>1</v>
      </c>
      <c r="O307" s="60"/>
      <c r="P307" s="58"/>
      <c r="Q307" s="59">
        <f t="shared" si="635"/>
        <v>1</v>
      </c>
      <c r="R307" s="60"/>
      <c r="S307" s="58"/>
      <c r="T307" s="61">
        <f t="shared" si="636"/>
        <v>1</v>
      </c>
      <c r="U307" s="60"/>
      <c r="V307" s="58"/>
      <c r="W307" s="59">
        <f t="shared" si="637"/>
        <v>1</v>
      </c>
      <c r="X307" s="60"/>
      <c r="Y307" s="58"/>
      <c r="Z307" s="61">
        <f t="shared" si="638"/>
        <v>1</v>
      </c>
      <c r="AA307" s="60"/>
      <c r="AB307" s="58"/>
      <c r="AC307" s="59">
        <f t="shared" si="639"/>
        <v>1</v>
      </c>
      <c r="AD307" s="57"/>
      <c r="AE307" s="58"/>
      <c r="AF307" s="243">
        <f t="shared" si="640"/>
        <v>1</v>
      </c>
      <c r="AG307" s="60"/>
      <c r="AH307" s="58"/>
      <c r="AI307" s="62">
        <f t="shared" si="641"/>
        <v>1</v>
      </c>
      <c r="AJ307" s="60"/>
      <c r="AK307" s="58"/>
      <c r="AL307" s="62">
        <f t="shared" si="642"/>
        <v>1</v>
      </c>
      <c r="AM307" s="60"/>
      <c r="AN307" s="58"/>
      <c r="AO307" s="62">
        <f t="shared" si="643"/>
        <v>1</v>
      </c>
      <c r="AP307" s="60"/>
      <c r="AQ307" s="58"/>
      <c r="AR307" s="62">
        <f t="shared" si="644"/>
        <v>1</v>
      </c>
      <c r="AS307" s="60"/>
      <c r="AT307" s="58"/>
      <c r="AU307" s="62">
        <f t="shared" si="645"/>
        <v>1</v>
      </c>
      <c r="AV307" s="83">
        <f t="shared" si="646"/>
        <v>0</v>
      </c>
      <c r="AW307" s="83">
        <f t="shared" si="709"/>
        <v>0</v>
      </c>
      <c r="AX307" s="64">
        <f t="shared" si="648"/>
        <v>0</v>
      </c>
      <c r="AY307" s="65" t="e">
        <f t="shared" ref="AY307" si="749">AVERAGE(M307,P307,S307,V307,Y307,AB307,AE307,AH307,AK307,AN307,AQ307,AT307)</f>
        <v>#DIV/0!</v>
      </c>
      <c r="AZ307" s="66">
        <f t="shared" ref="AZ307" si="750">COUNT(M307,P307,S307,V307,Y307,AB307,AE307,AH307,AK307,AN307,AQ307,AT307)</f>
        <v>0</v>
      </c>
      <c r="BA307" s="67">
        <f>MAX(0, Table176252626[[#This Row],[Column6]])</f>
        <v>1</v>
      </c>
      <c r="BB307" s="68">
        <v>0</v>
      </c>
      <c r="BC307" s="84">
        <f t="shared" si="629"/>
        <v>1</v>
      </c>
      <c r="BD307" s="83">
        <f t="shared" si="613"/>
        <v>1</v>
      </c>
      <c r="BE307" s="85">
        <v>2</v>
      </c>
      <c r="BF307" s="86">
        <v>44509.575590277775</v>
      </c>
      <c r="BG307" s="72">
        <f t="shared" si="650"/>
        <v>46265</v>
      </c>
      <c r="BH307" s="87">
        <f t="shared" si="649"/>
        <v>1755.4244097222254</v>
      </c>
      <c r="BI307" s="80" t="str">
        <f t="shared" si="614"/>
        <v>Dead Stock</v>
      </c>
      <c r="BJ307" s="238">
        <v>645</v>
      </c>
    </row>
    <row r="308" spans="1:62" ht="13">
      <c r="A308" s="75"/>
      <c r="B308" s="76"/>
      <c r="C308" s="51">
        <v>305</v>
      </c>
      <c r="D308" s="127" t="s">
        <v>1521</v>
      </c>
      <c r="E308" s="127">
        <v>48</v>
      </c>
      <c r="F308" s="88" t="s">
        <v>1354</v>
      </c>
      <c r="G308" s="89" t="s">
        <v>1353</v>
      </c>
      <c r="H308" s="89" t="s">
        <v>294</v>
      </c>
      <c r="I308" s="88" t="s">
        <v>364</v>
      </c>
      <c r="J308" s="93">
        <f>AU308</f>
        <v>2</v>
      </c>
      <c r="K308" s="88">
        <v>2</v>
      </c>
      <c r="L308" s="58"/>
      <c r="M308" s="58"/>
      <c r="N308" s="62">
        <f>SUM(K308+L308-M308)</f>
        <v>2</v>
      </c>
      <c r="O308" s="60"/>
      <c r="P308" s="58"/>
      <c r="Q308" s="62">
        <f>SUM(N308+O308-P308)</f>
        <v>2</v>
      </c>
      <c r="R308" s="60"/>
      <c r="S308" s="58"/>
      <c r="T308" s="94">
        <f>SUM(Q308+R308-S308)</f>
        <v>2</v>
      </c>
      <c r="U308" s="60"/>
      <c r="V308" s="58"/>
      <c r="W308" s="62">
        <f>SUM(T308+U308-V308)</f>
        <v>2</v>
      </c>
      <c r="X308" s="60"/>
      <c r="Y308" s="58"/>
      <c r="Z308" s="94">
        <f>SUM(W308+X308-Y308)</f>
        <v>2</v>
      </c>
      <c r="AA308" s="60"/>
      <c r="AB308" s="58"/>
      <c r="AC308" s="62">
        <f>SUM(Z308+AA308-AB308)</f>
        <v>2</v>
      </c>
      <c r="AD308" s="57"/>
      <c r="AE308" s="58"/>
      <c r="AF308" s="165">
        <f>SUM(AC308+AD308-AE308)</f>
        <v>2</v>
      </c>
      <c r="AG308" s="60"/>
      <c r="AH308" s="58"/>
      <c r="AI308" s="62">
        <f>SUM(AF308+AG308-AH308)</f>
        <v>2</v>
      </c>
      <c r="AJ308" s="60"/>
      <c r="AK308" s="58"/>
      <c r="AL308" s="62">
        <f>SUM(AI308+AJ308-AK308)</f>
        <v>2</v>
      </c>
      <c r="AM308" s="60"/>
      <c r="AN308" s="58"/>
      <c r="AO308" s="62">
        <f t="shared" ref="AO308:AO313" si="751">SUM(AL308+AM308-AN308)</f>
        <v>2</v>
      </c>
      <c r="AP308" s="60"/>
      <c r="AQ308" s="58"/>
      <c r="AR308" s="62">
        <f t="shared" ref="AR308:AR313" si="752">SUM(AO308+AP308-AQ308)</f>
        <v>2</v>
      </c>
      <c r="AS308" s="60"/>
      <c r="AT308" s="58"/>
      <c r="AU308" s="62">
        <f>SUM(AR308+AS308-AT308)</f>
        <v>2</v>
      </c>
      <c r="AV308" s="96">
        <f>SUM(L308+O308+R308+U308+X308+AA308+AD308+AG308+AJ308+AM308+AP308+AS308)</f>
        <v>0</v>
      </c>
      <c r="AW308" s="83">
        <f t="shared" si="709"/>
        <v>0</v>
      </c>
      <c r="AX308" s="98">
        <f>SUM(M308,P308,S308,V308,Y308,AB308,AE308,AH308,AK308,AN308,AQ308,AT308)</f>
        <v>0</v>
      </c>
      <c r="AY308" s="99" t="e">
        <f>AVERAGE(M308,P308,S308,V308,Y308,AB308,AE308,AH308,AK308,AN308,AQ308,AT308)</f>
        <v>#DIV/0!</v>
      </c>
      <c r="AZ308" s="100">
        <f>COUNT(M308,P308,S308,V308,Y308,AB308,AE308,AH308,AK308,AN308,AQ308,AT308)</f>
        <v>0</v>
      </c>
      <c r="BA308" s="101">
        <v>2</v>
      </c>
      <c r="BB308" s="102">
        <v>1</v>
      </c>
      <c r="BC308" s="84">
        <f t="shared" si="629"/>
        <v>2</v>
      </c>
      <c r="BD308" s="83">
        <f t="shared" si="613"/>
        <v>1</v>
      </c>
      <c r="BE308" s="85">
        <v>2</v>
      </c>
      <c r="BF308" s="86">
        <v>45524.437615740739</v>
      </c>
      <c r="BG308" s="72">
        <f t="shared" si="650"/>
        <v>46265</v>
      </c>
      <c r="BH308" s="103">
        <f>BG308-BF308</f>
        <v>740.56238425926131</v>
      </c>
      <c r="BI308" s="80" t="str">
        <f t="shared" si="614"/>
        <v>Dead Stock</v>
      </c>
      <c r="BJ308" s="238">
        <v>383</v>
      </c>
    </row>
    <row r="309" spans="1:62" ht="13">
      <c r="A309" s="49"/>
      <c r="B309" s="50"/>
      <c r="C309" s="51">
        <v>306</v>
      </c>
      <c r="D309" s="127" t="s">
        <v>1989</v>
      </c>
      <c r="E309" s="127">
        <v>49</v>
      </c>
      <c r="F309" s="105" t="s">
        <v>1987</v>
      </c>
      <c r="G309" s="106" t="s">
        <v>1988</v>
      </c>
      <c r="H309" s="81" t="s">
        <v>2004</v>
      </c>
      <c r="I309" s="80" t="s">
        <v>458</v>
      </c>
      <c r="J309" s="82">
        <f>AU309</f>
        <v>4</v>
      </c>
      <c r="K309" s="80">
        <v>0</v>
      </c>
      <c r="L309" s="57"/>
      <c r="M309" s="58"/>
      <c r="N309" s="59">
        <f>SUM(K309+L309-M309)</f>
        <v>0</v>
      </c>
      <c r="O309" s="60"/>
      <c r="P309" s="58"/>
      <c r="Q309" s="59">
        <f>SUM(N309+O309-P309)</f>
        <v>0</v>
      </c>
      <c r="R309" s="60"/>
      <c r="S309" s="58"/>
      <c r="T309" s="61">
        <f>SUM(Q309+R309-S309)</f>
        <v>0</v>
      </c>
      <c r="U309" s="60"/>
      <c r="V309" s="58"/>
      <c r="W309" s="59">
        <f>SUM(T309+U309-V309)</f>
        <v>0</v>
      </c>
      <c r="X309" s="60"/>
      <c r="Y309" s="58"/>
      <c r="Z309" s="61">
        <f>SUM(W309+X309-Y309)</f>
        <v>0</v>
      </c>
      <c r="AA309" s="60">
        <v>5</v>
      </c>
      <c r="AB309" s="58"/>
      <c r="AC309" s="59">
        <f>SUM(Z309+AA309-AB309)</f>
        <v>5</v>
      </c>
      <c r="AD309" s="57"/>
      <c r="AE309" s="58"/>
      <c r="AF309" s="243">
        <f>SUM(AC309+AD309-AE309)</f>
        <v>5</v>
      </c>
      <c r="AG309" s="60"/>
      <c r="AH309" s="58">
        <v>1</v>
      </c>
      <c r="AI309" s="62">
        <f>SUM(AF309+AG309-AH309)</f>
        <v>4</v>
      </c>
      <c r="AJ309" s="60"/>
      <c r="AK309" s="58"/>
      <c r="AL309" s="62">
        <f>SUM(AI309+AJ309-AK309)</f>
        <v>4</v>
      </c>
      <c r="AM309" s="60"/>
      <c r="AN309" s="58"/>
      <c r="AO309" s="62">
        <f t="shared" si="751"/>
        <v>4</v>
      </c>
      <c r="AP309" s="60"/>
      <c r="AQ309" s="58"/>
      <c r="AR309" s="62">
        <f t="shared" si="752"/>
        <v>4</v>
      </c>
      <c r="AS309" s="60"/>
      <c r="AT309" s="58"/>
      <c r="AU309" s="62">
        <f>SUM(AR309+AS309-AT309)</f>
        <v>4</v>
      </c>
      <c r="AV309" s="83">
        <f>SUM(L309+O309+R309+U309+X309+AA309+AD309+AG309+AJ309+AM309+AP309+AS309)</f>
        <v>5</v>
      </c>
      <c r="AW309" s="83">
        <f>SUM(M309+P309+S309+V309+Y309+AB309+AE309+AH309+AK309+AN309+AQ309+AT309)</f>
        <v>1</v>
      </c>
      <c r="AX309" s="64">
        <f>SUM(M309,P309,S309,V309,Y309,AB309,AE309,AH309,AK309,AN309,AQ309,AT309)</f>
        <v>1</v>
      </c>
      <c r="AY309" s="65">
        <f>AVERAGE(M309,P309,S309,V309,Y309,AB309,AE309,AH309,AK309,AN309,AQ309,AT309)</f>
        <v>1</v>
      </c>
      <c r="AZ309" s="66">
        <f>COUNT(M309,P309,S309,V309,Y309,AB309,AE309,AH309,AK309,AN309,AQ309,AT309)</f>
        <v>1</v>
      </c>
      <c r="BA309" s="67">
        <f>MAX(0, Table176252626[[#This Row],[Column6]])</f>
        <v>4</v>
      </c>
      <c r="BB309" s="68">
        <v>1</v>
      </c>
      <c r="BC309" s="84">
        <f t="shared" si="629"/>
        <v>4</v>
      </c>
      <c r="BD309" s="83">
        <f t="shared" si="613"/>
        <v>3</v>
      </c>
      <c r="BE309" s="85">
        <v>2</v>
      </c>
      <c r="BF309" s="86">
        <v>46175</v>
      </c>
      <c r="BG309" s="72">
        <f t="shared" si="650"/>
        <v>46265</v>
      </c>
      <c r="BH309" s="87">
        <f>BG309-BF309</f>
        <v>90</v>
      </c>
      <c r="BI309" s="80" t="str">
        <f t="shared" si="614"/>
        <v/>
      </c>
      <c r="BJ309" s="238">
        <v>850</v>
      </c>
    </row>
    <row r="310" spans="1:62" ht="13">
      <c r="A310" s="75"/>
      <c r="B310" s="76"/>
      <c r="C310" s="51">
        <v>307</v>
      </c>
      <c r="D310" s="79" t="s">
        <v>1521</v>
      </c>
      <c r="E310" s="79">
        <v>1</v>
      </c>
      <c r="F310" s="88" t="s">
        <v>1736</v>
      </c>
      <c r="G310" s="89" t="s">
        <v>1737</v>
      </c>
      <c r="H310" s="89" t="s">
        <v>1355</v>
      </c>
      <c r="I310" s="80" t="s">
        <v>458</v>
      </c>
      <c r="J310" s="93">
        <f t="shared" ref="J310:J325" si="753">AU310</f>
        <v>1</v>
      </c>
      <c r="K310" s="88">
        <v>1</v>
      </c>
      <c r="L310" s="58"/>
      <c r="M310" s="58"/>
      <c r="N310" s="62">
        <f t="shared" ref="N310:N325" si="754">SUM(K310+L310-M310)</f>
        <v>1</v>
      </c>
      <c r="O310" s="60"/>
      <c r="P310" s="58"/>
      <c r="Q310" s="62">
        <f t="shared" ref="Q310:Q325" si="755">SUM(N310+O310-P310)</f>
        <v>1</v>
      </c>
      <c r="R310" s="60"/>
      <c r="S310" s="58"/>
      <c r="T310" s="94">
        <f t="shared" ref="T310:T325" si="756">SUM(Q310+R310-S310)</f>
        <v>1</v>
      </c>
      <c r="U310" s="60"/>
      <c r="V310" s="58"/>
      <c r="W310" s="62">
        <f t="shared" ref="W310:W325" si="757">SUM(T310+U310-V310)</f>
        <v>1</v>
      </c>
      <c r="X310" s="60"/>
      <c r="Y310" s="58"/>
      <c r="Z310" s="94">
        <f t="shared" ref="Z310:Z325" si="758">SUM(W310+X310-Y310)</f>
        <v>1</v>
      </c>
      <c r="AA310" s="60"/>
      <c r="AB310" s="58"/>
      <c r="AC310" s="62">
        <f t="shared" ref="AC310:AC325" si="759">SUM(Z310+AA310-AB310)</f>
        <v>1</v>
      </c>
      <c r="AD310" s="57"/>
      <c r="AE310" s="58"/>
      <c r="AF310" s="165">
        <f t="shared" ref="AF310:AF325" si="760">SUM(AC310+AD310-AE310)</f>
        <v>1</v>
      </c>
      <c r="AG310" s="60"/>
      <c r="AH310" s="58"/>
      <c r="AI310" s="62">
        <f t="shared" ref="AI310:AI325" si="761">SUM(AF310+AG310-AH310)</f>
        <v>1</v>
      </c>
      <c r="AJ310" s="60"/>
      <c r="AK310" s="58"/>
      <c r="AL310" s="62">
        <f t="shared" ref="AL310:AL325" si="762">SUM(AI310+AJ310-AK310)</f>
        <v>1</v>
      </c>
      <c r="AM310" s="60"/>
      <c r="AN310" s="58"/>
      <c r="AO310" s="62">
        <f t="shared" si="751"/>
        <v>1</v>
      </c>
      <c r="AP310" s="60"/>
      <c r="AQ310" s="58"/>
      <c r="AR310" s="62">
        <f t="shared" si="752"/>
        <v>1</v>
      </c>
      <c r="AS310" s="60"/>
      <c r="AT310" s="58"/>
      <c r="AU310" s="62">
        <f t="shared" ref="AU310:AU333" si="763">SUM(AR310+AS310-AT310)</f>
        <v>1</v>
      </c>
      <c r="AV310" s="96">
        <f t="shared" ref="AV310:AV311" si="764">SUM(L310+O310+R310+U310+X310+AA310+AD310+AG310+AJ310+AM310+AP310+AS310)</f>
        <v>0</v>
      </c>
      <c r="AW310" s="83">
        <f t="shared" si="709"/>
        <v>0</v>
      </c>
      <c r="AX310" s="98">
        <f t="shared" ref="AX310:AX333" si="765">SUM(M310,P310,S310,V310,Y310,AB310,AE310,AH310,AK310,AN310,AQ310,AT310)</f>
        <v>0</v>
      </c>
      <c r="AY310" s="99" t="e">
        <f t="shared" ref="AY310:AY331" si="766">AVERAGE(M310,P310,S310,V310,Y310,AB310,AE310,AH310,AK310,AN310,AQ310,AT310)</f>
        <v>#DIV/0!</v>
      </c>
      <c r="AZ310" s="100">
        <f t="shared" ref="AZ310:AZ331" si="767">COUNT(M310,P310,S310,V310,Y310,AB310,AE310,AH310,AK310,AN310,AQ310,AT310)</f>
        <v>0</v>
      </c>
      <c r="BA310" s="101">
        <v>1</v>
      </c>
      <c r="BB310" s="102">
        <v>0</v>
      </c>
      <c r="BC310" s="84">
        <f t="shared" si="629"/>
        <v>1</v>
      </c>
      <c r="BD310" s="83">
        <f t="shared" si="613"/>
        <v>1</v>
      </c>
      <c r="BE310" s="85">
        <v>2</v>
      </c>
      <c r="BF310" s="86">
        <v>45815</v>
      </c>
      <c r="BG310" s="72">
        <f t="shared" si="650"/>
        <v>46265</v>
      </c>
      <c r="BH310" s="103">
        <f t="shared" ref="BH310:BH331" si="768">BG310-BF310</f>
        <v>450</v>
      </c>
      <c r="BI310" s="80" t="str">
        <f t="shared" si="614"/>
        <v>Dead Stock</v>
      </c>
      <c r="BJ310" s="238">
        <v>15600</v>
      </c>
    </row>
    <row r="311" spans="1:62" ht="13">
      <c r="A311" s="49"/>
      <c r="B311" s="50"/>
      <c r="C311" s="77">
        <v>308</v>
      </c>
      <c r="D311" s="79" t="s">
        <v>1521</v>
      </c>
      <c r="E311" s="79">
        <v>1</v>
      </c>
      <c r="F311" s="88" t="s">
        <v>1755</v>
      </c>
      <c r="G311" s="89" t="s">
        <v>1756</v>
      </c>
      <c r="H311" s="89" t="s">
        <v>1641</v>
      </c>
      <c r="I311" s="80" t="s">
        <v>458</v>
      </c>
      <c r="J311" s="93">
        <f t="shared" si="753"/>
        <v>1</v>
      </c>
      <c r="K311" s="88">
        <v>1</v>
      </c>
      <c r="L311" s="58"/>
      <c r="M311" s="58"/>
      <c r="N311" s="62">
        <f t="shared" si="754"/>
        <v>1</v>
      </c>
      <c r="O311" s="60"/>
      <c r="P311" s="58"/>
      <c r="Q311" s="62">
        <f t="shared" si="755"/>
        <v>1</v>
      </c>
      <c r="R311" s="60"/>
      <c r="S311" s="58"/>
      <c r="T311" s="94">
        <f t="shared" si="756"/>
        <v>1</v>
      </c>
      <c r="U311" s="60"/>
      <c r="V311" s="58"/>
      <c r="W311" s="62">
        <f t="shared" si="757"/>
        <v>1</v>
      </c>
      <c r="X311" s="60"/>
      <c r="Y311" s="58"/>
      <c r="Z311" s="94">
        <f t="shared" si="758"/>
        <v>1</v>
      </c>
      <c r="AA311" s="60"/>
      <c r="AB311" s="58"/>
      <c r="AC311" s="62">
        <f t="shared" si="759"/>
        <v>1</v>
      </c>
      <c r="AD311" s="57"/>
      <c r="AE311" s="58"/>
      <c r="AF311" s="165">
        <f t="shared" si="760"/>
        <v>1</v>
      </c>
      <c r="AG311" s="60"/>
      <c r="AH311" s="58"/>
      <c r="AI311" s="62">
        <f t="shared" si="761"/>
        <v>1</v>
      </c>
      <c r="AJ311" s="60"/>
      <c r="AK311" s="58"/>
      <c r="AL311" s="62">
        <f t="shared" si="762"/>
        <v>1</v>
      </c>
      <c r="AM311" s="60"/>
      <c r="AN311" s="58"/>
      <c r="AO311" s="62">
        <f t="shared" si="751"/>
        <v>1</v>
      </c>
      <c r="AP311" s="60"/>
      <c r="AQ311" s="58"/>
      <c r="AR311" s="62">
        <f t="shared" si="752"/>
        <v>1</v>
      </c>
      <c r="AS311" s="60"/>
      <c r="AT311" s="58"/>
      <c r="AU311" s="62">
        <f t="shared" si="763"/>
        <v>1</v>
      </c>
      <c r="AV311" s="96">
        <f t="shared" si="764"/>
        <v>0</v>
      </c>
      <c r="AW311" s="83">
        <f t="shared" si="709"/>
        <v>0</v>
      </c>
      <c r="AX311" s="98">
        <f t="shared" si="765"/>
        <v>0</v>
      </c>
      <c r="AY311" s="99" t="e">
        <f t="shared" si="766"/>
        <v>#DIV/0!</v>
      </c>
      <c r="AZ311" s="100">
        <f t="shared" si="767"/>
        <v>0</v>
      </c>
      <c r="BA311" s="101">
        <v>1</v>
      </c>
      <c r="BB311" s="102">
        <v>0</v>
      </c>
      <c r="BC311" s="84">
        <f t="shared" si="629"/>
        <v>1</v>
      </c>
      <c r="BD311" s="83">
        <f t="shared" si="613"/>
        <v>1</v>
      </c>
      <c r="BE311" s="85">
        <v>2</v>
      </c>
      <c r="BF311" s="86">
        <v>45825</v>
      </c>
      <c r="BG311" s="72">
        <f t="shared" si="650"/>
        <v>46265</v>
      </c>
      <c r="BH311" s="103">
        <f t="shared" si="768"/>
        <v>440</v>
      </c>
      <c r="BI311" s="80" t="str">
        <f t="shared" si="614"/>
        <v>Dead Stock</v>
      </c>
      <c r="BJ311" s="238">
        <v>7078</v>
      </c>
    </row>
    <row r="312" spans="1:62" ht="13">
      <c r="A312" s="75"/>
      <c r="B312" s="76"/>
      <c r="C312" s="77">
        <v>309</v>
      </c>
      <c r="D312" s="79" t="s">
        <v>1521</v>
      </c>
      <c r="E312" s="79">
        <v>2</v>
      </c>
      <c r="F312" s="80" t="s">
        <v>277</v>
      </c>
      <c r="G312" s="81" t="s">
        <v>1223</v>
      </c>
      <c r="H312" s="81" t="s">
        <v>294</v>
      </c>
      <c r="I312" s="80" t="s">
        <v>458</v>
      </c>
      <c r="J312" s="82">
        <f t="shared" si="753"/>
        <v>2</v>
      </c>
      <c r="K312" s="80">
        <v>1</v>
      </c>
      <c r="L312" s="57"/>
      <c r="M312" s="58"/>
      <c r="N312" s="59">
        <f t="shared" si="754"/>
        <v>1</v>
      </c>
      <c r="O312" s="60">
        <v>1</v>
      </c>
      <c r="P312" s="58">
        <v>1</v>
      </c>
      <c r="Q312" s="59">
        <f t="shared" si="755"/>
        <v>1</v>
      </c>
      <c r="R312" s="60">
        <v>1</v>
      </c>
      <c r="S312" s="58"/>
      <c r="T312" s="61">
        <f t="shared" si="756"/>
        <v>2</v>
      </c>
      <c r="U312" s="60"/>
      <c r="V312" s="58">
        <v>1</v>
      </c>
      <c r="W312" s="59">
        <f t="shared" si="757"/>
        <v>1</v>
      </c>
      <c r="X312" s="60">
        <v>1</v>
      </c>
      <c r="Y312" s="58"/>
      <c r="Z312" s="61">
        <f t="shared" si="758"/>
        <v>2</v>
      </c>
      <c r="AA312" s="60"/>
      <c r="AB312" s="58">
        <v>1</v>
      </c>
      <c r="AC312" s="59">
        <f t="shared" si="759"/>
        <v>1</v>
      </c>
      <c r="AD312" s="57">
        <v>1</v>
      </c>
      <c r="AE312" s="58"/>
      <c r="AF312" s="243">
        <f t="shared" si="760"/>
        <v>2</v>
      </c>
      <c r="AG312" s="60"/>
      <c r="AH312" s="58"/>
      <c r="AI312" s="62">
        <f t="shared" si="761"/>
        <v>2</v>
      </c>
      <c r="AJ312" s="60"/>
      <c r="AK312" s="58"/>
      <c r="AL312" s="62">
        <f t="shared" si="762"/>
        <v>2</v>
      </c>
      <c r="AM312" s="60"/>
      <c r="AN312" s="58"/>
      <c r="AO312" s="62">
        <f t="shared" si="751"/>
        <v>2</v>
      </c>
      <c r="AP312" s="60"/>
      <c r="AQ312" s="58"/>
      <c r="AR312" s="62">
        <f t="shared" si="752"/>
        <v>2</v>
      </c>
      <c r="AS312" s="60"/>
      <c r="AT312" s="58"/>
      <c r="AU312" s="62">
        <f t="shared" si="763"/>
        <v>2</v>
      </c>
      <c r="AV312" s="83">
        <f t="shared" ref="AV312" si="769">SUM(L312+O312+R312+U312+X312+AA312+AD312+AG312+AJ312+AM312+AP312+AS312)</f>
        <v>4</v>
      </c>
      <c r="AW312" s="83">
        <f t="shared" si="709"/>
        <v>3</v>
      </c>
      <c r="AX312" s="64">
        <f t="shared" si="765"/>
        <v>3</v>
      </c>
      <c r="AY312" s="65">
        <f t="shared" si="766"/>
        <v>1</v>
      </c>
      <c r="AZ312" s="66">
        <f t="shared" si="767"/>
        <v>3</v>
      </c>
      <c r="BA312" s="67">
        <f>MAX(0, Table176252626[[#This Row],[Column6]])</f>
        <v>2</v>
      </c>
      <c r="BB312" s="68">
        <v>1</v>
      </c>
      <c r="BC312" s="84">
        <f t="shared" si="629"/>
        <v>2</v>
      </c>
      <c r="BD312" s="83">
        <f t="shared" si="613"/>
        <v>1</v>
      </c>
      <c r="BE312" s="85">
        <v>2</v>
      </c>
      <c r="BF312" s="86">
        <v>46212</v>
      </c>
      <c r="BG312" s="72">
        <f t="shared" si="650"/>
        <v>46265</v>
      </c>
      <c r="BH312" s="87">
        <f t="shared" si="768"/>
        <v>53</v>
      </c>
      <c r="BI312" s="80" t="str">
        <f t="shared" si="614"/>
        <v/>
      </c>
      <c r="BJ312" s="238">
        <v>80000</v>
      </c>
    </row>
    <row r="313" spans="1:62" ht="13">
      <c r="A313" s="75"/>
      <c r="B313" s="76"/>
      <c r="C313" s="51">
        <v>310</v>
      </c>
      <c r="D313" s="79" t="s">
        <v>1521</v>
      </c>
      <c r="E313" s="79">
        <v>3</v>
      </c>
      <c r="F313" s="105" t="s">
        <v>1744</v>
      </c>
      <c r="G313" s="112" t="s">
        <v>1909</v>
      </c>
      <c r="H313" s="89" t="s">
        <v>294</v>
      </c>
      <c r="I313" s="80" t="s">
        <v>458</v>
      </c>
      <c r="J313" s="82">
        <f t="shared" si="753"/>
        <v>1</v>
      </c>
      <c r="K313" s="80">
        <v>1</v>
      </c>
      <c r="L313" s="57"/>
      <c r="M313" s="58"/>
      <c r="N313" s="59">
        <f t="shared" si="754"/>
        <v>1</v>
      </c>
      <c r="O313" s="60"/>
      <c r="P313" s="58"/>
      <c r="Q313" s="59">
        <f t="shared" si="755"/>
        <v>1</v>
      </c>
      <c r="R313" s="60"/>
      <c r="S313" s="58"/>
      <c r="T313" s="61">
        <f t="shared" si="756"/>
        <v>1</v>
      </c>
      <c r="U313" s="60"/>
      <c r="V313" s="58"/>
      <c r="W313" s="59">
        <f t="shared" si="757"/>
        <v>1</v>
      </c>
      <c r="X313" s="60"/>
      <c r="Y313" s="58"/>
      <c r="Z313" s="61">
        <f t="shared" si="758"/>
        <v>1</v>
      </c>
      <c r="AA313" s="60"/>
      <c r="AB313" s="58"/>
      <c r="AC313" s="59">
        <f t="shared" si="759"/>
        <v>1</v>
      </c>
      <c r="AD313" s="57"/>
      <c r="AE313" s="58"/>
      <c r="AF313" s="243">
        <f t="shared" si="760"/>
        <v>1</v>
      </c>
      <c r="AG313" s="60"/>
      <c r="AH313" s="58"/>
      <c r="AI313" s="62">
        <f t="shared" si="761"/>
        <v>1</v>
      </c>
      <c r="AJ313" s="60"/>
      <c r="AK313" s="58"/>
      <c r="AL313" s="62">
        <f t="shared" si="762"/>
        <v>1</v>
      </c>
      <c r="AM313" s="60"/>
      <c r="AN313" s="58"/>
      <c r="AO313" s="62">
        <f t="shared" si="751"/>
        <v>1</v>
      </c>
      <c r="AP313" s="60"/>
      <c r="AQ313" s="58"/>
      <c r="AR313" s="62">
        <f t="shared" si="752"/>
        <v>1</v>
      </c>
      <c r="AS313" s="60"/>
      <c r="AT313" s="58"/>
      <c r="AU313" s="62">
        <f t="shared" si="763"/>
        <v>1</v>
      </c>
      <c r="AV313" s="83">
        <f t="shared" ref="AV313:AV326" si="770">SUM(L313+O313+R313+U313+X313+AA313+AD313+AG313+AJ313+AM313+AP313+AS313)</f>
        <v>0</v>
      </c>
      <c r="AW313" s="83">
        <f t="shared" si="709"/>
        <v>0</v>
      </c>
      <c r="AX313" s="64">
        <f t="shared" si="765"/>
        <v>0</v>
      </c>
      <c r="AY313" s="65" t="e">
        <f t="shared" si="766"/>
        <v>#DIV/0!</v>
      </c>
      <c r="AZ313" s="66">
        <f t="shared" si="767"/>
        <v>0</v>
      </c>
      <c r="BA313" s="67">
        <f>MAX(0, Table176252626[[#This Row],[Column6]])</f>
        <v>1</v>
      </c>
      <c r="BB313" s="68">
        <v>0</v>
      </c>
      <c r="BC313" s="84">
        <f t="shared" si="629"/>
        <v>1</v>
      </c>
      <c r="BD313" s="83">
        <f t="shared" si="613"/>
        <v>1</v>
      </c>
      <c r="BE313" s="85">
        <v>2</v>
      </c>
      <c r="BF313" s="86">
        <v>44273.604189814818</v>
      </c>
      <c r="BG313" s="72">
        <f t="shared" si="650"/>
        <v>46265</v>
      </c>
      <c r="BH313" s="107">
        <f t="shared" si="768"/>
        <v>1991.3958101851822</v>
      </c>
      <c r="BI313" s="80" t="str">
        <f t="shared" si="614"/>
        <v>Dead Stock</v>
      </c>
      <c r="BJ313" s="238">
        <v>10700</v>
      </c>
    </row>
    <row r="314" spans="1:62" ht="13">
      <c r="A314" s="49"/>
      <c r="B314" s="50"/>
      <c r="C314" s="51">
        <v>311</v>
      </c>
      <c r="D314" s="79" t="s">
        <v>1521</v>
      </c>
      <c r="E314" s="79">
        <v>4</v>
      </c>
      <c r="F314" s="80" t="s">
        <v>1047</v>
      </c>
      <c r="G314" s="81" t="s">
        <v>1595</v>
      </c>
      <c r="H314" s="81" t="s">
        <v>294</v>
      </c>
      <c r="I314" s="80" t="s">
        <v>458</v>
      </c>
      <c r="J314" s="82">
        <f t="shared" si="753"/>
        <v>1</v>
      </c>
      <c r="K314" s="80">
        <v>1</v>
      </c>
      <c r="L314" s="57"/>
      <c r="M314" s="58"/>
      <c r="N314" s="59">
        <f t="shared" si="754"/>
        <v>1</v>
      </c>
      <c r="O314" s="60"/>
      <c r="P314" s="58"/>
      <c r="Q314" s="59">
        <f t="shared" si="755"/>
        <v>1</v>
      </c>
      <c r="R314" s="60"/>
      <c r="S314" s="58"/>
      <c r="T314" s="61">
        <f t="shared" si="756"/>
        <v>1</v>
      </c>
      <c r="U314" s="60"/>
      <c r="V314" s="58"/>
      <c r="W314" s="59">
        <f t="shared" si="757"/>
        <v>1</v>
      </c>
      <c r="X314" s="60"/>
      <c r="Y314" s="58"/>
      <c r="Z314" s="61">
        <f t="shared" si="758"/>
        <v>1</v>
      </c>
      <c r="AA314" s="60"/>
      <c r="AB314" s="58"/>
      <c r="AC314" s="59">
        <f t="shared" si="759"/>
        <v>1</v>
      </c>
      <c r="AD314" s="57"/>
      <c r="AE314" s="58"/>
      <c r="AF314" s="243">
        <f t="shared" si="760"/>
        <v>1</v>
      </c>
      <c r="AG314" s="60"/>
      <c r="AH314" s="58"/>
      <c r="AI314" s="62">
        <f t="shared" si="761"/>
        <v>1</v>
      </c>
      <c r="AJ314" s="60"/>
      <c r="AK314" s="58"/>
      <c r="AL314" s="62">
        <f t="shared" si="762"/>
        <v>1</v>
      </c>
      <c r="AM314" s="60"/>
      <c r="AN314" s="58"/>
      <c r="AO314" s="62">
        <f t="shared" ref="AO314" si="771">SUM(AL314+AM314-AN314)</f>
        <v>1</v>
      </c>
      <c r="AP314" s="60"/>
      <c r="AQ314" s="58"/>
      <c r="AR314" s="104">
        <f t="shared" ref="AR314" si="772">SUM(AO314+AP314-AQ314)</f>
        <v>1</v>
      </c>
      <c r="AS314" s="57"/>
      <c r="AT314" s="58"/>
      <c r="AU314" s="62">
        <f t="shared" si="763"/>
        <v>1</v>
      </c>
      <c r="AV314" s="84">
        <f t="shared" si="770"/>
        <v>0</v>
      </c>
      <c r="AW314" s="83">
        <f t="shared" si="709"/>
        <v>0</v>
      </c>
      <c r="AX314" s="64">
        <f t="shared" si="765"/>
        <v>0</v>
      </c>
      <c r="AY314" s="65" t="e">
        <f t="shared" si="766"/>
        <v>#DIV/0!</v>
      </c>
      <c r="AZ314" s="66">
        <f t="shared" si="767"/>
        <v>0</v>
      </c>
      <c r="BA314" s="67">
        <f>MAX(0, Table176252626[[#This Row],[Column6]])</f>
        <v>1</v>
      </c>
      <c r="BB314" s="68">
        <v>0</v>
      </c>
      <c r="BC314" s="84">
        <f t="shared" si="629"/>
        <v>1</v>
      </c>
      <c r="BD314" s="83">
        <f t="shared" si="613"/>
        <v>1</v>
      </c>
      <c r="BE314" s="85">
        <v>2</v>
      </c>
      <c r="BF314" s="86">
        <v>44635.442812499998</v>
      </c>
      <c r="BG314" s="72">
        <f t="shared" si="650"/>
        <v>46265</v>
      </c>
      <c r="BH314" s="107">
        <f t="shared" si="768"/>
        <v>1629.5571875000023</v>
      </c>
      <c r="BI314" s="80" t="str">
        <f t="shared" si="614"/>
        <v>Dead Stock</v>
      </c>
      <c r="BJ314" s="238">
        <v>4070</v>
      </c>
    </row>
    <row r="315" spans="1:62" ht="13">
      <c r="A315" s="75"/>
      <c r="B315" s="76"/>
      <c r="C315" s="51">
        <v>312</v>
      </c>
      <c r="D315" s="79" t="s">
        <v>1521</v>
      </c>
      <c r="E315" s="79">
        <v>5</v>
      </c>
      <c r="F315" s="105" t="s">
        <v>880</v>
      </c>
      <c r="G315" s="116" t="s">
        <v>881</v>
      </c>
      <c r="H315" s="89" t="s">
        <v>294</v>
      </c>
      <c r="I315" s="80" t="s">
        <v>458</v>
      </c>
      <c r="J315" s="82">
        <f t="shared" si="753"/>
        <v>2</v>
      </c>
      <c r="K315" s="80">
        <v>2</v>
      </c>
      <c r="L315" s="57"/>
      <c r="M315" s="58"/>
      <c r="N315" s="59">
        <f t="shared" si="754"/>
        <v>2</v>
      </c>
      <c r="O315" s="60"/>
      <c r="P315" s="58"/>
      <c r="Q315" s="59">
        <f t="shared" si="755"/>
        <v>2</v>
      </c>
      <c r="R315" s="60"/>
      <c r="S315" s="58"/>
      <c r="T315" s="61">
        <f t="shared" si="756"/>
        <v>2</v>
      </c>
      <c r="U315" s="60"/>
      <c r="V315" s="58"/>
      <c r="W315" s="59">
        <f t="shared" si="757"/>
        <v>2</v>
      </c>
      <c r="X315" s="60"/>
      <c r="Y315" s="58"/>
      <c r="Z315" s="61">
        <f t="shared" si="758"/>
        <v>2</v>
      </c>
      <c r="AA315" s="60"/>
      <c r="AB315" s="58"/>
      <c r="AC315" s="59">
        <f t="shared" si="759"/>
        <v>2</v>
      </c>
      <c r="AD315" s="57"/>
      <c r="AE315" s="58"/>
      <c r="AF315" s="243">
        <f t="shared" si="760"/>
        <v>2</v>
      </c>
      <c r="AG315" s="60"/>
      <c r="AH315" s="58"/>
      <c r="AI315" s="62">
        <f t="shared" si="761"/>
        <v>2</v>
      </c>
      <c r="AJ315" s="60"/>
      <c r="AK315" s="58"/>
      <c r="AL315" s="62">
        <f t="shared" si="762"/>
        <v>2</v>
      </c>
      <c r="AM315" s="60"/>
      <c r="AN315" s="58"/>
      <c r="AO315" s="62">
        <f t="shared" ref="AO315:AO329" si="773">SUM(AL315+AM315-AN315)</f>
        <v>2</v>
      </c>
      <c r="AP315" s="60"/>
      <c r="AQ315" s="58"/>
      <c r="AR315" s="62">
        <f t="shared" ref="AR315:AR329" si="774">SUM(AO315+AP315-AQ315)</f>
        <v>2</v>
      </c>
      <c r="AS315" s="60"/>
      <c r="AT315" s="58"/>
      <c r="AU315" s="62">
        <f t="shared" si="763"/>
        <v>2</v>
      </c>
      <c r="AV315" s="83">
        <f t="shared" si="770"/>
        <v>0</v>
      </c>
      <c r="AW315" s="83">
        <f t="shared" si="709"/>
        <v>0</v>
      </c>
      <c r="AX315" s="64">
        <f t="shared" si="765"/>
        <v>0</v>
      </c>
      <c r="AY315" s="65" t="e">
        <f t="shared" si="766"/>
        <v>#DIV/0!</v>
      </c>
      <c r="AZ315" s="66">
        <f t="shared" si="767"/>
        <v>0</v>
      </c>
      <c r="BA315" s="67">
        <f>MAX(0, Table176252626[[#This Row],[Column6]])</f>
        <v>2</v>
      </c>
      <c r="BB315" s="68">
        <v>1</v>
      </c>
      <c r="BC315" s="84">
        <f t="shared" si="629"/>
        <v>2</v>
      </c>
      <c r="BD315" s="83">
        <f t="shared" si="613"/>
        <v>1</v>
      </c>
      <c r="BE315" s="85">
        <v>2</v>
      </c>
      <c r="BF315" s="86">
        <v>45574.496076388888</v>
      </c>
      <c r="BG315" s="72">
        <f t="shared" si="650"/>
        <v>46265</v>
      </c>
      <c r="BH315" s="107">
        <f t="shared" si="768"/>
        <v>690.50392361111153</v>
      </c>
      <c r="BI315" s="80" t="str">
        <f t="shared" si="614"/>
        <v>Dead Stock</v>
      </c>
      <c r="BJ315" s="238">
        <v>5400</v>
      </c>
    </row>
    <row r="316" spans="1:62" ht="13">
      <c r="A316" s="49"/>
      <c r="B316" s="76"/>
      <c r="C316" s="51">
        <v>313</v>
      </c>
      <c r="D316" s="79" t="s">
        <v>1521</v>
      </c>
      <c r="E316" s="79">
        <v>7</v>
      </c>
      <c r="F316" s="80" t="s">
        <v>20</v>
      </c>
      <c r="G316" s="81" t="s">
        <v>21</v>
      </c>
      <c r="H316" s="81" t="s">
        <v>294</v>
      </c>
      <c r="I316" s="80" t="s">
        <v>458</v>
      </c>
      <c r="J316" s="82">
        <f t="shared" si="753"/>
        <v>1</v>
      </c>
      <c r="K316" s="80">
        <v>1</v>
      </c>
      <c r="L316" s="57"/>
      <c r="M316" s="58"/>
      <c r="N316" s="62">
        <f t="shared" si="754"/>
        <v>1</v>
      </c>
      <c r="O316" s="60"/>
      <c r="P316" s="58"/>
      <c r="Q316" s="62">
        <f t="shared" si="755"/>
        <v>1</v>
      </c>
      <c r="R316" s="60"/>
      <c r="S316" s="58"/>
      <c r="T316" s="94">
        <f t="shared" si="756"/>
        <v>1</v>
      </c>
      <c r="U316" s="60"/>
      <c r="V316" s="58"/>
      <c r="W316" s="62">
        <f t="shared" si="757"/>
        <v>1</v>
      </c>
      <c r="X316" s="60"/>
      <c r="Y316" s="58"/>
      <c r="Z316" s="94">
        <f t="shared" si="758"/>
        <v>1</v>
      </c>
      <c r="AA316" s="60"/>
      <c r="AB316" s="58"/>
      <c r="AC316" s="62">
        <f t="shared" si="759"/>
        <v>1</v>
      </c>
      <c r="AD316" s="57"/>
      <c r="AE316" s="58"/>
      <c r="AF316" s="165">
        <f t="shared" si="760"/>
        <v>1</v>
      </c>
      <c r="AG316" s="60"/>
      <c r="AH316" s="58"/>
      <c r="AI316" s="62">
        <f t="shared" si="761"/>
        <v>1</v>
      </c>
      <c r="AJ316" s="60"/>
      <c r="AK316" s="58"/>
      <c r="AL316" s="62">
        <f t="shared" si="762"/>
        <v>1</v>
      </c>
      <c r="AM316" s="60"/>
      <c r="AN316" s="58"/>
      <c r="AO316" s="62">
        <f t="shared" si="773"/>
        <v>1</v>
      </c>
      <c r="AP316" s="60"/>
      <c r="AQ316" s="58"/>
      <c r="AR316" s="62">
        <f t="shared" si="774"/>
        <v>1</v>
      </c>
      <c r="AS316" s="60"/>
      <c r="AT316" s="58"/>
      <c r="AU316" s="62">
        <f t="shared" si="763"/>
        <v>1</v>
      </c>
      <c r="AV316" s="83">
        <f t="shared" si="770"/>
        <v>0</v>
      </c>
      <c r="AW316" s="83">
        <f t="shared" si="709"/>
        <v>0</v>
      </c>
      <c r="AX316" s="64">
        <f t="shared" si="765"/>
        <v>0</v>
      </c>
      <c r="AY316" s="65" t="e">
        <f t="shared" si="766"/>
        <v>#DIV/0!</v>
      </c>
      <c r="AZ316" s="66">
        <f t="shared" si="767"/>
        <v>0</v>
      </c>
      <c r="BA316" s="67">
        <f>MAX(0, Table176252626[[#This Row],[Column6]])</f>
        <v>1</v>
      </c>
      <c r="BB316" s="68">
        <v>0</v>
      </c>
      <c r="BC316" s="84">
        <f t="shared" si="629"/>
        <v>1</v>
      </c>
      <c r="BD316" s="83">
        <f t="shared" si="613"/>
        <v>1</v>
      </c>
      <c r="BE316" s="85">
        <v>2</v>
      </c>
      <c r="BF316" s="86">
        <v>45498.74800925926</v>
      </c>
      <c r="BG316" s="72">
        <f t="shared" si="650"/>
        <v>46265</v>
      </c>
      <c r="BH316" s="87">
        <f t="shared" si="768"/>
        <v>766.25199074074044</v>
      </c>
      <c r="BI316" s="80" t="str">
        <f t="shared" si="614"/>
        <v>Dead Stock</v>
      </c>
      <c r="BJ316" s="238">
        <v>7414</v>
      </c>
    </row>
    <row r="317" spans="1:62" ht="13">
      <c r="A317" s="75"/>
      <c r="B317" s="76"/>
      <c r="C317" s="77">
        <v>314</v>
      </c>
      <c r="D317" s="79" t="s">
        <v>1521</v>
      </c>
      <c r="E317" s="79">
        <v>8</v>
      </c>
      <c r="F317" s="105" t="s">
        <v>474</v>
      </c>
      <c r="G317" s="81" t="s">
        <v>475</v>
      </c>
      <c r="H317" s="81" t="s">
        <v>294</v>
      </c>
      <c r="I317" s="80" t="s">
        <v>458</v>
      </c>
      <c r="J317" s="82">
        <f t="shared" si="753"/>
        <v>1</v>
      </c>
      <c r="K317" s="80">
        <v>1</v>
      </c>
      <c r="L317" s="57"/>
      <c r="M317" s="58"/>
      <c r="N317" s="59">
        <f t="shared" si="754"/>
        <v>1</v>
      </c>
      <c r="O317" s="60"/>
      <c r="P317" s="58"/>
      <c r="Q317" s="59">
        <f t="shared" si="755"/>
        <v>1</v>
      </c>
      <c r="R317" s="60"/>
      <c r="S317" s="58"/>
      <c r="T317" s="61">
        <f t="shared" si="756"/>
        <v>1</v>
      </c>
      <c r="U317" s="60"/>
      <c r="V317" s="58"/>
      <c r="W317" s="59">
        <f t="shared" si="757"/>
        <v>1</v>
      </c>
      <c r="X317" s="60"/>
      <c r="Y317" s="58"/>
      <c r="Z317" s="61">
        <f t="shared" si="758"/>
        <v>1</v>
      </c>
      <c r="AA317" s="60"/>
      <c r="AB317" s="58"/>
      <c r="AC317" s="59">
        <f t="shared" si="759"/>
        <v>1</v>
      </c>
      <c r="AD317" s="57"/>
      <c r="AE317" s="58"/>
      <c r="AF317" s="243">
        <f t="shared" si="760"/>
        <v>1</v>
      </c>
      <c r="AG317" s="60"/>
      <c r="AH317" s="58"/>
      <c r="AI317" s="62">
        <f t="shared" si="761"/>
        <v>1</v>
      </c>
      <c r="AJ317" s="60"/>
      <c r="AK317" s="58"/>
      <c r="AL317" s="62">
        <f t="shared" si="762"/>
        <v>1</v>
      </c>
      <c r="AM317" s="60"/>
      <c r="AN317" s="58"/>
      <c r="AO317" s="62">
        <f t="shared" si="773"/>
        <v>1</v>
      </c>
      <c r="AP317" s="60"/>
      <c r="AQ317" s="58"/>
      <c r="AR317" s="62">
        <f t="shared" si="774"/>
        <v>1</v>
      </c>
      <c r="AS317" s="60"/>
      <c r="AT317" s="58"/>
      <c r="AU317" s="62">
        <f t="shared" si="763"/>
        <v>1</v>
      </c>
      <c r="AV317" s="83">
        <f t="shared" si="770"/>
        <v>0</v>
      </c>
      <c r="AW317" s="83">
        <f t="shared" si="709"/>
        <v>0</v>
      </c>
      <c r="AX317" s="64">
        <f t="shared" si="765"/>
        <v>0</v>
      </c>
      <c r="AY317" s="65" t="e">
        <f t="shared" si="766"/>
        <v>#DIV/0!</v>
      </c>
      <c r="AZ317" s="66">
        <f t="shared" si="767"/>
        <v>0</v>
      </c>
      <c r="BA317" s="67">
        <f>MAX(0, Table176252626[[#This Row],[Column6]])</f>
        <v>1</v>
      </c>
      <c r="BB317" s="68">
        <v>0</v>
      </c>
      <c r="BC317" s="84">
        <f t="shared" si="629"/>
        <v>1</v>
      </c>
      <c r="BD317" s="83">
        <f t="shared" si="613"/>
        <v>1</v>
      </c>
      <c r="BE317" s="85">
        <v>2</v>
      </c>
      <c r="BF317" s="86">
        <v>43084.600844907407</v>
      </c>
      <c r="BG317" s="72">
        <f t="shared" si="650"/>
        <v>46265</v>
      </c>
      <c r="BH317" s="87">
        <f t="shared" si="768"/>
        <v>3180.399155092593</v>
      </c>
      <c r="BI317" s="80" t="str">
        <f t="shared" si="614"/>
        <v>Dead Stock</v>
      </c>
      <c r="BJ317" s="238">
        <v>11000</v>
      </c>
    </row>
    <row r="318" spans="1:62" ht="13">
      <c r="A318" s="90"/>
      <c r="B318" s="91"/>
      <c r="C318" s="77">
        <v>315</v>
      </c>
      <c r="D318" s="79" t="s">
        <v>1521</v>
      </c>
      <c r="E318" s="79">
        <v>10</v>
      </c>
      <c r="F318" s="80" t="s">
        <v>308</v>
      </c>
      <c r="G318" s="81" t="s">
        <v>309</v>
      </c>
      <c r="H318" s="81" t="s">
        <v>289</v>
      </c>
      <c r="I318" s="80" t="s">
        <v>458</v>
      </c>
      <c r="J318" s="82">
        <f t="shared" si="753"/>
        <v>2</v>
      </c>
      <c r="K318" s="80">
        <v>2</v>
      </c>
      <c r="L318" s="57"/>
      <c r="M318" s="58"/>
      <c r="N318" s="59">
        <f t="shared" si="754"/>
        <v>2</v>
      </c>
      <c r="O318" s="60"/>
      <c r="P318" s="58"/>
      <c r="Q318" s="59">
        <f t="shared" si="755"/>
        <v>2</v>
      </c>
      <c r="R318" s="60"/>
      <c r="S318" s="58"/>
      <c r="T318" s="61">
        <f t="shared" si="756"/>
        <v>2</v>
      </c>
      <c r="U318" s="60"/>
      <c r="V318" s="58"/>
      <c r="W318" s="59">
        <f t="shared" si="757"/>
        <v>2</v>
      </c>
      <c r="X318" s="60"/>
      <c r="Y318" s="58"/>
      <c r="Z318" s="61">
        <f t="shared" si="758"/>
        <v>2</v>
      </c>
      <c r="AA318" s="60"/>
      <c r="AB318" s="58"/>
      <c r="AC318" s="59">
        <f t="shared" si="759"/>
        <v>2</v>
      </c>
      <c r="AD318" s="57"/>
      <c r="AE318" s="58"/>
      <c r="AF318" s="243">
        <f t="shared" si="760"/>
        <v>2</v>
      </c>
      <c r="AG318" s="60"/>
      <c r="AH318" s="58"/>
      <c r="AI318" s="62">
        <f t="shared" si="761"/>
        <v>2</v>
      </c>
      <c r="AJ318" s="60"/>
      <c r="AK318" s="58"/>
      <c r="AL318" s="62">
        <f t="shared" si="762"/>
        <v>2</v>
      </c>
      <c r="AM318" s="60"/>
      <c r="AN318" s="58"/>
      <c r="AO318" s="62">
        <f t="shared" si="773"/>
        <v>2</v>
      </c>
      <c r="AP318" s="60"/>
      <c r="AQ318" s="58"/>
      <c r="AR318" s="62">
        <f t="shared" si="774"/>
        <v>2</v>
      </c>
      <c r="AS318" s="60"/>
      <c r="AT318" s="58"/>
      <c r="AU318" s="62">
        <f t="shared" si="763"/>
        <v>2</v>
      </c>
      <c r="AV318" s="83">
        <f t="shared" si="770"/>
        <v>0</v>
      </c>
      <c r="AW318" s="83">
        <f t="shared" si="709"/>
        <v>0</v>
      </c>
      <c r="AX318" s="64">
        <f t="shared" si="765"/>
        <v>0</v>
      </c>
      <c r="AY318" s="65" t="e">
        <f t="shared" si="766"/>
        <v>#DIV/0!</v>
      </c>
      <c r="AZ318" s="66">
        <f t="shared" si="767"/>
        <v>0</v>
      </c>
      <c r="BA318" s="67">
        <f>MAX(0, Table176252626[[#This Row],[Column6]])</f>
        <v>2</v>
      </c>
      <c r="BB318" s="68">
        <v>1</v>
      </c>
      <c r="BC318" s="84">
        <f t="shared" si="629"/>
        <v>2</v>
      </c>
      <c r="BD318" s="83">
        <f t="shared" si="613"/>
        <v>1</v>
      </c>
      <c r="BE318" s="85">
        <v>2</v>
      </c>
      <c r="BF318" s="86">
        <v>45365.562094907407</v>
      </c>
      <c r="BG318" s="72">
        <f t="shared" si="650"/>
        <v>46265</v>
      </c>
      <c r="BH318" s="87">
        <f t="shared" si="768"/>
        <v>899.4379050925927</v>
      </c>
      <c r="BI318" s="80" t="str">
        <f t="shared" si="614"/>
        <v>Dead Stock</v>
      </c>
      <c r="BJ318" s="238">
        <v>15317.25</v>
      </c>
    </row>
    <row r="319" spans="1:62" ht="13">
      <c r="A319" s="49"/>
      <c r="B319" s="50"/>
      <c r="C319" s="51">
        <v>316</v>
      </c>
      <c r="D319" s="79" t="s">
        <v>1521</v>
      </c>
      <c r="E319" s="79">
        <v>11</v>
      </c>
      <c r="F319" s="88" t="s">
        <v>1707</v>
      </c>
      <c r="G319" s="89" t="s">
        <v>1708</v>
      </c>
      <c r="H319" s="81" t="s">
        <v>1709</v>
      </c>
      <c r="I319" s="88" t="s">
        <v>458</v>
      </c>
      <c r="J319" s="82">
        <f t="shared" si="753"/>
        <v>3</v>
      </c>
      <c r="K319" s="88">
        <v>3</v>
      </c>
      <c r="L319" s="57"/>
      <c r="M319" s="58"/>
      <c r="N319" s="59">
        <f t="shared" si="754"/>
        <v>3</v>
      </c>
      <c r="O319" s="60"/>
      <c r="P319" s="58"/>
      <c r="Q319" s="59">
        <f t="shared" si="755"/>
        <v>3</v>
      </c>
      <c r="R319" s="60"/>
      <c r="S319" s="58"/>
      <c r="T319" s="61">
        <f t="shared" si="756"/>
        <v>3</v>
      </c>
      <c r="U319" s="60"/>
      <c r="V319" s="58"/>
      <c r="W319" s="59">
        <f t="shared" si="757"/>
        <v>3</v>
      </c>
      <c r="X319" s="60"/>
      <c r="Y319" s="58"/>
      <c r="Z319" s="61">
        <f t="shared" si="758"/>
        <v>3</v>
      </c>
      <c r="AA319" s="60"/>
      <c r="AB319" s="58"/>
      <c r="AC319" s="59">
        <f t="shared" si="759"/>
        <v>3</v>
      </c>
      <c r="AD319" s="57"/>
      <c r="AE319" s="58"/>
      <c r="AF319" s="243">
        <f t="shared" si="760"/>
        <v>3</v>
      </c>
      <c r="AG319" s="60"/>
      <c r="AH319" s="58"/>
      <c r="AI319" s="62">
        <f t="shared" si="761"/>
        <v>3</v>
      </c>
      <c r="AJ319" s="60"/>
      <c r="AK319" s="58"/>
      <c r="AL319" s="62">
        <f t="shared" si="762"/>
        <v>3</v>
      </c>
      <c r="AM319" s="60"/>
      <c r="AN319" s="58"/>
      <c r="AO319" s="62">
        <f t="shared" si="773"/>
        <v>3</v>
      </c>
      <c r="AP319" s="60"/>
      <c r="AQ319" s="58"/>
      <c r="AR319" s="62">
        <f t="shared" si="774"/>
        <v>3</v>
      </c>
      <c r="AS319" s="60"/>
      <c r="AT319" s="58"/>
      <c r="AU319" s="62">
        <f t="shared" si="763"/>
        <v>3</v>
      </c>
      <c r="AV319" s="83">
        <f t="shared" si="770"/>
        <v>0</v>
      </c>
      <c r="AW319" s="83">
        <f t="shared" si="709"/>
        <v>0</v>
      </c>
      <c r="AX319" s="64">
        <f t="shared" si="765"/>
        <v>0</v>
      </c>
      <c r="AY319" s="65" t="e">
        <f t="shared" si="766"/>
        <v>#DIV/0!</v>
      </c>
      <c r="AZ319" s="66">
        <f t="shared" si="767"/>
        <v>0</v>
      </c>
      <c r="BA319" s="67">
        <v>3</v>
      </c>
      <c r="BB319" s="68">
        <v>1</v>
      </c>
      <c r="BC319" s="84">
        <f t="shared" si="629"/>
        <v>3</v>
      </c>
      <c r="BD319" s="83">
        <f t="shared" si="613"/>
        <v>2</v>
      </c>
      <c r="BE319" s="85">
        <v>2</v>
      </c>
      <c r="BF319" s="86">
        <v>45715</v>
      </c>
      <c r="BG319" s="72">
        <f t="shared" si="650"/>
        <v>46265</v>
      </c>
      <c r="BH319" s="87">
        <f t="shared" si="768"/>
        <v>550</v>
      </c>
      <c r="BI319" s="80" t="str">
        <f t="shared" si="614"/>
        <v>Dead Stock</v>
      </c>
      <c r="BJ319" s="238">
        <v>1155</v>
      </c>
    </row>
    <row r="320" spans="1:62" ht="13">
      <c r="A320" s="49"/>
      <c r="B320" s="50"/>
      <c r="C320" s="51">
        <v>317</v>
      </c>
      <c r="D320" s="79" t="s">
        <v>1521</v>
      </c>
      <c r="E320" s="79">
        <v>12</v>
      </c>
      <c r="F320" s="105" t="s">
        <v>217</v>
      </c>
      <c r="G320" s="81" t="s">
        <v>218</v>
      </c>
      <c r="H320" s="81" t="s">
        <v>294</v>
      </c>
      <c r="I320" s="80" t="s">
        <v>458</v>
      </c>
      <c r="J320" s="82">
        <f t="shared" si="753"/>
        <v>1</v>
      </c>
      <c r="K320" s="80">
        <v>2</v>
      </c>
      <c r="L320" s="57"/>
      <c r="M320" s="58"/>
      <c r="N320" s="59">
        <f t="shared" si="754"/>
        <v>2</v>
      </c>
      <c r="O320" s="60"/>
      <c r="P320" s="58"/>
      <c r="Q320" s="59">
        <f t="shared" si="755"/>
        <v>2</v>
      </c>
      <c r="R320" s="60"/>
      <c r="S320" s="58"/>
      <c r="T320" s="61">
        <f t="shared" si="756"/>
        <v>2</v>
      </c>
      <c r="U320" s="60"/>
      <c r="V320" s="58"/>
      <c r="W320" s="59">
        <f t="shared" si="757"/>
        <v>2</v>
      </c>
      <c r="X320" s="60"/>
      <c r="Y320" s="58"/>
      <c r="Z320" s="61">
        <f t="shared" si="758"/>
        <v>2</v>
      </c>
      <c r="AA320" s="60"/>
      <c r="AB320" s="58"/>
      <c r="AC320" s="59">
        <f t="shared" si="759"/>
        <v>2</v>
      </c>
      <c r="AD320" s="57"/>
      <c r="AE320" s="58">
        <v>1</v>
      </c>
      <c r="AF320" s="243">
        <f t="shared" si="760"/>
        <v>1</v>
      </c>
      <c r="AG320" s="60"/>
      <c r="AH320" s="58"/>
      <c r="AI320" s="62">
        <f t="shared" si="761"/>
        <v>1</v>
      </c>
      <c r="AJ320" s="60"/>
      <c r="AK320" s="58"/>
      <c r="AL320" s="62">
        <f t="shared" si="762"/>
        <v>1</v>
      </c>
      <c r="AM320" s="60"/>
      <c r="AN320" s="58"/>
      <c r="AO320" s="62">
        <f t="shared" si="773"/>
        <v>1</v>
      </c>
      <c r="AP320" s="60"/>
      <c r="AQ320" s="58"/>
      <c r="AR320" s="62">
        <f t="shared" si="774"/>
        <v>1</v>
      </c>
      <c r="AS320" s="60"/>
      <c r="AT320" s="58"/>
      <c r="AU320" s="62">
        <f t="shared" si="763"/>
        <v>1</v>
      </c>
      <c r="AV320" s="83">
        <f t="shared" si="770"/>
        <v>0</v>
      </c>
      <c r="AW320" s="83">
        <f t="shared" si="709"/>
        <v>1</v>
      </c>
      <c r="AX320" s="64">
        <f t="shared" si="765"/>
        <v>1</v>
      </c>
      <c r="AY320" s="65">
        <f t="shared" si="766"/>
        <v>1</v>
      </c>
      <c r="AZ320" s="66">
        <f t="shared" si="767"/>
        <v>1</v>
      </c>
      <c r="BA320" s="67">
        <f>MAX(0, Table176252626[[#This Row],[Column6]])</f>
        <v>1</v>
      </c>
      <c r="BB320" s="68">
        <v>0</v>
      </c>
      <c r="BC320" s="84">
        <f t="shared" si="629"/>
        <v>1</v>
      </c>
      <c r="BD320" s="83">
        <f t="shared" ref="BD320:BD381" si="775">SUM(BC320-BB320)</f>
        <v>1</v>
      </c>
      <c r="BE320" s="85">
        <v>2</v>
      </c>
      <c r="BF320" s="86">
        <v>45364.46837962963</v>
      </c>
      <c r="BG320" s="72">
        <f t="shared" si="650"/>
        <v>46265</v>
      </c>
      <c r="BH320" s="87">
        <f t="shared" si="768"/>
        <v>900.53162037036964</v>
      </c>
      <c r="BI320" s="80" t="str">
        <f t="shared" ref="BI320:BI381" si="776">IF(AND(J320&gt;0,BH320&gt;365),"Dead Stock","")</f>
        <v>Dead Stock</v>
      </c>
      <c r="BJ320" s="238">
        <v>1890</v>
      </c>
    </row>
    <row r="321" spans="1:293" ht="13">
      <c r="A321" s="49"/>
      <c r="B321" s="50"/>
      <c r="C321" s="51">
        <v>318</v>
      </c>
      <c r="D321" s="79" t="s">
        <v>1521</v>
      </c>
      <c r="E321" s="79">
        <v>13</v>
      </c>
      <c r="F321" s="88" t="s">
        <v>1572</v>
      </c>
      <c r="G321" s="89" t="s">
        <v>1573</v>
      </c>
      <c r="H321" s="89" t="s">
        <v>1355</v>
      </c>
      <c r="I321" s="88" t="s">
        <v>458</v>
      </c>
      <c r="J321" s="93">
        <f t="shared" si="753"/>
        <v>3</v>
      </c>
      <c r="K321" s="88">
        <v>3</v>
      </c>
      <c r="L321" s="58"/>
      <c r="M321" s="58"/>
      <c r="N321" s="62">
        <f t="shared" si="754"/>
        <v>3</v>
      </c>
      <c r="O321" s="60"/>
      <c r="P321" s="58"/>
      <c r="Q321" s="62">
        <f t="shared" si="755"/>
        <v>3</v>
      </c>
      <c r="R321" s="60"/>
      <c r="S321" s="58"/>
      <c r="T321" s="94">
        <f t="shared" si="756"/>
        <v>3</v>
      </c>
      <c r="U321" s="60"/>
      <c r="V321" s="58"/>
      <c r="W321" s="62">
        <f t="shared" si="757"/>
        <v>3</v>
      </c>
      <c r="X321" s="60"/>
      <c r="Y321" s="58"/>
      <c r="Z321" s="94">
        <f t="shared" si="758"/>
        <v>3</v>
      </c>
      <c r="AA321" s="60"/>
      <c r="AB321" s="58"/>
      <c r="AC321" s="62">
        <f t="shared" si="759"/>
        <v>3</v>
      </c>
      <c r="AD321" s="57"/>
      <c r="AE321" s="58"/>
      <c r="AF321" s="165">
        <f t="shared" si="760"/>
        <v>3</v>
      </c>
      <c r="AG321" s="60"/>
      <c r="AH321" s="58"/>
      <c r="AI321" s="62">
        <f t="shared" si="761"/>
        <v>3</v>
      </c>
      <c r="AJ321" s="60"/>
      <c r="AK321" s="58"/>
      <c r="AL321" s="62">
        <f t="shared" si="762"/>
        <v>3</v>
      </c>
      <c r="AM321" s="60"/>
      <c r="AN321" s="58"/>
      <c r="AO321" s="62">
        <f t="shared" si="773"/>
        <v>3</v>
      </c>
      <c r="AP321" s="60"/>
      <c r="AQ321" s="58"/>
      <c r="AR321" s="62">
        <f t="shared" si="774"/>
        <v>3</v>
      </c>
      <c r="AS321" s="60"/>
      <c r="AT321" s="58"/>
      <c r="AU321" s="62">
        <f t="shared" si="763"/>
        <v>3</v>
      </c>
      <c r="AV321" s="96">
        <f t="shared" si="770"/>
        <v>0</v>
      </c>
      <c r="AW321" s="83">
        <f t="shared" si="709"/>
        <v>0</v>
      </c>
      <c r="AX321" s="98">
        <f t="shared" si="765"/>
        <v>0</v>
      </c>
      <c r="AY321" s="99" t="e">
        <f t="shared" si="766"/>
        <v>#DIV/0!</v>
      </c>
      <c r="AZ321" s="100">
        <f t="shared" si="767"/>
        <v>0</v>
      </c>
      <c r="BA321" s="101">
        <v>3</v>
      </c>
      <c r="BB321" s="102">
        <v>1</v>
      </c>
      <c r="BC321" s="84">
        <f t="shared" si="629"/>
        <v>3</v>
      </c>
      <c r="BD321" s="83">
        <f t="shared" si="775"/>
        <v>2</v>
      </c>
      <c r="BE321" s="85">
        <v>2</v>
      </c>
      <c r="BF321" s="86">
        <v>45433.470231481479</v>
      </c>
      <c r="BG321" s="72">
        <f t="shared" si="650"/>
        <v>46265</v>
      </c>
      <c r="BH321" s="103">
        <f t="shared" si="768"/>
        <v>831.52976851852145</v>
      </c>
      <c r="BI321" s="80" t="str">
        <f t="shared" si="776"/>
        <v>Dead Stock</v>
      </c>
      <c r="BJ321" s="238">
        <v>3150</v>
      </c>
    </row>
    <row r="322" spans="1:293" ht="13">
      <c r="A322" s="49"/>
      <c r="B322" s="50"/>
      <c r="C322" s="51">
        <v>319</v>
      </c>
      <c r="D322" s="79" t="s">
        <v>1521</v>
      </c>
      <c r="E322" s="79">
        <v>14</v>
      </c>
      <c r="F322" s="105" t="s">
        <v>438</v>
      </c>
      <c r="G322" s="81" t="s">
        <v>437</v>
      </c>
      <c r="H322" s="81" t="s">
        <v>294</v>
      </c>
      <c r="I322" s="80" t="s">
        <v>458</v>
      </c>
      <c r="J322" s="82">
        <f t="shared" si="753"/>
        <v>2</v>
      </c>
      <c r="K322" s="80">
        <v>2</v>
      </c>
      <c r="L322" s="57"/>
      <c r="M322" s="58"/>
      <c r="N322" s="59">
        <f t="shared" si="754"/>
        <v>2</v>
      </c>
      <c r="O322" s="60"/>
      <c r="P322" s="58"/>
      <c r="Q322" s="59">
        <f t="shared" si="755"/>
        <v>2</v>
      </c>
      <c r="R322" s="60"/>
      <c r="S322" s="58"/>
      <c r="T322" s="61">
        <f t="shared" si="756"/>
        <v>2</v>
      </c>
      <c r="U322" s="60"/>
      <c r="V322" s="58"/>
      <c r="W322" s="59">
        <f t="shared" si="757"/>
        <v>2</v>
      </c>
      <c r="X322" s="60"/>
      <c r="Y322" s="58"/>
      <c r="Z322" s="61">
        <f t="shared" si="758"/>
        <v>2</v>
      </c>
      <c r="AA322" s="60"/>
      <c r="AB322" s="58"/>
      <c r="AC322" s="59">
        <f t="shared" si="759"/>
        <v>2</v>
      </c>
      <c r="AD322" s="57"/>
      <c r="AE322" s="58"/>
      <c r="AF322" s="243">
        <f t="shared" si="760"/>
        <v>2</v>
      </c>
      <c r="AG322" s="60"/>
      <c r="AH322" s="58"/>
      <c r="AI322" s="62">
        <f t="shared" si="761"/>
        <v>2</v>
      </c>
      <c r="AJ322" s="60"/>
      <c r="AK322" s="58"/>
      <c r="AL322" s="62">
        <f t="shared" si="762"/>
        <v>2</v>
      </c>
      <c r="AM322" s="60"/>
      <c r="AN322" s="58"/>
      <c r="AO322" s="62">
        <f t="shared" si="773"/>
        <v>2</v>
      </c>
      <c r="AP322" s="60"/>
      <c r="AQ322" s="58"/>
      <c r="AR322" s="62">
        <f t="shared" si="774"/>
        <v>2</v>
      </c>
      <c r="AS322" s="60"/>
      <c r="AT322" s="58"/>
      <c r="AU322" s="62">
        <f t="shared" si="763"/>
        <v>2</v>
      </c>
      <c r="AV322" s="83">
        <f t="shared" si="770"/>
        <v>0</v>
      </c>
      <c r="AW322" s="83">
        <f t="shared" si="709"/>
        <v>0</v>
      </c>
      <c r="AX322" s="64">
        <f t="shared" si="765"/>
        <v>0</v>
      </c>
      <c r="AY322" s="65" t="e">
        <f t="shared" si="766"/>
        <v>#DIV/0!</v>
      </c>
      <c r="AZ322" s="66">
        <f t="shared" si="767"/>
        <v>0</v>
      </c>
      <c r="BA322" s="67">
        <f>MAX(0, Table176252626[[#This Row],[Column6]])</f>
        <v>2</v>
      </c>
      <c r="BB322" s="68">
        <v>1</v>
      </c>
      <c r="BC322" s="84">
        <f t="shared" ref="BC322:BC382" si="777">J322</f>
        <v>2</v>
      </c>
      <c r="BD322" s="83">
        <f t="shared" si="775"/>
        <v>1</v>
      </c>
      <c r="BE322" s="85">
        <v>2</v>
      </c>
      <c r="BF322" s="86">
        <v>43136.666990740741</v>
      </c>
      <c r="BG322" s="72">
        <f t="shared" si="650"/>
        <v>46265</v>
      </c>
      <c r="BH322" s="87">
        <f t="shared" si="768"/>
        <v>3128.3330092592587</v>
      </c>
      <c r="BI322" s="80" t="str">
        <f t="shared" si="776"/>
        <v>Dead Stock</v>
      </c>
      <c r="BJ322" s="238">
        <v>4142</v>
      </c>
    </row>
    <row r="323" spans="1:293" ht="13">
      <c r="A323" s="75"/>
      <c r="B323" s="76"/>
      <c r="C323" s="77">
        <v>320</v>
      </c>
      <c r="D323" s="79" t="s">
        <v>1521</v>
      </c>
      <c r="E323" s="79">
        <v>15</v>
      </c>
      <c r="F323" s="80" t="s">
        <v>1003</v>
      </c>
      <c r="G323" s="81" t="s">
        <v>1004</v>
      </c>
      <c r="H323" s="81" t="s">
        <v>294</v>
      </c>
      <c r="I323" s="80" t="s">
        <v>458</v>
      </c>
      <c r="J323" s="82">
        <f>AU323</f>
        <v>1</v>
      </c>
      <c r="K323" s="80">
        <v>1</v>
      </c>
      <c r="L323" s="57"/>
      <c r="M323" s="58"/>
      <c r="N323" s="59">
        <f>SUM(K323+L323-M323)</f>
        <v>1</v>
      </c>
      <c r="O323" s="60"/>
      <c r="P323" s="58"/>
      <c r="Q323" s="59">
        <f>SUM(N323+O323-P323)</f>
        <v>1</v>
      </c>
      <c r="R323" s="60"/>
      <c r="S323" s="58"/>
      <c r="T323" s="61">
        <f>SUM(Q323+R323-S323)</f>
        <v>1</v>
      </c>
      <c r="U323" s="60"/>
      <c r="V323" s="58"/>
      <c r="W323" s="59">
        <f>SUM(T323+U323-V323)</f>
        <v>1</v>
      </c>
      <c r="X323" s="60"/>
      <c r="Y323" s="58"/>
      <c r="Z323" s="61">
        <f>SUM(W323+X323-Y323)</f>
        <v>1</v>
      </c>
      <c r="AA323" s="60"/>
      <c r="AB323" s="58"/>
      <c r="AC323" s="59">
        <f>SUM(Z323+AA323-AB323)</f>
        <v>1</v>
      </c>
      <c r="AD323" s="57"/>
      <c r="AE323" s="58"/>
      <c r="AF323" s="243">
        <f>SUM(AC323+AD323-AE323)</f>
        <v>1</v>
      </c>
      <c r="AG323" s="60"/>
      <c r="AH323" s="58"/>
      <c r="AI323" s="62">
        <f>SUM(AF323+AG323-AH323)</f>
        <v>1</v>
      </c>
      <c r="AJ323" s="60"/>
      <c r="AK323" s="58"/>
      <c r="AL323" s="62">
        <f>SUM(AI323+AJ323-AK323)</f>
        <v>1</v>
      </c>
      <c r="AM323" s="60"/>
      <c r="AN323" s="58"/>
      <c r="AO323" s="62">
        <f>SUM(AL323+AM323-AN323)</f>
        <v>1</v>
      </c>
      <c r="AP323" s="60"/>
      <c r="AQ323" s="58"/>
      <c r="AR323" s="104">
        <f>SUM(AO323+AP323-AQ323)</f>
        <v>1</v>
      </c>
      <c r="AS323" s="57"/>
      <c r="AT323" s="58"/>
      <c r="AU323" s="62">
        <f>SUM(AR323+AS323-AT323)</f>
        <v>1</v>
      </c>
      <c r="AV323" s="83">
        <f>SUM(L323+O323+R323+U323+X323+AA323+AD323+AG323+AJ323+AM323+AP323+AS323)</f>
        <v>0</v>
      </c>
      <c r="AW323" s="83">
        <f t="shared" si="709"/>
        <v>0</v>
      </c>
      <c r="AX323" s="64">
        <f>SUM(M323,P323,S323,V323,Y323,AB323,AE323,AH323,AK323,AN323,AQ323,AT323)</f>
        <v>0</v>
      </c>
      <c r="AY323" s="65" t="e">
        <f>AVERAGE(M323,P323,S323,V323,Y323,AB323,AE323,AH323,AK323,AN323,AQ323,AT323)</f>
        <v>#DIV/0!</v>
      </c>
      <c r="AZ323" s="66">
        <f>COUNT(M323,P323,S323,V323,Y323,AB323,AE323,AH323,AK323,AN323,AQ323,AT323)</f>
        <v>0</v>
      </c>
      <c r="BA323" s="67">
        <f>MAX(0, Table176252626[[#This Row],[Column6]])</f>
        <v>1</v>
      </c>
      <c r="BB323" s="68">
        <v>0</v>
      </c>
      <c r="BC323" s="84">
        <f t="shared" si="777"/>
        <v>1</v>
      </c>
      <c r="BD323" s="83">
        <f t="shared" si="775"/>
        <v>1</v>
      </c>
      <c r="BE323" s="85">
        <v>2</v>
      </c>
      <c r="BF323" s="86">
        <v>44517.40892361111</v>
      </c>
      <c r="BG323" s="72">
        <f t="shared" si="650"/>
        <v>46265</v>
      </c>
      <c r="BH323" s="87">
        <f>BG323-BF323</f>
        <v>1747.5910763888896</v>
      </c>
      <c r="BI323" s="80" t="str">
        <f t="shared" si="776"/>
        <v>Dead Stock</v>
      </c>
      <c r="BJ323" s="238">
        <v>80000</v>
      </c>
    </row>
    <row r="324" spans="1:293" ht="13">
      <c r="A324" s="49"/>
      <c r="B324" s="76"/>
      <c r="C324" s="77">
        <v>321</v>
      </c>
      <c r="D324" s="79" t="s">
        <v>1521</v>
      </c>
      <c r="E324" s="79">
        <v>16</v>
      </c>
      <c r="F324" s="105" t="s">
        <v>747</v>
      </c>
      <c r="G324" s="81" t="s">
        <v>748</v>
      </c>
      <c r="H324" s="81" t="s">
        <v>294</v>
      </c>
      <c r="I324" s="80" t="s">
        <v>458</v>
      </c>
      <c r="J324" s="82">
        <f t="shared" si="753"/>
        <v>2</v>
      </c>
      <c r="K324" s="80">
        <v>2</v>
      </c>
      <c r="L324" s="57"/>
      <c r="M324" s="58"/>
      <c r="N324" s="59">
        <f t="shared" si="754"/>
        <v>2</v>
      </c>
      <c r="O324" s="60"/>
      <c r="P324" s="58"/>
      <c r="Q324" s="59">
        <f t="shared" si="755"/>
        <v>2</v>
      </c>
      <c r="R324" s="60"/>
      <c r="S324" s="58"/>
      <c r="T324" s="61">
        <f t="shared" si="756"/>
        <v>2</v>
      </c>
      <c r="U324" s="60"/>
      <c r="V324" s="58"/>
      <c r="W324" s="59">
        <f t="shared" si="757"/>
        <v>2</v>
      </c>
      <c r="X324" s="60"/>
      <c r="Y324" s="58"/>
      <c r="Z324" s="61">
        <f t="shared" si="758"/>
        <v>2</v>
      </c>
      <c r="AA324" s="60"/>
      <c r="AB324" s="58"/>
      <c r="AC324" s="59">
        <f t="shared" si="759"/>
        <v>2</v>
      </c>
      <c r="AD324" s="57"/>
      <c r="AE324" s="58"/>
      <c r="AF324" s="243">
        <f t="shared" si="760"/>
        <v>2</v>
      </c>
      <c r="AG324" s="60"/>
      <c r="AH324" s="58"/>
      <c r="AI324" s="62">
        <f t="shared" si="761"/>
        <v>2</v>
      </c>
      <c r="AJ324" s="60"/>
      <c r="AK324" s="58"/>
      <c r="AL324" s="62">
        <f t="shared" si="762"/>
        <v>2</v>
      </c>
      <c r="AM324" s="60"/>
      <c r="AN324" s="58"/>
      <c r="AO324" s="62">
        <f t="shared" si="773"/>
        <v>2</v>
      </c>
      <c r="AP324" s="60"/>
      <c r="AQ324" s="58"/>
      <c r="AR324" s="62">
        <f t="shared" si="774"/>
        <v>2</v>
      </c>
      <c r="AS324" s="60"/>
      <c r="AT324" s="58"/>
      <c r="AU324" s="62">
        <f t="shared" si="763"/>
        <v>2</v>
      </c>
      <c r="AV324" s="83">
        <f t="shared" si="770"/>
        <v>0</v>
      </c>
      <c r="AW324" s="83">
        <f t="shared" si="709"/>
        <v>0</v>
      </c>
      <c r="AX324" s="64">
        <f t="shared" si="765"/>
        <v>0</v>
      </c>
      <c r="AY324" s="65" t="e">
        <f t="shared" si="766"/>
        <v>#DIV/0!</v>
      </c>
      <c r="AZ324" s="66">
        <f t="shared" si="767"/>
        <v>0</v>
      </c>
      <c r="BA324" s="67">
        <f>MAX(0, Table176252626[[#This Row],[Column6]])</f>
        <v>2</v>
      </c>
      <c r="BB324" s="68">
        <v>1</v>
      </c>
      <c r="BC324" s="84">
        <f t="shared" si="777"/>
        <v>2</v>
      </c>
      <c r="BD324" s="83">
        <f t="shared" si="775"/>
        <v>1</v>
      </c>
      <c r="BE324" s="85">
        <v>2</v>
      </c>
      <c r="BF324" s="86">
        <v>43664.481817129628</v>
      </c>
      <c r="BG324" s="72">
        <f t="shared" si="650"/>
        <v>46265</v>
      </c>
      <c r="BH324" s="87">
        <f t="shared" si="768"/>
        <v>2600.5181828703717</v>
      </c>
      <c r="BI324" s="80" t="str">
        <f t="shared" si="776"/>
        <v>Dead Stock</v>
      </c>
      <c r="BJ324" s="238">
        <v>10600</v>
      </c>
    </row>
    <row r="325" spans="1:293" ht="13">
      <c r="A325" s="75"/>
      <c r="B325" s="76"/>
      <c r="C325" s="51">
        <v>322</v>
      </c>
      <c r="D325" s="79" t="s">
        <v>1521</v>
      </c>
      <c r="E325" s="79">
        <v>17</v>
      </c>
      <c r="F325" s="88" t="s">
        <v>776</v>
      </c>
      <c r="G325" s="89" t="s">
        <v>778</v>
      </c>
      <c r="H325" s="81" t="s">
        <v>294</v>
      </c>
      <c r="I325" s="88" t="s">
        <v>458</v>
      </c>
      <c r="J325" s="93">
        <f t="shared" si="753"/>
        <v>32</v>
      </c>
      <c r="K325" s="80">
        <v>33</v>
      </c>
      <c r="L325" s="57"/>
      <c r="M325" s="58">
        <v>1</v>
      </c>
      <c r="N325" s="59">
        <f t="shared" si="754"/>
        <v>32</v>
      </c>
      <c r="O325" s="60"/>
      <c r="P325" s="58"/>
      <c r="Q325" s="59">
        <f t="shared" si="755"/>
        <v>32</v>
      </c>
      <c r="R325" s="60"/>
      <c r="S325" s="58"/>
      <c r="T325" s="61">
        <f t="shared" si="756"/>
        <v>32</v>
      </c>
      <c r="U325" s="60"/>
      <c r="V325" s="58"/>
      <c r="W325" s="59">
        <f t="shared" si="757"/>
        <v>32</v>
      </c>
      <c r="X325" s="60"/>
      <c r="Y325" s="58"/>
      <c r="Z325" s="61">
        <f t="shared" si="758"/>
        <v>32</v>
      </c>
      <c r="AA325" s="60"/>
      <c r="AB325" s="58"/>
      <c r="AC325" s="59">
        <f t="shared" si="759"/>
        <v>32</v>
      </c>
      <c r="AD325" s="57"/>
      <c r="AE325" s="58"/>
      <c r="AF325" s="243">
        <f t="shared" si="760"/>
        <v>32</v>
      </c>
      <c r="AG325" s="60"/>
      <c r="AH325" s="58"/>
      <c r="AI325" s="62">
        <f t="shared" si="761"/>
        <v>32</v>
      </c>
      <c r="AJ325" s="60"/>
      <c r="AK325" s="58"/>
      <c r="AL325" s="62">
        <f t="shared" si="762"/>
        <v>32</v>
      </c>
      <c r="AM325" s="60"/>
      <c r="AN325" s="58"/>
      <c r="AO325" s="62">
        <f t="shared" si="773"/>
        <v>32</v>
      </c>
      <c r="AP325" s="60"/>
      <c r="AQ325" s="58"/>
      <c r="AR325" s="62">
        <f t="shared" si="774"/>
        <v>32</v>
      </c>
      <c r="AS325" s="60"/>
      <c r="AT325" s="58"/>
      <c r="AU325" s="62">
        <f t="shared" si="763"/>
        <v>32</v>
      </c>
      <c r="AV325" s="83">
        <f t="shared" si="770"/>
        <v>0</v>
      </c>
      <c r="AW325" s="83">
        <f t="shared" si="709"/>
        <v>1</v>
      </c>
      <c r="AX325" s="64">
        <f t="shared" si="765"/>
        <v>1</v>
      </c>
      <c r="AY325" s="65">
        <f t="shared" si="766"/>
        <v>1</v>
      </c>
      <c r="AZ325" s="66">
        <f t="shared" si="767"/>
        <v>1</v>
      </c>
      <c r="BA325" s="67">
        <f>MAX(0, Table176252626[[#This Row],[Column6]])</f>
        <v>32</v>
      </c>
      <c r="BB325" s="68">
        <v>1</v>
      </c>
      <c r="BC325" s="84">
        <f t="shared" si="777"/>
        <v>32</v>
      </c>
      <c r="BD325" s="83">
        <f t="shared" si="775"/>
        <v>31</v>
      </c>
      <c r="BE325" s="85">
        <v>2</v>
      </c>
      <c r="BF325" s="86">
        <v>43690.488356481481</v>
      </c>
      <c r="BG325" s="72">
        <f t="shared" si="650"/>
        <v>46265</v>
      </c>
      <c r="BH325" s="87">
        <f t="shared" si="768"/>
        <v>2574.5116435185191</v>
      </c>
      <c r="BI325" s="80" t="str">
        <f t="shared" si="776"/>
        <v>Dead Stock</v>
      </c>
      <c r="BJ325" s="238">
        <v>430</v>
      </c>
    </row>
    <row r="326" spans="1:293" ht="13">
      <c r="A326" s="49"/>
      <c r="B326" s="76"/>
      <c r="C326" s="51">
        <v>323</v>
      </c>
      <c r="D326" s="79" t="s">
        <v>1521</v>
      </c>
      <c r="E326" s="79">
        <v>18</v>
      </c>
      <c r="F326" s="80" t="s">
        <v>1020</v>
      </c>
      <c r="G326" s="81" t="s">
        <v>1021</v>
      </c>
      <c r="H326" s="81" t="s">
        <v>294</v>
      </c>
      <c r="I326" s="88" t="s">
        <v>458</v>
      </c>
      <c r="J326" s="82">
        <f t="shared" ref="J326" si="778">AU326</f>
        <v>17</v>
      </c>
      <c r="K326" s="80">
        <v>17</v>
      </c>
      <c r="L326" s="57"/>
      <c r="M326" s="58"/>
      <c r="N326" s="59">
        <f t="shared" ref="N326" si="779">SUM(K326+L326-M326)</f>
        <v>17</v>
      </c>
      <c r="O326" s="60"/>
      <c r="P326" s="58"/>
      <c r="Q326" s="59">
        <f t="shared" ref="Q326" si="780">SUM(N326+O326-P326)</f>
        <v>17</v>
      </c>
      <c r="R326" s="60"/>
      <c r="S326" s="58"/>
      <c r="T326" s="61">
        <f t="shared" ref="T326" si="781">SUM(Q326+R326-S326)</f>
        <v>17</v>
      </c>
      <c r="U326" s="60"/>
      <c r="V326" s="58"/>
      <c r="W326" s="59">
        <f t="shared" ref="W326" si="782">SUM(T326+U326-V326)</f>
        <v>17</v>
      </c>
      <c r="X326" s="60"/>
      <c r="Y326" s="58"/>
      <c r="Z326" s="61">
        <f t="shared" ref="Z326" si="783">SUM(W326+X326-Y326)</f>
        <v>17</v>
      </c>
      <c r="AA326" s="60"/>
      <c r="AB326" s="58"/>
      <c r="AC326" s="59">
        <f t="shared" ref="AC326" si="784">SUM(Z326+AA326-AB326)</f>
        <v>17</v>
      </c>
      <c r="AD326" s="57"/>
      <c r="AE326" s="58"/>
      <c r="AF326" s="243">
        <f t="shared" ref="AF326" si="785">SUM(AC326+AD326-AE326)</f>
        <v>17</v>
      </c>
      <c r="AG326" s="60"/>
      <c r="AH326" s="58"/>
      <c r="AI326" s="62">
        <f t="shared" ref="AI326" si="786">SUM(AF326+AG326-AH326)</f>
        <v>17</v>
      </c>
      <c r="AJ326" s="60"/>
      <c r="AK326" s="58"/>
      <c r="AL326" s="62">
        <f t="shared" ref="AL326" si="787">SUM(AI326+AJ326-AK326)</f>
        <v>17</v>
      </c>
      <c r="AM326" s="60"/>
      <c r="AN326" s="58"/>
      <c r="AO326" s="62">
        <f t="shared" si="773"/>
        <v>17</v>
      </c>
      <c r="AP326" s="60"/>
      <c r="AQ326" s="58"/>
      <c r="AR326" s="62">
        <f t="shared" si="774"/>
        <v>17</v>
      </c>
      <c r="AS326" s="60"/>
      <c r="AT326" s="58"/>
      <c r="AU326" s="62">
        <f t="shared" si="763"/>
        <v>17</v>
      </c>
      <c r="AV326" s="83">
        <f t="shared" si="770"/>
        <v>0</v>
      </c>
      <c r="AW326" s="83">
        <f t="shared" si="709"/>
        <v>0</v>
      </c>
      <c r="AX326" s="64">
        <f t="shared" si="765"/>
        <v>0</v>
      </c>
      <c r="AY326" s="65" t="e">
        <f t="shared" si="766"/>
        <v>#DIV/0!</v>
      </c>
      <c r="AZ326" s="66">
        <f t="shared" si="767"/>
        <v>0</v>
      </c>
      <c r="BA326" s="67">
        <f>MAX(0, Table176252626[[#This Row],[Column6]])</f>
        <v>17</v>
      </c>
      <c r="BB326" s="68">
        <v>1</v>
      </c>
      <c r="BC326" s="84">
        <f t="shared" si="777"/>
        <v>17</v>
      </c>
      <c r="BD326" s="83">
        <f t="shared" si="775"/>
        <v>16</v>
      </c>
      <c r="BE326" s="85">
        <v>2</v>
      </c>
      <c r="BF326" s="86">
        <v>44792.576215277775</v>
      </c>
      <c r="BG326" s="72">
        <f t="shared" si="650"/>
        <v>46265</v>
      </c>
      <c r="BH326" s="87">
        <f t="shared" si="768"/>
        <v>1472.4237847222248</v>
      </c>
      <c r="BI326" s="80" t="str">
        <f t="shared" si="776"/>
        <v>Dead Stock</v>
      </c>
      <c r="BJ326" s="238">
        <v>2326.12</v>
      </c>
    </row>
    <row r="327" spans="1:293" ht="13">
      <c r="A327" s="49"/>
      <c r="B327" s="50"/>
      <c r="C327" s="51">
        <v>324</v>
      </c>
      <c r="D327" s="79" t="s">
        <v>1521</v>
      </c>
      <c r="E327" s="79">
        <v>19</v>
      </c>
      <c r="F327" s="120" t="s">
        <v>749</v>
      </c>
      <c r="G327" s="89" t="s">
        <v>750</v>
      </c>
      <c r="H327" s="81" t="s">
        <v>294</v>
      </c>
      <c r="I327" s="80" t="s">
        <v>458</v>
      </c>
      <c r="J327" s="82">
        <f t="shared" ref="J327" si="788">AU327</f>
        <v>2</v>
      </c>
      <c r="K327" s="80">
        <v>2</v>
      </c>
      <c r="L327" s="57"/>
      <c r="M327" s="58"/>
      <c r="N327" s="59">
        <f t="shared" ref="N327" si="789">SUM(K327+L327-M327)</f>
        <v>2</v>
      </c>
      <c r="O327" s="60"/>
      <c r="P327" s="58"/>
      <c r="Q327" s="59">
        <f t="shared" ref="Q327" si="790">SUM(N327+O327-P327)</f>
        <v>2</v>
      </c>
      <c r="R327" s="60"/>
      <c r="S327" s="58"/>
      <c r="T327" s="61">
        <f t="shared" ref="T327" si="791">SUM(Q327+R327-S327)</f>
        <v>2</v>
      </c>
      <c r="U327" s="60"/>
      <c r="V327" s="58"/>
      <c r="W327" s="59">
        <f t="shared" ref="W327" si="792">SUM(T327+U327-V327)</f>
        <v>2</v>
      </c>
      <c r="X327" s="60"/>
      <c r="Y327" s="58"/>
      <c r="Z327" s="61">
        <f t="shared" ref="Z327" si="793">SUM(W327+X327-Y327)</f>
        <v>2</v>
      </c>
      <c r="AA327" s="60"/>
      <c r="AB327" s="58"/>
      <c r="AC327" s="59">
        <f t="shared" ref="AC327" si="794">SUM(Z327+AA327-AB327)</f>
        <v>2</v>
      </c>
      <c r="AD327" s="57"/>
      <c r="AE327" s="58"/>
      <c r="AF327" s="243">
        <f t="shared" ref="AF327" si="795">SUM(AC327+AD327-AE327)</f>
        <v>2</v>
      </c>
      <c r="AG327" s="60"/>
      <c r="AH327" s="58"/>
      <c r="AI327" s="62">
        <f t="shared" ref="AI327" si="796">SUM(AF327+AG327-AH327)</f>
        <v>2</v>
      </c>
      <c r="AJ327" s="60"/>
      <c r="AK327" s="58"/>
      <c r="AL327" s="62">
        <f t="shared" ref="AL327" si="797">SUM(AI327+AJ327-AK327)</f>
        <v>2</v>
      </c>
      <c r="AM327" s="60"/>
      <c r="AN327" s="58"/>
      <c r="AO327" s="62">
        <f t="shared" si="773"/>
        <v>2</v>
      </c>
      <c r="AP327" s="60"/>
      <c r="AQ327" s="58"/>
      <c r="AR327" s="62">
        <f t="shared" si="774"/>
        <v>2</v>
      </c>
      <c r="AS327" s="60"/>
      <c r="AT327" s="58"/>
      <c r="AU327" s="62">
        <f t="shared" si="763"/>
        <v>2</v>
      </c>
      <c r="AV327" s="83">
        <f t="shared" ref="AV327" si="798">SUM(L327+O327+R327+U327+X327+AA327+AD327+AG327+AJ327+AM327+AP327+AS327)</f>
        <v>0</v>
      </c>
      <c r="AW327" s="83">
        <f t="shared" si="709"/>
        <v>0</v>
      </c>
      <c r="AX327" s="64">
        <f t="shared" si="765"/>
        <v>0</v>
      </c>
      <c r="AY327" s="65" t="e">
        <f t="shared" si="766"/>
        <v>#DIV/0!</v>
      </c>
      <c r="AZ327" s="66">
        <f t="shared" si="767"/>
        <v>0</v>
      </c>
      <c r="BA327" s="67">
        <f>MAX(0, Table176252626[[#This Row],[Column6]])</f>
        <v>2</v>
      </c>
      <c r="BB327" s="68">
        <v>1</v>
      </c>
      <c r="BC327" s="84">
        <f t="shared" si="777"/>
        <v>2</v>
      </c>
      <c r="BD327" s="83">
        <f t="shared" si="775"/>
        <v>1</v>
      </c>
      <c r="BE327" s="85">
        <v>2</v>
      </c>
      <c r="BF327" s="86">
        <v>43664.481817129628</v>
      </c>
      <c r="BG327" s="72">
        <f t="shared" si="650"/>
        <v>46265</v>
      </c>
      <c r="BH327" s="87">
        <f t="shared" si="768"/>
        <v>2600.5181828703717</v>
      </c>
      <c r="BI327" s="80" t="str">
        <f t="shared" si="776"/>
        <v>Dead Stock</v>
      </c>
      <c r="BJ327" s="238">
        <v>16040</v>
      </c>
    </row>
    <row r="328" spans="1:293" ht="13">
      <c r="A328" s="90"/>
      <c r="B328" s="91"/>
      <c r="C328" s="51">
        <v>325</v>
      </c>
      <c r="D328" s="79" t="s">
        <v>1521</v>
      </c>
      <c r="E328" s="79">
        <v>20</v>
      </c>
      <c r="F328" s="80" t="s">
        <v>1927</v>
      </c>
      <c r="G328" s="81" t="s">
        <v>1928</v>
      </c>
      <c r="H328" s="81" t="s">
        <v>294</v>
      </c>
      <c r="I328" s="80" t="s">
        <v>458</v>
      </c>
      <c r="J328" s="93">
        <f>AU328</f>
        <v>1</v>
      </c>
      <c r="K328" s="80">
        <v>0</v>
      </c>
      <c r="L328" s="58">
        <v>1</v>
      </c>
      <c r="M328" s="58"/>
      <c r="N328" s="62">
        <f>SUM(K328+L328-M328)</f>
        <v>1</v>
      </c>
      <c r="O328" s="60"/>
      <c r="P328" s="58"/>
      <c r="Q328" s="62">
        <f>SUM(N328+O328-P328)</f>
        <v>1</v>
      </c>
      <c r="R328" s="60"/>
      <c r="S328" s="58"/>
      <c r="T328" s="94">
        <f>SUM(Q328+R328-S328)</f>
        <v>1</v>
      </c>
      <c r="U328" s="60"/>
      <c r="V328" s="58"/>
      <c r="W328" s="62">
        <f>SUM(T328+U328-V328)</f>
        <v>1</v>
      </c>
      <c r="X328" s="60"/>
      <c r="Y328" s="58"/>
      <c r="Z328" s="94">
        <f>SUM(W328+X328-Y328)</f>
        <v>1</v>
      </c>
      <c r="AA328" s="60"/>
      <c r="AB328" s="58"/>
      <c r="AC328" s="62">
        <f>SUM(Z328+AA328-AB328)</f>
        <v>1</v>
      </c>
      <c r="AD328" s="57"/>
      <c r="AE328" s="58"/>
      <c r="AF328" s="165">
        <f>SUM(AC328+AD328-AE328)</f>
        <v>1</v>
      </c>
      <c r="AG328" s="60"/>
      <c r="AH328" s="58"/>
      <c r="AI328" s="62">
        <f>SUM(AF328+AG328-AH328)</f>
        <v>1</v>
      </c>
      <c r="AJ328" s="60"/>
      <c r="AK328" s="58"/>
      <c r="AL328" s="62">
        <f>SUM(AI328+AJ328-AK328)</f>
        <v>1</v>
      </c>
      <c r="AM328" s="60"/>
      <c r="AN328" s="58"/>
      <c r="AO328" s="62">
        <f>SUM(AL328+AM328-AN328)</f>
        <v>1</v>
      </c>
      <c r="AP328" s="60"/>
      <c r="AQ328" s="58"/>
      <c r="AR328" s="62">
        <f>SUM(AO328+AP328-AQ328)</f>
        <v>1</v>
      </c>
      <c r="AS328" s="60"/>
      <c r="AT328" s="58"/>
      <c r="AU328" s="62">
        <f>SUM(AR328+AS328-AT328)</f>
        <v>1</v>
      </c>
      <c r="AV328" s="96">
        <f>SUM(L328+O328+R328+U328+X328+AA328+AD328+AG328+AJ328+AM328+AP328+AS328)</f>
        <v>1</v>
      </c>
      <c r="AW328" s="83">
        <f t="shared" si="709"/>
        <v>0</v>
      </c>
      <c r="AX328" s="98">
        <f>SUM(M328,P328,S328,V328,Y328,AB328,AE328,AH328,AK328,AN328,AQ328,AT328)</f>
        <v>0</v>
      </c>
      <c r="AY328" s="99" t="e">
        <f>AVERAGE(M328,P328,S328,V328,Y328,AB328,AE328,AH328,AK328,AN328,AQ328,AT328)</f>
        <v>#DIV/0!</v>
      </c>
      <c r="AZ328" s="100">
        <f>COUNT(M328,P328,S328,V328,Y328,AB328,AE328,AH328,AK328,AN328,AQ328,AT328)</f>
        <v>0</v>
      </c>
      <c r="BA328" s="101">
        <v>1</v>
      </c>
      <c r="BB328" s="102">
        <v>0</v>
      </c>
      <c r="BC328" s="84">
        <f t="shared" si="777"/>
        <v>1</v>
      </c>
      <c r="BD328" s="83">
        <f t="shared" si="775"/>
        <v>1</v>
      </c>
      <c r="BE328" s="85">
        <v>2</v>
      </c>
      <c r="BF328" s="86">
        <v>46037</v>
      </c>
      <c r="BG328" s="72">
        <f t="shared" si="650"/>
        <v>46265</v>
      </c>
      <c r="BH328" s="109">
        <f>BG328-BF328</f>
        <v>228</v>
      </c>
      <c r="BI328" s="80" t="str">
        <f t="shared" si="776"/>
        <v/>
      </c>
      <c r="BJ328" s="238">
        <v>48000</v>
      </c>
    </row>
    <row r="329" spans="1:293" s="48" customFormat="1" ht="13">
      <c r="A329" s="90"/>
      <c r="B329" s="91"/>
      <c r="C329" s="77">
        <v>326</v>
      </c>
      <c r="D329" s="79" t="s">
        <v>1521</v>
      </c>
      <c r="E329" s="79">
        <v>21</v>
      </c>
      <c r="F329" s="54" t="s">
        <v>795</v>
      </c>
      <c r="G329" s="55" t="s">
        <v>796</v>
      </c>
      <c r="H329" s="81" t="s">
        <v>294</v>
      </c>
      <c r="I329" s="80" t="s">
        <v>458</v>
      </c>
      <c r="J329" s="82">
        <f>AU329</f>
        <v>1</v>
      </c>
      <c r="K329" s="80">
        <v>1</v>
      </c>
      <c r="L329" s="57"/>
      <c r="M329" s="58"/>
      <c r="N329" s="59">
        <f>SUM(K329+L329-M329)</f>
        <v>1</v>
      </c>
      <c r="O329" s="60"/>
      <c r="P329" s="58"/>
      <c r="Q329" s="59">
        <f>SUM(N329+O329-P329)</f>
        <v>1</v>
      </c>
      <c r="R329" s="60"/>
      <c r="S329" s="58"/>
      <c r="T329" s="61">
        <f>SUM(Q329+R329-S329)</f>
        <v>1</v>
      </c>
      <c r="U329" s="60"/>
      <c r="V329" s="58"/>
      <c r="W329" s="59">
        <f>SUM(T329+U329-V329)</f>
        <v>1</v>
      </c>
      <c r="X329" s="60"/>
      <c r="Y329" s="58"/>
      <c r="Z329" s="61">
        <f>SUM(W329+X329-Y329)</f>
        <v>1</v>
      </c>
      <c r="AA329" s="60"/>
      <c r="AB329" s="58"/>
      <c r="AC329" s="59">
        <f>SUM(Z329+AA329-AB329)</f>
        <v>1</v>
      </c>
      <c r="AD329" s="57"/>
      <c r="AE329" s="58"/>
      <c r="AF329" s="243">
        <f>SUM(AC329+AD329-AE329)</f>
        <v>1</v>
      </c>
      <c r="AG329" s="60"/>
      <c r="AH329" s="58"/>
      <c r="AI329" s="62">
        <f>SUM(AF329+AG329-AH329)</f>
        <v>1</v>
      </c>
      <c r="AJ329" s="60"/>
      <c r="AK329" s="58"/>
      <c r="AL329" s="62">
        <f>SUM(AI329+AJ329-AK329)</f>
        <v>1</v>
      </c>
      <c r="AM329" s="60"/>
      <c r="AN329" s="58"/>
      <c r="AO329" s="62">
        <f t="shared" si="773"/>
        <v>1</v>
      </c>
      <c r="AP329" s="60"/>
      <c r="AQ329" s="58"/>
      <c r="AR329" s="62">
        <f t="shared" si="774"/>
        <v>1</v>
      </c>
      <c r="AS329" s="60"/>
      <c r="AT329" s="58"/>
      <c r="AU329" s="62">
        <f t="shared" si="763"/>
        <v>1</v>
      </c>
      <c r="AV329" s="83">
        <f t="shared" ref="AV329:AV331" si="799">SUM(L329+O329+R329+U329+X329+AA329+AD329+AG329+AJ329+AM329+AP329+AS329)</f>
        <v>0</v>
      </c>
      <c r="AW329" s="83">
        <f t="shared" si="709"/>
        <v>0</v>
      </c>
      <c r="AX329" s="64">
        <f t="shared" si="765"/>
        <v>0</v>
      </c>
      <c r="AY329" s="65" t="e">
        <f t="shared" si="766"/>
        <v>#DIV/0!</v>
      </c>
      <c r="AZ329" s="66">
        <f t="shared" si="767"/>
        <v>0</v>
      </c>
      <c r="BA329" s="67">
        <f>MAX(0, Table176252626[[#This Row],[Column6]])</f>
        <v>1</v>
      </c>
      <c r="BB329" s="68">
        <v>0</v>
      </c>
      <c r="BC329" s="84">
        <f t="shared" si="777"/>
        <v>1</v>
      </c>
      <c r="BD329" s="83">
        <f t="shared" si="775"/>
        <v>1</v>
      </c>
      <c r="BE329" s="85">
        <v>2</v>
      </c>
      <c r="BF329" s="86">
        <v>43837.605150462965</v>
      </c>
      <c r="BG329" s="72">
        <f t="shared" si="650"/>
        <v>46265</v>
      </c>
      <c r="BH329" s="87">
        <f t="shared" si="768"/>
        <v>2427.394849537035</v>
      </c>
      <c r="BI329" s="80" t="str">
        <f t="shared" si="776"/>
        <v>Dead Stock</v>
      </c>
      <c r="BJ329" s="238">
        <v>13000</v>
      </c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  <c r="FS329" s="30"/>
      <c r="FT329" s="30"/>
      <c r="FU329" s="30"/>
      <c r="FV329" s="30"/>
      <c r="FW329" s="30"/>
      <c r="FX329" s="30"/>
      <c r="FY329" s="30"/>
      <c r="FZ329" s="30"/>
      <c r="GA329" s="30"/>
      <c r="GB329" s="30"/>
      <c r="GC329" s="30"/>
      <c r="GD329" s="30"/>
      <c r="GE329" s="30"/>
      <c r="GF329" s="30"/>
      <c r="GG329" s="30"/>
      <c r="GH329" s="30"/>
      <c r="GI329" s="30"/>
      <c r="GJ329" s="30"/>
      <c r="GK329" s="30"/>
      <c r="GL329" s="30"/>
      <c r="GM329" s="30"/>
      <c r="GN329" s="30"/>
      <c r="GO329" s="30"/>
      <c r="GP329" s="30"/>
      <c r="GQ329" s="30"/>
      <c r="GR329" s="30"/>
      <c r="GS329" s="30"/>
      <c r="GT329" s="30"/>
      <c r="GU329" s="30"/>
      <c r="GV329" s="30"/>
      <c r="GW329" s="30"/>
      <c r="GX329" s="30"/>
      <c r="GY329" s="30"/>
      <c r="GZ329" s="30"/>
      <c r="HA329" s="30"/>
      <c r="HB329" s="30"/>
      <c r="HC329" s="30"/>
      <c r="HD329" s="30"/>
      <c r="HE329" s="30"/>
      <c r="HF329" s="30"/>
      <c r="HG329" s="30"/>
      <c r="HH329" s="30"/>
      <c r="HI329" s="30"/>
      <c r="HJ329" s="30"/>
      <c r="HK329" s="30"/>
      <c r="HL329" s="30"/>
      <c r="HM329" s="30"/>
      <c r="HN329" s="30"/>
      <c r="HO329" s="30"/>
      <c r="HP329" s="30"/>
      <c r="HQ329" s="30"/>
      <c r="HR329" s="30"/>
      <c r="HS329" s="30"/>
      <c r="HT329" s="30"/>
      <c r="HU329" s="30"/>
      <c r="HV329" s="30"/>
      <c r="HW329" s="30"/>
      <c r="HX329" s="30"/>
      <c r="HY329" s="30"/>
      <c r="HZ329" s="30"/>
      <c r="IA329" s="30"/>
      <c r="IB329" s="30"/>
      <c r="IC329" s="30"/>
      <c r="ID329" s="30"/>
      <c r="IE329" s="30"/>
      <c r="IF329" s="30"/>
      <c r="IG329" s="30"/>
      <c r="IH329" s="30"/>
      <c r="II329" s="30"/>
      <c r="IJ329" s="30"/>
      <c r="IK329" s="30"/>
      <c r="IL329" s="30"/>
      <c r="IM329" s="30"/>
      <c r="IN329" s="30"/>
      <c r="IO329" s="30"/>
      <c r="IP329" s="30"/>
      <c r="IQ329" s="30"/>
      <c r="IR329" s="30"/>
      <c r="IS329" s="30"/>
      <c r="IT329" s="30"/>
      <c r="IU329" s="30"/>
      <c r="IV329" s="30"/>
      <c r="IW329" s="30"/>
      <c r="IX329" s="30"/>
      <c r="IY329" s="30"/>
      <c r="IZ329" s="30"/>
      <c r="JA329" s="30"/>
      <c r="JB329" s="30"/>
      <c r="JC329" s="30"/>
      <c r="JD329" s="30"/>
      <c r="JE329" s="30"/>
      <c r="JF329" s="30"/>
      <c r="JG329" s="30"/>
      <c r="JH329" s="30"/>
      <c r="JI329" s="30"/>
      <c r="JJ329" s="30"/>
      <c r="JK329" s="30"/>
      <c r="JL329" s="30"/>
      <c r="JM329" s="30"/>
      <c r="JN329" s="30"/>
      <c r="JO329" s="30"/>
      <c r="JP329" s="30"/>
      <c r="JQ329" s="30"/>
      <c r="JR329" s="30"/>
      <c r="JS329" s="30"/>
      <c r="JT329" s="30"/>
      <c r="JU329" s="30"/>
      <c r="JV329" s="30"/>
      <c r="JW329" s="30"/>
      <c r="JX329" s="30"/>
      <c r="JY329" s="30"/>
      <c r="JZ329" s="30"/>
      <c r="KA329" s="30"/>
      <c r="KB329" s="30"/>
      <c r="KC329" s="30"/>
      <c r="KD329" s="30"/>
      <c r="KE329" s="30"/>
      <c r="KF329" s="30"/>
      <c r="KG329" s="30"/>
    </row>
    <row r="330" spans="1:293" ht="13">
      <c r="A330" s="49"/>
      <c r="B330" s="50"/>
      <c r="C330" s="77">
        <v>327</v>
      </c>
      <c r="D330" s="79" t="s">
        <v>1521</v>
      </c>
      <c r="E330" s="79">
        <v>22</v>
      </c>
      <c r="F330" s="105" t="s">
        <v>372</v>
      </c>
      <c r="G330" s="81" t="s">
        <v>373</v>
      </c>
      <c r="H330" s="81" t="s">
        <v>294</v>
      </c>
      <c r="I330" s="80" t="s">
        <v>458</v>
      </c>
      <c r="J330" s="82">
        <f>AU330</f>
        <v>1</v>
      </c>
      <c r="K330" s="80">
        <v>1</v>
      </c>
      <c r="L330" s="57"/>
      <c r="M330" s="58"/>
      <c r="N330" s="59">
        <f>SUM(K330+L330-M330)</f>
        <v>1</v>
      </c>
      <c r="O330" s="60"/>
      <c r="P330" s="58"/>
      <c r="Q330" s="59">
        <f>SUM(N330+O330-P330)</f>
        <v>1</v>
      </c>
      <c r="R330" s="60"/>
      <c r="S330" s="58"/>
      <c r="T330" s="61">
        <f>SUM(Q330+R330-S330)</f>
        <v>1</v>
      </c>
      <c r="U330" s="60"/>
      <c r="V330" s="58"/>
      <c r="W330" s="59">
        <f>SUM(T330+U330-V330)</f>
        <v>1</v>
      </c>
      <c r="X330" s="60"/>
      <c r="Y330" s="58"/>
      <c r="Z330" s="61">
        <f>SUM(W330+X330-Y330)</f>
        <v>1</v>
      </c>
      <c r="AA330" s="60"/>
      <c r="AB330" s="58"/>
      <c r="AC330" s="59">
        <f>SUM(Z330+AA330-AB330)</f>
        <v>1</v>
      </c>
      <c r="AD330" s="57"/>
      <c r="AE330" s="58"/>
      <c r="AF330" s="243">
        <f>SUM(AC330+AD330-AE330)</f>
        <v>1</v>
      </c>
      <c r="AG330" s="60"/>
      <c r="AH330" s="58"/>
      <c r="AI330" s="62">
        <f>SUM(AF330+AG330-AH330)</f>
        <v>1</v>
      </c>
      <c r="AJ330" s="60"/>
      <c r="AK330" s="58"/>
      <c r="AL330" s="62">
        <f>SUM(AI330+AJ330-AK330)</f>
        <v>1</v>
      </c>
      <c r="AM330" s="60"/>
      <c r="AN330" s="58"/>
      <c r="AO330" s="62">
        <f t="shared" ref="AO330" si="800">SUM(AL330+AM330-AN330)</f>
        <v>1</v>
      </c>
      <c r="AP330" s="60"/>
      <c r="AQ330" s="58"/>
      <c r="AR330" s="62">
        <f t="shared" ref="AR330" si="801">SUM(AO330+AP330-AQ330)</f>
        <v>1</v>
      </c>
      <c r="AS330" s="60"/>
      <c r="AT330" s="58"/>
      <c r="AU330" s="62">
        <f t="shared" si="763"/>
        <v>1</v>
      </c>
      <c r="AV330" s="83">
        <f t="shared" si="799"/>
        <v>0</v>
      </c>
      <c r="AW330" s="83">
        <f t="shared" si="709"/>
        <v>0</v>
      </c>
      <c r="AX330" s="64">
        <f t="shared" si="765"/>
        <v>0</v>
      </c>
      <c r="AY330" s="65" t="e">
        <f t="shared" si="766"/>
        <v>#DIV/0!</v>
      </c>
      <c r="AZ330" s="66">
        <f t="shared" si="767"/>
        <v>0</v>
      </c>
      <c r="BA330" s="67">
        <f>MAX(0, Table176252626[[#This Row],[Column6]])</f>
        <v>1</v>
      </c>
      <c r="BB330" s="68">
        <v>0</v>
      </c>
      <c r="BC330" s="84">
        <f t="shared" si="777"/>
        <v>1</v>
      </c>
      <c r="BD330" s="83">
        <f t="shared" si="775"/>
        <v>1</v>
      </c>
      <c r="BE330" s="85">
        <v>2</v>
      </c>
      <c r="BF330" s="86">
        <v>43046.596064814818</v>
      </c>
      <c r="BG330" s="72">
        <f t="shared" ref="BG330:BG393" si="802">BG329</f>
        <v>46265</v>
      </c>
      <c r="BH330" s="87">
        <f t="shared" si="768"/>
        <v>3218.4039351851825</v>
      </c>
      <c r="BI330" s="80" t="str">
        <f t="shared" si="776"/>
        <v>Dead Stock</v>
      </c>
      <c r="BJ330" s="238">
        <v>10800</v>
      </c>
    </row>
    <row r="331" spans="1:293" ht="13">
      <c r="A331" s="49"/>
      <c r="B331" s="76"/>
      <c r="C331" s="51">
        <v>328</v>
      </c>
      <c r="D331" s="79" t="s">
        <v>1521</v>
      </c>
      <c r="E331" s="79">
        <v>23</v>
      </c>
      <c r="F331" s="105" t="s">
        <v>511</v>
      </c>
      <c r="G331" s="81" t="s">
        <v>510</v>
      </c>
      <c r="H331" s="81" t="s">
        <v>294</v>
      </c>
      <c r="I331" s="80" t="s">
        <v>458</v>
      </c>
      <c r="J331" s="82">
        <f t="shared" ref="J331" si="803">AU331</f>
        <v>1</v>
      </c>
      <c r="K331" s="80">
        <v>1</v>
      </c>
      <c r="L331" s="57"/>
      <c r="M331" s="58"/>
      <c r="N331" s="59">
        <f t="shared" ref="N331" si="804">SUM(K331+L331-M331)</f>
        <v>1</v>
      </c>
      <c r="O331" s="60"/>
      <c r="P331" s="58"/>
      <c r="Q331" s="59">
        <f t="shared" ref="Q331" si="805">SUM(N331+O331-P331)</f>
        <v>1</v>
      </c>
      <c r="R331" s="60"/>
      <c r="S331" s="58"/>
      <c r="T331" s="61">
        <f t="shared" ref="T331" si="806">SUM(Q331+R331-S331)</f>
        <v>1</v>
      </c>
      <c r="U331" s="60"/>
      <c r="V331" s="58"/>
      <c r="W331" s="59">
        <f t="shared" ref="W331" si="807">SUM(T331+U331-V331)</f>
        <v>1</v>
      </c>
      <c r="X331" s="60"/>
      <c r="Y331" s="58"/>
      <c r="Z331" s="61">
        <f t="shared" ref="Z331" si="808">SUM(W331+X331-Y331)</f>
        <v>1</v>
      </c>
      <c r="AA331" s="60"/>
      <c r="AB331" s="58"/>
      <c r="AC331" s="59">
        <f t="shared" ref="AC331" si="809">SUM(Z331+AA331-AB331)</f>
        <v>1</v>
      </c>
      <c r="AD331" s="57"/>
      <c r="AE331" s="58"/>
      <c r="AF331" s="243">
        <f t="shared" ref="AF331" si="810">SUM(AC331+AD331-AE331)</f>
        <v>1</v>
      </c>
      <c r="AG331" s="60"/>
      <c r="AH331" s="58"/>
      <c r="AI331" s="62">
        <f t="shared" ref="AI331" si="811">SUM(AF331+AG331-AH331)</f>
        <v>1</v>
      </c>
      <c r="AJ331" s="60"/>
      <c r="AK331" s="58"/>
      <c r="AL331" s="62">
        <f t="shared" ref="AL331" si="812">SUM(AI331+AJ331-AK331)</f>
        <v>1</v>
      </c>
      <c r="AM331" s="60"/>
      <c r="AN331" s="58"/>
      <c r="AO331" s="62">
        <f t="shared" ref="AO331" si="813">SUM(AL331+AM331-AN331)</f>
        <v>1</v>
      </c>
      <c r="AP331" s="60"/>
      <c r="AQ331" s="58"/>
      <c r="AR331" s="62">
        <f t="shared" ref="AR331" si="814">SUM(AO331+AP331-AQ331)</f>
        <v>1</v>
      </c>
      <c r="AS331" s="60"/>
      <c r="AT331" s="58"/>
      <c r="AU331" s="62">
        <f t="shared" si="763"/>
        <v>1</v>
      </c>
      <c r="AV331" s="83">
        <f t="shared" si="799"/>
        <v>0</v>
      </c>
      <c r="AW331" s="83">
        <f t="shared" si="709"/>
        <v>0</v>
      </c>
      <c r="AX331" s="64">
        <f t="shared" si="765"/>
        <v>0</v>
      </c>
      <c r="AY331" s="65" t="e">
        <f t="shared" si="766"/>
        <v>#DIV/0!</v>
      </c>
      <c r="AZ331" s="66">
        <f t="shared" si="767"/>
        <v>0</v>
      </c>
      <c r="BA331" s="67">
        <f>MAX(0, Table176252626[[#This Row],[Column6]])</f>
        <v>1</v>
      </c>
      <c r="BB331" s="68">
        <v>0</v>
      </c>
      <c r="BC331" s="84">
        <f t="shared" si="777"/>
        <v>1</v>
      </c>
      <c r="BD331" s="83">
        <f t="shared" si="775"/>
        <v>1</v>
      </c>
      <c r="BE331" s="85">
        <v>2</v>
      </c>
      <c r="BF331" s="86">
        <v>43283.567361111112</v>
      </c>
      <c r="BG331" s="72">
        <f t="shared" si="802"/>
        <v>46265</v>
      </c>
      <c r="BH331" s="87">
        <f t="shared" si="768"/>
        <v>2981.4326388888876</v>
      </c>
      <c r="BI331" s="80" t="str">
        <f t="shared" si="776"/>
        <v>Dead Stock</v>
      </c>
      <c r="BJ331" s="238">
        <v>20000</v>
      </c>
    </row>
    <row r="332" spans="1:293" ht="13">
      <c r="A332" s="49"/>
      <c r="B332" s="76"/>
      <c r="C332" s="51">
        <v>329</v>
      </c>
      <c r="D332" s="79" t="s">
        <v>1521</v>
      </c>
      <c r="E332" s="79">
        <v>24</v>
      </c>
      <c r="F332" s="105" t="s">
        <v>896</v>
      </c>
      <c r="G332" s="116" t="s">
        <v>898</v>
      </c>
      <c r="H332" s="89" t="s">
        <v>294</v>
      </c>
      <c r="I332" s="80" t="s">
        <v>458</v>
      </c>
      <c r="J332" s="82">
        <f>AU332</f>
        <v>1</v>
      </c>
      <c r="K332" s="80">
        <v>1</v>
      </c>
      <c r="L332" s="57"/>
      <c r="M332" s="58"/>
      <c r="N332" s="59">
        <f>SUM(K332+L332-M332)</f>
        <v>1</v>
      </c>
      <c r="O332" s="60"/>
      <c r="P332" s="58"/>
      <c r="Q332" s="59">
        <f>SUM(N332+O332-P332)</f>
        <v>1</v>
      </c>
      <c r="R332" s="60"/>
      <c r="S332" s="58"/>
      <c r="T332" s="61">
        <f>SUM(Q332+R332-S332)</f>
        <v>1</v>
      </c>
      <c r="U332" s="60"/>
      <c r="V332" s="58"/>
      <c r="W332" s="59">
        <f>SUM(T332+U332-V332)</f>
        <v>1</v>
      </c>
      <c r="X332" s="60"/>
      <c r="Y332" s="58"/>
      <c r="Z332" s="61">
        <f>SUM(W332+X332-Y332)</f>
        <v>1</v>
      </c>
      <c r="AA332" s="60"/>
      <c r="AB332" s="58"/>
      <c r="AC332" s="59">
        <f>SUM(Z332+AA332-AB332)</f>
        <v>1</v>
      </c>
      <c r="AD332" s="57"/>
      <c r="AE332" s="58"/>
      <c r="AF332" s="243">
        <f>SUM(AC332+AD332-AE332)</f>
        <v>1</v>
      </c>
      <c r="AG332" s="60"/>
      <c r="AH332" s="58"/>
      <c r="AI332" s="62">
        <f>SUM(AF332+AG332-AH332)</f>
        <v>1</v>
      </c>
      <c r="AJ332" s="60"/>
      <c r="AK332" s="58"/>
      <c r="AL332" s="62">
        <f>SUM(AI332+AJ332-AK332)</f>
        <v>1</v>
      </c>
      <c r="AM332" s="60"/>
      <c r="AN332" s="58"/>
      <c r="AO332" s="62">
        <f>SUM(AL332+AM332-AN332)</f>
        <v>1</v>
      </c>
      <c r="AP332" s="60"/>
      <c r="AQ332" s="58"/>
      <c r="AR332" s="62">
        <f>SUM(AO332+AP332-AQ332)</f>
        <v>1</v>
      </c>
      <c r="AS332" s="60"/>
      <c r="AT332" s="58"/>
      <c r="AU332" s="62">
        <f t="shared" si="763"/>
        <v>1</v>
      </c>
      <c r="AV332" s="83">
        <f t="shared" ref="AV332" si="815">SUM(L332+O332+R332+U332+X332+AA332+AD332+AG332+AJ332+AM332+AP332+AS332)</f>
        <v>0</v>
      </c>
      <c r="AW332" s="83">
        <f t="shared" si="709"/>
        <v>0</v>
      </c>
      <c r="AX332" s="64">
        <f t="shared" si="765"/>
        <v>0</v>
      </c>
      <c r="AY332" s="65" t="e">
        <f t="shared" ref="AY332" si="816">AVERAGE(M332,P332,S332,V332,Y332,AB332,AE332,AH332,AK332,AN332,AQ332,AT332)</f>
        <v>#DIV/0!</v>
      </c>
      <c r="AZ332" s="66">
        <f t="shared" ref="AZ332" si="817">COUNT(M332,P332,S332,V332,Y332,AB332,AE332,AH332,AK332,AN332,AQ332,AT332)</f>
        <v>0</v>
      </c>
      <c r="BA332" s="67">
        <f>MAX(0, Table176252626[[#This Row],[Column6]])</f>
        <v>1</v>
      </c>
      <c r="BB332" s="68">
        <v>0</v>
      </c>
      <c r="BC332" s="84">
        <f t="shared" si="777"/>
        <v>1</v>
      </c>
      <c r="BD332" s="83">
        <f t="shared" si="775"/>
        <v>1</v>
      </c>
      <c r="BE332" s="85">
        <v>2</v>
      </c>
      <c r="BF332" s="86">
        <v>44273.60665509259</v>
      </c>
      <c r="BG332" s="72">
        <f t="shared" si="802"/>
        <v>46265</v>
      </c>
      <c r="BH332" s="107">
        <f t="shared" ref="BH332" si="818">BG332-BF332</f>
        <v>1991.3933449074102</v>
      </c>
      <c r="BI332" s="80" t="str">
        <f t="shared" si="776"/>
        <v>Dead Stock</v>
      </c>
      <c r="BJ332" s="238">
        <v>31000</v>
      </c>
    </row>
    <row r="333" spans="1:293" ht="13">
      <c r="A333" s="49"/>
      <c r="B333" s="50"/>
      <c r="C333" s="51">
        <v>330</v>
      </c>
      <c r="D333" s="79" t="s">
        <v>1521</v>
      </c>
      <c r="E333" s="79">
        <v>25</v>
      </c>
      <c r="F333" s="105" t="s">
        <v>895</v>
      </c>
      <c r="G333" s="116" t="s">
        <v>894</v>
      </c>
      <c r="H333" s="89" t="s">
        <v>294</v>
      </c>
      <c r="I333" s="80" t="s">
        <v>458</v>
      </c>
      <c r="J333" s="82">
        <f>AU333</f>
        <v>1</v>
      </c>
      <c r="K333" s="80">
        <v>1</v>
      </c>
      <c r="L333" s="57"/>
      <c r="M333" s="58"/>
      <c r="N333" s="59">
        <f>SUM(K333+L333-M333)</f>
        <v>1</v>
      </c>
      <c r="O333" s="60"/>
      <c r="P333" s="58"/>
      <c r="Q333" s="59">
        <f>SUM(N333+O333-P333)</f>
        <v>1</v>
      </c>
      <c r="R333" s="60"/>
      <c r="S333" s="58"/>
      <c r="T333" s="61">
        <f>SUM(Q333+R333-S333)</f>
        <v>1</v>
      </c>
      <c r="U333" s="60"/>
      <c r="V333" s="58"/>
      <c r="W333" s="59">
        <f>SUM(T333+U333-V333)</f>
        <v>1</v>
      </c>
      <c r="X333" s="60"/>
      <c r="Y333" s="58"/>
      <c r="Z333" s="61">
        <f>SUM(W333+X333-Y333)</f>
        <v>1</v>
      </c>
      <c r="AA333" s="60"/>
      <c r="AB333" s="58"/>
      <c r="AC333" s="59">
        <f>SUM(Z333+AA333-AB333)</f>
        <v>1</v>
      </c>
      <c r="AD333" s="57"/>
      <c r="AE333" s="58"/>
      <c r="AF333" s="243">
        <f>SUM(AC333+AD333-AE333)</f>
        <v>1</v>
      </c>
      <c r="AG333" s="60"/>
      <c r="AH333" s="58"/>
      <c r="AI333" s="62">
        <f>SUM(AF333+AG333-AH333)</f>
        <v>1</v>
      </c>
      <c r="AJ333" s="60"/>
      <c r="AK333" s="58"/>
      <c r="AL333" s="62">
        <f>SUM(AI333+AJ333-AK333)</f>
        <v>1</v>
      </c>
      <c r="AM333" s="60"/>
      <c r="AN333" s="58"/>
      <c r="AO333" s="62">
        <f>SUM(AL333+AM333-AN333)</f>
        <v>1</v>
      </c>
      <c r="AP333" s="60"/>
      <c r="AQ333" s="58"/>
      <c r="AR333" s="62">
        <f>SUM(AO333+AP333-AQ333)</f>
        <v>1</v>
      </c>
      <c r="AS333" s="60"/>
      <c r="AT333" s="58"/>
      <c r="AU333" s="62">
        <f t="shared" si="763"/>
        <v>1</v>
      </c>
      <c r="AV333" s="83">
        <f t="shared" ref="AV333:AV335" si="819">SUM(L333+O333+R333+U333+X333+AA333+AD333+AG333+AJ333+AM333+AP333+AS333)</f>
        <v>0</v>
      </c>
      <c r="AW333" s="83">
        <f t="shared" si="709"/>
        <v>0</v>
      </c>
      <c r="AX333" s="64">
        <f t="shared" si="765"/>
        <v>0</v>
      </c>
      <c r="AY333" s="65" t="e">
        <f t="shared" ref="AY333:AY344" si="820">AVERAGE(M333,P333,S333,V333,Y333,AB333,AE333,AH333,AK333,AN333,AQ333,AT333)</f>
        <v>#DIV/0!</v>
      </c>
      <c r="AZ333" s="66">
        <f t="shared" ref="AZ333:AZ344" si="821">COUNT(M333,P333,S333,V333,Y333,AB333,AE333,AH333,AK333,AN333,AQ333,AT333)</f>
        <v>0</v>
      </c>
      <c r="BA333" s="67">
        <f>MAX(0, Table176252626[[#This Row],[Column6]])</f>
        <v>1</v>
      </c>
      <c r="BB333" s="68">
        <v>0</v>
      </c>
      <c r="BC333" s="84">
        <f t="shared" si="777"/>
        <v>1</v>
      </c>
      <c r="BD333" s="83">
        <f t="shared" si="775"/>
        <v>1</v>
      </c>
      <c r="BE333" s="85">
        <v>2</v>
      </c>
      <c r="BF333" s="86">
        <v>44273.604189814818</v>
      </c>
      <c r="BG333" s="72">
        <f t="shared" si="802"/>
        <v>46265</v>
      </c>
      <c r="BH333" s="107">
        <f t="shared" ref="BH333:BH343" si="822">BG333-BF333</f>
        <v>1991.3958101851822</v>
      </c>
      <c r="BI333" s="80" t="str">
        <f t="shared" si="776"/>
        <v>Dead Stock</v>
      </c>
      <c r="BJ333" s="238">
        <v>15000</v>
      </c>
    </row>
    <row r="334" spans="1:293" s="48" customFormat="1" ht="13">
      <c r="A334" s="49"/>
      <c r="B334" s="50"/>
      <c r="C334" s="51">
        <v>331</v>
      </c>
      <c r="D334" s="78" t="s">
        <v>1518</v>
      </c>
      <c r="E334" s="78">
        <v>1</v>
      </c>
      <c r="F334" s="80" t="s">
        <v>220</v>
      </c>
      <c r="G334" s="81" t="s">
        <v>221</v>
      </c>
      <c r="H334" s="81" t="s">
        <v>464</v>
      </c>
      <c r="I334" s="80" t="s">
        <v>458</v>
      </c>
      <c r="J334" s="82">
        <f>AU334</f>
        <v>2</v>
      </c>
      <c r="K334" s="80">
        <v>2</v>
      </c>
      <c r="L334" s="57"/>
      <c r="M334" s="58"/>
      <c r="N334" s="59">
        <f>SUM(K334+L334-M334)</f>
        <v>2</v>
      </c>
      <c r="O334" s="60"/>
      <c r="P334" s="58"/>
      <c r="Q334" s="59">
        <f>SUM(N334+O334-P334)</f>
        <v>2</v>
      </c>
      <c r="R334" s="60"/>
      <c r="S334" s="58">
        <v>1</v>
      </c>
      <c r="T334" s="61">
        <f>SUM(Q334+R334-S334)</f>
        <v>1</v>
      </c>
      <c r="U334" s="60">
        <v>1</v>
      </c>
      <c r="V334" s="58"/>
      <c r="W334" s="59">
        <f>SUM(T334+U334-V334)</f>
        <v>2</v>
      </c>
      <c r="X334" s="60"/>
      <c r="Y334" s="58"/>
      <c r="Z334" s="61">
        <f>SUM(W334+X334-Y334)</f>
        <v>2</v>
      </c>
      <c r="AA334" s="60"/>
      <c r="AB334" s="58"/>
      <c r="AC334" s="59">
        <f>SUM(Z334+AA334-AB334)</f>
        <v>2</v>
      </c>
      <c r="AD334" s="57"/>
      <c r="AE334" s="58"/>
      <c r="AF334" s="243">
        <f>SUM(AC334+AD334-AE334)</f>
        <v>2</v>
      </c>
      <c r="AG334" s="60"/>
      <c r="AH334" s="58"/>
      <c r="AI334" s="62">
        <f>SUM(AF334+AG334-AH334)</f>
        <v>2</v>
      </c>
      <c r="AJ334" s="60"/>
      <c r="AK334" s="58"/>
      <c r="AL334" s="62">
        <f>SUM(AI334+AJ334-AK334)</f>
        <v>2</v>
      </c>
      <c r="AM334" s="60"/>
      <c r="AN334" s="58"/>
      <c r="AO334" s="62">
        <f>SUM(AL334+AM334-AN334)</f>
        <v>2</v>
      </c>
      <c r="AP334" s="60"/>
      <c r="AQ334" s="58"/>
      <c r="AR334" s="62">
        <f>SUM(AO334+AP334-AQ334)</f>
        <v>2</v>
      </c>
      <c r="AS334" s="60"/>
      <c r="AT334" s="58"/>
      <c r="AU334" s="62">
        <f>SUM(AR334+AS334-AT334)</f>
        <v>2</v>
      </c>
      <c r="AV334" s="83">
        <f t="shared" si="819"/>
        <v>1</v>
      </c>
      <c r="AW334" s="83">
        <f t="shared" si="709"/>
        <v>1</v>
      </c>
      <c r="AX334" s="64">
        <f>SUM(M334,P334,S334,V334,Y334,AB334,AE334,AH334,AK334,AN334,AQ334,AT334)</f>
        <v>1</v>
      </c>
      <c r="AY334" s="65">
        <f t="shared" si="820"/>
        <v>1</v>
      </c>
      <c r="AZ334" s="66">
        <f t="shared" si="821"/>
        <v>1</v>
      </c>
      <c r="BA334" s="67">
        <f>MAX(0, Table176252626[[#This Row],[Column6]])</f>
        <v>2</v>
      </c>
      <c r="BB334" s="68">
        <v>1</v>
      </c>
      <c r="BC334" s="84">
        <f t="shared" si="777"/>
        <v>2</v>
      </c>
      <c r="BD334" s="83">
        <f t="shared" si="775"/>
        <v>1</v>
      </c>
      <c r="BE334" s="85">
        <v>2</v>
      </c>
      <c r="BF334" s="86">
        <v>46114</v>
      </c>
      <c r="BG334" s="72">
        <f t="shared" si="802"/>
        <v>46265</v>
      </c>
      <c r="BH334" s="87">
        <f t="shared" si="822"/>
        <v>151</v>
      </c>
      <c r="BI334" s="80" t="str">
        <f t="shared" si="776"/>
        <v/>
      </c>
      <c r="BJ334" s="238">
        <v>35000</v>
      </c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  <c r="FS334" s="30"/>
      <c r="FT334" s="30"/>
      <c r="FU334" s="30"/>
      <c r="FV334" s="30"/>
      <c r="FW334" s="30"/>
      <c r="FX334" s="30"/>
      <c r="FY334" s="30"/>
      <c r="FZ334" s="30"/>
      <c r="GA334" s="30"/>
      <c r="GB334" s="30"/>
      <c r="GC334" s="30"/>
      <c r="GD334" s="30"/>
      <c r="GE334" s="30"/>
      <c r="GF334" s="30"/>
      <c r="GG334" s="30"/>
      <c r="GH334" s="30"/>
      <c r="GI334" s="30"/>
      <c r="GJ334" s="30"/>
      <c r="GK334" s="30"/>
      <c r="GL334" s="30"/>
      <c r="GM334" s="30"/>
      <c r="GN334" s="30"/>
      <c r="GO334" s="30"/>
      <c r="GP334" s="30"/>
      <c r="GQ334" s="30"/>
      <c r="GR334" s="30"/>
      <c r="GS334" s="30"/>
      <c r="GT334" s="30"/>
      <c r="GU334" s="30"/>
      <c r="GV334" s="30"/>
      <c r="GW334" s="30"/>
      <c r="GX334" s="30"/>
      <c r="GY334" s="30"/>
      <c r="GZ334" s="30"/>
      <c r="HA334" s="30"/>
      <c r="HB334" s="30"/>
      <c r="HC334" s="30"/>
      <c r="HD334" s="30"/>
      <c r="HE334" s="30"/>
      <c r="HF334" s="30"/>
      <c r="HG334" s="30"/>
      <c r="HH334" s="30"/>
      <c r="HI334" s="30"/>
      <c r="HJ334" s="30"/>
      <c r="HK334" s="30"/>
      <c r="HL334" s="30"/>
      <c r="HM334" s="30"/>
      <c r="HN334" s="30"/>
      <c r="HO334" s="30"/>
      <c r="HP334" s="30"/>
      <c r="HQ334" s="30"/>
      <c r="HR334" s="30"/>
      <c r="HS334" s="30"/>
      <c r="HT334" s="30"/>
      <c r="HU334" s="30"/>
      <c r="HV334" s="30"/>
      <c r="HW334" s="30"/>
      <c r="HX334" s="30"/>
      <c r="HY334" s="30"/>
      <c r="HZ334" s="30"/>
      <c r="IA334" s="30"/>
      <c r="IB334" s="30"/>
      <c r="IC334" s="30"/>
      <c r="ID334" s="30"/>
      <c r="IE334" s="30"/>
      <c r="IF334" s="30"/>
      <c r="IG334" s="30"/>
      <c r="IH334" s="30"/>
      <c r="II334" s="30"/>
      <c r="IJ334" s="30"/>
      <c r="IK334" s="30"/>
      <c r="IL334" s="30"/>
      <c r="IM334" s="30"/>
      <c r="IN334" s="30"/>
      <c r="IO334" s="30"/>
      <c r="IP334" s="30"/>
      <c r="IQ334" s="30"/>
      <c r="IR334" s="30"/>
      <c r="IS334" s="30"/>
      <c r="IT334" s="30"/>
      <c r="IU334" s="30"/>
      <c r="IV334" s="30"/>
      <c r="IW334" s="30"/>
      <c r="IX334" s="30"/>
      <c r="IY334" s="30"/>
      <c r="IZ334" s="30"/>
      <c r="JA334" s="30"/>
      <c r="JB334" s="30"/>
      <c r="JC334" s="30"/>
      <c r="JD334" s="30"/>
      <c r="JE334" s="30"/>
      <c r="JF334" s="30"/>
      <c r="JG334" s="30"/>
      <c r="JH334" s="30"/>
      <c r="JI334" s="30"/>
      <c r="JJ334" s="30"/>
      <c r="JK334" s="30"/>
      <c r="JL334" s="30"/>
      <c r="JM334" s="30"/>
      <c r="JN334" s="30"/>
      <c r="JO334" s="30"/>
      <c r="JP334" s="30"/>
      <c r="JQ334" s="30"/>
      <c r="JR334" s="30"/>
      <c r="JS334" s="30"/>
      <c r="JT334" s="30"/>
      <c r="JU334" s="30"/>
      <c r="JV334" s="30"/>
      <c r="JW334" s="30"/>
      <c r="JX334" s="30"/>
      <c r="JY334" s="30"/>
      <c r="JZ334" s="30"/>
      <c r="KA334" s="30"/>
      <c r="KB334" s="30"/>
      <c r="KC334" s="30"/>
      <c r="KD334" s="30"/>
      <c r="KE334" s="30"/>
      <c r="KF334" s="30"/>
      <c r="KG334" s="30"/>
    </row>
    <row r="335" spans="1:293" ht="13">
      <c r="A335" s="90"/>
      <c r="B335" s="91"/>
      <c r="C335" s="77">
        <v>332</v>
      </c>
      <c r="D335" s="78" t="s">
        <v>1518</v>
      </c>
      <c r="E335" s="78">
        <v>2</v>
      </c>
      <c r="F335" s="80" t="s">
        <v>366</v>
      </c>
      <c r="G335" s="81" t="s">
        <v>1044</v>
      </c>
      <c r="H335" s="81" t="s">
        <v>464</v>
      </c>
      <c r="I335" s="80" t="s">
        <v>458</v>
      </c>
      <c r="J335" s="82">
        <f>AU335</f>
        <v>2</v>
      </c>
      <c r="K335" s="88">
        <v>3</v>
      </c>
      <c r="L335" s="57"/>
      <c r="M335" s="58">
        <v>1</v>
      </c>
      <c r="N335" s="59">
        <f>SUM(K335+L335-M335)</f>
        <v>2</v>
      </c>
      <c r="O335" s="60"/>
      <c r="P335" s="58"/>
      <c r="Q335" s="59">
        <f>SUM(N335+O335-P335)</f>
        <v>2</v>
      </c>
      <c r="R335" s="60"/>
      <c r="S335" s="58"/>
      <c r="T335" s="61">
        <f>SUM(Q335+R335-S335)</f>
        <v>2</v>
      </c>
      <c r="U335" s="60"/>
      <c r="V335" s="58"/>
      <c r="W335" s="59">
        <f>SUM(T335+U335-V335)</f>
        <v>2</v>
      </c>
      <c r="X335" s="60"/>
      <c r="Y335" s="58"/>
      <c r="Z335" s="61">
        <f>SUM(W335+X335-Y335)</f>
        <v>2</v>
      </c>
      <c r="AA335" s="60"/>
      <c r="AB335" s="58"/>
      <c r="AC335" s="59">
        <f>SUM(Z335+AA335-AB335)</f>
        <v>2</v>
      </c>
      <c r="AD335" s="57"/>
      <c r="AE335" s="58"/>
      <c r="AF335" s="243">
        <f>SUM(AC335+AD335-AE335)</f>
        <v>2</v>
      </c>
      <c r="AG335" s="60"/>
      <c r="AH335" s="58"/>
      <c r="AI335" s="62">
        <f>SUM(AF335+AG335-AH335)</f>
        <v>2</v>
      </c>
      <c r="AJ335" s="60"/>
      <c r="AK335" s="58"/>
      <c r="AL335" s="62">
        <f>SUM(AI335+AJ335-AK335)</f>
        <v>2</v>
      </c>
      <c r="AM335" s="60"/>
      <c r="AN335" s="58"/>
      <c r="AO335" s="62">
        <f>SUM(AL335+AM335-AN335)</f>
        <v>2</v>
      </c>
      <c r="AP335" s="60"/>
      <c r="AQ335" s="58"/>
      <c r="AR335" s="62">
        <f>SUM(AO335+AP335-AQ335)</f>
        <v>2</v>
      </c>
      <c r="AS335" s="60"/>
      <c r="AT335" s="58"/>
      <c r="AU335" s="62">
        <f>SUM(AR335+AS335-AT335)</f>
        <v>2</v>
      </c>
      <c r="AV335" s="83">
        <f t="shared" si="819"/>
        <v>0</v>
      </c>
      <c r="AW335" s="83">
        <f t="shared" si="709"/>
        <v>1</v>
      </c>
      <c r="AX335" s="64">
        <f>SUM(M335,P335,S335,V335,Y335,AB335,AE335,AH335,AK335,AN335,AQ335,AT335)</f>
        <v>1</v>
      </c>
      <c r="AY335" s="65">
        <f t="shared" si="820"/>
        <v>1</v>
      </c>
      <c r="AZ335" s="66">
        <f t="shared" si="821"/>
        <v>1</v>
      </c>
      <c r="BA335" s="67">
        <f>MAX(0, Table176252626[[#This Row],[Column6]])</f>
        <v>2</v>
      </c>
      <c r="BB335" s="68">
        <v>1</v>
      </c>
      <c r="BC335" s="84">
        <f t="shared" si="777"/>
        <v>2</v>
      </c>
      <c r="BD335" s="83">
        <f t="shared" si="775"/>
        <v>1</v>
      </c>
      <c r="BE335" s="85">
        <v>2</v>
      </c>
      <c r="BF335" s="86">
        <v>45316.635775462964</v>
      </c>
      <c r="BG335" s="72">
        <f t="shared" si="802"/>
        <v>46265</v>
      </c>
      <c r="BH335" s="87">
        <f t="shared" si="822"/>
        <v>948.36422453703562</v>
      </c>
      <c r="BI335" s="80" t="str">
        <f t="shared" si="776"/>
        <v>Dead Stock</v>
      </c>
      <c r="BJ335" s="238">
        <v>4374</v>
      </c>
    </row>
    <row r="336" spans="1:293" s="48" customFormat="1" ht="13">
      <c r="A336" s="49"/>
      <c r="B336" s="50"/>
      <c r="C336" s="77">
        <v>333</v>
      </c>
      <c r="D336" s="78" t="s">
        <v>1518</v>
      </c>
      <c r="E336" s="78">
        <v>3</v>
      </c>
      <c r="F336" s="54" t="s">
        <v>450</v>
      </c>
      <c r="G336" s="130" t="s">
        <v>449</v>
      </c>
      <c r="H336" s="55" t="s">
        <v>464</v>
      </c>
      <c r="I336" s="80" t="s">
        <v>458</v>
      </c>
      <c r="J336" s="82">
        <f t="shared" ref="J336:J338" si="823">AU336</f>
        <v>2</v>
      </c>
      <c r="K336" s="54">
        <v>2</v>
      </c>
      <c r="L336" s="124"/>
      <c r="M336" s="125"/>
      <c r="N336" s="59">
        <f>SUM(K336+L336-M336)</f>
        <v>2</v>
      </c>
      <c r="O336" s="126"/>
      <c r="P336" s="125"/>
      <c r="Q336" s="59">
        <f>SUM(N336+O336-P336)</f>
        <v>2</v>
      </c>
      <c r="R336" s="126"/>
      <c r="S336" s="125"/>
      <c r="T336" s="61">
        <f>SUM(Q336+R336-S336)</f>
        <v>2</v>
      </c>
      <c r="U336" s="126"/>
      <c r="V336" s="125"/>
      <c r="W336" s="59">
        <f>SUM(T336+U336-V336)</f>
        <v>2</v>
      </c>
      <c r="X336" s="126"/>
      <c r="Y336" s="125">
        <v>1</v>
      </c>
      <c r="Z336" s="61">
        <f>SUM(W336+X336-Y336)</f>
        <v>1</v>
      </c>
      <c r="AA336" s="126"/>
      <c r="AB336" s="125"/>
      <c r="AC336" s="59">
        <f>SUM(Z336+AA336-AB336)</f>
        <v>1</v>
      </c>
      <c r="AD336" s="124">
        <v>1</v>
      </c>
      <c r="AE336" s="125"/>
      <c r="AF336" s="243">
        <f>SUM(AC336+AD336-AE336)</f>
        <v>2</v>
      </c>
      <c r="AG336" s="131"/>
      <c r="AH336" s="90"/>
      <c r="AI336" s="132">
        <f>SUM(AF336+AG336-AH336)</f>
        <v>2</v>
      </c>
      <c r="AJ336" s="131"/>
      <c r="AK336" s="90"/>
      <c r="AL336" s="132">
        <f>SUM(AI336+AJ336-AK336)</f>
        <v>2</v>
      </c>
      <c r="AM336" s="131"/>
      <c r="AN336" s="90"/>
      <c r="AO336" s="132">
        <f t="shared" ref="AO336" si="824">SUM(AL336+AM336-AN336)</f>
        <v>2</v>
      </c>
      <c r="AP336" s="131"/>
      <c r="AQ336" s="90"/>
      <c r="AR336" s="132">
        <f t="shared" ref="AR336" si="825">SUM(AO336+AP336-AQ336)</f>
        <v>2</v>
      </c>
      <c r="AS336" s="131"/>
      <c r="AT336" s="90"/>
      <c r="AU336" s="132">
        <f>SUM(AR336+AS336-AT336)</f>
        <v>2</v>
      </c>
      <c r="AV336" s="83">
        <f t="shared" ref="AV336" si="826">SUM(L336+O336+R336+U336+X336+AA336+AD336+AG336+AJ336+AM336+AP336+AS336)</f>
        <v>1</v>
      </c>
      <c r="AW336" s="83">
        <f t="shared" si="709"/>
        <v>1</v>
      </c>
      <c r="AX336" s="64">
        <f>SUM(M336,P336,S336,V336,Y336,AB336,AE336,AH336,AK336,AN336,AQ336,AT336)</f>
        <v>1</v>
      </c>
      <c r="AY336" s="65">
        <f>AVERAGE(M336,P336,S336,V336,Y336,AB336,AE336,AH336,AK336,AN336,AQ336,AT336)</f>
        <v>1</v>
      </c>
      <c r="AZ336" s="66">
        <f>COUNT(M336,P336,S336,V336,Y336,AB336,AE336,AH336,AK336,AN336,AQ336,AT336)</f>
        <v>1</v>
      </c>
      <c r="BA336" s="67">
        <f>MAX(0, Table176252626[[#This Row],[Column6]])</f>
        <v>2</v>
      </c>
      <c r="BB336" s="68">
        <v>1</v>
      </c>
      <c r="BC336" s="84">
        <f t="shared" si="777"/>
        <v>2</v>
      </c>
      <c r="BD336" s="83">
        <f t="shared" si="775"/>
        <v>1</v>
      </c>
      <c r="BE336" s="85">
        <v>2</v>
      </c>
      <c r="BF336" s="86">
        <v>46216</v>
      </c>
      <c r="BG336" s="72">
        <f t="shared" si="802"/>
        <v>46265</v>
      </c>
      <c r="BH336" s="87">
        <f>BG336-BF336</f>
        <v>49</v>
      </c>
      <c r="BI336" s="80" t="str">
        <f t="shared" si="776"/>
        <v/>
      </c>
      <c r="BJ336" s="238">
        <v>34500</v>
      </c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  <c r="FS336" s="30"/>
      <c r="FT336" s="30"/>
      <c r="FU336" s="30"/>
      <c r="FV336" s="30"/>
      <c r="FW336" s="30"/>
      <c r="FX336" s="30"/>
      <c r="FY336" s="30"/>
      <c r="FZ336" s="30"/>
      <c r="GA336" s="30"/>
      <c r="GB336" s="30"/>
      <c r="GC336" s="30"/>
      <c r="GD336" s="30"/>
      <c r="GE336" s="30"/>
      <c r="GF336" s="30"/>
      <c r="GG336" s="30"/>
      <c r="GH336" s="30"/>
      <c r="GI336" s="30"/>
      <c r="GJ336" s="30"/>
      <c r="GK336" s="30"/>
      <c r="GL336" s="30"/>
      <c r="GM336" s="30"/>
      <c r="GN336" s="30"/>
      <c r="GO336" s="30"/>
      <c r="GP336" s="30"/>
      <c r="GQ336" s="30"/>
      <c r="GR336" s="30"/>
      <c r="GS336" s="30"/>
      <c r="GT336" s="30"/>
      <c r="GU336" s="30"/>
      <c r="GV336" s="30"/>
      <c r="GW336" s="30"/>
      <c r="GX336" s="30"/>
      <c r="GY336" s="30"/>
      <c r="GZ336" s="30"/>
      <c r="HA336" s="30"/>
      <c r="HB336" s="30"/>
      <c r="HC336" s="30"/>
      <c r="HD336" s="30"/>
      <c r="HE336" s="30"/>
      <c r="HF336" s="30"/>
      <c r="HG336" s="30"/>
      <c r="HH336" s="30"/>
      <c r="HI336" s="30"/>
      <c r="HJ336" s="30"/>
      <c r="HK336" s="30"/>
      <c r="HL336" s="30"/>
      <c r="HM336" s="30"/>
      <c r="HN336" s="30"/>
      <c r="HO336" s="30"/>
      <c r="HP336" s="30"/>
      <c r="HQ336" s="30"/>
      <c r="HR336" s="30"/>
      <c r="HS336" s="30"/>
      <c r="HT336" s="30"/>
      <c r="HU336" s="30"/>
      <c r="HV336" s="30"/>
      <c r="HW336" s="30"/>
      <c r="HX336" s="30"/>
      <c r="HY336" s="30"/>
      <c r="HZ336" s="30"/>
      <c r="IA336" s="30"/>
      <c r="IB336" s="30"/>
      <c r="IC336" s="30"/>
      <c r="ID336" s="30"/>
      <c r="IE336" s="30"/>
      <c r="IF336" s="30"/>
      <c r="IG336" s="30"/>
      <c r="IH336" s="30"/>
      <c r="II336" s="30"/>
      <c r="IJ336" s="30"/>
      <c r="IK336" s="30"/>
      <c r="IL336" s="30"/>
      <c r="IM336" s="30"/>
      <c r="IN336" s="30"/>
      <c r="IO336" s="30"/>
      <c r="IP336" s="30"/>
      <c r="IQ336" s="30"/>
      <c r="IR336" s="30"/>
      <c r="IS336" s="30"/>
      <c r="IT336" s="30"/>
      <c r="IU336" s="30"/>
      <c r="IV336" s="30"/>
      <c r="IW336" s="30"/>
      <c r="IX336" s="30"/>
      <c r="IY336" s="30"/>
      <c r="IZ336" s="30"/>
      <c r="JA336" s="30"/>
      <c r="JB336" s="30"/>
      <c r="JC336" s="30"/>
      <c r="JD336" s="30"/>
      <c r="JE336" s="30"/>
      <c r="JF336" s="30"/>
      <c r="JG336" s="30"/>
      <c r="JH336" s="30"/>
      <c r="JI336" s="30"/>
      <c r="JJ336" s="30"/>
      <c r="JK336" s="30"/>
      <c r="JL336" s="30"/>
      <c r="JM336" s="30"/>
      <c r="JN336" s="30"/>
      <c r="JO336" s="30"/>
      <c r="JP336" s="30"/>
      <c r="JQ336" s="30"/>
      <c r="JR336" s="30"/>
      <c r="JS336" s="30"/>
      <c r="JT336" s="30"/>
      <c r="JU336" s="30"/>
      <c r="JV336" s="30"/>
      <c r="JW336" s="30"/>
      <c r="JX336" s="30"/>
      <c r="JY336" s="30"/>
      <c r="JZ336" s="30"/>
      <c r="KA336" s="30"/>
      <c r="KB336" s="30"/>
      <c r="KC336" s="30"/>
      <c r="KD336" s="30"/>
      <c r="KE336" s="30"/>
      <c r="KF336" s="30"/>
      <c r="KG336" s="30"/>
    </row>
    <row r="337" spans="1:293" ht="13">
      <c r="A337" s="75"/>
      <c r="B337" s="76"/>
      <c r="C337" s="51">
        <v>334</v>
      </c>
      <c r="D337" s="78" t="s">
        <v>1518</v>
      </c>
      <c r="E337" s="78">
        <v>4</v>
      </c>
      <c r="F337" s="80" t="s">
        <v>119</v>
      </c>
      <c r="G337" s="81" t="s">
        <v>120</v>
      </c>
      <c r="H337" s="81" t="s">
        <v>464</v>
      </c>
      <c r="I337" s="80" t="s">
        <v>458</v>
      </c>
      <c r="J337" s="82">
        <f t="shared" si="823"/>
        <v>2</v>
      </c>
      <c r="K337" s="80">
        <v>1</v>
      </c>
      <c r="L337" s="57"/>
      <c r="M337" s="58"/>
      <c r="N337" s="59">
        <f t="shared" ref="N337" si="827">SUM(K337+L337-M337)</f>
        <v>1</v>
      </c>
      <c r="O337" s="60"/>
      <c r="P337" s="58"/>
      <c r="Q337" s="59">
        <f t="shared" ref="Q337" si="828">SUM(N337+O337-P337)</f>
        <v>1</v>
      </c>
      <c r="R337" s="60"/>
      <c r="S337" s="58"/>
      <c r="T337" s="61">
        <f t="shared" ref="T337" si="829">SUM(Q337+R337-S337)</f>
        <v>1</v>
      </c>
      <c r="U337" s="60"/>
      <c r="V337" s="58"/>
      <c r="W337" s="59">
        <f t="shared" ref="W337" si="830">SUM(T337+U337-V337)</f>
        <v>1</v>
      </c>
      <c r="X337" s="60"/>
      <c r="Y337" s="58"/>
      <c r="Z337" s="61">
        <f t="shared" ref="Z337" si="831">SUM(W337+X337-Y337)</f>
        <v>1</v>
      </c>
      <c r="AA337" s="60">
        <v>1</v>
      </c>
      <c r="AB337" s="58"/>
      <c r="AC337" s="59">
        <f t="shared" ref="AC337" si="832">SUM(Z337+AA337-AB337)</f>
        <v>2</v>
      </c>
      <c r="AD337" s="57"/>
      <c r="AE337" s="58"/>
      <c r="AF337" s="243">
        <f t="shared" ref="AF337" si="833">SUM(AC337+AD337-AE337)</f>
        <v>2</v>
      </c>
      <c r="AG337" s="60"/>
      <c r="AH337" s="58"/>
      <c r="AI337" s="62">
        <f t="shared" ref="AI337" si="834">SUM(AF337+AG337-AH337)</f>
        <v>2</v>
      </c>
      <c r="AJ337" s="60"/>
      <c r="AK337" s="58"/>
      <c r="AL337" s="62">
        <f t="shared" ref="AL337" si="835">SUM(AI337+AJ337-AK337)</f>
        <v>2</v>
      </c>
      <c r="AM337" s="60"/>
      <c r="AN337" s="58"/>
      <c r="AO337" s="62">
        <f t="shared" ref="AO337" si="836">SUM(AL337+AM337-AN337)</f>
        <v>2</v>
      </c>
      <c r="AP337" s="60"/>
      <c r="AQ337" s="58"/>
      <c r="AR337" s="62">
        <f t="shared" ref="AR337" si="837">SUM(AO337+AP337-AQ337)</f>
        <v>2</v>
      </c>
      <c r="AS337" s="60"/>
      <c r="AT337" s="58"/>
      <c r="AU337" s="62">
        <f t="shared" ref="AU337" si="838">SUM(AR337+AS337-AT337)</f>
        <v>2</v>
      </c>
      <c r="AV337" s="83">
        <f t="shared" ref="AV337" si="839">SUM(L337+O337+R337+U337+X337+AA337+AD337+AG337+AJ337+AM337+AP337+AS337)</f>
        <v>1</v>
      </c>
      <c r="AW337" s="83">
        <f t="shared" si="709"/>
        <v>0</v>
      </c>
      <c r="AX337" s="64">
        <f t="shared" ref="AX337" si="840">SUM(M337,P337,S337,V337,Y337,AB337,AE337,AH337,AK337,AN337,AQ337,AT337)</f>
        <v>0</v>
      </c>
      <c r="AY337" s="65" t="e">
        <f t="shared" si="820"/>
        <v>#DIV/0!</v>
      </c>
      <c r="AZ337" s="66">
        <f t="shared" si="821"/>
        <v>0</v>
      </c>
      <c r="BA337" s="67">
        <f>MAX(0, Table176252626[[#This Row],[Column6]])</f>
        <v>2</v>
      </c>
      <c r="BB337" s="68">
        <v>1</v>
      </c>
      <c r="BC337" s="84">
        <f t="shared" si="777"/>
        <v>2</v>
      </c>
      <c r="BD337" s="83">
        <f t="shared" si="775"/>
        <v>1</v>
      </c>
      <c r="BE337" s="85">
        <v>2</v>
      </c>
      <c r="BF337" s="86">
        <v>46200</v>
      </c>
      <c r="BG337" s="72">
        <f t="shared" si="802"/>
        <v>46265</v>
      </c>
      <c r="BH337" s="87">
        <f t="shared" si="822"/>
        <v>65</v>
      </c>
      <c r="BI337" s="80" t="str">
        <f t="shared" si="776"/>
        <v/>
      </c>
      <c r="BJ337" s="238">
        <v>24395</v>
      </c>
    </row>
    <row r="338" spans="1:293" ht="13">
      <c r="A338" s="90"/>
      <c r="B338" s="91"/>
      <c r="C338" s="51">
        <v>335</v>
      </c>
      <c r="D338" s="78" t="s">
        <v>1518</v>
      </c>
      <c r="E338" s="78">
        <v>5</v>
      </c>
      <c r="F338" s="88" t="s">
        <v>1794</v>
      </c>
      <c r="G338" s="89" t="s">
        <v>1795</v>
      </c>
      <c r="H338" s="89" t="s">
        <v>743</v>
      </c>
      <c r="I338" s="88" t="s">
        <v>458</v>
      </c>
      <c r="J338" s="82">
        <f t="shared" si="823"/>
        <v>1</v>
      </c>
      <c r="K338" s="80">
        <v>1</v>
      </c>
      <c r="L338" s="58"/>
      <c r="M338" s="58"/>
      <c r="N338" s="62">
        <f t="shared" ref="N338:N344" si="841">SUM(K338+L338-M338)</f>
        <v>1</v>
      </c>
      <c r="O338" s="60"/>
      <c r="P338" s="58"/>
      <c r="Q338" s="62">
        <f t="shared" ref="Q338:Q344" si="842">SUM(N338+O338-P338)</f>
        <v>1</v>
      </c>
      <c r="R338" s="60"/>
      <c r="S338" s="58"/>
      <c r="T338" s="94">
        <f t="shared" ref="T338:T344" si="843">SUM(Q338+R338-S338)</f>
        <v>1</v>
      </c>
      <c r="U338" s="60"/>
      <c r="V338" s="58"/>
      <c r="W338" s="62">
        <f t="shared" ref="W338:W344" si="844">SUM(T338+U338-V338)</f>
        <v>1</v>
      </c>
      <c r="X338" s="60"/>
      <c r="Y338" s="58"/>
      <c r="Z338" s="94">
        <f t="shared" ref="Z338:Z344" si="845">SUM(W338+X338-Y338)</f>
        <v>1</v>
      </c>
      <c r="AA338" s="60"/>
      <c r="AB338" s="58"/>
      <c r="AC338" s="62">
        <f t="shared" ref="AC338:AC344" si="846">SUM(Z338+AA338-AB338)</f>
        <v>1</v>
      </c>
      <c r="AD338" s="57"/>
      <c r="AE338" s="58"/>
      <c r="AF338" s="165">
        <f t="shared" ref="AF338:AF344" si="847">SUM(AC338+AD338-AE338)</f>
        <v>1</v>
      </c>
      <c r="AG338" s="60"/>
      <c r="AH338" s="58"/>
      <c r="AI338" s="62">
        <f t="shared" ref="AI338:AI344" si="848">SUM(AF338+AG338-AH338)</f>
        <v>1</v>
      </c>
      <c r="AJ338" s="60"/>
      <c r="AK338" s="58"/>
      <c r="AL338" s="62">
        <f t="shared" ref="AL338:AL344" si="849">SUM(AI338+AJ338-AK338)</f>
        <v>1</v>
      </c>
      <c r="AM338" s="60"/>
      <c r="AN338" s="58"/>
      <c r="AO338" s="62">
        <f t="shared" ref="AO338:AO343" si="850">SUM(AL338+AM338-AN338)</f>
        <v>1</v>
      </c>
      <c r="AP338" s="60"/>
      <c r="AQ338" s="58"/>
      <c r="AR338" s="62">
        <f t="shared" ref="AR338:AR343" si="851">SUM(AO338+AP338-AQ338)</f>
        <v>1</v>
      </c>
      <c r="AS338" s="60"/>
      <c r="AT338" s="58"/>
      <c r="AU338" s="62">
        <f t="shared" ref="AU338:AU344" si="852">SUM(AR338+AS338-AT338)</f>
        <v>1</v>
      </c>
      <c r="AV338" s="96">
        <f t="shared" ref="AV338:AW351" si="853">SUM(L338+O338+R338+U338+X338+AA338+AD338+AG338+AJ338+AM338+AP338+AS338)</f>
        <v>0</v>
      </c>
      <c r="AW338" s="83">
        <f t="shared" si="709"/>
        <v>0</v>
      </c>
      <c r="AX338" s="98">
        <f t="shared" ref="AX338:AX344" si="854">SUM(M338,P338,S338,V338,Y338,AB338,AE338,AH338,AK338,AN338,AQ338,AT338)</f>
        <v>0</v>
      </c>
      <c r="AY338" s="99" t="e">
        <f t="shared" si="820"/>
        <v>#DIV/0!</v>
      </c>
      <c r="AZ338" s="100">
        <f t="shared" si="821"/>
        <v>0</v>
      </c>
      <c r="BA338" s="101">
        <v>1</v>
      </c>
      <c r="BB338" s="102">
        <v>0</v>
      </c>
      <c r="BC338" s="84">
        <f t="shared" si="777"/>
        <v>1</v>
      </c>
      <c r="BD338" s="83">
        <f t="shared" si="775"/>
        <v>1</v>
      </c>
      <c r="BE338" s="85">
        <v>2</v>
      </c>
      <c r="BF338" s="86" t="s">
        <v>1073</v>
      </c>
      <c r="BG338" s="72">
        <f t="shared" si="802"/>
        <v>46265</v>
      </c>
      <c r="BH338" s="103" t="e">
        <f t="shared" si="822"/>
        <v>#VALUE!</v>
      </c>
      <c r="BI338" s="80" t="e">
        <f t="shared" si="776"/>
        <v>#VALUE!</v>
      </c>
      <c r="BJ338" s="238">
        <v>15000</v>
      </c>
    </row>
    <row r="339" spans="1:293" ht="13">
      <c r="A339" s="75"/>
      <c r="B339" s="76"/>
      <c r="C339" s="51">
        <v>336</v>
      </c>
      <c r="D339" s="78" t="s">
        <v>1518</v>
      </c>
      <c r="E339" s="78">
        <v>6</v>
      </c>
      <c r="F339" s="88" t="s">
        <v>1002</v>
      </c>
      <c r="G339" s="89" t="s">
        <v>1001</v>
      </c>
      <c r="H339" s="89" t="s">
        <v>302</v>
      </c>
      <c r="I339" s="88" t="s">
        <v>458</v>
      </c>
      <c r="J339" s="93">
        <f t="shared" ref="J339:J344" si="855">AU339</f>
        <v>5</v>
      </c>
      <c r="K339" s="80">
        <v>6</v>
      </c>
      <c r="L339" s="57"/>
      <c r="M339" s="58"/>
      <c r="N339" s="59">
        <f t="shared" si="841"/>
        <v>6</v>
      </c>
      <c r="O339" s="60"/>
      <c r="P339" s="58">
        <v>1</v>
      </c>
      <c r="Q339" s="59">
        <f t="shared" si="842"/>
        <v>5</v>
      </c>
      <c r="R339" s="60"/>
      <c r="S339" s="58"/>
      <c r="T339" s="61">
        <f t="shared" si="843"/>
        <v>5</v>
      </c>
      <c r="U339" s="60"/>
      <c r="V339" s="58"/>
      <c r="W339" s="59">
        <f t="shared" si="844"/>
        <v>5</v>
      </c>
      <c r="X339" s="60"/>
      <c r="Y339" s="58"/>
      <c r="Z339" s="61">
        <f t="shared" si="845"/>
        <v>5</v>
      </c>
      <c r="AA339" s="60"/>
      <c r="AB339" s="58"/>
      <c r="AC339" s="59">
        <f t="shared" si="846"/>
        <v>5</v>
      </c>
      <c r="AD339" s="57"/>
      <c r="AE339" s="58"/>
      <c r="AF339" s="243">
        <f t="shared" si="847"/>
        <v>5</v>
      </c>
      <c r="AG339" s="60"/>
      <c r="AH339" s="58"/>
      <c r="AI339" s="62">
        <f t="shared" si="848"/>
        <v>5</v>
      </c>
      <c r="AJ339" s="60"/>
      <c r="AK339" s="58"/>
      <c r="AL339" s="62">
        <f t="shared" si="849"/>
        <v>5</v>
      </c>
      <c r="AM339" s="60"/>
      <c r="AN339" s="58"/>
      <c r="AO339" s="62">
        <f t="shared" si="850"/>
        <v>5</v>
      </c>
      <c r="AP339" s="60"/>
      <c r="AQ339" s="58"/>
      <c r="AR339" s="104">
        <f t="shared" si="851"/>
        <v>5</v>
      </c>
      <c r="AS339" s="57"/>
      <c r="AT339" s="58"/>
      <c r="AU339" s="62">
        <f t="shared" si="852"/>
        <v>5</v>
      </c>
      <c r="AV339" s="84">
        <f t="shared" si="853"/>
        <v>0</v>
      </c>
      <c r="AW339" s="83">
        <f t="shared" si="709"/>
        <v>1</v>
      </c>
      <c r="AX339" s="64">
        <f t="shared" si="854"/>
        <v>1</v>
      </c>
      <c r="AY339" s="65">
        <f t="shared" si="820"/>
        <v>1</v>
      </c>
      <c r="AZ339" s="66">
        <f t="shared" si="821"/>
        <v>1</v>
      </c>
      <c r="BA339" s="67">
        <f>MAX(0, Table176252626[[#This Row],[Column6]])</f>
        <v>5</v>
      </c>
      <c r="BB339" s="68">
        <v>1</v>
      </c>
      <c r="BC339" s="84">
        <f t="shared" si="777"/>
        <v>5</v>
      </c>
      <c r="BD339" s="83">
        <f t="shared" si="775"/>
        <v>4</v>
      </c>
      <c r="BE339" s="85">
        <v>2</v>
      </c>
      <c r="BF339" s="86">
        <v>45623.446377314816</v>
      </c>
      <c r="BG339" s="72">
        <f t="shared" si="802"/>
        <v>46265</v>
      </c>
      <c r="BH339" s="87">
        <f t="shared" si="822"/>
        <v>641.55362268518365</v>
      </c>
      <c r="BI339" s="80" t="str">
        <f t="shared" si="776"/>
        <v>Dead Stock</v>
      </c>
      <c r="BJ339" s="238">
        <v>200</v>
      </c>
    </row>
    <row r="340" spans="1:293" ht="13">
      <c r="A340" s="49"/>
      <c r="B340" s="50"/>
      <c r="C340" s="51">
        <v>337</v>
      </c>
      <c r="D340" s="78" t="s">
        <v>1518</v>
      </c>
      <c r="E340" s="78">
        <v>7</v>
      </c>
      <c r="F340" s="80" t="s">
        <v>590</v>
      </c>
      <c r="G340" s="81" t="s">
        <v>591</v>
      </c>
      <c r="H340" s="81" t="s">
        <v>302</v>
      </c>
      <c r="I340" s="80" t="s">
        <v>458</v>
      </c>
      <c r="J340" s="82">
        <f t="shared" si="855"/>
        <v>2</v>
      </c>
      <c r="K340" s="80">
        <v>2</v>
      </c>
      <c r="L340" s="57"/>
      <c r="M340" s="58"/>
      <c r="N340" s="59">
        <f t="shared" si="841"/>
        <v>2</v>
      </c>
      <c r="O340" s="60"/>
      <c r="P340" s="58"/>
      <c r="Q340" s="59">
        <f t="shared" si="842"/>
        <v>2</v>
      </c>
      <c r="R340" s="60"/>
      <c r="S340" s="58"/>
      <c r="T340" s="61">
        <f t="shared" si="843"/>
        <v>2</v>
      </c>
      <c r="U340" s="60"/>
      <c r="V340" s="58"/>
      <c r="W340" s="59">
        <f t="shared" si="844"/>
        <v>2</v>
      </c>
      <c r="X340" s="60"/>
      <c r="Y340" s="58"/>
      <c r="Z340" s="61">
        <f t="shared" si="845"/>
        <v>2</v>
      </c>
      <c r="AA340" s="60"/>
      <c r="AB340" s="58"/>
      <c r="AC340" s="59">
        <f t="shared" si="846"/>
        <v>2</v>
      </c>
      <c r="AD340" s="57"/>
      <c r="AE340" s="58"/>
      <c r="AF340" s="243">
        <f t="shared" si="847"/>
        <v>2</v>
      </c>
      <c r="AG340" s="60"/>
      <c r="AH340" s="58"/>
      <c r="AI340" s="62">
        <f t="shared" si="848"/>
        <v>2</v>
      </c>
      <c r="AJ340" s="60"/>
      <c r="AK340" s="58"/>
      <c r="AL340" s="62">
        <f t="shared" si="849"/>
        <v>2</v>
      </c>
      <c r="AM340" s="60"/>
      <c r="AN340" s="58"/>
      <c r="AO340" s="62">
        <f t="shared" si="850"/>
        <v>2</v>
      </c>
      <c r="AP340" s="60"/>
      <c r="AQ340" s="58"/>
      <c r="AR340" s="62">
        <f t="shared" si="851"/>
        <v>2</v>
      </c>
      <c r="AS340" s="60"/>
      <c r="AT340" s="58"/>
      <c r="AU340" s="62">
        <f t="shared" si="852"/>
        <v>2</v>
      </c>
      <c r="AV340" s="83">
        <f t="shared" si="853"/>
        <v>0</v>
      </c>
      <c r="AW340" s="83">
        <f t="shared" si="709"/>
        <v>0</v>
      </c>
      <c r="AX340" s="64">
        <f t="shared" si="854"/>
        <v>0</v>
      </c>
      <c r="AY340" s="65" t="e">
        <f t="shared" si="820"/>
        <v>#DIV/0!</v>
      </c>
      <c r="AZ340" s="66">
        <f t="shared" si="821"/>
        <v>0</v>
      </c>
      <c r="BA340" s="67">
        <f>MAX(0, Table176252626[[#This Row],[Column6]])</f>
        <v>2</v>
      </c>
      <c r="BB340" s="68">
        <v>1</v>
      </c>
      <c r="BC340" s="84">
        <f t="shared" si="777"/>
        <v>2</v>
      </c>
      <c r="BD340" s="83">
        <f t="shared" si="775"/>
        <v>1</v>
      </c>
      <c r="BE340" s="85">
        <v>2</v>
      </c>
      <c r="BF340" s="86">
        <v>45677.697291666664</v>
      </c>
      <c r="BG340" s="72">
        <f t="shared" si="802"/>
        <v>46265</v>
      </c>
      <c r="BH340" s="87">
        <f t="shared" si="822"/>
        <v>587.30270833333634</v>
      </c>
      <c r="BI340" s="80" t="str">
        <f t="shared" si="776"/>
        <v>Dead Stock</v>
      </c>
      <c r="BJ340" s="238">
        <v>24000</v>
      </c>
    </row>
    <row r="341" spans="1:293" ht="13">
      <c r="A341" s="49"/>
      <c r="B341" s="76"/>
      <c r="C341" s="77">
        <v>338</v>
      </c>
      <c r="D341" s="78" t="s">
        <v>1518</v>
      </c>
      <c r="E341" s="78">
        <v>8</v>
      </c>
      <c r="F341" s="80" t="s">
        <v>29</v>
      </c>
      <c r="G341" s="81" t="s">
        <v>30</v>
      </c>
      <c r="H341" s="81" t="s">
        <v>296</v>
      </c>
      <c r="I341" s="80" t="s">
        <v>458</v>
      </c>
      <c r="J341" s="82">
        <f t="shared" si="855"/>
        <v>2</v>
      </c>
      <c r="K341" s="80">
        <v>2</v>
      </c>
      <c r="L341" s="57"/>
      <c r="M341" s="58"/>
      <c r="N341" s="59">
        <f t="shared" si="841"/>
        <v>2</v>
      </c>
      <c r="O341" s="60"/>
      <c r="P341" s="58"/>
      <c r="Q341" s="59">
        <f t="shared" si="842"/>
        <v>2</v>
      </c>
      <c r="R341" s="60"/>
      <c r="S341" s="58"/>
      <c r="T341" s="61">
        <f t="shared" si="843"/>
        <v>2</v>
      </c>
      <c r="U341" s="60"/>
      <c r="V341" s="58"/>
      <c r="W341" s="59">
        <f t="shared" si="844"/>
        <v>2</v>
      </c>
      <c r="X341" s="60"/>
      <c r="Y341" s="58"/>
      <c r="Z341" s="61">
        <f t="shared" si="845"/>
        <v>2</v>
      </c>
      <c r="AA341" s="60"/>
      <c r="AB341" s="58"/>
      <c r="AC341" s="59">
        <f t="shared" si="846"/>
        <v>2</v>
      </c>
      <c r="AD341" s="57"/>
      <c r="AE341" s="58"/>
      <c r="AF341" s="243">
        <f t="shared" si="847"/>
        <v>2</v>
      </c>
      <c r="AG341" s="60"/>
      <c r="AH341" s="58"/>
      <c r="AI341" s="62">
        <f t="shared" si="848"/>
        <v>2</v>
      </c>
      <c r="AJ341" s="60"/>
      <c r="AK341" s="58"/>
      <c r="AL341" s="62">
        <f t="shared" si="849"/>
        <v>2</v>
      </c>
      <c r="AM341" s="60"/>
      <c r="AN341" s="58"/>
      <c r="AO341" s="62">
        <f t="shared" si="850"/>
        <v>2</v>
      </c>
      <c r="AP341" s="60"/>
      <c r="AQ341" s="58"/>
      <c r="AR341" s="62">
        <f t="shared" si="851"/>
        <v>2</v>
      </c>
      <c r="AS341" s="60"/>
      <c r="AT341" s="58"/>
      <c r="AU341" s="62">
        <f t="shared" si="852"/>
        <v>2</v>
      </c>
      <c r="AV341" s="83">
        <f t="shared" si="853"/>
        <v>0</v>
      </c>
      <c r="AW341" s="83">
        <f t="shared" si="709"/>
        <v>0</v>
      </c>
      <c r="AX341" s="64">
        <f t="shared" si="854"/>
        <v>0</v>
      </c>
      <c r="AY341" s="65" t="e">
        <f t="shared" si="820"/>
        <v>#DIV/0!</v>
      </c>
      <c r="AZ341" s="66">
        <f t="shared" si="821"/>
        <v>0</v>
      </c>
      <c r="BA341" s="67">
        <f>MAX(0, Table176252626[[#This Row],[Column6]])</f>
        <v>2</v>
      </c>
      <c r="BB341" s="68">
        <v>1</v>
      </c>
      <c r="BC341" s="84">
        <f t="shared" si="777"/>
        <v>2</v>
      </c>
      <c r="BD341" s="83">
        <f t="shared" si="775"/>
        <v>1</v>
      </c>
      <c r="BE341" s="85">
        <v>2</v>
      </c>
      <c r="BF341" s="86">
        <v>43720.45453703704</v>
      </c>
      <c r="BG341" s="72">
        <f t="shared" si="802"/>
        <v>46265</v>
      </c>
      <c r="BH341" s="87">
        <f t="shared" si="822"/>
        <v>2544.5454629629603</v>
      </c>
      <c r="BI341" s="80" t="str">
        <f t="shared" si="776"/>
        <v>Dead Stock</v>
      </c>
      <c r="BJ341" s="238">
        <v>15480</v>
      </c>
    </row>
    <row r="342" spans="1:293" s="48" customFormat="1" ht="13">
      <c r="A342" s="49"/>
      <c r="B342" s="76"/>
      <c r="C342" s="77">
        <v>339</v>
      </c>
      <c r="D342" s="78" t="s">
        <v>1518</v>
      </c>
      <c r="E342" s="78">
        <v>9</v>
      </c>
      <c r="F342" s="80" t="s">
        <v>648</v>
      </c>
      <c r="G342" s="81" t="s">
        <v>649</v>
      </c>
      <c r="H342" s="81" t="s">
        <v>464</v>
      </c>
      <c r="I342" s="80" t="s">
        <v>458</v>
      </c>
      <c r="J342" s="82">
        <f t="shared" si="855"/>
        <v>1</v>
      </c>
      <c r="K342" s="80">
        <v>0</v>
      </c>
      <c r="L342" s="57"/>
      <c r="M342" s="58"/>
      <c r="N342" s="59">
        <f t="shared" si="841"/>
        <v>0</v>
      </c>
      <c r="O342" s="60"/>
      <c r="P342" s="58"/>
      <c r="Q342" s="59">
        <f t="shared" si="842"/>
        <v>0</v>
      </c>
      <c r="R342" s="60"/>
      <c r="S342" s="58"/>
      <c r="T342" s="61">
        <f t="shared" si="843"/>
        <v>0</v>
      </c>
      <c r="U342" s="60"/>
      <c r="V342" s="58"/>
      <c r="W342" s="59">
        <f t="shared" si="844"/>
        <v>0</v>
      </c>
      <c r="X342" s="60"/>
      <c r="Y342" s="58"/>
      <c r="Z342" s="61">
        <f t="shared" si="845"/>
        <v>0</v>
      </c>
      <c r="AA342" s="60"/>
      <c r="AB342" s="58"/>
      <c r="AC342" s="59">
        <f t="shared" si="846"/>
        <v>0</v>
      </c>
      <c r="AD342" s="57">
        <v>1</v>
      </c>
      <c r="AE342" s="58"/>
      <c r="AF342" s="243">
        <f t="shared" si="847"/>
        <v>1</v>
      </c>
      <c r="AG342" s="60"/>
      <c r="AH342" s="58"/>
      <c r="AI342" s="62">
        <f t="shared" si="848"/>
        <v>1</v>
      </c>
      <c r="AJ342" s="60"/>
      <c r="AK342" s="58"/>
      <c r="AL342" s="62">
        <f t="shared" si="849"/>
        <v>1</v>
      </c>
      <c r="AM342" s="60"/>
      <c r="AN342" s="58"/>
      <c r="AO342" s="62">
        <f t="shared" si="850"/>
        <v>1</v>
      </c>
      <c r="AP342" s="60"/>
      <c r="AQ342" s="58"/>
      <c r="AR342" s="62">
        <f t="shared" si="851"/>
        <v>1</v>
      </c>
      <c r="AS342" s="60"/>
      <c r="AT342" s="58"/>
      <c r="AU342" s="62">
        <f t="shared" si="852"/>
        <v>1</v>
      </c>
      <c r="AV342" s="83">
        <f t="shared" si="853"/>
        <v>1</v>
      </c>
      <c r="AW342" s="83">
        <f t="shared" si="709"/>
        <v>0</v>
      </c>
      <c r="AX342" s="64">
        <f t="shared" si="854"/>
        <v>0</v>
      </c>
      <c r="AY342" s="65" t="e">
        <f t="shared" si="820"/>
        <v>#DIV/0!</v>
      </c>
      <c r="AZ342" s="66">
        <f t="shared" si="821"/>
        <v>0</v>
      </c>
      <c r="BA342" s="67">
        <f>MAX(0, Table176252626[[#This Row],[Column6]])</f>
        <v>1</v>
      </c>
      <c r="BB342" s="68">
        <v>0</v>
      </c>
      <c r="BC342" s="84">
        <f t="shared" si="777"/>
        <v>1</v>
      </c>
      <c r="BD342" s="83">
        <f t="shared" si="775"/>
        <v>1</v>
      </c>
      <c r="BE342" s="85">
        <v>2</v>
      </c>
      <c r="BF342" s="86">
        <v>46221</v>
      </c>
      <c r="BG342" s="72">
        <f t="shared" si="802"/>
        <v>46265</v>
      </c>
      <c r="BH342" s="87">
        <f t="shared" si="822"/>
        <v>44</v>
      </c>
      <c r="BI342" s="80" t="str">
        <f t="shared" si="776"/>
        <v/>
      </c>
      <c r="BJ342" s="238">
        <v>100000</v>
      </c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  <c r="FS342" s="30"/>
      <c r="FT342" s="30"/>
      <c r="FU342" s="30"/>
      <c r="FV342" s="30"/>
      <c r="FW342" s="30"/>
      <c r="FX342" s="30"/>
      <c r="FY342" s="30"/>
      <c r="FZ342" s="30"/>
      <c r="GA342" s="30"/>
      <c r="GB342" s="30"/>
      <c r="GC342" s="30"/>
      <c r="GD342" s="30"/>
      <c r="GE342" s="30"/>
      <c r="GF342" s="30"/>
      <c r="GG342" s="30"/>
      <c r="GH342" s="30"/>
      <c r="GI342" s="30"/>
      <c r="GJ342" s="30"/>
      <c r="GK342" s="30"/>
      <c r="GL342" s="30"/>
      <c r="GM342" s="30"/>
      <c r="GN342" s="30"/>
      <c r="GO342" s="30"/>
      <c r="GP342" s="30"/>
      <c r="GQ342" s="30"/>
      <c r="GR342" s="30"/>
      <c r="GS342" s="30"/>
      <c r="GT342" s="30"/>
      <c r="GU342" s="30"/>
      <c r="GV342" s="30"/>
      <c r="GW342" s="30"/>
      <c r="GX342" s="30"/>
      <c r="GY342" s="30"/>
      <c r="GZ342" s="30"/>
      <c r="HA342" s="30"/>
      <c r="HB342" s="30"/>
      <c r="HC342" s="30"/>
      <c r="HD342" s="30"/>
      <c r="HE342" s="30"/>
      <c r="HF342" s="30"/>
      <c r="HG342" s="30"/>
      <c r="HH342" s="30"/>
      <c r="HI342" s="30"/>
      <c r="HJ342" s="30"/>
      <c r="HK342" s="30"/>
      <c r="HL342" s="30"/>
      <c r="HM342" s="30"/>
      <c r="HN342" s="30"/>
      <c r="HO342" s="30"/>
      <c r="HP342" s="30"/>
      <c r="HQ342" s="30"/>
      <c r="HR342" s="30"/>
      <c r="HS342" s="30"/>
      <c r="HT342" s="30"/>
      <c r="HU342" s="30"/>
      <c r="HV342" s="30"/>
      <c r="HW342" s="30"/>
      <c r="HX342" s="30"/>
      <c r="HY342" s="30"/>
      <c r="HZ342" s="30"/>
      <c r="IA342" s="30"/>
      <c r="IB342" s="30"/>
      <c r="IC342" s="30"/>
      <c r="ID342" s="30"/>
      <c r="IE342" s="30"/>
      <c r="IF342" s="30"/>
      <c r="IG342" s="30"/>
      <c r="IH342" s="30"/>
      <c r="II342" s="30"/>
      <c r="IJ342" s="30"/>
      <c r="IK342" s="30"/>
      <c r="IL342" s="30"/>
      <c r="IM342" s="30"/>
      <c r="IN342" s="30"/>
      <c r="IO342" s="30"/>
      <c r="IP342" s="30"/>
      <c r="IQ342" s="30"/>
      <c r="IR342" s="30"/>
      <c r="IS342" s="30"/>
      <c r="IT342" s="30"/>
      <c r="IU342" s="30"/>
      <c r="IV342" s="30"/>
      <c r="IW342" s="30"/>
      <c r="IX342" s="30"/>
      <c r="IY342" s="30"/>
      <c r="IZ342" s="30"/>
      <c r="JA342" s="30"/>
      <c r="JB342" s="30"/>
      <c r="JC342" s="30"/>
      <c r="JD342" s="30"/>
      <c r="JE342" s="30"/>
      <c r="JF342" s="30"/>
      <c r="JG342" s="30"/>
      <c r="JH342" s="30"/>
      <c r="JI342" s="30"/>
      <c r="JJ342" s="30"/>
      <c r="JK342" s="30"/>
      <c r="JL342" s="30"/>
      <c r="JM342" s="30"/>
      <c r="JN342" s="30"/>
      <c r="JO342" s="30"/>
      <c r="JP342" s="30"/>
      <c r="JQ342" s="30"/>
      <c r="JR342" s="30"/>
      <c r="JS342" s="30"/>
      <c r="JT342" s="30"/>
      <c r="JU342" s="30"/>
      <c r="JV342" s="30"/>
      <c r="JW342" s="30"/>
      <c r="JX342" s="30"/>
      <c r="JY342" s="30"/>
      <c r="JZ342" s="30"/>
      <c r="KA342" s="30"/>
      <c r="KB342" s="30"/>
      <c r="KC342" s="30"/>
      <c r="KD342" s="30"/>
      <c r="KE342" s="30"/>
      <c r="KF342" s="30"/>
      <c r="KG342" s="30"/>
    </row>
    <row r="343" spans="1:293" ht="13">
      <c r="A343" s="49"/>
      <c r="B343" s="50"/>
      <c r="C343" s="51">
        <v>340</v>
      </c>
      <c r="D343" s="78" t="s">
        <v>1518</v>
      </c>
      <c r="E343" s="78">
        <v>10</v>
      </c>
      <c r="F343" s="88" t="s">
        <v>184</v>
      </c>
      <c r="G343" s="89" t="s">
        <v>1284</v>
      </c>
      <c r="H343" s="81" t="s">
        <v>464</v>
      </c>
      <c r="I343" s="80" t="s">
        <v>458</v>
      </c>
      <c r="J343" s="82">
        <f t="shared" si="855"/>
        <v>2</v>
      </c>
      <c r="K343" s="80">
        <v>2</v>
      </c>
      <c r="L343" s="124"/>
      <c r="M343" s="125"/>
      <c r="N343" s="59">
        <f t="shared" si="841"/>
        <v>2</v>
      </c>
      <c r="O343" s="126"/>
      <c r="P343" s="125"/>
      <c r="Q343" s="59">
        <f t="shared" si="842"/>
        <v>2</v>
      </c>
      <c r="R343" s="126"/>
      <c r="S343" s="125"/>
      <c r="T343" s="61">
        <f t="shared" si="843"/>
        <v>2</v>
      </c>
      <c r="U343" s="126"/>
      <c r="V343" s="125"/>
      <c r="W343" s="59">
        <f t="shared" si="844"/>
        <v>2</v>
      </c>
      <c r="X343" s="126"/>
      <c r="Y343" s="125"/>
      <c r="Z343" s="61">
        <f t="shared" si="845"/>
        <v>2</v>
      </c>
      <c r="AA343" s="126"/>
      <c r="AB343" s="125"/>
      <c r="AC343" s="59">
        <f t="shared" si="846"/>
        <v>2</v>
      </c>
      <c r="AD343" s="124"/>
      <c r="AE343" s="125"/>
      <c r="AF343" s="243">
        <f t="shared" si="847"/>
        <v>2</v>
      </c>
      <c r="AG343" s="60"/>
      <c r="AH343" s="58"/>
      <c r="AI343" s="62">
        <f t="shared" si="848"/>
        <v>2</v>
      </c>
      <c r="AJ343" s="60"/>
      <c r="AK343" s="58"/>
      <c r="AL343" s="62">
        <f t="shared" si="849"/>
        <v>2</v>
      </c>
      <c r="AM343" s="60"/>
      <c r="AN343" s="58"/>
      <c r="AO343" s="62">
        <f t="shared" si="850"/>
        <v>2</v>
      </c>
      <c r="AP343" s="60"/>
      <c r="AQ343" s="58"/>
      <c r="AR343" s="62">
        <f t="shared" si="851"/>
        <v>2</v>
      </c>
      <c r="AS343" s="60"/>
      <c r="AT343" s="58"/>
      <c r="AU343" s="62">
        <f t="shared" si="852"/>
        <v>2</v>
      </c>
      <c r="AV343" s="83">
        <f t="shared" si="853"/>
        <v>0</v>
      </c>
      <c r="AW343" s="83">
        <f t="shared" si="709"/>
        <v>0</v>
      </c>
      <c r="AX343" s="64">
        <f t="shared" si="854"/>
        <v>0</v>
      </c>
      <c r="AY343" s="65" t="e">
        <f t="shared" si="820"/>
        <v>#DIV/0!</v>
      </c>
      <c r="AZ343" s="66">
        <f t="shared" si="821"/>
        <v>0</v>
      </c>
      <c r="BA343" s="67">
        <f>MAX(0, Table176252626[[#This Row],[Column6]])</f>
        <v>2</v>
      </c>
      <c r="BB343" s="68">
        <v>1</v>
      </c>
      <c r="BC343" s="84">
        <f t="shared" si="777"/>
        <v>2</v>
      </c>
      <c r="BD343" s="83">
        <f t="shared" si="775"/>
        <v>1</v>
      </c>
      <c r="BE343" s="85">
        <v>2</v>
      </c>
      <c r="BF343" s="86">
        <v>43195.417361111111</v>
      </c>
      <c r="BG343" s="72">
        <f t="shared" si="802"/>
        <v>46265</v>
      </c>
      <c r="BH343" s="87">
        <f t="shared" si="822"/>
        <v>3069.5826388888891</v>
      </c>
      <c r="BI343" s="80" t="str">
        <f t="shared" si="776"/>
        <v>Dead Stock</v>
      </c>
      <c r="BJ343" s="238">
        <v>15000</v>
      </c>
    </row>
    <row r="344" spans="1:293" ht="13">
      <c r="A344" s="90"/>
      <c r="B344" s="91"/>
      <c r="C344" s="51">
        <v>341</v>
      </c>
      <c r="D344" s="78" t="s">
        <v>1518</v>
      </c>
      <c r="E344" s="78">
        <v>11</v>
      </c>
      <c r="F344" s="80" t="s">
        <v>1033</v>
      </c>
      <c r="G344" s="81" t="s">
        <v>1032</v>
      </c>
      <c r="H344" s="81" t="s">
        <v>297</v>
      </c>
      <c r="I344" s="80" t="s">
        <v>458</v>
      </c>
      <c r="J344" s="82">
        <f t="shared" si="855"/>
        <v>1</v>
      </c>
      <c r="K344" s="80">
        <v>1</v>
      </c>
      <c r="L344" s="57"/>
      <c r="M344" s="58"/>
      <c r="N344" s="59">
        <f t="shared" si="841"/>
        <v>1</v>
      </c>
      <c r="O344" s="60"/>
      <c r="P344" s="58"/>
      <c r="Q344" s="59">
        <f t="shared" si="842"/>
        <v>1</v>
      </c>
      <c r="R344" s="60"/>
      <c r="S344" s="58"/>
      <c r="T344" s="61">
        <f t="shared" si="843"/>
        <v>1</v>
      </c>
      <c r="U344" s="60"/>
      <c r="V344" s="58"/>
      <c r="W344" s="59">
        <f t="shared" si="844"/>
        <v>1</v>
      </c>
      <c r="X344" s="60"/>
      <c r="Y344" s="58"/>
      <c r="Z344" s="61">
        <f t="shared" si="845"/>
        <v>1</v>
      </c>
      <c r="AA344" s="60"/>
      <c r="AB344" s="58"/>
      <c r="AC344" s="59">
        <f t="shared" si="846"/>
        <v>1</v>
      </c>
      <c r="AD344" s="57"/>
      <c r="AE344" s="58"/>
      <c r="AF344" s="243">
        <f t="shared" si="847"/>
        <v>1</v>
      </c>
      <c r="AG344" s="60"/>
      <c r="AH344" s="58"/>
      <c r="AI344" s="62">
        <f t="shared" si="848"/>
        <v>1</v>
      </c>
      <c r="AJ344" s="60"/>
      <c r="AK344" s="58"/>
      <c r="AL344" s="62">
        <f t="shared" si="849"/>
        <v>1</v>
      </c>
      <c r="AM344" s="60"/>
      <c r="AN344" s="58"/>
      <c r="AO344" s="62">
        <f t="shared" ref="AO344" si="856">SUM(AL344+AM344-AN344)</f>
        <v>1</v>
      </c>
      <c r="AP344" s="60"/>
      <c r="AQ344" s="58"/>
      <c r="AR344" s="104">
        <f t="shared" ref="AR344" si="857">SUM(AO344+AP344-AQ344)</f>
        <v>1</v>
      </c>
      <c r="AS344" s="57"/>
      <c r="AT344" s="58"/>
      <c r="AU344" s="62">
        <f t="shared" si="852"/>
        <v>1</v>
      </c>
      <c r="AV344" s="84">
        <f t="shared" si="853"/>
        <v>0</v>
      </c>
      <c r="AW344" s="83">
        <f t="shared" si="853"/>
        <v>0</v>
      </c>
      <c r="AX344" s="64">
        <f t="shared" si="854"/>
        <v>0</v>
      </c>
      <c r="AY344" s="65" t="e">
        <f t="shared" si="820"/>
        <v>#DIV/0!</v>
      </c>
      <c r="AZ344" s="66">
        <f t="shared" si="821"/>
        <v>0</v>
      </c>
      <c r="BA344" s="67">
        <f>MAX(0, Table176252626[[#This Row],[Column6]])</f>
        <v>1</v>
      </c>
      <c r="BB344" s="68">
        <v>0</v>
      </c>
      <c r="BC344" s="84">
        <f t="shared" si="777"/>
        <v>1</v>
      </c>
      <c r="BD344" s="83">
        <f t="shared" si="775"/>
        <v>1</v>
      </c>
      <c r="BE344" s="85">
        <v>2</v>
      </c>
      <c r="BF344" s="86">
        <v>44532.542060185187</v>
      </c>
      <c r="BG344" s="72">
        <f t="shared" si="802"/>
        <v>46265</v>
      </c>
      <c r="BH344" s="107">
        <f t="shared" ref="BH344" si="858">BG344-BF344</f>
        <v>1732.4579398148126</v>
      </c>
      <c r="BI344" s="80" t="str">
        <f t="shared" si="776"/>
        <v>Dead Stock</v>
      </c>
      <c r="BJ344" s="238">
        <v>95000</v>
      </c>
    </row>
    <row r="345" spans="1:293" ht="13">
      <c r="A345" s="49"/>
      <c r="B345" s="76"/>
      <c r="C345" s="51">
        <v>342</v>
      </c>
      <c r="D345" s="117" t="s">
        <v>721</v>
      </c>
      <c r="E345" s="117">
        <v>1</v>
      </c>
      <c r="F345" s="80" t="s">
        <v>1025</v>
      </c>
      <c r="G345" s="81" t="s">
        <v>1343</v>
      </c>
      <c r="H345" s="81" t="s">
        <v>464</v>
      </c>
      <c r="I345" s="80" t="s">
        <v>458</v>
      </c>
      <c r="J345" s="82">
        <f t="shared" ref="J345:J348" si="859">AU345</f>
        <v>2</v>
      </c>
      <c r="K345" s="88">
        <v>2</v>
      </c>
      <c r="L345" s="57"/>
      <c r="M345" s="58"/>
      <c r="N345" s="59">
        <f t="shared" ref="N345:N348" si="860">SUM(K345+L345-M345)</f>
        <v>2</v>
      </c>
      <c r="O345" s="60"/>
      <c r="P345" s="58"/>
      <c r="Q345" s="59">
        <f t="shared" ref="Q345:Q348" si="861">SUM(N345+O345-P345)</f>
        <v>2</v>
      </c>
      <c r="R345" s="60"/>
      <c r="S345" s="58"/>
      <c r="T345" s="61">
        <f t="shared" ref="T345:T348" si="862">SUM(Q345+R345-S345)</f>
        <v>2</v>
      </c>
      <c r="U345" s="60"/>
      <c r="V345" s="58"/>
      <c r="W345" s="59">
        <f t="shared" ref="W345:W348" si="863">SUM(T345+U345-V345)</f>
        <v>2</v>
      </c>
      <c r="X345" s="60"/>
      <c r="Y345" s="58"/>
      <c r="Z345" s="61">
        <f t="shared" ref="Z345:Z348" si="864">SUM(W345+X345-Y345)</f>
        <v>2</v>
      </c>
      <c r="AA345" s="60"/>
      <c r="AB345" s="58"/>
      <c r="AC345" s="59">
        <f t="shared" ref="AC345:AC348" si="865">SUM(Z345+AA345-AB345)</f>
        <v>2</v>
      </c>
      <c r="AD345" s="57"/>
      <c r="AE345" s="58"/>
      <c r="AF345" s="243">
        <f t="shared" ref="AF345:AF348" si="866">SUM(AC345+AD345-AE345)</f>
        <v>2</v>
      </c>
      <c r="AG345" s="60"/>
      <c r="AH345" s="58"/>
      <c r="AI345" s="62">
        <f t="shared" ref="AI345:AI348" si="867">SUM(AF345+AG345-AH345)</f>
        <v>2</v>
      </c>
      <c r="AJ345" s="60"/>
      <c r="AK345" s="58"/>
      <c r="AL345" s="62">
        <f t="shared" ref="AL345:AL348" si="868">SUM(AI345+AJ345-AK345)</f>
        <v>2</v>
      </c>
      <c r="AM345" s="60"/>
      <c r="AN345" s="58"/>
      <c r="AO345" s="62">
        <f t="shared" ref="AO345:AO348" si="869">SUM(AL345+AM345-AN345)</f>
        <v>2</v>
      </c>
      <c r="AP345" s="60"/>
      <c r="AQ345" s="58"/>
      <c r="AR345" s="62">
        <f t="shared" ref="AR345:AR348" si="870">SUM(AO345+AP345-AQ345)</f>
        <v>2</v>
      </c>
      <c r="AS345" s="60"/>
      <c r="AT345" s="58"/>
      <c r="AU345" s="62">
        <f t="shared" ref="AU345:AU348" si="871">SUM(AR345+AS345-AT345)</f>
        <v>2</v>
      </c>
      <c r="AV345" s="83">
        <f t="shared" ref="AV345:AV348" si="872">SUM(L345+O345+R345+U345+X345+AA345+AD345+AG345+AJ345+AM345+AP345+AS345)</f>
        <v>0</v>
      </c>
      <c r="AW345" s="83">
        <f t="shared" si="853"/>
        <v>0</v>
      </c>
      <c r="AX345" s="64">
        <f t="shared" ref="AX345:AX348" si="873">SUM(M345,P345,S345,V345,Y345,AB345,AE345,AH345,AK345,AN345,AQ345,AT345)</f>
        <v>0</v>
      </c>
      <c r="AY345" s="65" t="e">
        <f t="shared" ref="AY345:AY348" si="874">AVERAGE(M345,P345,S345,V345,Y345,AB345,AE345,AH345,AK345,AN345,AQ345,AT345)</f>
        <v>#DIV/0!</v>
      </c>
      <c r="AZ345" s="66">
        <f t="shared" ref="AZ345:AZ348" si="875">COUNT(M345,P345,S345,V345,Y345,AB345,AE345,AH345,AK345,AN345,AQ345,AT345)</f>
        <v>0</v>
      </c>
      <c r="BA345" s="67">
        <f>MAX(0, Table176252626[[#This Row],[Column6]])</f>
        <v>2</v>
      </c>
      <c r="BB345" s="68">
        <v>1</v>
      </c>
      <c r="BC345" s="84">
        <f t="shared" si="777"/>
        <v>2</v>
      </c>
      <c r="BD345" s="83">
        <f t="shared" si="775"/>
        <v>1</v>
      </c>
      <c r="BE345" s="85">
        <v>2</v>
      </c>
      <c r="BF345" s="86">
        <v>43350.467638888891</v>
      </c>
      <c r="BG345" s="72">
        <f t="shared" si="802"/>
        <v>46265</v>
      </c>
      <c r="BH345" s="87">
        <f t="shared" ref="BH345:BH348" si="876">BG345-BF345</f>
        <v>2914.5323611111089</v>
      </c>
      <c r="BI345" s="80" t="str">
        <f t="shared" si="776"/>
        <v>Dead Stock</v>
      </c>
      <c r="BJ345" s="238">
        <v>666</v>
      </c>
    </row>
    <row r="346" spans="1:293" ht="13">
      <c r="A346" s="49"/>
      <c r="B346" s="50"/>
      <c r="C346" s="51">
        <v>343</v>
      </c>
      <c r="D346" s="117" t="s">
        <v>721</v>
      </c>
      <c r="E346" s="117">
        <v>1</v>
      </c>
      <c r="F346" s="80" t="s">
        <v>679</v>
      </c>
      <c r="G346" s="81" t="s">
        <v>1342</v>
      </c>
      <c r="H346" s="81" t="s">
        <v>464</v>
      </c>
      <c r="I346" s="80" t="s">
        <v>458</v>
      </c>
      <c r="J346" s="82">
        <f t="shared" si="859"/>
        <v>4</v>
      </c>
      <c r="K346" s="88">
        <v>4</v>
      </c>
      <c r="L346" s="57"/>
      <c r="M346" s="58"/>
      <c r="N346" s="59">
        <f t="shared" si="860"/>
        <v>4</v>
      </c>
      <c r="O346" s="60"/>
      <c r="P346" s="58"/>
      <c r="Q346" s="59">
        <f t="shared" si="861"/>
        <v>4</v>
      </c>
      <c r="R346" s="60"/>
      <c r="S346" s="58"/>
      <c r="T346" s="61">
        <f t="shared" si="862"/>
        <v>4</v>
      </c>
      <c r="U346" s="60"/>
      <c r="V346" s="58"/>
      <c r="W346" s="59">
        <f t="shared" si="863"/>
        <v>4</v>
      </c>
      <c r="X346" s="60"/>
      <c r="Y346" s="58"/>
      <c r="Z346" s="61">
        <f t="shared" si="864"/>
        <v>4</v>
      </c>
      <c r="AA346" s="60"/>
      <c r="AB346" s="58"/>
      <c r="AC346" s="59">
        <f t="shared" si="865"/>
        <v>4</v>
      </c>
      <c r="AD346" s="57"/>
      <c r="AE346" s="58"/>
      <c r="AF346" s="243">
        <f t="shared" si="866"/>
        <v>4</v>
      </c>
      <c r="AG346" s="60"/>
      <c r="AH346" s="58"/>
      <c r="AI346" s="62">
        <f t="shared" si="867"/>
        <v>4</v>
      </c>
      <c r="AJ346" s="60"/>
      <c r="AK346" s="58"/>
      <c r="AL346" s="62">
        <f t="shared" si="868"/>
        <v>4</v>
      </c>
      <c r="AM346" s="60"/>
      <c r="AN346" s="58"/>
      <c r="AO346" s="62">
        <f t="shared" si="869"/>
        <v>4</v>
      </c>
      <c r="AP346" s="60"/>
      <c r="AQ346" s="58"/>
      <c r="AR346" s="62">
        <f t="shared" si="870"/>
        <v>4</v>
      </c>
      <c r="AS346" s="60"/>
      <c r="AT346" s="58"/>
      <c r="AU346" s="62">
        <f t="shared" si="871"/>
        <v>4</v>
      </c>
      <c r="AV346" s="83">
        <f t="shared" si="872"/>
        <v>0</v>
      </c>
      <c r="AW346" s="83">
        <f t="shared" si="853"/>
        <v>0</v>
      </c>
      <c r="AX346" s="64">
        <f t="shared" si="873"/>
        <v>0</v>
      </c>
      <c r="AY346" s="65" t="e">
        <f t="shared" si="874"/>
        <v>#DIV/0!</v>
      </c>
      <c r="AZ346" s="66">
        <f t="shared" si="875"/>
        <v>0</v>
      </c>
      <c r="BA346" s="67">
        <f>MAX(0, Table176252626[[#This Row],[Column6]])</f>
        <v>4</v>
      </c>
      <c r="BB346" s="68">
        <v>1</v>
      </c>
      <c r="BC346" s="84">
        <f t="shared" si="777"/>
        <v>4</v>
      </c>
      <c r="BD346" s="83">
        <f t="shared" si="775"/>
        <v>3</v>
      </c>
      <c r="BE346" s="85">
        <v>2</v>
      </c>
      <c r="BF346" s="86">
        <v>43350.467638888891</v>
      </c>
      <c r="BG346" s="72">
        <f t="shared" si="802"/>
        <v>46265</v>
      </c>
      <c r="BH346" s="87">
        <f t="shared" si="876"/>
        <v>2914.5323611111089</v>
      </c>
      <c r="BI346" s="80" t="str">
        <f t="shared" si="776"/>
        <v>Dead Stock</v>
      </c>
      <c r="BJ346" s="238">
        <v>855</v>
      </c>
    </row>
    <row r="347" spans="1:293" ht="13">
      <c r="A347" s="75"/>
      <c r="B347" s="76"/>
      <c r="C347" s="77">
        <v>344</v>
      </c>
      <c r="D347" s="117" t="s">
        <v>721</v>
      </c>
      <c r="E347" s="117">
        <v>2</v>
      </c>
      <c r="F347" s="121" t="s">
        <v>379</v>
      </c>
      <c r="G347" s="122" t="s">
        <v>380</v>
      </c>
      <c r="H347" s="81" t="s">
        <v>296</v>
      </c>
      <c r="I347" s="80" t="s">
        <v>458</v>
      </c>
      <c r="J347" s="82">
        <f t="shared" si="859"/>
        <v>16</v>
      </c>
      <c r="K347" s="80">
        <v>16</v>
      </c>
      <c r="L347" s="57"/>
      <c r="M347" s="58"/>
      <c r="N347" s="59">
        <f t="shared" si="860"/>
        <v>16</v>
      </c>
      <c r="O347" s="60"/>
      <c r="P347" s="58"/>
      <c r="Q347" s="59">
        <f t="shared" si="861"/>
        <v>16</v>
      </c>
      <c r="R347" s="60"/>
      <c r="S347" s="58"/>
      <c r="T347" s="61">
        <f t="shared" si="862"/>
        <v>16</v>
      </c>
      <c r="U347" s="60"/>
      <c r="V347" s="58"/>
      <c r="W347" s="59">
        <f t="shared" si="863"/>
        <v>16</v>
      </c>
      <c r="X347" s="60"/>
      <c r="Y347" s="58"/>
      <c r="Z347" s="61">
        <f t="shared" si="864"/>
        <v>16</v>
      </c>
      <c r="AA347" s="60"/>
      <c r="AB347" s="58"/>
      <c r="AC347" s="59">
        <f t="shared" si="865"/>
        <v>16</v>
      </c>
      <c r="AD347" s="57"/>
      <c r="AE347" s="58"/>
      <c r="AF347" s="243">
        <f t="shared" si="866"/>
        <v>16</v>
      </c>
      <c r="AG347" s="60"/>
      <c r="AH347" s="58"/>
      <c r="AI347" s="62">
        <f t="shared" si="867"/>
        <v>16</v>
      </c>
      <c r="AJ347" s="60"/>
      <c r="AK347" s="58"/>
      <c r="AL347" s="62">
        <f t="shared" si="868"/>
        <v>16</v>
      </c>
      <c r="AM347" s="60"/>
      <c r="AN347" s="58"/>
      <c r="AO347" s="62">
        <f t="shared" si="869"/>
        <v>16</v>
      </c>
      <c r="AP347" s="60"/>
      <c r="AQ347" s="58"/>
      <c r="AR347" s="62">
        <f t="shared" si="870"/>
        <v>16</v>
      </c>
      <c r="AS347" s="60"/>
      <c r="AT347" s="58"/>
      <c r="AU347" s="62">
        <f t="shared" si="871"/>
        <v>16</v>
      </c>
      <c r="AV347" s="83">
        <f t="shared" si="872"/>
        <v>0</v>
      </c>
      <c r="AW347" s="83">
        <f t="shared" si="853"/>
        <v>0</v>
      </c>
      <c r="AX347" s="64">
        <f t="shared" si="873"/>
        <v>0</v>
      </c>
      <c r="AY347" s="65" t="e">
        <f t="shared" si="874"/>
        <v>#DIV/0!</v>
      </c>
      <c r="AZ347" s="66">
        <f t="shared" si="875"/>
        <v>0</v>
      </c>
      <c r="BA347" s="67">
        <f>MAX(0, Table176252626[[#This Row],[Column6]])</f>
        <v>16</v>
      </c>
      <c r="BB347" s="68">
        <v>1</v>
      </c>
      <c r="BC347" s="84">
        <f t="shared" si="777"/>
        <v>16</v>
      </c>
      <c r="BD347" s="83">
        <f t="shared" si="775"/>
        <v>15</v>
      </c>
      <c r="BE347" s="85">
        <v>2</v>
      </c>
      <c r="BF347" s="86">
        <v>43105.470717592594</v>
      </c>
      <c r="BG347" s="72">
        <f t="shared" si="802"/>
        <v>46265</v>
      </c>
      <c r="BH347" s="87">
        <f t="shared" si="876"/>
        <v>3159.5292824074058</v>
      </c>
      <c r="BI347" s="80" t="str">
        <f t="shared" si="776"/>
        <v>Dead Stock</v>
      </c>
      <c r="BJ347" s="238">
        <v>3500</v>
      </c>
    </row>
    <row r="348" spans="1:293" ht="13">
      <c r="A348" s="49"/>
      <c r="B348" s="76"/>
      <c r="C348" s="77">
        <v>345</v>
      </c>
      <c r="D348" s="117" t="s">
        <v>721</v>
      </c>
      <c r="E348" s="117">
        <v>3</v>
      </c>
      <c r="F348" s="80" t="s">
        <v>599</v>
      </c>
      <c r="G348" s="81" t="s">
        <v>600</v>
      </c>
      <c r="H348" s="81" t="s">
        <v>464</v>
      </c>
      <c r="I348" s="80" t="s">
        <v>458</v>
      </c>
      <c r="J348" s="82">
        <f t="shared" si="859"/>
        <v>2</v>
      </c>
      <c r="K348" s="80">
        <v>2</v>
      </c>
      <c r="L348" s="57"/>
      <c r="M348" s="58"/>
      <c r="N348" s="59">
        <f t="shared" si="860"/>
        <v>2</v>
      </c>
      <c r="O348" s="60"/>
      <c r="P348" s="58"/>
      <c r="Q348" s="59">
        <f t="shared" si="861"/>
        <v>2</v>
      </c>
      <c r="R348" s="60"/>
      <c r="S348" s="58"/>
      <c r="T348" s="61">
        <f t="shared" si="862"/>
        <v>2</v>
      </c>
      <c r="U348" s="60"/>
      <c r="V348" s="58"/>
      <c r="W348" s="59">
        <f t="shared" si="863"/>
        <v>2</v>
      </c>
      <c r="X348" s="60"/>
      <c r="Y348" s="58"/>
      <c r="Z348" s="61">
        <f t="shared" si="864"/>
        <v>2</v>
      </c>
      <c r="AA348" s="60"/>
      <c r="AB348" s="58"/>
      <c r="AC348" s="59">
        <f t="shared" si="865"/>
        <v>2</v>
      </c>
      <c r="AD348" s="57"/>
      <c r="AE348" s="58"/>
      <c r="AF348" s="243">
        <f t="shared" si="866"/>
        <v>2</v>
      </c>
      <c r="AG348" s="60"/>
      <c r="AH348" s="58"/>
      <c r="AI348" s="62">
        <f t="shared" si="867"/>
        <v>2</v>
      </c>
      <c r="AJ348" s="60"/>
      <c r="AK348" s="58"/>
      <c r="AL348" s="62">
        <f t="shared" si="868"/>
        <v>2</v>
      </c>
      <c r="AM348" s="60"/>
      <c r="AN348" s="58"/>
      <c r="AO348" s="62">
        <f t="shared" si="869"/>
        <v>2</v>
      </c>
      <c r="AP348" s="60"/>
      <c r="AQ348" s="58"/>
      <c r="AR348" s="62">
        <f t="shared" si="870"/>
        <v>2</v>
      </c>
      <c r="AS348" s="60"/>
      <c r="AT348" s="58"/>
      <c r="AU348" s="62">
        <f t="shared" si="871"/>
        <v>2</v>
      </c>
      <c r="AV348" s="83">
        <f t="shared" si="872"/>
        <v>0</v>
      </c>
      <c r="AW348" s="83">
        <f t="shared" si="853"/>
        <v>0</v>
      </c>
      <c r="AX348" s="64">
        <f t="shared" si="873"/>
        <v>0</v>
      </c>
      <c r="AY348" s="65" t="e">
        <f t="shared" si="874"/>
        <v>#DIV/0!</v>
      </c>
      <c r="AZ348" s="66">
        <f t="shared" si="875"/>
        <v>0</v>
      </c>
      <c r="BA348" s="67">
        <f>MAX(0, Table176252626[[#This Row],[Column6]])</f>
        <v>2</v>
      </c>
      <c r="BB348" s="68">
        <v>1</v>
      </c>
      <c r="BC348" s="84">
        <f t="shared" si="777"/>
        <v>2</v>
      </c>
      <c r="BD348" s="83">
        <f t="shared" si="775"/>
        <v>1</v>
      </c>
      <c r="BE348" s="85">
        <v>2</v>
      </c>
      <c r="BF348" s="86">
        <v>43350.462754629632</v>
      </c>
      <c r="BG348" s="72">
        <f t="shared" si="802"/>
        <v>46265</v>
      </c>
      <c r="BH348" s="87">
        <f t="shared" si="876"/>
        <v>2914.5372453703676</v>
      </c>
      <c r="BI348" s="80" t="str">
        <f t="shared" si="776"/>
        <v>Dead Stock</v>
      </c>
      <c r="BJ348" s="238">
        <v>4455</v>
      </c>
    </row>
    <row r="349" spans="1:293" ht="13">
      <c r="A349" s="49"/>
      <c r="B349" s="50"/>
      <c r="C349" s="51">
        <v>346</v>
      </c>
      <c r="D349" s="117" t="s">
        <v>721</v>
      </c>
      <c r="E349" s="117">
        <v>6</v>
      </c>
      <c r="F349" s="54" t="s">
        <v>754</v>
      </c>
      <c r="G349" s="55" t="s">
        <v>755</v>
      </c>
      <c r="H349" s="81" t="s">
        <v>464</v>
      </c>
      <c r="I349" s="80" t="s">
        <v>458</v>
      </c>
      <c r="J349" s="82">
        <f t="shared" ref="J349" si="877">AU349</f>
        <v>2</v>
      </c>
      <c r="K349" s="80">
        <v>2</v>
      </c>
      <c r="L349" s="124"/>
      <c r="M349" s="125"/>
      <c r="N349" s="59">
        <f t="shared" ref="N349" si="878">SUM(K349+L349-M349)</f>
        <v>2</v>
      </c>
      <c r="O349" s="126"/>
      <c r="P349" s="125"/>
      <c r="Q349" s="59">
        <f t="shared" ref="Q349" si="879">SUM(N349+O349-P349)</f>
        <v>2</v>
      </c>
      <c r="R349" s="126"/>
      <c r="S349" s="125"/>
      <c r="T349" s="61">
        <f t="shared" ref="T349" si="880">SUM(Q349+R349-S349)</f>
        <v>2</v>
      </c>
      <c r="U349" s="126"/>
      <c r="V349" s="125"/>
      <c r="W349" s="59">
        <f t="shared" ref="W349" si="881">SUM(T349+U349-V349)</f>
        <v>2</v>
      </c>
      <c r="X349" s="126"/>
      <c r="Y349" s="125"/>
      <c r="Z349" s="61">
        <f t="shared" ref="Z349" si="882">SUM(W349+X349-Y349)</f>
        <v>2</v>
      </c>
      <c r="AA349" s="126"/>
      <c r="AB349" s="125"/>
      <c r="AC349" s="59">
        <f t="shared" ref="AC349" si="883">SUM(Z349+AA349-AB349)</f>
        <v>2</v>
      </c>
      <c r="AD349" s="124"/>
      <c r="AE349" s="125"/>
      <c r="AF349" s="243">
        <f t="shared" ref="AF349" si="884">SUM(AC349+AD349-AE349)</f>
        <v>2</v>
      </c>
      <c r="AG349" s="126"/>
      <c r="AH349" s="125"/>
      <c r="AI349" s="62">
        <f t="shared" ref="AI349" si="885">SUM(AF349+AG349-AH349)</f>
        <v>2</v>
      </c>
      <c r="AJ349" s="126"/>
      <c r="AK349" s="125"/>
      <c r="AL349" s="62">
        <f t="shared" ref="AL349" si="886">SUM(AI349+AJ349-AK349)</f>
        <v>2</v>
      </c>
      <c r="AM349" s="126"/>
      <c r="AN349" s="125"/>
      <c r="AO349" s="59">
        <f t="shared" ref="AO349" si="887">SUM(AL349+AM349-AN349)</f>
        <v>2</v>
      </c>
      <c r="AP349" s="126"/>
      <c r="AQ349" s="125"/>
      <c r="AR349" s="59">
        <f t="shared" ref="AR349" si="888">SUM(AO349+AP349-AQ349)</f>
        <v>2</v>
      </c>
      <c r="AS349" s="126"/>
      <c r="AT349" s="125"/>
      <c r="AU349" s="59">
        <f t="shared" ref="AU349" si="889">SUM(AR349+AS349-AT349)</f>
        <v>2</v>
      </c>
      <c r="AV349" s="83">
        <f t="shared" ref="AV349" si="890">SUM(L349+O349+R349+U349+X349+AA349+AD349+AG349+AJ349+AM349+AP349+AS349)</f>
        <v>0</v>
      </c>
      <c r="AW349" s="83">
        <f t="shared" si="853"/>
        <v>0</v>
      </c>
      <c r="AX349" s="64">
        <f t="shared" ref="AX349" si="891">SUM(M349,P349,S349,V349,Y349,AB349,AE349,AH349,AK349,AN349,AQ349,AT349)</f>
        <v>0</v>
      </c>
      <c r="AY349" s="65" t="e">
        <f t="shared" ref="AY349" si="892">AVERAGE(M349,P349,S349,V349,Y349,AB349,AE349,AH349,AK349,AN349,AQ349,AT349)</f>
        <v>#DIV/0!</v>
      </c>
      <c r="AZ349" s="66">
        <f t="shared" ref="AZ349" si="893">COUNT(M349,P349,S349,V349,Y349,AB349,AE349,AH349,AK349,AN349,AQ349,AT349)</f>
        <v>0</v>
      </c>
      <c r="BA349" s="67">
        <f>MAX(0, Table176252626[[#This Row],[Column6]])</f>
        <v>2</v>
      </c>
      <c r="BB349" s="68">
        <v>1</v>
      </c>
      <c r="BC349" s="84">
        <f t="shared" si="777"/>
        <v>2</v>
      </c>
      <c r="BD349" s="83">
        <f t="shared" si="775"/>
        <v>1</v>
      </c>
      <c r="BE349" s="85">
        <v>2</v>
      </c>
      <c r="BF349" s="86">
        <v>43686.445532407408</v>
      </c>
      <c r="BG349" s="72">
        <f t="shared" si="802"/>
        <v>46265</v>
      </c>
      <c r="BH349" s="87">
        <f t="shared" ref="BH349" si="894">BG349-BF349</f>
        <v>2578.5544675925921</v>
      </c>
      <c r="BI349" s="80" t="str">
        <f t="shared" si="776"/>
        <v>Dead Stock</v>
      </c>
      <c r="BJ349" s="238">
        <v>6700</v>
      </c>
    </row>
    <row r="350" spans="1:293" ht="13">
      <c r="A350" s="49"/>
      <c r="B350" s="50"/>
      <c r="C350" s="51">
        <v>347</v>
      </c>
      <c r="D350" s="117" t="s">
        <v>721</v>
      </c>
      <c r="E350" s="117">
        <v>7</v>
      </c>
      <c r="F350" s="80" t="s">
        <v>230</v>
      </c>
      <c r="G350" s="81" t="s">
        <v>1783</v>
      </c>
      <c r="H350" s="81" t="s">
        <v>296</v>
      </c>
      <c r="I350" s="80" t="s">
        <v>458</v>
      </c>
      <c r="J350" s="82">
        <f t="shared" ref="J350:J360" si="895">AU350</f>
        <v>2</v>
      </c>
      <c r="K350" s="80">
        <v>0</v>
      </c>
      <c r="L350" s="57">
        <v>1</v>
      </c>
      <c r="M350" s="58">
        <v>1</v>
      </c>
      <c r="N350" s="59">
        <f t="shared" ref="N350:N360" si="896">SUM(K350+L350-M350)</f>
        <v>0</v>
      </c>
      <c r="O350" s="60"/>
      <c r="P350" s="58"/>
      <c r="Q350" s="59">
        <f t="shared" ref="Q350:Q360" si="897">SUM(N350+O350-P350)</f>
        <v>0</v>
      </c>
      <c r="R350" s="60">
        <f>1+1</f>
        <v>2</v>
      </c>
      <c r="S350" s="58"/>
      <c r="T350" s="61">
        <f t="shared" ref="T350:T360" si="898">SUM(Q350+R350-S350)</f>
        <v>2</v>
      </c>
      <c r="U350" s="60"/>
      <c r="V350" s="58"/>
      <c r="W350" s="59">
        <f t="shared" ref="W350:W360" si="899">SUM(T350+U350-V350)</f>
        <v>2</v>
      </c>
      <c r="X350" s="60"/>
      <c r="Y350" s="58"/>
      <c r="Z350" s="61">
        <f t="shared" ref="Z350:Z360" si="900">SUM(W350+X350-Y350)</f>
        <v>2</v>
      </c>
      <c r="AA350" s="60"/>
      <c r="AB350" s="58"/>
      <c r="AC350" s="59">
        <f t="shared" ref="AC350:AC359" si="901">SUM(Z350+AA350-AB350)</f>
        <v>2</v>
      </c>
      <c r="AD350" s="57"/>
      <c r="AE350" s="58">
        <v>1</v>
      </c>
      <c r="AF350" s="243">
        <f t="shared" ref="AF350:AF360" si="902">SUM(AC350+AD350-AE350)</f>
        <v>1</v>
      </c>
      <c r="AG350" s="60">
        <v>1</v>
      </c>
      <c r="AH350" s="58"/>
      <c r="AI350" s="62">
        <f t="shared" ref="AI350:AI360" si="903">SUM(AF350+AG350-AH350)</f>
        <v>2</v>
      </c>
      <c r="AJ350" s="60"/>
      <c r="AK350" s="58"/>
      <c r="AL350" s="62">
        <f t="shared" ref="AL350:AL360" si="904">SUM(AI350+AJ350-AK350)</f>
        <v>2</v>
      </c>
      <c r="AM350" s="60"/>
      <c r="AN350" s="58"/>
      <c r="AO350" s="62">
        <f t="shared" ref="AO350:AO360" si="905">SUM(AL350+AM350-AN350)</f>
        <v>2</v>
      </c>
      <c r="AP350" s="60"/>
      <c r="AQ350" s="58"/>
      <c r="AR350" s="62">
        <f t="shared" ref="AR350:AR360" si="906">SUM(AO350+AP350-AQ350)</f>
        <v>2</v>
      </c>
      <c r="AS350" s="60"/>
      <c r="AT350" s="58"/>
      <c r="AU350" s="62">
        <f t="shared" ref="AU350:AU360" si="907">SUM(AR350+AS350-AT350)</f>
        <v>2</v>
      </c>
      <c r="AV350" s="83">
        <f t="shared" ref="AV350:AW364" si="908">SUM(L350+O350+R350+U350+X350+AA350+AD350+AG350+AJ350+AM350+AP350+AS350)</f>
        <v>4</v>
      </c>
      <c r="AW350" s="83">
        <f t="shared" si="853"/>
        <v>2</v>
      </c>
      <c r="AX350" s="64">
        <f t="shared" ref="AX350:AX360" si="909">SUM(M350,P350,S350,V350,Y350,AB350,AE350,AH350,AK350,AN350,AQ350,AT350)</f>
        <v>2</v>
      </c>
      <c r="AY350" s="65">
        <f t="shared" ref="AY350:AY360" si="910">AVERAGE(M350,P350,S350,V350,Y350,AB350,AE350,AH350,AK350,AN350,AQ350,AT350)</f>
        <v>1</v>
      </c>
      <c r="AZ350" s="66">
        <f t="shared" ref="AZ350:AZ360" si="911">COUNT(M350,P350,S350,V350,Y350,AB350,AE350,AH350,AK350,AN350,AQ350,AT350)</f>
        <v>2</v>
      </c>
      <c r="BA350" s="67">
        <f>MAX(0, Table176252626[[#This Row],[Column6]])</f>
        <v>2</v>
      </c>
      <c r="BB350" s="68">
        <v>0</v>
      </c>
      <c r="BC350" s="84">
        <f t="shared" si="777"/>
        <v>2</v>
      </c>
      <c r="BD350" s="83">
        <f t="shared" si="775"/>
        <v>2</v>
      </c>
      <c r="BE350" s="85">
        <v>2</v>
      </c>
      <c r="BF350" s="86">
        <v>46101</v>
      </c>
      <c r="BG350" s="72">
        <f t="shared" si="802"/>
        <v>46265</v>
      </c>
      <c r="BH350" s="87">
        <f t="shared" ref="BH350:BH360" si="912">BG350-BF350</f>
        <v>164</v>
      </c>
      <c r="BI350" s="80" t="str">
        <f t="shared" si="776"/>
        <v/>
      </c>
      <c r="BJ350" s="238">
        <v>22000</v>
      </c>
    </row>
    <row r="351" spans="1:293" ht="13">
      <c r="A351" s="49"/>
      <c r="B351" s="50"/>
      <c r="C351" s="51">
        <v>348</v>
      </c>
      <c r="D351" s="117" t="s">
        <v>721</v>
      </c>
      <c r="E351" s="117">
        <v>8</v>
      </c>
      <c r="F351" s="80" t="s">
        <v>394</v>
      </c>
      <c r="G351" s="81" t="s">
        <v>1432</v>
      </c>
      <c r="H351" s="81" t="s">
        <v>296</v>
      </c>
      <c r="I351" s="80" t="s">
        <v>458</v>
      </c>
      <c r="J351" s="82">
        <f t="shared" si="895"/>
        <v>2</v>
      </c>
      <c r="K351" s="80">
        <v>3</v>
      </c>
      <c r="L351" s="57"/>
      <c r="M351" s="58"/>
      <c r="N351" s="59">
        <f t="shared" si="896"/>
        <v>3</v>
      </c>
      <c r="O351" s="60"/>
      <c r="P351" s="58"/>
      <c r="Q351" s="59">
        <f t="shared" si="897"/>
        <v>3</v>
      </c>
      <c r="R351" s="60"/>
      <c r="S351" s="58"/>
      <c r="T351" s="61">
        <f t="shared" si="898"/>
        <v>3</v>
      </c>
      <c r="U351" s="60"/>
      <c r="V351" s="58"/>
      <c r="W351" s="59">
        <f t="shared" si="899"/>
        <v>3</v>
      </c>
      <c r="X351" s="60"/>
      <c r="Y351" s="58"/>
      <c r="Z351" s="61">
        <f t="shared" si="900"/>
        <v>3</v>
      </c>
      <c r="AA351" s="60"/>
      <c r="AB351" s="58"/>
      <c r="AC351" s="59">
        <f t="shared" si="901"/>
        <v>3</v>
      </c>
      <c r="AD351" s="57"/>
      <c r="AE351" s="58"/>
      <c r="AF351" s="243">
        <f t="shared" si="902"/>
        <v>3</v>
      </c>
      <c r="AG351" s="60"/>
      <c r="AH351" s="58">
        <v>1</v>
      </c>
      <c r="AI351" s="62">
        <f t="shared" si="903"/>
        <v>2</v>
      </c>
      <c r="AJ351" s="60"/>
      <c r="AK351" s="58"/>
      <c r="AL351" s="62">
        <f t="shared" si="904"/>
        <v>2</v>
      </c>
      <c r="AM351" s="60"/>
      <c r="AN351" s="58"/>
      <c r="AO351" s="62">
        <f t="shared" si="905"/>
        <v>2</v>
      </c>
      <c r="AP351" s="60"/>
      <c r="AQ351" s="58"/>
      <c r="AR351" s="62">
        <f t="shared" si="906"/>
        <v>2</v>
      </c>
      <c r="AS351" s="60"/>
      <c r="AT351" s="58"/>
      <c r="AU351" s="62">
        <f t="shared" si="907"/>
        <v>2</v>
      </c>
      <c r="AV351" s="83">
        <f t="shared" si="908"/>
        <v>0</v>
      </c>
      <c r="AW351" s="83">
        <f t="shared" si="853"/>
        <v>1</v>
      </c>
      <c r="AX351" s="64">
        <f t="shared" si="909"/>
        <v>1</v>
      </c>
      <c r="AY351" s="65">
        <f t="shared" si="910"/>
        <v>1</v>
      </c>
      <c r="AZ351" s="66">
        <f t="shared" si="911"/>
        <v>1</v>
      </c>
      <c r="BA351" s="67">
        <v>3</v>
      </c>
      <c r="BB351" s="68">
        <v>1</v>
      </c>
      <c r="BC351" s="84">
        <f t="shared" si="777"/>
        <v>2</v>
      </c>
      <c r="BD351" s="83">
        <f t="shared" si="775"/>
        <v>1</v>
      </c>
      <c r="BE351" s="85">
        <v>2</v>
      </c>
      <c r="BF351" s="86">
        <v>44848.550567129627</v>
      </c>
      <c r="BG351" s="72">
        <f t="shared" si="802"/>
        <v>46265</v>
      </c>
      <c r="BH351" s="107">
        <f t="shared" si="912"/>
        <v>1416.4494328703731</v>
      </c>
      <c r="BI351" s="80" t="str">
        <f t="shared" si="776"/>
        <v>Dead Stock</v>
      </c>
      <c r="BJ351" s="238">
        <v>7425</v>
      </c>
    </row>
    <row r="352" spans="1:293" ht="13">
      <c r="A352" s="49"/>
      <c r="B352" s="76"/>
      <c r="C352" s="51">
        <v>349</v>
      </c>
      <c r="D352" s="117" t="s">
        <v>721</v>
      </c>
      <c r="E352" s="117">
        <v>9</v>
      </c>
      <c r="F352" s="133" t="s">
        <v>751</v>
      </c>
      <c r="G352" s="130" t="s">
        <v>752</v>
      </c>
      <c r="H352" s="81" t="s">
        <v>296</v>
      </c>
      <c r="I352" s="80" t="s">
        <v>458</v>
      </c>
      <c r="J352" s="82">
        <f t="shared" si="895"/>
        <v>1</v>
      </c>
      <c r="K352" s="80">
        <v>1</v>
      </c>
      <c r="L352" s="124"/>
      <c r="M352" s="125"/>
      <c r="N352" s="59">
        <f t="shared" si="896"/>
        <v>1</v>
      </c>
      <c r="O352" s="126"/>
      <c r="P352" s="125"/>
      <c r="Q352" s="59">
        <f t="shared" si="897"/>
        <v>1</v>
      </c>
      <c r="R352" s="126"/>
      <c r="S352" s="125"/>
      <c r="T352" s="61">
        <f t="shared" si="898"/>
        <v>1</v>
      </c>
      <c r="U352" s="126"/>
      <c r="V352" s="125"/>
      <c r="W352" s="59">
        <f t="shared" si="899"/>
        <v>1</v>
      </c>
      <c r="X352" s="126"/>
      <c r="Y352" s="125"/>
      <c r="Z352" s="61">
        <f t="shared" si="900"/>
        <v>1</v>
      </c>
      <c r="AA352" s="126"/>
      <c r="AB352" s="125"/>
      <c r="AC352" s="59">
        <f t="shared" si="901"/>
        <v>1</v>
      </c>
      <c r="AD352" s="124"/>
      <c r="AE352" s="125"/>
      <c r="AF352" s="243">
        <f t="shared" si="902"/>
        <v>1</v>
      </c>
      <c r="AG352" s="126"/>
      <c r="AH352" s="125"/>
      <c r="AI352" s="62">
        <f t="shared" si="903"/>
        <v>1</v>
      </c>
      <c r="AJ352" s="126"/>
      <c r="AK352" s="125"/>
      <c r="AL352" s="62">
        <f t="shared" si="904"/>
        <v>1</v>
      </c>
      <c r="AM352" s="126"/>
      <c r="AN352" s="125"/>
      <c r="AO352" s="59">
        <f t="shared" si="905"/>
        <v>1</v>
      </c>
      <c r="AP352" s="126"/>
      <c r="AQ352" s="125"/>
      <c r="AR352" s="59">
        <f t="shared" si="906"/>
        <v>1</v>
      </c>
      <c r="AS352" s="126"/>
      <c r="AT352" s="125"/>
      <c r="AU352" s="59">
        <f t="shared" si="907"/>
        <v>1</v>
      </c>
      <c r="AV352" s="83">
        <f t="shared" si="908"/>
        <v>0</v>
      </c>
      <c r="AW352" s="83">
        <f t="shared" si="908"/>
        <v>0</v>
      </c>
      <c r="AX352" s="64">
        <f t="shared" si="909"/>
        <v>0</v>
      </c>
      <c r="AY352" s="65" t="e">
        <f t="shared" si="910"/>
        <v>#DIV/0!</v>
      </c>
      <c r="AZ352" s="66">
        <f t="shared" si="911"/>
        <v>0</v>
      </c>
      <c r="BA352" s="67">
        <f>MAX(0, Table176252626[[#This Row],[Column6]])</f>
        <v>1</v>
      </c>
      <c r="BB352" s="68">
        <v>0</v>
      </c>
      <c r="BC352" s="84">
        <f t="shared" si="777"/>
        <v>1</v>
      </c>
      <c r="BD352" s="83">
        <f t="shared" si="775"/>
        <v>1</v>
      </c>
      <c r="BE352" s="85">
        <v>2</v>
      </c>
      <c r="BF352" s="86">
        <v>44673.538287037038</v>
      </c>
      <c r="BG352" s="72">
        <f t="shared" si="802"/>
        <v>46265</v>
      </c>
      <c r="BH352" s="87">
        <f t="shared" si="912"/>
        <v>1591.4617129629623</v>
      </c>
      <c r="BI352" s="80" t="str">
        <f t="shared" si="776"/>
        <v>Dead Stock</v>
      </c>
      <c r="BJ352" s="238">
        <v>14760</v>
      </c>
    </row>
    <row r="353" spans="1:62" ht="12.75" customHeight="1">
      <c r="A353" s="49"/>
      <c r="B353" s="50"/>
      <c r="C353" s="77">
        <v>350</v>
      </c>
      <c r="D353" s="117" t="s">
        <v>721</v>
      </c>
      <c r="E353" s="117">
        <v>10</v>
      </c>
      <c r="F353" s="88" t="s">
        <v>1245</v>
      </c>
      <c r="G353" s="89" t="s">
        <v>1246</v>
      </c>
      <c r="H353" s="89" t="s">
        <v>464</v>
      </c>
      <c r="I353" s="88" t="s">
        <v>458</v>
      </c>
      <c r="J353" s="93">
        <f>AU353</f>
        <v>2</v>
      </c>
      <c r="K353" s="88">
        <v>4</v>
      </c>
      <c r="L353" s="58"/>
      <c r="M353" s="58">
        <v>1</v>
      </c>
      <c r="N353" s="58">
        <f>SUM(K353+L353-M353)</f>
        <v>3</v>
      </c>
      <c r="O353" s="58"/>
      <c r="P353" s="58"/>
      <c r="Q353" s="58">
        <f>SUM(N353+O353-P353)</f>
        <v>3</v>
      </c>
      <c r="R353" s="58"/>
      <c r="S353" s="58"/>
      <c r="T353" s="58">
        <f>SUM(Q353+R353-S353)</f>
        <v>3</v>
      </c>
      <c r="U353" s="58"/>
      <c r="V353" s="58">
        <v>1</v>
      </c>
      <c r="W353" s="58">
        <f>SUM(T353+U353-V353)</f>
        <v>2</v>
      </c>
      <c r="X353" s="58">
        <v>1</v>
      </c>
      <c r="Y353" s="58">
        <v>1</v>
      </c>
      <c r="Z353" s="58">
        <f>SUM(W353+X353-Y353)</f>
        <v>2</v>
      </c>
      <c r="AA353" s="58"/>
      <c r="AB353" s="58"/>
      <c r="AC353" s="104">
        <f>SUM(Z353+AA353-AB353)</f>
        <v>2</v>
      </c>
      <c r="AD353" s="58"/>
      <c r="AE353" s="58">
        <v>1</v>
      </c>
      <c r="AF353" s="104">
        <f>SUM(AC353+AD353-AE353)</f>
        <v>1</v>
      </c>
      <c r="AG353" s="58">
        <v>1</v>
      </c>
      <c r="AH353" s="58"/>
      <c r="AI353" s="104">
        <f>SUM(AF353+AG353-AH353)</f>
        <v>2</v>
      </c>
      <c r="AJ353" s="58"/>
      <c r="AK353" s="58"/>
      <c r="AL353" s="104">
        <f>SUM(AI353+AJ353-AK353)</f>
        <v>2</v>
      </c>
      <c r="AM353" s="58"/>
      <c r="AN353" s="58"/>
      <c r="AO353" s="62">
        <f>SUM(AL353+AM353-AN353)</f>
        <v>2</v>
      </c>
      <c r="AP353" s="58"/>
      <c r="AQ353" s="58"/>
      <c r="AR353" s="104">
        <f>SUM(AO353+AP353-AQ353)</f>
        <v>2</v>
      </c>
      <c r="AS353" s="58"/>
      <c r="AT353" s="58"/>
      <c r="AU353" s="104">
        <f>SUM(AR353+AS353-AT353)</f>
        <v>2</v>
      </c>
      <c r="AV353" s="123">
        <f>SUM(L353+O353+R353+U353+X353+AA353+AD353+AG353+AJ353+AM353+AP353+AS353)</f>
        <v>2</v>
      </c>
      <c r="AW353" s="83">
        <f t="shared" si="908"/>
        <v>4</v>
      </c>
      <c r="AX353" s="64">
        <f>SUM(M353,P353,S353,V353,Y353,AB353,AE353,AH353,AK353,AN353,AQ353,AT353)</f>
        <v>4</v>
      </c>
      <c r="AY353" s="65">
        <f>AVERAGE(M353,P353,S353,V353,Y353,AB353,AE353,AH353,AK353,AN353,AQ353,AT353)</f>
        <v>1</v>
      </c>
      <c r="AZ353" s="66">
        <f>COUNT(M353,P353,S353,V353,Y353,AB353,AE353,AH353,AK353,AN353,AQ353,AT353)</f>
        <v>4</v>
      </c>
      <c r="BA353" s="67">
        <f>MAX(0, Table176252626[[#This Row],[Column6]])</f>
        <v>2</v>
      </c>
      <c r="BB353" s="68">
        <v>1</v>
      </c>
      <c r="BC353" s="84">
        <f t="shared" si="777"/>
        <v>2</v>
      </c>
      <c r="BD353" s="83">
        <f t="shared" si="775"/>
        <v>1</v>
      </c>
      <c r="BE353" s="85">
        <v>2</v>
      </c>
      <c r="BF353" s="86">
        <v>46170</v>
      </c>
      <c r="BG353" s="72">
        <f t="shared" si="802"/>
        <v>46265</v>
      </c>
      <c r="BH353" s="87">
        <f>BG353-BF353</f>
        <v>95</v>
      </c>
      <c r="BI353" s="80" t="str">
        <f t="shared" si="776"/>
        <v/>
      </c>
      <c r="BJ353" s="238">
        <v>27000</v>
      </c>
    </row>
    <row r="354" spans="1:62" ht="13">
      <c r="A354" s="49"/>
      <c r="B354" s="76"/>
      <c r="C354" s="77">
        <v>351</v>
      </c>
      <c r="D354" s="117" t="s">
        <v>721</v>
      </c>
      <c r="E354" s="117">
        <v>11</v>
      </c>
      <c r="F354" s="80" t="s">
        <v>6</v>
      </c>
      <c r="G354" s="81" t="s">
        <v>2036</v>
      </c>
      <c r="H354" s="81" t="s">
        <v>296</v>
      </c>
      <c r="I354" s="80" t="s">
        <v>458</v>
      </c>
      <c r="J354" s="82">
        <f t="shared" si="895"/>
        <v>5</v>
      </c>
      <c r="K354" s="80">
        <v>6</v>
      </c>
      <c r="L354" s="57"/>
      <c r="M354" s="58"/>
      <c r="N354" s="59">
        <f t="shared" si="896"/>
        <v>6</v>
      </c>
      <c r="O354" s="60"/>
      <c r="P354" s="58">
        <v>1</v>
      </c>
      <c r="Q354" s="59">
        <f t="shared" si="897"/>
        <v>5</v>
      </c>
      <c r="R354" s="60"/>
      <c r="S354" s="58">
        <v>1</v>
      </c>
      <c r="T354" s="61">
        <f t="shared" si="898"/>
        <v>4</v>
      </c>
      <c r="U354" s="60"/>
      <c r="V354" s="58"/>
      <c r="W354" s="59">
        <f t="shared" si="899"/>
        <v>4</v>
      </c>
      <c r="X354" s="60"/>
      <c r="Y354" s="58"/>
      <c r="Z354" s="61">
        <f t="shared" si="900"/>
        <v>4</v>
      </c>
      <c r="AA354" s="60"/>
      <c r="AB354" s="58"/>
      <c r="AC354" s="59">
        <f t="shared" si="901"/>
        <v>4</v>
      </c>
      <c r="AD354" s="57"/>
      <c r="AE354" s="58">
        <f>1+1</f>
        <v>2</v>
      </c>
      <c r="AF354" s="243">
        <f t="shared" si="902"/>
        <v>2</v>
      </c>
      <c r="AG354" s="60">
        <f>2+2</f>
        <v>4</v>
      </c>
      <c r="AH354" s="58">
        <v>1</v>
      </c>
      <c r="AI354" s="62">
        <f t="shared" si="903"/>
        <v>5</v>
      </c>
      <c r="AJ354" s="60"/>
      <c r="AK354" s="58"/>
      <c r="AL354" s="62">
        <f t="shared" si="904"/>
        <v>5</v>
      </c>
      <c r="AM354" s="60"/>
      <c r="AN354" s="58"/>
      <c r="AO354" s="62">
        <f t="shared" si="905"/>
        <v>5</v>
      </c>
      <c r="AP354" s="60"/>
      <c r="AQ354" s="58"/>
      <c r="AR354" s="62">
        <f t="shared" si="906"/>
        <v>5</v>
      </c>
      <c r="AS354" s="60"/>
      <c r="AT354" s="58"/>
      <c r="AU354" s="62">
        <f t="shared" si="907"/>
        <v>5</v>
      </c>
      <c r="AV354" s="83">
        <f t="shared" si="908"/>
        <v>4</v>
      </c>
      <c r="AW354" s="83">
        <f t="shared" si="908"/>
        <v>5</v>
      </c>
      <c r="AX354" s="64">
        <f t="shared" si="909"/>
        <v>5</v>
      </c>
      <c r="AY354" s="65">
        <f t="shared" si="910"/>
        <v>1.25</v>
      </c>
      <c r="AZ354" s="66">
        <f t="shared" si="911"/>
        <v>4</v>
      </c>
      <c r="BA354" s="67">
        <f>MAX(0, Table176252626[[#This Row],[Column6]])</f>
        <v>5</v>
      </c>
      <c r="BB354" s="68">
        <v>1</v>
      </c>
      <c r="BC354" s="84">
        <f t="shared" si="777"/>
        <v>5</v>
      </c>
      <c r="BD354" s="83">
        <f t="shared" si="775"/>
        <v>4</v>
      </c>
      <c r="BE354" s="85">
        <v>2</v>
      </c>
      <c r="BF354" s="86">
        <v>46251</v>
      </c>
      <c r="BG354" s="72">
        <f t="shared" si="802"/>
        <v>46265</v>
      </c>
      <c r="BH354" s="87">
        <f t="shared" si="912"/>
        <v>14</v>
      </c>
      <c r="BI354" s="80" t="str">
        <f t="shared" si="776"/>
        <v/>
      </c>
      <c r="BJ354" s="238">
        <v>20250</v>
      </c>
    </row>
    <row r="355" spans="1:62" ht="13">
      <c r="A355" s="49"/>
      <c r="B355" s="50"/>
      <c r="C355" s="51">
        <v>352</v>
      </c>
      <c r="D355" s="117" t="s">
        <v>721</v>
      </c>
      <c r="E355" s="117">
        <v>12</v>
      </c>
      <c r="F355" s="80" t="s">
        <v>61</v>
      </c>
      <c r="G355" s="81" t="s">
        <v>2037</v>
      </c>
      <c r="H355" s="81" t="s">
        <v>296</v>
      </c>
      <c r="I355" s="80" t="s">
        <v>458</v>
      </c>
      <c r="J355" s="82">
        <f t="shared" si="895"/>
        <v>3</v>
      </c>
      <c r="K355" s="80">
        <v>5</v>
      </c>
      <c r="L355" s="57"/>
      <c r="M355" s="58"/>
      <c r="N355" s="59">
        <f t="shared" si="896"/>
        <v>5</v>
      </c>
      <c r="O355" s="60"/>
      <c r="P355" s="58"/>
      <c r="Q355" s="59">
        <f t="shared" si="897"/>
        <v>5</v>
      </c>
      <c r="R355" s="60"/>
      <c r="S355" s="58"/>
      <c r="T355" s="61">
        <f t="shared" si="898"/>
        <v>5</v>
      </c>
      <c r="U355" s="60"/>
      <c r="V355" s="58"/>
      <c r="W355" s="59">
        <f t="shared" si="899"/>
        <v>5</v>
      </c>
      <c r="X355" s="60"/>
      <c r="Y355" s="58">
        <v>1</v>
      </c>
      <c r="Z355" s="61">
        <f t="shared" si="900"/>
        <v>4</v>
      </c>
      <c r="AA355" s="60"/>
      <c r="AB355" s="58">
        <v>1</v>
      </c>
      <c r="AC355" s="59">
        <f t="shared" si="901"/>
        <v>3</v>
      </c>
      <c r="AD355" s="57"/>
      <c r="AE355" s="58"/>
      <c r="AF355" s="243">
        <f t="shared" si="902"/>
        <v>3</v>
      </c>
      <c r="AG355" s="60"/>
      <c r="AH355" s="58"/>
      <c r="AI355" s="62">
        <f t="shared" si="903"/>
        <v>3</v>
      </c>
      <c r="AJ355" s="60"/>
      <c r="AK355" s="58"/>
      <c r="AL355" s="62">
        <f t="shared" si="904"/>
        <v>3</v>
      </c>
      <c r="AM355" s="60"/>
      <c r="AN355" s="58"/>
      <c r="AO355" s="62">
        <f t="shared" si="905"/>
        <v>3</v>
      </c>
      <c r="AP355" s="60"/>
      <c r="AQ355" s="58"/>
      <c r="AR355" s="62">
        <f t="shared" si="906"/>
        <v>3</v>
      </c>
      <c r="AS355" s="60"/>
      <c r="AT355" s="58"/>
      <c r="AU355" s="62">
        <f t="shared" si="907"/>
        <v>3</v>
      </c>
      <c r="AV355" s="83">
        <f t="shared" si="908"/>
        <v>0</v>
      </c>
      <c r="AW355" s="83">
        <f t="shared" si="908"/>
        <v>2</v>
      </c>
      <c r="AX355" s="64">
        <f t="shared" si="909"/>
        <v>2</v>
      </c>
      <c r="AY355" s="65">
        <f t="shared" si="910"/>
        <v>1</v>
      </c>
      <c r="AZ355" s="66">
        <f t="shared" si="911"/>
        <v>2</v>
      </c>
      <c r="BA355" s="67">
        <v>3</v>
      </c>
      <c r="BB355" s="68">
        <v>1</v>
      </c>
      <c r="BC355" s="84">
        <f t="shared" si="777"/>
        <v>3</v>
      </c>
      <c r="BD355" s="83">
        <f t="shared" si="775"/>
        <v>2</v>
      </c>
      <c r="BE355" s="85">
        <v>2</v>
      </c>
      <c r="BF355" s="86">
        <v>45582.587523148148</v>
      </c>
      <c r="BG355" s="72">
        <f t="shared" si="802"/>
        <v>46265</v>
      </c>
      <c r="BH355" s="87">
        <f t="shared" si="912"/>
        <v>682.41247685185226</v>
      </c>
      <c r="BI355" s="80" t="str">
        <f t="shared" si="776"/>
        <v>Dead Stock</v>
      </c>
      <c r="BJ355" s="238">
        <v>1890</v>
      </c>
    </row>
    <row r="356" spans="1:62" ht="13">
      <c r="A356" s="49"/>
      <c r="B356" s="76"/>
      <c r="C356" s="51">
        <v>353</v>
      </c>
      <c r="D356" s="117" t="s">
        <v>721</v>
      </c>
      <c r="E356" s="117">
        <v>13</v>
      </c>
      <c r="F356" s="80" t="s">
        <v>133</v>
      </c>
      <c r="G356" s="81" t="s">
        <v>1247</v>
      </c>
      <c r="H356" s="81" t="s">
        <v>296</v>
      </c>
      <c r="I356" s="80" t="s">
        <v>458</v>
      </c>
      <c r="J356" s="82">
        <f>AU356</f>
        <v>6</v>
      </c>
      <c r="K356" s="80">
        <v>11</v>
      </c>
      <c r="L356" s="57"/>
      <c r="M356" s="58">
        <f>1</f>
        <v>1</v>
      </c>
      <c r="N356" s="59">
        <f>SUM(K356+L356-M356)</f>
        <v>10</v>
      </c>
      <c r="O356" s="60"/>
      <c r="P356" s="58"/>
      <c r="Q356" s="59">
        <f>SUM(N356+O356-P356)</f>
        <v>10</v>
      </c>
      <c r="R356" s="60"/>
      <c r="S356" s="58">
        <v>2</v>
      </c>
      <c r="T356" s="61">
        <f>SUM(Q356+R356-S356)</f>
        <v>8</v>
      </c>
      <c r="U356" s="60"/>
      <c r="V356" s="58"/>
      <c r="W356" s="59">
        <f>SUM(T356+U356-V356)</f>
        <v>8</v>
      </c>
      <c r="X356" s="60"/>
      <c r="Y356" s="58"/>
      <c r="Z356" s="61">
        <f>SUM(W356+X356-Y356)</f>
        <v>8</v>
      </c>
      <c r="AA356" s="60"/>
      <c r="AB356" s="58"/>
      <c r="AC356" s="59">
        <f>SUM(Z356+AA356-AB356)</f>
        <v>8</v>
      </c>
      <c r="AD356" s="57"/>
      <c r="AE356" s="58"/>
      <c r="AF356" s="243">
        <f>SUM(AC356+AD356-AE356)</f>
        <v>8</v>
      </c>
      <c r="AG356" s="60"/>
      <c r="AH356" s="58">
        <f>1+1</f>
        <v>2</v>
      </c>
      <c r="AI356" s="62">
        <f>SUM(AF356+AG356-AH356)</f>
        <v>6</v>
      </c>
      <c r="AJ356" s="60"/>
      <c r="AK356" s="58"/>
      <c r="AL356" s="62">
        <f>SUM(AI356+AJ356-AK356)</f>
        <v>6</v>
      </c>
      <c r="AM356" s="60"/>
      <c r="AN356" s="58"/>
      <c r="AO356" s="62">
        <f>SUM(AL356+AM356-AN356)</f>
        <v>6</v>
      </c>
      <c r="AP356" s="60"/>
      <c r="AQ356" s="58"/>
      <c r="AR356" s="62">
        <f>SUM(AO356+AP356-AQ356)</f>
        <v>6</v>
      </c>
      <c r="AS356" s="60"/>
      <c r="AT356" s="58"/>
      <c r="AU356" s="62">
        <f>SUM(AR356+AS356-AT356)</f>
        <v>6</v>
      </c>
      <c r="AV356" s="83">
        <f>SUM(L356+O356+R356+U356+X356+AA356+AD356+AG356+AJ356+AM356+AP356+AS356)</f>
        <v>0</v>
      </c>
      <c r="AW356" s="83">
        <f t="shared" si="908"/>
        <v>5</v>
      </c>
      <c r="AX356" s="64">
        <f>SUM(M356,P356,S356,V356,Y356,AB356,AE356,AH356,AK356,AN356,AQ356,AT356)</f>
        <v>5</v>
      </c>
      <c r="AY356" s="65">
        <f>AVERAGE(M356,P356,S356,V356,Y356,AB356,AE356,AH356,AK356,AN356,AQ356,AT356)</f>
        <v>1.6666666666666667</v>
      </c>
      <c r="AZ356" s="66">
        <f>COUNT(M356,P356,S356,V356,Y356,AB356,AE356,AH356,AK356,AN356,AQ356,AT356)</f>
        <v>3</v>
      </c>
      <c r="BA356" s="67">
        <f>MAX(0, Table176252626[[#This Row],[Column6]])</f>
        <v>6</v>
      </c>
      <c r="BB356" s="68">
        <v>1</v>
      </c>
      <c r="BC356" s="84">
        <f t="shared" si="777"/>
        <v>6</v>
      </c>
      <c r="BD356" s="83">
        <f t="shared" si="775"/>
        <v>5</v>
      </c>
      <c r="BE356" s="85">
        <v>2</v>
      </c>
      <c r="BF356" s="86">
        <v>45161.60769675926</v>
      </c>
      <c r="BG356" s="72">
        <f t="shared" si="802"/>
        <v>46265</v>
      </c>
      <c r="BH356" s="87">
        <f>BG356-BF356</f>
        <v>1103.3923032407401</v>
      </c>
      <c r="BI356" s="80" t="str">
        <f t="shared" si="776"/>
        <v>Dead Stock</v>
      </c>
      <c r="BJ356" s="238">
        <v>1080</v>
      </c>
    </row>
    <row r="357" spans="1:62" ht="13">
      <c r="A357" s="75"/>
      <c r="B357" s="76"/>
      <c r="C357" s="51">
        <v>354</v>
      </c>
      <c r="D357" s="117" t="s">
        <v>721</v>
      </c>
      <c r="E357" s="117">
        <v>14</v>
      </c>
      <c r="F357" s="80" t="s">
        <v>247</v>
      </c>
      <c r="G357" s="81" t="s">
        <v>248</v>
      </c>
      <c r="H357" s="81" t="s">
        <v>464</v>
      </c>
      <c r="I357" s="80" t="s">
        <v>458</v>
      </c>
      <c r="J357" s="82">
        <f t="shared" si="895"/>
        <v>2</v>
      </c>
      <c r="K357" s="80">
        <v>2</v>
      </c>
      <c r="L357" s="57"/>
      <c r="M357" s="58"/>
      <c r="N357" s="59">
        <f t="shared" si="896"/>
        <v>2</v>
      </c>
      <c r="O357" s="60"/>
      <c r="P357" s="58"/>
      <c r="Q357" s="59">
        <f t="shared" si="897"/>
        <v>2</v>
      </c>
      <c r="R357" s="60"/>
      <c r="S357" s="58">
        <v>1</v>
      </c>
      <c r="T357" s="61">
        <f t="shared" si="898"/>
        <v>1</v>
      </c>
      <c r="U357" s="60">
        <v>1</v>
      </c>
      <c r="V357" s="58"/>
      <c r="W357" s="59">
        <f t="shared" si="899"/>
        <v>2</v>
      </c>
      <c r="X357" s="60"/>
      <c r="Y357" s="58"/>
      <c r="Z357" s="61">
        <f t="shared" si="900"/>
        <v>2</v>
      </c>
      <c r="AA357" s="60"/>
      <c r="AB357" s="58"/>
      <c r="AC357" s="59">
        <f t="shared" si="901"/>
        <v>2</v>
      </c>
      <c r="AD357" s="57"/>
      <c r="AE357" s="58"/>
      <c r="AF357" s="243">
        <f t="shared" si="902"/>
        <v>2</v>
      </c>
      <c r="AG357" s="60">
        <v>1</v>
      </c>
      <c r="AH357" s="58">
        <v>1</v>
      </c>
      <c r="AI357" s="62">
        <f t="shared" si="903"/>
        <v>2</v>
      </c>
      <c r="AJ357" s="60"/>
      <c r="AK357" s="58"/>
      <c r="AL357" s="62">
        <f t="shared" si="904"/>
        <v>2</v>
      </c>
      <c r="AM357" s="60"/>
      <c r="AN357" s="58"/>
      <c r="AO357" s="62">
        <f t="shared" si="905"/>
        <v>2</v>
      </c>
      <c r="AP357" s="60"/>
      <c r="AQ357" s="58"/>
      <c r="AR357" s="62">
        <f t="shared" si="906"/>
        <v>2</v>
      </c>
      <c r="AS357" s="60"/>
      <c r="AT357" s="58"/>
      <c r="AU357" s="62">
        <f t="shared" si="907"/>
        <v>2</v>
      </c>
      <c r="AV357" s="83">
        <f t="shared" si="908"/>
        <v>2</v>
      </c>
      <c r="AW357" s="83">
        <f t="shared" si="908"/>
        <v>2</v>
      </c>
      <c r="AX357" s="64">
        <f t="shared" si="909"/>
        <v>2</v>
      </c>
      <c r="AY357" s="65">
        <f t="shared" si="910"/>
        <v>1</v>
      </c>
      <c r="AZ357" s="66">
        <f t="shared" si="911"/>
        <v>2</v>
      </c>
      <c r="BA357" s="67">
        <f>MAX(0, Table176252626[[#This Row],[Column6]])</f>
        <v>2</v>
      </c>
      <c r="BB357" s="68">
        <v>1</v>
      </c>
      <c r="BC357" s="84">
        <f t="shared" si="777"/>
        <v>2</v>
      </c>
      <c r="BD357" s="83">
        <f t="shared" si="775"/>
        <v>1</v>
      </c>
      <c r="BE357" s="85">
        <v>2</v>
      </c>
      <c r="BF357" s="86">
        <v>46140</v>
      </c>
      <c r="BG357" s="72">
        <f t="shared" si="802"/>
        <v>46265</v>
      </c>
      <c r="BH357" s="87">
        <f t="shared" si="912"/>
        <v>125</v>
      </c>
      <c r="BI357" s="80" t="str">
        <f t="shared" si="776"/>
        <v/>
      </c>
      <c r="BJ357" s="238">
        <v>29250</v>
      </c>
    </row>
    <row r="358" spans="1:62" ht="13">
      <c r="A358" s="90"/>
      <c r="B358" s="91"/>
      <c r="C358" s="51">
        <v>355</v>
      </c>
      <c r="D358" s="117" t="s">
        <v>721</v>
      </c>
      <c r="E358" s="117">
        <v>15</v>
      </c>
      <c r="F358" s="88" t="s">
        <v>1280</v>
      </c>
      <c r="G358" s="89" t="s">
        <v>1279</v>
      </c>
      <c r="H358" s="89" t="s">
        <v>296</v>
      </c>
      <c r="I358" s="88" t="s">
        <v>458</v>
      </c>
      <c r="J358" s="93">
        <f t="shared" si="895"/>
        <v>1</v>
      </c>
      <c r="K358" s="88">
        <v>1</v>
      </c>
      <c r="L358" s="58"/>
      <c r="M358" s="58"/>
      <c r="N358" s="62">
        <f t="shared" si="896"/>
        <v>1</v>
      </c>
      <c r="O358" s="60"/>
      <c r="P358" s="58"/>
      <c r="Q358" s="62">
        <f t="shared" si="897"/>
        <v>1</v>
      </c>
      <c r="R358" s="60"/>
      <c r="S358" s="58"/>
      <c r="T358" s="94">
        <f t="shared" si="898"/>
        <v>1</v>
      </c>
      <c r="U358" s="60"/>
      <c r="V358" s="58"/>
      <c r="W358" s="62">
        <f t="shared" si="899"/>
        <v>1</v>
      </c>
      <c r="X358" s="60"/>
      <c r="Y358" s="58"/>
      <c r="Z358" s="94">
        <f t="shared" si="900"/>
        <v>1</v>
      </c>
      <c r="AA358" s="60"/>
      <c r="AB358" s="58"/>
      <c r="AC358" s="62">
        <f t="shared" si="901"/>
        <v>1</v>
      </c>
      <c r="AD358" s="57"/>
      <c r="AE358" s="58"/>
      <c r="AF358" s="165">
        <f t="shared" si="902"/>
        <v>1</v>
      </c>
      <c r="AG358" s="60"/>
      <c r="AH358" s="58"/>
      <c r="AI358" s="62">
        <f t="shared" si="903"/>
        <v>1</v>
      </c>
      <c r="AJ358" s="60"/>
      <c r="AK358" s="58"/>
      <c r="AL358" s="62">
        <f t="shared" si="904"/>
        <v>1</v>
      </c>
      <c r="AM358" s="60"/>
      <c r="AN358" s="58"/>
      <c r="AO358" s="62">
        <f t="shared" si="905"/>
        <v>1</v>
      </c>
      <c r="AP358" s="60"/>
      <c r="AQ358" s="58"/>
      <c r="AR358" s="104">
        <f t="shared" si="906"/>
        <v>1</v>
      </c>
      <c r="AS358" s="60"/>
      <c r="AT358" s="58"/>
      <c r="AU358" s="62">
        <f t="shared" si="907"/>
        <v>1</v>
      </c>
      <c r="AV358" s="96">
        <f t="shared" si="908"/>
        <v>0</v>
      </c>
      <c r="AW358" s="83">
        <f t="shared" si="908"/>
        <v>0</v>
      </c>
      <c r="AX358" s="98">
        <f t="shared" si="909"/>
        <v>0</v>
      </c>
      <c r="AY358" s="99" t="e">
        <f t="shared" si="910"/>
        <v>#DIV/0!</v>
      </c>
      <c r="AZ358" s="100">
        <f t="shared" si="911"/>
        <v>0</v>
      </c>
      <c r="BA358" s="67">
        <f>MAX(0, Table176252626[[#This Row],[Column6]])</f>
        <v>1</v>
      </c>
      <c r="BB358" s="68">
        <v>0</v>
      </c>
      <c r="BC358" s="84">
        <f t="shared" si="777"/>
        <v>1</v>
      </c>
      <c r="BD358" s="83">
        <f t="shared" si="775"/>
        <v>1</v>
      </c>
      <c r="BE358" s="85">
        <v>2</v>
      </c>
      <c r="BF358" s="86">
        <v>45035.549375000002</v>
      </c>
      <c r="BG358" s="72">
        <f t="shared" si="802"/>
        <v>46265</v>
      </c>
      <c r="BH358" s="87">
        <f t="shared" si="912"/>
        <v>1229.4506249999977</v>
      </c>
      <c r="BI358" s="80" t="str">
        <f t="shared" si="776"/>
        <v>Dead Stock</v>
      </c>
      <c r="BJ358" s="238">
        <v>12278.25</v>
      </c>
    </row>
    <row r="359" spans="1:62" ht="13">
      <c r="A359" s="75"/>
      <c r="B359" s="76"/>
      <c r="C359" s="77">
        <v>356</v>
      </c>
      <c r="D359" s="117" t="s">
        <v>721</v>
      </c>
      <c r="E359" s="117">
        <v>16</v>
      </c>
      <c r="F359" s="90" t="s">
        <v>376</v>
      </c>
      <c r="G359" s="134" t="s">
        <v>1040</v>
      </c>
      <c r="H359" s="55" t="s">
        <v>296</v>
      </c>
      <c r="I359" s="80" t="s">
        <v>458</v>
      </c>
      <c r="J359" s="82">
        <f t="shared" si="895"/>
        <v>7</v>
      </c>
      <c r="K359" s="80">
        <v>7</v>
      </c>
      <c r="L359" s="57"/>
      <c r="M359" s="58">
        <f>1+1+1+1</f>
        <v>4</v>
      </c>
      <c r="N359" s="59">
        <f t="shared" si="896"/>
        <v>3</v>
      </c>
      <c r="O359" s="60"/>
      <c r="P359" s="58">
        <v>1</v>
      </c>
      <c r="Q359" s="59">
        <f t="shared" si="897"/>
        <v>2</v>
      </c>
      <c r="R359" s="60"/>
      <c r="S359" s="58"/>
      <c r="T359" s="61">
        <f t="shared" si="898"/>
        <v>2</v>
      </c>
      <c r="U359" s="60">
        <f>3+5</f>
        <v>8</v>
      </c>
      <c r="V359" s="58">
        <v>1</v>
      </c>
      <c r="W359" s="59">
        <f t="shared" si="899"/>
        <v>9</v>
      </c>
      <c r="X359" s="60"/>
      <c r="Y359" s="58">
        <v>3</v>
      </c>
      <c r="Z359" s="61">
        <f t="shared" si="900"/>
        <v>6</v>
      </c>
      <c r="AA359" s="60"/>
      <c r="AB359" s="58"/>
      <c r="AC359" s="59">
        <f t="shared" si="901"/>
        <v>6</v>
      </c>
      <c r="AD359" s="57"/>
      <c r="AE359" s="58">
        <f>1+1</f>
        <v>2</v>
      </c>
      <c r="AF359" s="243">
        <f t="shared" si="902"/>
        <v>4</v>
      </c>
      <c r="AG359" s="60">
        <v>3</v>
      </c>
      <c r="AH359" s="58"/>
      <c r="AI359" s="62">
        <f t="shared" si="903"/>
        <v>7</v>
      </c>
      <c r="AJ359" s="60"/>
      <c r="AK359" s="58"/>
      <c r="AL359" s="62">
        <f t="shared" si="904"/>
        <v>7</v>
      </c>
      <c r="AM359" s="60"/>
      <c r="AN359" s="58"/>
      <c r="AO359" s="62">
        <f t="shared" si="905"/>
        <v>7</v>
      </c>
      <c r="AP359" s="60"/>
      <c r="AQ359" s="58"/>
      <c r="AR359" s="62">
        <f t="shared" si="906"/>
        <v>7</v>
      </c>
      <c r="AS359" s="60"/>
      <c r="AT359" s="58"/>
      <c r="AU359" s="62">
        <f t="shared" si="907"/>
        <v>7</v>
      </c>
      <c r="AV359" s="83">
        <f t="shared" si="908"/>
        <v>11</v>
      </c>
      <c r="AW359" s="83">
        <f t="shared" si="908"/>
        <v>11</v>
      </c>
      <c r="AX359" s="64">
        <f t="shared" si="909"/>
        <v>11</v>
      </c>
      <c r="AY359" s="65">
        <f t="shared" si="910"/>
        <v>2.2000000000000002</v>
      </c>
      <c r="AZ359" s="66">
        <f t="shared" si="911"/>
        <v>5</v>
      </c>
      <c r="BA359" s="67">
        <f>MAX(0, Table176252626[[#This Row],[Column6]])</f>
        <v>7</v>
      </c>
      <c r="BB359" s="68">
        <v>1</v>
      </c>
      <c r="BC359" s="84">
        <f t="shared" si="777"/>
        <v>7</v>
      </c>
      <c r="BD359" s="83">
        <f t="shared" si="775"/>
        <v>6</v>
      </c>
      <c r="BE359" s="85">
        <v>2</v>
      </c>
      <c r="BF359" s="86">
        <v>46140</v>
      </c>
      <c r="BG359" s="72">
        <f t="shared" si="802"/>
        <v>46265</v>
      </c>
      <c r="BH359" s="87">
        <f t="shared" si="912"/>
        <v>125</v>
      </c>
      <c r="BI359" s="80" t="str">
        <f t="shared" si="776"/>
        <v/>
      </c>
      <c r="BJ359" s="238">
        <v>8316</v>
      </c>
    </row>
    <row r="360" spans="1:62" ht="13">
      <c r="A360" s="49"/>
      <c r="B360" s="50"/>
      <c r="C360" s="77">
        <v>357</v>
      </c>
      <c r="D360" s="117" t="s">
        <v>721</v>
      </c>
      <c r="E360" s="117">
        <v>17</v>
      </c>
      <c r="F360" s="54" t="s">
        <v>756</v>
      </c>
      <c r="G360" s="55" t="s">
        <v>753</v>
      </c>
      <c r="H360" s="81" t="s">
        <v>464</v>
      </c>
      <c r="I360" s="80" t="s">
        <v>458</v>
      </c>
      <c r="J360" s="82">
        <f t="shared" si="895"/>
        <v>1</v>
      </c>
      <c r="K360" s="80">
        <v>2</v>
      </c>
      <c r="L360" s="124"/>
      <c r="M360" s="125"/>
      <c r="N360" s="59">
        <f t="shared" si="896"/>
        <v>2</v>
      </c>
      <c r="O360" s="126"/>
      <c r="P360" s="125"/>
      <c r="Q360" s="59">
        <f t="shared" si="897"/>
        <v>2</v>
      </c>
      <c r="R360" s="126"/>
      <c r="S360" s="125"/>
      <c r="T360" s="61">
        <f t="shared" si="898"/>
        <v>2</v>
      </c>
      <c r="U360" s="126"/>
      <c r="V360" s="125"/>
      <c r="W360" s="59">
        <f t="shared" si="899"/>
        <v>2</v>
      </c>
      <c r="X360" s="126"/>
      <c r="Y360" s="125"/>
      <c r="Z360" s="61">
        <f t="shared" si="900"/>
        <v>2</v>
      </c>
      <c r="AA360" s="126"/>
      <c r="AB360" s="125">
        <v>1</v>
      </c>
      <c r="AC360" s="59">
        <f t="shared" ref="AC360" si="913">SUM(Z360+AA360-AB360)</f>
        <v>1</v>
      </c>
      <c r="AD360" s="124"/>
      <c r="AE360" s="125"/>
      <c r="AF360" s="243">
        <f t="shared" si="902"/>
        <v>1</v>
      </c>
      <c r="AG360" s="126"/>
      <c r="AH360" s="125"/>
      <c r="AI360" s="62">
        <f t="shared" si="903"/>
        <v>1</v>
      </c>
      <c r="AJ360" s="126"/>
      <c r="AK360" s="125"/>
      <c r="AL360" s="62">
        <f t="shared" si="904"/>
        <v>1</v>
      </c>
      <c r="AM360" s="126"/>
      <c r="AN360" s="125"/>
      <c r="AO360" s="59">
        <f t="shared" si="905"/>
        <v>1</v>
      </c>
      <c r="AP360" s="126"/>
      <c r="AQ360" s="125"/>
      <c r="AR360" s="59">
        <f t="shared" si="906"/>
        <v>1</v>
      </c>
      <c r="AS360" s="126"/>
      <c r="AT360" s="125"/>
      <c r="AU360" s="59">
        <f t="shared" si="907"/>
        <v>1</v>
      </c>
      <c r="AV360" s="83">
        <f t="shared" si="908"/>
        <v>0</v>
      </c>
      <c r="AW360" s="83">
        <f t="shared" si="908"/>
        <v>1</v>
      </c>
      <c r="AX360" s="64">
        <f t="shared" si="909"/>
        <v>1</v>
      </c>
      <c r="AY360" s="65">
        <f t="shared" si="910"/>
        <v>1</v>
      </c>
      <c r="AZ360" s="66">
        <f t="shared" si="911"/>
        <v>1</v>
      </c>
      <c r="BA360" s="67">
        <f>MAX(0, Table176252626[[#This Row],[Column6]])</f>
        <v>1</v>
      </c>
      <c r="BB360" s="68">
        <v>0</v>
      </c>
      <c r="BC360" s="84">
        <f t="shared" si="777"/>
        <v>1</v>
      </c>
      <c r="BD360" s="83">
        <f t="shared" si="775"/>
        <v>1</v>
      </c>
      <c r="BE360" s="85">
        <v>2</v>
      </c>
      <c r="BF360" s="86">
        <v>45415.688634259262</v>
      </c>
      <c r="BG360" s="72">
        <f t="shared" si="802"/>
        <v>46265</v>
      </c>
      <c r="BH360" s="87">
        <f t="shared" si="912"/>
        <v>849.31136574073753</v>
      </c>
      <c r="BI360" s="80" t="str">
        <f t="shared" si="776"/>
        <v>Dead Stock</v>
      </c>
      <c r="BJ360" s="238">
        <v>30240</v>
      </c>
    </row>
    <row r="361" spans="1:62" ht="13">
      <c r="A361" s="49"/>
      <c r="B361" s="76"/>
      <c r="C361" s="51">
        <v>358</v>
      </c>
      <c r="D361" s="117" t="s">
        <v>721</v>
      </c>
      <c r="E361" s="117">
        <v>18</v>
      </c>
      <c r="F361" s="88" t="s">
        <v>504</v>
      </c>
      <c r="G361" s="89" t="s">
        <v>505</v>
      </c>
      <c r="H361" s="89" t="s">
        <v>296</v>
      </c>
      <c r="I361" s="80" t="s">
        <v>458</v>
      </c>
      <c r="J361" s="93">
        <f t="shared" ref="J361" si="914">AU361</f>
        <v>1</v>
      </c>
      <c r="K361" s="80">
        <v>1</v>
      </c>
      <c r="L361" s="58"/>
      <c r="M361" s="58">
        <v>1</v>
      </c>
      <c r="N361" s="62">
        <f t="shared" ref="N361" si="915">SUM(K361+L361-M361)</f>
        <v>0</v>
      </c>
      <c r="O361" s="60"/>
      <c r="P361" s="58"/>
      <c r="Q361" s="62">
        <f t="shared" ref="Q361" si="916">SUM(N361+O361-P361)</f>
        <v>0</v>
      </c>
      <c r="R361" s="60">
        <v>1</v>
      </c>
      <c r="S361" s="58"/>
      <c r="T361" s="94">
        <f t="shared" ref="T361" si="917">SUM(Q361+R361-S361)</f>
        <v>1</v>
      </c>
      <c r="U361" s="60"/>
      <c r="V361" s="58">
        <v>1</v>
      </c>
      <c r="W361" s="62">
        <f t="shared" ref="W361" si="918">SUM(T361+U361-V361)</f>
        <v>0</v>
      </c>
      <c r="X361" s="60"/>
      <c r="Y361" s="58"/>
      <c r="Z361" s="94">
        <f t="shared" ref="Z361" si="919">SUM(W361+X361-Y361)</f>
        <v>0</v>
      </c>
      <c r="AA361" s="60">
        <v>1</v>
      </c>
      <c r="AB361" s="58"/>
      <c r="AC361" s="62">
        <f t="shared" ref="AC361" si="920">SUM(Z361+AA361-AB361)</f>
        <v>1</v>
      </c>
      <c r="AD361" s="57"/>
      <c r="AE361" s="58"/>
      <c r="AF361" s="165">
        <f t="shared" ref="AF361" si="921">SUM(AC361+AD361-AE361)</f>
        <v>1</v>
      </c>
      <c r="AG361" s="60"/>
      <c r="AH361" s="58"/>
      <c r="AI361" s="62">
        <f t="shared" ref="AI361" si="922">SUM(AF361+AG361-AH361)</f>
        <v>1</v>
      </c>
      <c r="AJ361" s="60"/>
      <c r="AK361" s="58"/>
      <c r="AL361" s="62">
        <f t="shared" ref="AL361" si="923">SUM(AI361+AJ361-AK361)</f>
        <v>1</v>
      </c>
      <c r="AM361" s="60"/>
      <c r="AN361" s="58"/>
      <c r="AO361" s="62">
        <f t="shared" ref="AO361" si="924">SUM(AL361+AM361-AN361)</f>
        <v>1</v>
      </c>
      <c r="AP361" s="60"/>
      <c r="AQ361" s="58"/>
      <c r="AR361" s="62">
        <f t="shared" ref="AR361" si="925">SUM(AO361+AP361-AQ361)</f>
        <v>1</v>
      </c>
      <c r="AS361" s="60"/>
      <c r="AT361" s="58"/>
      <c r="AU361" s="62">
        <f t="shared" ref="AU361" si="926">SUM(AR361+AS361-AT361)</f>
        <v>1</v>
      </c>
      <c r="AV361" s="96">
        <f t="shared" ref="AV361" si="927">SUM(L361+O361+R361+U361+X361+AA361+AD361+AG361+AJ361+AM361+AP361+AS361)</f>
        <v>2</v>
      </c>
      <c r="AW361" s="83">
        <f t="shared" si="908"/>
        <v>2</v>
      </c>
      <c r="AX361" s="98">
        <f t="shared" ref="AX361" si="928">SUM(M361,P361,S361,V361,Y361,AB361,AE361,AH361,AK361,AN361,AQ361,AT361)</f>
        <v>2</v>
      </c>
      <c r="AY361" s="99">
        <f t="shared" ref="AY361" si="929">AVERAGE(M361,P361,S361,V361,Y361,AB361,AE361,AH361,AK361,AN361,AQ361,AT361)</f>
        <v>1</v>
      </c>
      <c r="AZ361" s="100">
        <f t="shared" ref="AZ361" si="930">COUNT(M361,P361,S361,V361,Y361,AB361,AE361,AH361,AK361,AN361,AQ361,AT361)</f>
        <v>2</v>
      </c>
      <c r="BA361" s="101">
        <f>MAX(M361,P361,S361,V361,Y361,AB361,AE361,AH361,AK361,AN361,AQ361,AT361)</f>
        <v>1</v>
      </c>
      <c r="BB361" s="102">
        <v>0</v>
      </c>
      <c r="BC361" s="84">
        <f t="shared" si="777"/>
        <v>1</v>
      </c>
      <c r="BD361" s="83">
        <f t="shared" si="775"/>
        <v>1</v>
      </c>
      <c r="BE361" s="85">
        <v>2</v>
      </c>
      <c r="BF361" s="86">
        <v>46188</v>
      </c>
      <c r="BG361" s="72">
        <f t="shared" si="802"/>
        <v>46265</v>
      </c>
      <c r="BH361" s="103">
        <f t="shared" ref="BH361" si="931">BG361-BF361</f>
        <v>77</v>
      </c>
      <c r="BI361" s="80" t="str">
        <f t="shared" si="776"/>
        <v/>
      </c>
      <c r="BJ361" s="238">
        <v>63900</v>
      </c>
    </row>
    <row r="362" spans="1:62" ht="13">
      <c r="A362" s="49"/>
      <c r="B362" s="50"/>
      <c r="C362" s="51">
        <v>359</v>
      </c>
      <c r="D362" s="135" t="s">
        <v>1520</v>
      </c>
      <c r="E362" s="110">
        <v>1</v>
      </c>
      <c r="F362" s="80" t="s">
        <v>389</v>
      </c>
      <c r="G362" s="81" t="s">
        <v>390</v>
      </c>
      <c r="H362" s="81" t="s">
        <v>302</v>
      </c>
      <c r="I362" s="80" t="s">
        <v>458</v>
      </c>
      <c r="J362" s="82">
        <f t="shared" ref="J362:J367" si="932">AU362</f>
        <v>6</v>
      </c>
      <c r="K362" s="80">
        <v>2</v>
      </c>
      <c r="L362" s="57"/>
      <c r="M362" s="58"/>
      <c r="N362" s="59">
        <f t="shared" ref="N362:N367" si="933">SUM(K362+L362-M362)</f>
        <v>2</v>
      </c>
      <c r="O362" s="60"/>
      <c r="P362" s="58"/>
      <c r="Q362" s="59">
        <f t="shared" ref="Q362:Q367" si="934">SUM(N362+O362-P362)</f>
        <v>2</v>
      </c>
      <c r="R362" s="60"/>
      <c r="S362" s="58">
        <v>2</v>
      </c>
      <c r="T362" s="61">
        <f t="shared" ref="T362:T367" si="935">SUM(Q362+R362-S362)</f>
        <v>0</v>
      </c>
      <c r="U362" s="60"/>
      <c r="V362" s="58"/>
      <c r="W362" s="59">
        <f t="shared" ref="W362:W367" si="936">SUM(T362+U362-V362)</f>
        <v>0</v>
      </c>
      <c r="X362" s="60">
        <v>6</v>
      </c>
      <c r="Y362" s="58"/>
      <c r="Z362" s="61">
        <f t="shared" ref="Z362:Z367" si="937">SUM(W362+X362-Y362)</f>
        <v>6</v>
      </c>
      <c r="AA362" s="60"/>
      <c r="AB362" s="58"/>
      <c r="AC362" s="59">
        <f t="shared" ref="AC362:AC367" si="938">SUM(Z362+AA362-AB362)</f>
        <v>6</v>
      </c>
      <c r="AD362" s="57"/>
      <c r="AE362" s="58"/>
      <c r="AF362" s="243">
        <f t="shared" ref="AF362:AF367" si="939">SUM(AC362+AD362-AE362)</f>
        <v>6</v>
      </c>
      <c r="AG362" s="60"/>
      <c r="AH362" s="58"/>
      <c r="AI362" s="62">
        <f t="shared" ref="AI362:AI367" si="940">SUM(AF362+AG362-AH362)</f>
        <v>6</v>
      </c>
      <c r="AJ362" s="60"/>
      <c r="AK362" s="58"/>
      <c r="AL362" s="62">
        <f t="shared" ref="AL362:AL367" si="941">SUM(AI362+AJ362-AK362)</f>
        <v>6</v>
      </c>
      <c r="AM362" s="60"/>
      <c r="AN362" s="58"/>
      <c r="AO362" s="62">
        <f t="shared" ref="AO362:AO367" si="942">SUM(AL362+AM362-AN362)</f>
        <v>6</v>
      </c>
      <c r="AP362" s="60"/>
      <c r="AQ362" s="58"/>
      <c r="AR362" s="62">
        <f t="shared" ref="AR362:AR367" si="943">SUM(AO362+AP362-AQ362)</f>
        <v>6</v>
      </c>
      <c r="AS362" s="60"/>
      <c r="AT362" s="58"/>
      <c r="AU362" s="62">
        <f t="shared" ref="AU362:AU367" si="944">SUM(AR362+AS362-AT362)</f>
        <v>6</v>
      </c>
      <c r="AV362" s="83">
        <f>SUM(L362+O362+R362+U362+X362+AA362+AD362+AG362+AJ362+AM362+AP362+AS362)</f>
        <v>6</v>
      </c>
      <c r="AW362" s="83">
        <f t="shared" si="908"/>
        <v>2</v>
      </c>
      <c r="AX362" s="64">
        <f t="shared" ref="AX362:AX367" si="945">SUM(M362,P362,S362,V362,Y362,AB362,AE362,AH362,AK362,AN362,AQ362,AT362)</f>
        <v>2</v>
      </c>
      <c r="AY362" s="65">
        <f t="shared" ref="AY362:AY377" si="946">AVERAGE(M362,P362,S362,V362,Y362,AB362,AE362,AH362,AK362,AN362,AQ362,AT362)</f>
        <v>2</v>
      </c>
      <c r="AZ362" s="66">
        <f t="shared" ref="AZ362:AZ374" si="947">COUNT(M362,P362,S362,V362,Y362,AB362,AE362,AH362,AK362,AN362,AQ362,AT362)</f>
        <v>1</v>
      </c>
      <c r="BA362" s="67">
        <f>MAX(0, Table176252626[[#This Row],[Column6]])</f>
        <v>6</v>
      </c>
      <c r="BB362" s="68">
        <v>1</v>
      </c>
      <c r="BC362" s="84">
        <f t="shared" si="777"/>
        <v>6</v>
      </c>
      <c r="BD362" s="83">
        <f t="shared" si="775"/>
        <v>5</v>
      </c>
      <c r="BE362" s="85">
        <v>2</v>
      </c>
      <c r="BF362" s="86">
        <v>46161</v>
      </c>
      <c r="BG362" s="72">
        <f t="shared" si="802"/>
        <v>46265</v>
      </c>
      <c r="BH362" s="87">
        <f t="shared" ref="BH362:BH374" si="948">BG362-BF362</f>
        <v>104</v>
      </c>
      <c r="BI362" s="80" t="str">
        <f t="shared" si="776"/>
        <v/>
      </c>
      <c r="BJ362" s="238">
        <v>1100</v>
      </c>
    </row>
    <row r="363" spans="1:62" ht="13">
      <c r="A363" s="49"/>
      <c r="B363" s="50"/>
      <c r="C363" s="51">
        <v>360</v>
      </c>
      <c r="D363" s="135" t="s">
        <v>1520</v>
      </c>
      <c r="E363" s="110">
        <v>2</v>
      </c>
      <c r="F363" s="80" t="s">
        <v>665</v>
      </c>
      <c r="G363" s="81" t="s">
        <v>666</v>
      </c>
      <c r="H363" s="81" t="s">
        <v>302</v>
      </c>
      <c r="I363" s="80" t="s">
        <v>458</v>
      </c>
      <c r="J363" s="82">
        <f t="shared" si="932"/>
        <v>1</v>
      </c>
      <c r="K363" s="80">
        <v>1</v>
      </c>
      <c r="L363" s="57"/>
      <c r="M363" s="58"/>
      <c r="N363" s="59">
        <f t="shared" si="933"/>
        <v>1</v>
      </c>
      <c r="O363" s="60"/>
      <c r="P363" s="58"/>
      <c r="Q363" s="59">
        <f t="shared" si="934"/>
        <v>1</v>
      </c>
      <c r="R363" s="60"/>
      <c r="S363" s="58"/>
      <c r="T363" s="61">
        <f t="shared" si="935"/>
        <v>1</v>
      </c>
      <c r="U363" s="60"/>
      <c r="V363" s="58"/>
      <c r="W363" s="59">
        <f t="shared" si="936"/>
        <v>1</v>
      </c>
      <c r="X363" s="60"/>
      <c r="Y363" s="58"/>
      <c r="Z363" s="61">
        <f t="shared" si="937"/>
        <v>1</v>
      </c>
      <c r="AA363" s="60"/>
      <c r="AB363" s="58"/>
      <c r="AC363" s="59">
        <f t="shared" si="938"/>
        <v>1</v>
      </c>
      <c r="AD363" s="57"/>
      <c r="AE363" s="58"/>
      <c r="AF363" s="243">
        <f t="shared" si="939"/>
        <v>1</v>
      </c>
      <c r="AG363" s="60"/>
      <c r="AH363" s="58"/>
      <c r="AI363" s="62">
        <f t="shared" si="940"/>
        <v>1</v>
      </c>
      <c r="AJ363" s="60"/>
      <c r="AK363" s="58"/>
      <c r="AL363" s="62">
        <f t="shared" si="941"/>
        <v>1</v>
      </c>
      <c r="AM363" s="60"/>
      <c r="AN363" s="58"/>
      <c r="AO363" s="62">
        <f t="shared" si="942"/>
        <v>1</v>
      </c>
      <c r="AP363" s="60"/>
      <c r="AQ363" s="58"/>
      <c r="AR363" s="62">
        <f t="shared" si="943"/>
        <v>1</v>
      </c>
      <c r="AS363" s="60"/>
      <c r="AT363" s="58"/>
      <c r="AU363" s="62">
        <f t="shared" si="944"/>
        <v>1</v>
      </c>
      <c r="AV363" s="83">
        <f>SUM(L363+O363+R363+U363+X363+AA363+AD363+AG363+AJ363+AM363+AP363+AS363)</f>
        <v>0</v>
      </c>
      <c r="AW363" s="83">
        <f t="shared" si="908"/>
        <v>0</v>
      </c>
      <c r="AX363" s="64">
        <f t="shared" si="945"/>
        <v>0</v>
      </c>
      <c r="AY363" s="65" t="e">
        <f t="shared" si="946"/>
        <v>#DIV/0!</v>
      </c>
      <c r="AZ363" s="66">
        <f t="shared" si="947"/>
        <v>0</v>
      </c>
      <c r="BA363" s="67">
        <f>MAX(0, Table176252626[[#This Row],[Column6]])</f>
        <v>1</v>
      </c>
      <c r="BB363" s="68">
        <v>0</v>
      </c>
      <c r="BC363" s="84">
        <f t="shared" si="777"/>
        <v>1</v>
      </c>
      <c r="BD363" s="83">
        <f t="shared" si="775"/>
        <v>1</v>
      </c>
      <c r="BE363" s="85">
        <v>2</v>
      </c>
      <c r="BF363" s="86">
        <v>44529.493263888886</v>
      </c>
      <c r="BG363" s="72">
        <f t="shared" si="802"/>
        <v>46265</v>
      </c>
      <c r="BH363" s="87">
        <f t="shared" si="948"/>
        <v>1735.5067361111142</v>
      </c>
      <c r="BI363" s="80" t="str">
        <f t="shared" si="776"/>
        <v>Dead Stock</v>
      </c>
      <c r="BJ363" s="238">
        <v>22000</v>
      </c>
    </row>
    <row r="364" spans="1:62" ht="13">
      <c r="A364" s="49"/>
      <c r="B364" s="50"/>
      <c r="C364" s="51">
        <v>361</v>
      </c>
      <c r="D364" s="135" t="s">
        <v>1520</v>
      </c>
      <c r="E364" s="110">
        <v>3</v>
      </c>
      <c r="F364" s="54" t="s">
        <v>821</v>
      </c>
      <c r="G364" s="55" t="s">
        <v>822</v>
      </c>
      <c r="H364" s="55" t="s">
        <v>297</v>
      </c>
      <c r="I364" s="80" t="s">
        <v>458</v>
      </c>
      <c r="J364" s="82">
        <f t="shared" si="932"/>
        <v>1</v>
      </c>
      <c r="K364" s="80">
        <v>1</v>
      </c>
      <c r="L364" s="57"/>
      <c r="M364" s="58"/>
      <c r="N364" s="59">
        <f t="shared" si="933"/>
        <v>1</v>
      </c>
      <c r="O364" s="60"/>
      <c r="P364" s="58"/>
      <c r="Q364" s="59">
        <f t="shared" si="934"/>
        <v>1</v>
      </c>
      <c r="R364" s="60"/>
      <c r="S364" s="58"/>
      <c r="T364" s="61">
        <f t="shared" si="935"/>
        <v>1</v>
      </c>
      <c r="U364" s="60"/>
      <c r="V364" s="58"/>
      <c r="W364" s="59">
        <f t="shared" si="936"/>
        <v>1</v>
      </c>
      <c r="X364" s="60"/>
      <c r="Y364" s="58"/>
      <c r="Z364" s="61">
        <f t="shared" si="937"/>
        <v>1</v>
      </c>
      <c r="AA364" s="60"/>
      <c r="AB364" s="58"/>
      <c r="AC364" s="59">
        <f t="shared" si="938"/>
        <v>1</v>
      </c>
      <c r="AD364" s="57"/>
      <c r="AE364" s="58"/>
      <c r="AF364" s="243">
        <f t="shared" si="939"/>
        <v>1</v>
      </c>
      <c r="AG364" s="60"/>
      <c r="AH364" s="58"/>
      <c r="AI364" s="62">
        <f t="shared" si="940"/>
        <v>1</v>
      </c>
      <c r="AJ364" s="60"/>
      <c r="AK364" s="58"/>
      <c r="AL364" s="62">
        <f t="shared" si="941"/>
        <v>1</v>
      </c>
      <c r="AM364" s="60"/>
      <c r="AN364" s="58"/>
      <c r="AO364" s="62">
        <f t="shared" si="942"/>
        <v>1</v>
      </c>
      <c r="AP364" s="60"/>
      <c r="AQ364" s="58"/>
      <c r="AR364" s="62">
        <f t="shared" si="943"/>
        <v>1</v>
      </c>
      <c r="AS364" s="60"/>
      <c r="AT364" s="58"/>
      <c r="AU364" s="62">
        <f t="shared" si="944"/>
        <v>1</v>
      </c>
      <c r="AV364" s="83">
        <f t="shared" ref="AV364" si="949">SUM(L364+O364+R364+U364+X364+AA364+AD364+AG364+AJ364+AM364+AP364+AS364)</f>
        <v>0</v>
      </c>
      <c r="AW364" s="83">
        <f t="shared" si="908"/>
        <v>0</v>
      </c>
      <c r="AX364" s="64">
        <f t="shared" si="945"/>
        <v>0</v>
      </c>
      <c r="AY364" s="65" t="e">
        <f t="shared" si="946"/>
        <v>#DIV/0!</v>
      </c>
      <c r="AZ364" s="66">
        <f t="shared" si="947"/>
        <v>0</v>
      </c>
      <c r="BA364" s="67">
        <f>MAX(0, Table176252626[[#This Row],[Column6]])</f>
        <v>1</v>
      </c>
      <c r="BB364" s="68">
        <v>0</v>
      </c>
      <c r="BC364" s="84">
        <f t="shared" si="777"/>
        <v>1</v>
      </c>
      <c r="BD364" s="83">
        <f t="shared" si="775"/>
        <v>1</v>
      </c>
      <c r="BE364" s="85">
        <v>2</v>
      </c>
      <c r="BF364" s="86">
        <v>44049.532592592594</v>
      </c>
      <c r="BG364" s="72">
        <f t="shared" si="802"/>
        <v>46265</v>
      </c>
      <c r="BH364" s="107">
        <f t="shared" si="948"/>
        <v>2215.4674074074064</v>
      </c>
      <c r="BI364" s="80" t="str">
        <f t="shared" si="776"/>
        <v>Dead Stock</v>
      </c>
      <c r="BJ364" s="238">
        <v>48600</v>
      </c>
    </row>
    <row r="365" spans="1:62" ht="13">
      <c r="A365" s="49"/>
      <c r="B365" s="76"/>
      <c r="C365" s="77">
        <v>362</v>
      </c>
      <c r="D365" s="135" t="s">
        <v>1520</v>
      </c>
      <c r="E365" s="110">
        <v>4</v>
      </c>
      <c r="F365" s="88" t="s">
        <v>883</v>
      </c>
      <c r="G365" s="89" t="s">
        <v>882</v>
      </c>
      <c r="H365" s="81" t="s">
        <v>1431</v>
      </c>
      <c r="I365" s="80" t="s">
        <v>458</v>
      </c>
      <c r="J365" s="82">
        <f t="shared" si="932"/>
        <v>4</v>
      </c>
      <c r="K365" s="80">
        <v>4</v>
      </c>
      <c r="L365" s="57"/>
      <c r="M365" s="58"/>
      <c r="N365" s="59">
        <f t="shared" si="933"/>
        <v>4</v>
      </c>
      <c r="O365" s="60"/>
      <c r="P365" s="58"/>
      <c r="Q365" s="59">
        <f t="shared" si="934"/>
        <v>4</v>
      </c>
      <c r="R365" s="60"/>
      <c r="S365" s="58"/>
      <c r="T365" s="61">
        <f t="shared" si="935"/>
        <v>4</v>
      </c>
      <c r="U365" s="60"/>
      <c r="V365" s="58"/>
      <c r="W365" s="59">
        <f t="shared" si="936"/>
        <v>4</v>
      </c>
      <c r="X365" s="60"/>
      <c r="Y365" s="58"/>
      <c r="Z365" s="61">
        <f t="shared" si="937"/>
        <v>4</v>
      </c>
      <c r="AA365" s="60"/>
      <c r="AB365" s="58"/>
      <c r="AC365" s="59">
        <f t="shared" si="938"/>
        <v>4</v>
      </c>
      <c r="AD365" s="57"/>
      <c r="AE365" s="58"/>
      <c r="AF365" s="243">
        <f t="shared" si="939"/>
        <v>4</v>
      </c>
      <c r="AG365" s="60"/>
      <c r="AH365" s="58"/>
      <c r="AI365" s="62">
        <f t="shared" si="940"/>
        <v>4</v>
      </c>
      <c r="AJ365" s="60"/>
      <c r="AK365" s="58"/>
      <c r="AL365" s="62">
        <f t="shared" si="941"/>
        <v>4</v>
      </c>
      <c r="AM365" s="60"/>
      <c r="AN365" s="58"/>
      <c r="AO365" s="62">
        <f t="shared" si="942"/>
        <v>4</v>
      </c>
      <c r="AP365" s="60"/>
      <c r="AQ365" s="58"/>
      <c r="AR365" s="62">
        <f t="shared" si="943"/>
        <v>4</v>
      </c>
      <c r="AS365" s="60"/>
      <c r="AT365" s="58"/>
      <c r="AU365" s="62">
        <f t="shared" si="944"/>
        <v>4</v>
      </c>
      <c r="AV365" s="83">
        <f t="shared" ref="AV365:AW380" si="950">SUM(L365+O365+R365+U365+X365+AA365+AD365+AG365+AJ365+AM365+AP365+AS365)</f>
        <v>0</v>
      </c>
      <c r="AW365" s="83">
        <f t="shared" si="950"/>
        <v>0</v>
      </c>
      <c r="AX365" s="64">
        <f t="shared" si="945"/>
        <v>0</v>
      </c>
      <c r="AY365" s="65" t="e">
        <f t="shared" si="946"/>
        <v>#DIV/0!</v>
      </c>
      <c r="AZ365" s="66">
        <f t="shared" si="947"/>
        <v>0</v>
      </c>
      <c r="BA365" s="67">
        <f>MAX(0, Table176252626[[#This Row],[Column6]])</f>
        <v>4</v>
      </c>
      <c r="BB365" s="68">
        <v>1</v>
      </c>
      <c r="BC365" s="84">
        <f t="shared" si="777"/>
        <v>4</v>
      </c>
      <c r="BD365" s="83">
        <f t="shared" si="775"/>
        <v>3</v>
      </c>
      <c r="BE365" s="85">
        <v>2</v>
      </c>
      <c r="BF365" s="86">
        <v>44222.523194444446</v>
      </c>
      <c r="BG365" s="72">
        <f t="shared" si="802"/>
        <v>46265</v>
      </c>
      <c r="BH365" s="87">
        <f t="shared" si="948"/>
        <v>2042.4768055555542</v>
      </c>
      <c r="BI365" s="80" t="str">
        <f t="shared" si="776"/>
        <v>Dead Stock</v>
      </c>
      <c r="BJ365" s="238">
        <v>3300</v>
      </c>
    </row>
    <row r="366" spans="1:62" ht="13">
      <c r="A366" s="75"/>
      <c r="B366" s="76"/>
      <c r="C366" s="77">
        <v>363</v>
      </c>
      <c r="D366" s="135" t="s">
        <v>1520</v>
      </c>
      <c r="E366" s="110">
        <v>5</v>
      </c>
      <c r="F366" s="54" t="s">
        <v>385</v>
      </c>
      <c r="G366" s="55" t="s">
        <v>386</v>
      </c>
      <c r="H366" s="81" t="s">
        <v>297</v>
      </c>
      <c r="I366" s="80" t="s">
        <v>458</v>
      </c>
      <c r="J366" s="82">
        <f t="shared" si="932"/>
        <v>1</v>
      </c>
      <c r="K366" s="80">
        <v>1</v>
      </c>
      <c r="L366" s="124"/>
      <c r="M366" s="125"/>
      <c r="N366" s="59">
        <f t="shared" si="933"/>
        <v>1</v>
      </c>
      <c r="O366" s="126"/>
      <c r="P366" s="125"/>
      <c r="Q366" s="59">
        <f t="shared" si="934"/>
        <v>1</v>
      </c>
      <c r="R366" s="126"/>
      <c r="S366" s="125"/>
      <c r="T366" s="61">
        <f t="shared" si="935"/>
        <v>1</v>
      </c>
      <c r="U366" s="126"/>
      <c r="V366" s="125"/>
      <c r="W366" s="59">
        <f t="shared" si="936"/>
        <v>1</v>
      </c>
      <c r="X366" s="126"/>
      <c r="Y366" s="125"/>
      <c r="Z366" s="61">
        <f t="shared" si="937"/>
        <v>1</v>
      </c>
      <c r="AA366" s="126"/>
      <c r="AB366" s="125"/>
      <c r="AC366" s="59">
        <f t="shared" si="938"/>
        <v>1</v>
      </c>
      <c r="AD366" s="124"/>
      <c r="AE366" s="125"/>
      <c r="AF366" s="243">
        <f t="shared" si="939"/>
        <v>1</v>
      </c>
      <c r="AG366" s="126"/>
      <c r="AH366" s="125"/>
      <c r="AI366" s="62">
        <f t="shared" si="940"/>
        <v>1</v>
      </c>
      <c r="AJ366" s="126"/>
      <c r="AK366" s="125"/>
      <c r="AL366" s="62">
        <f t="shared" si="941"/>
        <v>1</v>
      </c>
      <c r="AM366" s="126"/>
      <c r="AN366" s="125"/>
      <c r="AO366" s="59">
        <f t="shared" si="942"/>
        <v>1</v>
      </c>
      <c r="AP366" s="126"/>
      <c r="AQ366" s="125"/>
      <c r="AR366" s="59">
        <f t="shared" si="943"/>
        <v>1</v>
      </c>
      <c r="AS366" s="126"/>
      <c r="AT366" s="125"/>
      <c r="AU366" s="59">
        <f t="shared" si="944"/>
        <v>1</v>
      </c>
      <c r="AV366" s="83">
        <f t="shared" si="950"/>
        <v>0</v>
      </c>
      <c r="AW366" s="83">
        <f t="shared" si="950"/>
        <v>0</v>
      </c>
      <c r="AX366" s="64">
        <f t="shared" si="945"/>
        <v>0</v>
      </c>
      <c r="AY366" s="65" t="e">
        <f t="shared" si="946"/>
        <v>#DIV/0!</v>
      </c>
      <c r="AZ366" s="66">
        <f t="shared" si="947"/>
        <v>0</v>
      </c>
      <c r="BA366" s="67">
        <f>MAX(0, Table176252626[[#This Row],[Column6]])</f>
        <v>1</v>
      </c>
      <c r="BB366" s="68">
        <v>0</v>
      </c>
      <c r="BC366" s="84">
        <f t="shared" si="777"/>
        <v>1</v>
      </c>
      <c r="BD366" s="83">
        <f t="shared" si="775"/>
        <v>1</v>
      </c>
      <c r="BE366" s="85">
        <v>2</v>
      </c>
      <c r="BF366" s="86">
        <v>43063.588969907411</v>
      </c>
      <c r="BG366" s="72">
        <f t="shared" si="802"/>
        <v>46265</v>
      </c>
      <c r="BH366" s="107">
        <f t="shared" si="948"/>
        <v>3201.4110300925895</v>
      </c>
      <c r="BI366" s="80" t="str">
        <f t="shared" si="776"/>
        <v>Dead Stock</v>
      </c>
      <c r="BJ366" s="238">
        <v>118800</v>
      </c>
    </row>
    <row r="367" spans="1:62" ht="13">
      <c r="A367" s="49"/>
      <c r="B367" s="76"/>
      <c r="C367" s="51">
        <v>364</v>
      </c>
      <c r="D367" s="135" t="s">
        <v>1520</v>
      </c>
      <c r="E367" s="110">
        <v>6</v>
      </c>
      <c r="F367" s="80" t="s">
        <v>1036</v>
      </c>
      <c r="G367" s="81" t="s">
        <v>1037</v>
      </c>
      <c r="H367" s="81" t="s">
        <v>297</v>
      </c>
      <c r="I367" s="88" t="s">
        <v>458</v>
      </c>
      <c r="J367" s="82">
        <f t="shared" si="932"/>
        <v>1</v>
      </c>
      <c r="K367" s="80">
        <v>1</v>
      </c>
      <c r="L367" s="57"/>
      <c r="M367" s="58"/>
      <c r="N367" s="59">
        <f t="shared" si="933"/>
        <v>1</v>
      </c>
      <c r="O367" s="60"/>
      <c r="P367" s="58"/>
      <c r="Q367" s="59">
        <f t="shared" si="934"/>
        <v>1</v>
      </c>
      <c r="R367" s="60"/>
      <c r="S367" s="58"/>
      <c r="T367" s="61">
        <f t="shared" si="935"/>
        <v>1</v>
      </c>
      <c r="U367" s="60"/>
      <c r="V367" s="58"/>
      <c r="W367" s="59">
        <f t="shared" si="936"/>
        <v>1</v>
      </c>
      <c r="X367" s="60"/>
      <c r="Y367" s="58"/>
      <c r="Z367" s="61">
        <f t="shared" si="937"/>
        <v>1</v>
      </c>
      <c r="AA367" s="60"/>
      <c r="AB367" s="58"/>
      <c r="AC367" s="59">
        <f t="shared" si="938"/>
        <v>1</v>
      </c>
      <c r="AD367" s="57"/>
      <c r="AE367" s="58"/>
      <c r="AF367" s="243">
        <f t="shared" si="939"/>
        <v>1</v>
      </c>
      <c r="AG367" s="60"/>
      <c r="AH367" s="58"/>
      <c r="AI367" s="62">
        <f t="shared" si="940"/>
        <v>1</v>
      </c>
      <c r="AJ367" s="60"/>
      <c r="AK367" s="58"/>
      <c r="AL367" s="62">
        <f t="shared" si="941"/>
        <v>1</v>
      </c>
      <c r="AM367" s="60"/>
      <c r="AN367" s="58"/>
      <c r="AO367" s="62">
        <f t="shared" si="942"/>
        <v>1</v>
      </c>
      <c r="AP367" s="60"/>
      <c r="AQ367" s="58"/>
      <c r="AR367" s="62">
        <f t="shared" si="943"/>
        <v>1</v>
      </c>
      <c r="AS367" s="60"/>
      <c r="AT367" s="58"/>
      <c r="AU367" s="62">
        <f t="shared" si="944"/>
        <v>1</v>
      </c>
      <c r="AV367" s="83">
        <f t="shared" si="950"/>
        <v>0</v>
      </c>
      <c r="AW367" s="83">
        <f t="shared" si="950"/>
        <v>0</v>
      </c>
      <c r="AX367" s="64">
        <f t="shared" si="945"/>
        <v>0</v>
      </c>
      <c r="AY367" s="65" t="e">
        <f t="shared" si="946"/>
        <v>#DIV/0!</v>
      </c>
      <c r="AZ367" s="66">
        <f t="shared" si="947"/>
        <v>0</v>
      </c>
      <c r="BA367" s="67">
        <f>MAX(0, Table176252626[[#This Row],[Column6]])</f>
        <v>1</v>
      </c>
      <c r="BB367" s="68">
        <v>0</v>
      </c>
      <c r="BC367" s="84">
        <f t="shared" si="777"/>
        <v>1</v>
      </c>
      <c r="BD367" s="83">
        <f t="shared" si="775"/>
        <v>1</v>
      </c>
      <c r="BE367" s="85">
        <v>2</v>
      </c>
      <c r="BF367" s="86">
        <v>45232.497499999998</v>
      </c>
      <c r="BG367" s="72">
        <f t="shared" si="802"/>
        <v>46265</v>
      </c>
      <c r="BH367" s="87">
        <f t="shared" si="948"/>
        <v>1032.5025000000023</v>
      </c>
      <c r="BI367" s="80" t="str">
        <f t="shared" si="776"/>
        <v>Dead Stock</v>
      </c>
      <c r="BJ367" s="238">
        <v>26460</v>
      </c>
    </row>
    <row r="368" spans="1:62" ht="13">
      <c r="A368" s="90"/>
      <c r="B368" s="91"/>
      <c r="C368" s="51">
        <v>365</v>
      </c>
      <c r="D368" s="135" t="s">
        <v>1520</v>
      </c>
      <c r="E368" s="110">
        <v>7</v>
      </c>
      <c r="F368" s="80" t="s">
        <v>1243</v>
      </c>
      <c r="G368" s="81" t="s">
        <v>1244</v>
      </c>
      <c r="H368" s="81" t="s">
        <v>290</v>
      </c>
      <c r="I368" s="80" t="s">
        <v>458</v>
      </c>
      <c r="J368" s="82">
        <f t="shared" ref="J368" si="951">AU368</f>
        <v>1</v>
      </c>
      <c r="K368" s="80">
        <v>1</v>
      </c>
      <c r="L368" s="57"/>
      <c r="M368" s="58"/>
      <c r="N368" s="59">
        <f t="shared" ref="N368" si="952">SUM(K368+L368-M368)</f>
        <v>1</v>
      </c>
      <c r="O368" s="60"/>
      <c r="P368" s="58"/>
      <c r="Q368" s="59">
        <f t="shared" ref="Q368" si="953">SUM(N368+O368-P368)</f>
        <v>1</v>
      </c>
      <c r="R368" s="60"/>
      <c r="S368" s="58"/>
      <c r="T368" s="61">
        <f t="shared" ref="T368" si="954">SUM(Q368+R368-S368)</f>
        <v>1</v>
      </c>
      <c r="U368" s="60"/>
      <c r="V368" s="58"/>
      <c r="W368" s="59">
        <f t="shared" ref="W368" si="955">SUM(T368+U368-V368)</f>
        <v>1</v>
      </c>
      <c r="X368" s="60"/>
      <c r="Y368" s="58"/>
      <c r="Z368" s="61">
        <f t="shared" ref="Z368" si="956">SUM(W368+X368-Y368)</f>
        <v>1</v>
      </c>
      <c r="AA368" s="60"/>
      <c r="AB368" s="58"/>
      <c r="AC368" s="59">
        <f t="shared" ref="AC368" si="957">SUM(Z368+AA368-AB368)</f>
        <v>1</v>
      </c>
      <c r="AD368" s="57"/>
      <c r="AE368" s="58"/>
      <c r="AF368" s="243">
        <f t="shared" ref="AF368" si="958">SUM(AC368+AD368-AE368)</f>
        <v>1</v>
      </c>
      <c r="AG368" s="60"/>
      <c r="AH368" s="58"/>
      <c r="AI368" s="62">
        <f t="shared" ref="AI368" si="959">SUM(AF368+AG368-AH368)</f>
        <v>1</v>
      </c>
      <c r="AJ368" s="60"/>
      <c r="AK368" s="58"/>
      <c r="AL368" s="62">
        <f t="shared" ref="AL368" si="960">SUM(AI368+AJ368-AK368)</f>
        <v>1</v>
      </c>
      <c r="AM368" s="60"/>
      <c r="AN368" s="58"/>
      <c r="AO368" s="62">
        <f t="shared" ref="AO368" si="961">SUM(AL368+AM368-AN368)</f>
        <v>1</v>
      </c>
      <c r="AP368" s="60"/>
      <c r="AQ368" s="58"/>
      <c r="AR368" s="104">
        <f t="shared" ref="AR368" si="962">SUM(AO368+AP368-AQ368)</f>
        <v>1</v>
      </c>
      <c r="AS368" s="57"/>
      <c r="AT368" s="58"/>
      <c r="AU368" s="62">
        <f t="shared" ref="AU368" si="963">SUM(AR368+AS368-AT368)</f>
        <v>1</v>
      </c>
      <c r="AV368" s="83">
        <f t="shared" ref="AV368" si="964">SUM(L368+O368+R368+U368+X368+AA368+AD368+AG368+AJ368+AM368+AP368+AS368)</f>
        <v>0</v>
      </c>
      <c r="AW368" s="83">
        <f t="shared" si="950"/>
        <v>0</v>
      </c>
      <c r="AX368" s="64">
        <f t="shared" ref="AX368" si="965">SUM(M368,P368,S368,V368,Y368,AB368,AE368,AH368,AK368,AN368,AQ368,AT368)</f>
        <v>0</v>
      </c>
      <c r="AY368" s="65" t="e">
        <f t="shared" si="946"/>
        <v>#DIV/0!</v>
      </c>
      <c r="AZ368" s="66">
        <f t="shared" si="947"/>
        <v>0</v>
      </c>
      <c r="BA368" s="67">
        <f>MAX(0, Table176252626[[#This Row],[Column6]])</f>
        <v>1</v>
      </c>
      <c r="BB368" s="68">
        <v>0</v>
      </c>
      <c r="BC368" s="84">
        <f t="shared" si="777"/>
        <v>1</v>
      </c>
      <c r="BD368" s="83">
        <f t="shared" si="775"/>
        <v>1</v>
      </c>
      <c r="BE368" s="85">
        <v>2</v>
      </c>
      <c r="BF368" s="86"/>
      <c r="BG368" s="72">
        <f t="shared" si="802"/>
        <v>46265</v>
      </c>
      <c r="BH368" s="87">
        <f t="shared" si="948"/>
        <v>46265</v>
      </c>
      <c r="BI368" s="80" t="str">
        <f t="shared" si="776"/>
        <v>Dead Stock</v>
      </c>
      <c r="BJ368" s="238">
        <v>22000</v>
      </c>
    </row>
    <row r="369" spans="1:62" ht="13">
      <c r="A369" s="49"/>
      <c r="B369" s="76"/>
      <c r="C369" s="51">
        <v>366</v>
      </c>
      <c r="D369" s="135" t="s">
        <v>1520</v>
      </c>
      <c r="E369" s="110">
        <v>8</v>
      </c>
      <c r="F369" s="88" t="s">
        <v>1770</v>
      </c>
      <c r="G369" s="89" t="s">
        <v>2038</v>
      </c>
      <c r="H369" s="89" t="s">
        <v>1664</v>
      </c>
      <c r="I369" s="88" t="s">
        <v>458</v>
      </c>
      <c r="J369" s="93">
        <f t="shared" ref="J369:J374" si="966">AU369</f>
        <v>1</v>
      </c>
      <c r="K369" s="80">
        <v>2</v>
      </c>
      <c r="L369" s="58"/>
      <c r="M369" s="58"/>
      <c r="N369" s="62">
        <f t="shared" ref="N369:N374" si="967">SUM(K369+L369-M369)</f>
        <v>2</v>
      </c>
      <c r="O369" s="60"/>
      <c r="P369" s="58">
        <v>1</v>
      </c>
      <c r="Q369" s="62">
        <f t="shared" ref="Q369:Q374" si="968">SUM(N369+O369-P369)</f>
        <v>1</v>
      </c>
      <c r="R369" s="60"/>
      <c r="S369" s="58"/>
      <c r="T369" s="94">
        <f t="shared" ref="T369:T374" si="969">SUM(Q369+R369-S369)</f>
        <v>1</v>
      </c>
      <c r="U369" s="60"/>
      <c r="V369" s="58"/>
      <c r="W369" s="62">
        <f t="shared" ref="W369:W374" si="970">SUM(T369+U369-V369)</f>
        <v>1</v>
      </c>
      <c r="X369" s="60"/>
      <c r="Y369" s="58"/>
      <c r="Z369" s="94">
        <f t="shared" ref="Z369:Z374" si="971">SUM(W369+X369-Y369)</f>
        <v>1</v>
      </c>
      <c r="AA369" s="60"/>
      <c r="AB369" s="58"/>
      <c r="AC369" s="62">
        <f t="shared" ref="AC369:AC374" si="972">SUM(Z369+AA369-AB369)</f>
        <v>1</v>
      </c>
      <c r="AD369" s="57"/>
      <c r="AE369" s="58"/>
      <c r="AF369" s="165">
        <f t="shared" ref="AF369:AF374" si="973">SUM(AC369+AD369-AE369)</f>
        <v>1</v>
      </c>
      <c r="AG369" s="60"/>
      <c r="AH369" s="58"/>
      <c r="AI369" s="62">
        <f t="shared" ref="AI369:AI374" si="974">SUM(AF369+AG369-AH369)</f>
        <v>1</v>
      </c>
      <c r="AJ369" s="60"/>
      <c r="AK369" s="58"/>
      <c r="AL369" s="62">
        <f t="shared" ref="AL369:AL374" si="975">SUM(AI369+AJ369-AK369)</f>
        <v>1</v>
      </c>
      <c r="AM369" s="60"/>
      <c r="AN369" s="58"/>
      <c r="AO369" s="62">
        <f t="shared" ref="AO369:AO374" si="976">SUM(AL369+AM369-AN369)</f>
        <v>1</v>
      </c>
      <c r="AP369" s="60"/>
      <c r="AQ369" s="58"/>
      <c r="AR369" s="62">
        <f t="shared" ref="AR369:AR374" si="977">SUM(AO369+AP369-AQ369)</f>
        <v>1</v>
      </c>
      <c r="AS369" s="60"/>
      <c r="AT369" s="58"/>
      <c r="AU369" s="62">
        <f t="shared" ref="AU369:AU374" si="978">SUM(AR369+AS369-AT369)</f>
        <v>1</v>
      </c>
      <c r="AV369" s="96">
        <f t="shared" ref="AV369:AV372" si="979">SUM(L369+O369+R369+U369+X369+AA369+AD369+AG369+AJ369+AM369+AP369+AS369)</f>
        <v>0</v>
      </c>
      <c r="AW369" s="83">
        <f t="shared" si="950"/>
        <v>1</v>
      </c>
      <c r="AX369" s="98">
        <f t="shared" ref="AX369:AX374" si="980">SUM(M369,P369,S369,V369,Y369,AB369,AE369,AH369,AK369,AN369,AQ369,AT369)</f>
        <v>1</v>
      </c>
      <c r="AY369" s="99">
        <f t="shared" si="946"/>
        <v>1</v>
      </c>
      <c r="AZ369" s="100">
        <f t="shared" si="947"/>
        <v>1</v>
      </c>
      <c r="BA369" s="101">
        <f>MAX(M369,P369,S369,V369,Y369,AB369,AE369,AH369,AK369,AN369,AQ369,AT369)</f>
        <v>1</v>
      </c>
      <c r="BB369" s="102">
        <v>0</v>
      </c>
      <c r="BC369" s="84">
        <f t="shared" si="777"/>
        <v>1</v>
      </c>
      <c r="BD369" s="83">
        <f t="shared" si="775"/>
        <v>1</v>
      </c>
      <c r="BE369" s="85">
        <v>2</v>
      </c>
      <c r="BF369" s="86">
        <v>45470.468495370369</v>
      </c>
      <c r="BG369" s="72">
        <f t="shared" si="802"/>
        <v>46265</v>
      </c>
      <c r="BH369" s="103">
        <f t="shared" si="948"/>
        <v>794.53150462963094</v>
      </c>
      <c r="BI369" s="80" t="str">
        <f t="shared" si="776"/>
        <v>Dead Stock</v>
      </c>
      <c r="BJ369" s="238">
        <v>32000</v>
      </c>
    </row>
    <row r="370" spans="1:62" ht="13">
      <c r="A370" s="75"/>
      <c r="B370" s="76"/>
      <c r="C370" s="51">
        <v>367</v>
      </c>
      <c r="D370" s="135" t="s">
        <v>1520</v>
      </c>
      <c r="E370" s="110">
        <v>9</v>
      </c>
      <c r="F370" s="105" t="s">
        <v>1166</v>
      </c>
      <c r="G370" s="106" t="s">
        <v>1167</v>
      </c>
      <c r="H370" s="81" t="s">
        <v>1431</v>
      </c>
      <c r="I370" s="80" t="s">
        <v>458</v>
      </c>
      <c r="J370" s="82">
        <f t="shared" si="966"/>
        <v>2</v>
      </c>
      <c r="K370" s="80">
        <v>2</v>
      </c>
      <c r="L370" s="57"/>
      <c r="M370" s="58"/>
      <c r="N370" s="59">
        <f t="shared" si="967"/>
        <v>2</v>
      </c>
      <c r="O370" s="60"/>
      <c r="P370" s="58"/>
      <c r="Q370" s="59">
        <f t="shared" si="968"/>
        <v>2</v>
      </c>
      <c r="R370" s="60"/>
      <c r="S370" s="58"/>
      <c r="T370" s="61">
        <f t="shared" si="969"/>
        <v>2</v>
      </c>
      <c r="U370" s="60"/>
      <c r="V370" s="58"/>
      <c r="W370" s="59">
        <f t="shared" si="970"/>
        <v>2</v>
      </c>
      <c r="X370" s="60"/>
      <c r="Y370" s="58"/>
      <c r="Z370" s="61">
        <f t="shared" si="971"/>
        <v>2</v>
      </c>
      <c r="AA370" s="60"/>
      <c r="AB370" s="58"/>
      <c r="AC370" s="59">
        <f t="shared" si="972"/>
        <v>2</v>
      </c>
      <c r="AD370" s="57"/>
      <c r="AE370" s="58"/>
      <c r="AF370" s="243">
        <f t="shared" si="973"/>
        <v>2</v>
      </c>
      <c r="AG370" s="60"/>
      <c r="AH370" s="58"/>
      <c r="AI370" s="62">
        <f t="shared" si="974"/>
        <v>2</v>
      </c>
      <c r="AJ370" s="60"/>
      <c r="AK370" s="58"/>
      <c r="AL370" s="62">
        <f t="shared" si="975"/>
        <v>2</v>
      </c>
      <c r="AM370" s="60"/>
      <c r="AN370" s="58"/>
      <c r="AO370" s="62">
        <f t="shared" si="976"/>
        <v>2</v>
      </c>
      <c r="AP370" s="60"/>
      <c r="AQ370" s="58"/>
      <c r="AR370" s="62">
        <f t="shared" si="977"/>
        <v>2</v>
      </c>
      <c r="AS370" s="60"/>
      <c r="AT370" s="58"/>
      <c r="AU370" s="62">
        <f t="shared" si="978"/>
        <v>2</v>
      </c>
      <c r="AV370" s="83">
        <f t="shared" si="979"/>
        <v>0</v>
      </c>
      <c r="AW370" s="83">
        <f t="shared" si="950"/>
        <v>0</v>
      </c>
      <c r="AX370" s="64">
        <f t="shared" si="980"/>
        <v>0</v>
      </c>
      <c r="AY370" s="65" t="e">
        <f t="shared" si="946"/>
        <v>#DIV/0!</v>
      </c>
      <c r="AZ370" s="66">
        <f t="shared" si="947"/>
        <v>0</v>
      </c>
      <c r="BA370" s="67">
        <v>2</v>
      </c>
      <c r="BB370" s="68">
        <v>1</v>
      </c>
      <c r="BC370" s="84">
        <f t="shared" si="777"/>
        <v>2</v>
      </c>
      <c r="BD370" s="83">
        <f t="shared" si="775"/>
        <v>1</v>
      </c>
      <c r="BE370" s="85">
        <v>2</v>
      </c>
      <c r="BF370" s="86">
        <v>45091.56890046296</v>
      </c>
      <c r="BG370" s="72">
        <f t="shared" si="802"/>
        <v>46265</v>
      </c>
      <c r="BH370" s="87">
        <f t="shared" si="948"/>
        <v>1173.4310995370397</v>
      </c>
      <c r="BI370" s="80" t="str">
        <f t="shared" si="776"/>
        <v>Dead Stock</v>
      </c>
      <c r="BJ370" s="238">
        <v>3303</v>
      </c>
    </row>
    <row r="371" spans="1:62" ht="13">
      <c r="A371" s="75"/>
      <c r="B371" s="76"/>
      <c r="C371" s="77">
        <v>368</v>
      </c>
      <c r="D371" s="135" t="s">
        <v>1520</v>
      </c>
      <c r="E371" s="110">
        <v>11</v>
      </c>
      <c r="F371" s="88" t="s">
        <v>1333</v>
      </c>
      <c r="G371" s="89" t="s">
        <v>1334</v>
      </c>
      <c r="H371" s="81" t="s">
        <v>1700</v>
      </c>
      <c r="I371" s="80" t="s">
        <v>458</v>
      </c>
      <c r="J371" s="82">
        <f t="shared" si="966"/>
        <v>2</v>
      </c>
      <c r="K371" s="80">
        <v>3</v>
      </c>
      <c r="L371" s="57"/>
      <c r="M371" s="58">
        <f>1+1</f>
        <v>2</v>
      </c>
      <c r="N371" s="59">
        <f t="shared" si="967"/>
        <v>1</v>
      </c>
      <c r="O371" s="60">
        <v>2</v>
      </c>
      <c r="P371" s="58"/>
      <c r="Q371" s="59">
        <f t="shared" si="968"/>
        <v>3</v>
      </c>
      <c r="R371" s="60"/>
      <c r="S371" s="58"/>
      <c r="T371" s="61">
        <f t="shared" si="969"/>
        <v>3</v>
      </c>
      <c r="U371" s="60"/>
      <c r="V371" s="58"/>
      <c r="W371" s="59">
        <f t="shared" si="970"/>
        <v>3</v>
      </c>
      <c r="X371" s="60"/>
      <c r="Y371" s="58"/>
      <c r="Z371" s="61">
        <f t="shared" si="971"/>
        <v>3</v>
      </c>
      <c r="AA371" s="60"/>
      <c r="AB371" s="58"/>
      <c r="AC371" s="59">
        <f t="shared" si="972"/>
        <v>3</v>
      </c>
      <c r="AD371" s="57"/>
      <c r="AE371" s="58">
        <v>1</v>
      </c>
      <c r="AF371" s="243">
        <f t="shared" si="973"/>
        <v>2</v>
      </c>
      <c r="AG371" s="60"/>
      <c r="AH371" s="58"/>
      <c r="AI371" s="62">
        <f t="shared" si="974"/>
        <v>2</v>
      </c>
      <c r="AJ371" s="60"/>
      <c r="AK371" s="58"/>
      <c r="AL371" s="62">
        <f t="shared" si="975"/>
        <v>2</v>
      </c>
      <c r="AM371" s="60"/>
      <c r="AN371" s="58"/>
      <c r="AO371" s="62">
        <f t="shared" si="976"/>
        <v>2</v>
      </c>
      <c r="AP371" s="60"/>
      <c r="AQ371" s="58"/>
      <c r="AR371" s="62">
        <f t="shared" si="977"/>
        <v>2</v>
      </c>
      <c r="AS371" s="60"/>
      <c r="AT371" s="58"/>
      <c r="AU371" s="62">
        <f t="shared" si="978"/>
        <v>2</v>
      </c>
      <c r="AV371" s="83">
        <f t="shared" si="979"/>
        <v>2</v>
      </c>
      <c r="AW371" s="83">
        <f t="shared" si="950"/>
        <v>3</v>
      </c>
      <c r="AX371" s="64">
        <f t="shared" si="980"/>
        <v>3</v>
      </c>
      <c r="AY371" s="65">
        <f t="shared" si="946"/>
        <v>1.5</v>
      </c>
      <c r="AZ371" s="66">
        <f t="shared" si="947"/>
        <v>2</v>
      </c>
      <c r="BA371" s="67">
        <f>MAX(M371,P371,S371,V371,Y371,AB371,AE371,AH371,AK371,AN371,AQ371,AT371)</f>
        <v>2</v>
      </c>
      <c r="BB371" s="68">
        <f>MIN(M371,P371,S371,V371,Y371,AB371,AE371,AH371,AK371,AN371,AQ371,AT371)</f>
        <v>1</v>
      </c>
      <c r="BC371" s="84">
        <f t="shared" si="777"/>
        <v>2</v>
      </c>
      <c r="BD371" s="83">
        <f t="shared" si="775"/>
        <v>1</v>
      </c>
      <c r="BE371" s="85">
        <v>2</v>
      </c>
      <c r="BF371" s="86">
        <v>46071</v>
      </c>
      <c r="BG371" s="72">
        <f t="shared" si="802"/>
        <v>46265</v>
      </c>
      <c r="BH371" s="87">
        <f t="shared" si="948"/>
        <v>194</v>
      </c>
      <c r="BI371" s="80" t="str">
        <f t="shared" si="776"/>
        <v/>
      </c>
      <c r="BJ371" s="238">
        <v>25000</v>
      </c>
    </row>
    <row r="372" spans="1:62" ht="13">
      <c r="A372" s="49"/>
      <c r="B372" s="50"/>
      <c r="C372" s="77">
        <v>369</v>
      </c>
      <c r="D372" s="135" t="s">
        <v>1520</v>
      </c>
      <c r="E372" s="110">
        <v>12</v>
      </c>
      <c r="F372" s="80" t="s">
        <v>1337</v>
      </c>
      <c r="G372" s="81" t="s">
        <v>1712</v>
      </c>
      <c r="H372" s="81" t="s">
        <v>1700</v>
      </c>
      <c r="I372" s="80" t="s">
        <v>458</v>
      </c>
      <c r="J372" s="82">
        <f t="shared" si="966"/>
        <v>4</v>
      </c>
      <c r="K372" s="80">
        <v>6</v>
      </c>
      <c r="L372" s="57"/>
      <c r="M372" s="58">
        <v>1</v>
      </c>
      <c r="N372" s="59">
        <f t="shared" si="967"/>
        <v>5</v>
      </c>
      <c r="O372" s="60"/>
      <c r="P372" s="58"/>
      <c r="Q372" s="59">
        <f t="shared" si="968"/>
        <v>5</v>
      </c>
      <c r="R372" s="60"/>
      <c r="S372" s="58"/>
      <c r="T372" s="61">
        <f t="shared" si="969"/>
        <v>5</v>
      </c>
      <c r="U372" s="60"/>
      <c r="V372" s="58"/>
      <c r="W372" s="59">
        <f t="shared" si="970"/>
        <v>5</v>
      </c>
      <c r="X372" s="60"/>
      <c r="Y372" s="58"/>
      <c r="Z372" s="61">
        <f t="shared" si="971"/>
        <v>5</v>
      </c>
      <c r="AA372" s="60"/>
      <c r="AB372" s="58"/>
      <c r="AC372" s="59">
        <f t="shared" si="972"/>
        <v>5</v>
      </c>
      <c r="AD372" s="57"/>
      <c r="AE372" s="58"/>
      <c r="AF372" s="243">
        <f t="shared" si="973"/>
        <v>5</v>
      </c>
      <c r="AG372" s="60"/>
      <c r="AH372" s="58">
        <v>1</v>
      </c>
      <c r="AI372" s="62">
        <f t="shared" si="974"/>
        <v>4</v>
      </c>
      <c r="AJ372" s="60"/>
      <c r="AK372" s="58"/>
      <c r="AL372" s="62">
        <f t="shared" si="975"/>
        <v>4</v>
      </c>
      <c r="AM372" s="60"/>
      <c r="AN372" s="58"/>
      <c r="AO372" s="62">
        <f t="shared" si="976"/>
        <v>4</v>
      </c>
      <c r="AP372" s="60"/>
      <c r="AQ372" s="58"/>
      <c r="AR372" s="62">
        <f t="shared" si="977"/>
        <v>4</v>
      </c>
      <c r="AS372" s="60"/>
      <c r="AT372" s="58"/>
      <c r="AU372" s="62">
        <f t="shared" si="978"/>
        <v>4</v>
      </c>
      <c r="AV372" s="83">
        <f t="shared" si="979"/>
        <v>0</v>
      </c>
      <c r="AW372" s="83">
        <f t="shared" si="950"/>
        <v>2</v>
      </c>
      <c r="AX372" s="64">
        <f t="shared" si="980"/>
        <v>2</v>
      </c>
      <c r="AY372" s="65">
        <f t="shared" si="946"/>
        <v>1</v>
      </c>
      <c r="AZ372" s="66">
        <f t="shared" si="947"/>
        <v>2</v>
      </c>
      <c r="BA372" s="67">
        <f>MAX(0, Table176252626[[#This Row],[Column6]])</f>
        <v>4</v>
      </c>
      <c r="BB372" s="68">
        <v>1</v>
      </c>
      <c r="BC372" s="84">
        <f t="shared" si="777"/>
        <v>4</v>
      </c>
      <c r="BD372" s="83">
        <f t="shared" si="775"/>
        <v>3</v>
      </c>
      <c r="BE372" s="85">
        <v>2</v>
      </c>
      <c r="BF372" s="86">
        <v>45211.567060185182</v>
      </c>
      <c r="BG372" s="72">
        <f t="shared" si="802"/>
        <v>46265</v>
      </c>
      <c r="BH372" s="87">
        <f t="shared" si="948"/>
        <v>1053.4329398148184</v>
      </c>
      <c r="BI372" s="80" t="str">
        <f t="shared" si="776"/>
        <v>Dead Stock</v>
      </c>
      <c r="BJ372" s="238">
        <v>2200</v>
      </c>
    </row>
    <row r="373" spans="1:62" ht="13">
      <c r="A373" s="75"/>
      <c r="B373" s="76"/>
      <c r="C373" s="51">
        <v>370</v>
      </c>
      <c r="D373" s="135" t="s">
        <v>1520</v>
      </c>
      <c r="E373" s="110">
        <v>13</v>
      </c>
      <c r="F373" s="88" t="s">
        <v>303</v>
      </c>
      <c r="G373" s="118" t="s">
        <v>304</v>
      </c>
      <c r="H373" s="89" t="s">
        <v>1974</v>
      </c>
      <c r="I373" s="80" t="s">
        <v>458</v>
      </c>
      <c r="J373" s="93">
        <f>AU373</f>
        <v>1</v>
      </c>
      <c r="K373" s="88">
        <v>0</v>
      </c>
      <c r="L373" s="58"/>
      <c r="M373" s="58"/>
      <c r="N373" s="62">
        <f>SUM(K373+L373-M373)</f>
        <v>0</v>
      </c>
      <c r="O373" s="60"/>
      <c r="P373" s="58"/>
      <c r="Q373" s="62">
        <f>SUM(N373+O373-P373)</f>
        <v>0</v>
      </c>
      <c r="R373" s="60"/>
      <c r="S373" s="58"/>
      <c r="T373" s="94">
        <f>SUM(Q373+R373-S373)</f>
        <v>0</v>
      </c>
      <c r="U373" s="60"/>
      <c r="V373" s="58"/>
      <c r="W373" s="62">
        <f>SUM(T373+U373-V373)</f>
        <v>0</v>
      </c>
      <c r="X373" s="60"/>
      <c r="Y373" s="58"/>
      <c r="Z373" s="94">
        <f>SUM(W373+X373-Y373)</f>
        <v>0</v>
      </c>
      <c r="AA373" s="60">
        <v>1</v>
      </c>
      <c r="AB373" s="58"/>
      <c r="AC373" s="62">
        <f>SUM(Z373+AA373-AB373)</f>
        <v>1</v>
      </c>
      <c r="AD373" s="57"/>
      <c r="AE373" s="58"/>
      <c r="AF373" s="165">
        <f>SUM(AC373+AD373-AE373)</f>
        <v>1</v>
      </c>
      <c r="AG373" s="60"/>
      <c r="AH373" s="58"/>
      <c r="AI373" s="62">
        <f>SUM(AF373+AG373-AH373)</f>
        <v>1</v>
      </c>
      <c r="AJ373" s="60"/>
      <c r="AK373" s="58"/>
      <c r="AL373" s="62">
        <f>SUM(AI373+AJ373-AK373)</f>
        <v>1</v>
      </c>
      <c r="AM373" s="60"/>
      <c r="AN373" s="58"/>
      <c r="AO373" s="62">
        <f>SUM(AL373+AM373-AN373)</f>
        <v>1</v>
      </c>
      <c r="AP373" s="60"/>
      <c r="AQ373" s="58"/>
      <c r="AR373" s="62">
        <f>SUM(AO373+AP373-AQ373)</f>
        <v>1</v>
      </c>
      <c r="AS373" s="60"/>
      <c r="AT373" s="58"/>
      <c r="AU373" s="62">
        <f>SUM(AR373+AS373-AT373)</f>
        <v>1</v>
      </c>
      <c r="AV373" s="96">
        <f>SUM(L373+O373+R373+U373+X373+AA373+AD373+AG373+AJ373+AM373+AP373+AS373)</f>
        <v>1</v>
      </c>
      <c r="AW373" s="83">
        <f>SUM(M373+P373+S373+V373+Y373+AB373+AE373+AH373+AK373+AN373+AQ373+AT373)</f>
        <v>0</v>
      </c>
      <c r="AX373" s="98">
        <f>SUM(M373,P373,S373,V373,Y373,AB373,AE373,AH373,AK373,AN373,AQ373,AT373)</f>
        <v>0</v>
      </c>
      <c r="AY373" s="99" t="e">
        <f>AVERAGE(M373,P373,S373,V373,Y373,AB373,AE373,AH373,AK373,AN373,AQ373,AT373)</f>
        <v>#DIV/0!</v>
      </c>
      <c r="AZ373" s="100">
        <f>COUNT(M373,P373,S373,V373,Y373,AB373,AE373,AH373,AK373,AN373,AQ373,AT373)</f>
        <v>0</v>
      </c>
      <c r="BA373" s="101">
        <v>1</v>
      </c>
      <c r="BB373" s="102">
        <v>0</v>
      </c>
      <c r="BC373" s="84">
        <f>J373</f>
        <v>1</v>
      </c>
      <c r="BD373" s="83">
        <f>SUM(BC373-BB373)</f>
        <v>1</v>
      </c>
      <c r="BE373" s="85">
        <v>2</v>
      </c>
      <c r="BF373" s="86">
        <v>46199</v>
      </c>
      <c r="BG373" s="72">
        <f t="shared" si="802"/>
        <v>46265</v>
      </c>
      <c r="BH373" s="103">
        <f>BG373-BF373</f>
        <v>66</v>
      </c>
      <c r="BI373" s="80" t="str">
        <f>IF(AND(J373&gt;0,BH373&gt;365),"Dead Stock","")</f>
        <v/>
      </c>
      <c r="BJ373" s="238">
        <v>29900</v>
      </c>
    </row>
    <row r="374" spans="1:62" ht="13">
      <c r="A374" s="49"/>
      <c r="B374" s="76"/>
      <c r="C374" s="51">
        <v>371</v>
      </c>
      <c r="D374" s="135" t="s">
        <v>1520</v>
      </c>
      <c r="E374" s="110">
        <v>14</v>
      </c>
      <c r="F374" s="80" t="s">
        <v>1335</v>
      </c>
      <c r="G374" s="81" t="s">
        <v>1336</v>
      </c>
      <c r="H374" s="81" t="s">
        <v>1700</v>
      </c>
      <c r="I374" s="80" t="s">
        <v>458</v>
      </c>
      <c r="J374" s="82">
        <f t="shared" si="966"/>
        <v>3</v>
      </c>
      <c r="K374" s="80">
        <v>3</v>
      </c>
      <c r="L374" s="57"/>
      <c r="M374" s="58"/>
      <c r="N374" s="59">
        <f t="shared" si="967"/>
        <v>3</v>
      </c>
      <c r="O374" s="60"/>
      <c r="P374" s="58"/>
      <c r="Q374" s="59">
        <f t="shared" si="968"/>
        <v>3</v>
      </c>
      <c r="R374" s="60"/>
      <c r="S374" s="58"/>
      <c r="T374" s="61">
        <f t="shared" si="969"/>
        <v>3</v>
      </c>
      <c r="U374" s="60"/>
      <c r="V374" s="58"/>
      <c r="W374" s="59">
        <f t="shared" si="970"/>
        <v>3</v>
      </c>
      <c r="X374" s="60"/>
      <c r="Y374" s="58"/>
      <c r="Z374" s="61">
        <f t="shared" si="971"/>
        <v>3</v>
      </c>
      <c r="AA374" s="60"/>
      <c r="AB374" s="58"/>
      <c r="AC374" s="59">
        <f t="shared" si="972"/>
        <v>3</v>
      </c>
      <c r="AD374" s="57"/>
      <c r="AE374" s="58"/>
      <c r="AF374" s="243">
        <f t="shared" si="973"/>
        <v>3</v>
      </c>
      <c r="AG374" s="60"/>
      <c r="AH374" s="58"/>
      <c r="AI374" s="62">
        <f t="shared" si="974"/>
        <v>3</v>
      </c>
      <c r="AJ374" s="60"/>
      <c r="AK374" s="58"/>
      <c r="AL374" s="62">
        <f t="shared" si="975"/>
        <v>3</v>
      </c>
      <c r="AM374" s="60"/>
      <c r="AN374" s="58"/>
      <c r="AO374" s="62">
        <f t="shared" si="976"/>
        <v>3</v>
      </c>
      <c r="AP374" s="60"/>
      <c r="AQ374" s="58"/>
      <c r="AR374" s="104">
        <f t="shared" si="977"/>
        <v>3</v>
      </c>
      <c r="AS374" s="57"/>
      <c r="AT374" s="58"/>
      <c r="AU374" s="62">
        <f t="shared" si="978"/>
        <v>3</v>
      </c>
      <c r="AV374" s="83">
        <f t="shared" ref="AV374" si="981">SUM(L374+O374+R374+U374+X374+AA374+AD374+AG374+AJ374+AM374+AP374+AS374)</f>
        <v>0</v>
      </c>
      <c r="AW374" s="83">
        <f t="shared" si="950"/>
        <v>0</v>
      </c>
      <c r="AX374" s="64">
        <f t="shared" si="980"/>
        <v>0</v>
      </c>
      <c r="AY374" s="65" t="e">
        <f t="shared" si="946"/>
        <v>#DIV/0!</v>
      </c>
      <c r="AZ374" s="66">
        <f t="shared" si="947"/>
        <v>0</v>
      </c>
      <c r="BA374" s="67">
        <v>3</v>
      </c>
      <c r="BB374" s="68">
        <v>1</v>
      </c>
      <c r="BC374" s="84">
        <f t="shared" si="777"/>
        <v>3</v>
      </c>
      <c r="BD374" s="83">
        <f t="shared" si="775"/>
        <v>2</v>
      </c>
      <c r="BE374" s="85">
        <v>2</v>
      </c>
      <c r="BF374" s="86">
        <v>45160.378796296296</v>
      </c>
      <c r="BG374" s="72">
        <f t="shared" si="802"/>
        <v>46265</v>
      </c>
      <c r="BH374" s="87">
        <f t="shared" si="948"/>
        <v>1104.6212037037039</v>
      </c>
      <c r="BI374" s="80" t="str">
        <f t="shared" si="776"/>
        <v>Dead Stock</v>
      </c>
      <c r="BJ374" s="238">
        <v>2200</v>
      </c>
    </row>
    <row r="375" spans="1:62" ht="12.5" customHeight="1">
      <c r="A375" s="90"/>
      <c r="B375" s="91"/>
      <c r="C375" s="51">
        <v>372</v>
      </c>
      <c r="D375" s="135" t="s">
        <v>1520</v>
      </c>
      <c r="E375" s="110">
        <v>15</v>
      </c>
      <c r="F375" s="88" t="s">
        <v>1990</v>
      </c>
      <c r="G375" s="89" t="s">
        <v>1991</v>
      </c>
      <c r="H375" s="89" t="s">
        <v>1994</v>
      </c>
      <c r="I375" s="80" t="s">
        <v>458</v>
      </c>
      <c r="J375" s="93">
        <f>AU375</f>
        <v>5</v>
      </c>
      <c r="K375" s="88">
        <v>0</v>
      </c>
      <c r="L375" s="58"/>
      <c r="M375" s="58"/>
      <c r="N375" s="62">
        <f>SUM(K375+L375-M375)</f>
        <v>0</v>
      </c>
      <c r="O375" s="60"/>
      <c r="P375" s="58"/>
      <c r="Q375" s="62">
        <f>SUM(N375+O375-P375)</f>
        <v>0</v>
      </c>
      <c r="R375" s="60"/>
      <c r="S375" s="58"/>
      <c r="T375" s="94">
        <f>SUM(Q375+R375-S375)</f>
        <v>0</v>
      </c>
      <c r="U375" s="60"/>
      <c r="V375" s="58"/>
      <c r="W375" s="62">
        <f>SUM(T375+U375-V375)</f>
        <v>0</v>
      </c>
      <c r="X375" s="60"/>
      <c r="Y375" s="58"/>
      <c r="Z375" s="94">
        <f>SUM(W375+X375-Y375)</f>
        <v>0</v>
      </c>
      <c r="AA375" s="60"/>
      <c r="AB375" s="58"/>
      <c r="AC375" s="62">
        <f>SUM(Z375+AA375-AB375)</f>
        <v>0</v>
      </c>
      <c r="AD375" s="57">
        <v>5</v>
      </c>
      <c r="AE375" s="58"/>
      <c r="AF375" s="165">
        <f>SUM(AC375+AD375-AE375)</f>
        <v>5</v>
      </c>
      <c r="AG375" s="60"/>
      <c r="AH375" s="58"/>
      <c r="AI375" s="62">
        <f>SUM(AF375+AG375-AH375)</f>
        <v>5</v>
      </c>
      <c r="AJ375" s="60"/>
      <c r="AK375" s="58"/>
      <c r="AL375" s="62">
        <f>SUM(AI375+AJ375-AK375)</f>
        <v>5</v>
      </c>
      <c r="AM375" s="60"/>
      <c r="AN375" s="58"/>
      <c r="AO375" s="62">
        <f>SUM(AL375+AM375-AN375)</f>
        <v>5</v>
      </c>
      <c r="AP375" s="60"/>
      <c r="AQ375" s="58"/>
      <c r="AR375" s="62">
        <f>SUM(AO375+AP375-AQ375)</f>
        <v>5</v>
      </c>
      <c r="AS375" s="60"/>
      <c r="AT375" s="58"/>
      <c r="AU375" s="62">
        <f>SUM(AR375+AS375-AT375)</f>
        <v>5</v>
      </c>
      <c r="AV375" s="96">
        <f>SUM(L375+O375+R375+U375+X375+AA375+AD375+AG375+AJ375+AM375+AP375+AS375)</f>
        <v>5</v>
      </c>
      <c r="AW375" s="83">
        <f>SUM(M375+P375+S375+V375+Y375+AB375+AE375+AH375+AK375+AN375+AQ375+AT375)</f>
        <v>0</v>
      </c>
      <c r="AX375" s="98">
        <f>SUM(M375,P375,S375,V375,Y375,AB375,AE375,AH375,AK375,AN375,AQ375,AT375)</f>
        <v>0</v>
      </c>
      <c r="AY375" s="99" t="e">
        <f>AVERAGE(M375,P375,S375,V375,Y375,AB375,AE375,AH375,AK375,AN375,AQ375,AT375)</f>
        <v>#DIV/0!</v>
      </c>
      <c r="AZ375" s="100">
        <f>COUNT(M375,P375,S375,V375,Y375,AB375,AE375,AH375,AK375,AN375,AQ375,AT375)</f>
        <v>0</v>
      </c>
      <c r="BA375" s="101">
        <v>5</v>
      </c>
      <c r="BB375" s="102">
        <v>1</v>
      </c>
      <c r="BC375" s="84">
        <f t="shared" si="777"/>
        <v>5</v>
      </c>
      <c r="BD375" s="83">
        <f t="shared" si="775"/>
        <v>4</v>
      </c>
      <c r="BE375" s="85">
        <v>2</v>
      </c>
      <c r="BF375" s="86">
        <v>46195</v>
      </c>
      <c r="BG375" s="72">
        <f t="shared" si="802"/>
        <v>46265</v>
      </c>
      <c r="BH375" s="103">
        <f>BG375-BF375</f>
        <v>70</v>
      </c>
      <c r="BI375" s="80" t="str">
        <f t="shared" si="776"/>
        <v/>
      </c>
      <c r="BJ375" s="238">
        <v>5000</v>
      </c>
    </row>
    <row r="376" spans="1:62" ht="13">
      <c r="A376" s="49"/>
      <c r="B376" s="76"/>
      <c r="C376" s="51">
        <v>373</v>
      </c>
      <c r="D376" s="135" t="s">
        <v>1520</v>
      </c>
      <c r="E376" s="110">
        <v>16</v>
      </c>
      <c r="F376" s="88" t="s">
        <v>1992</v>
      </c>
      <c r="G376" s="89" t="s">
        <v>1993</v>
      </c>
      <c r="H376" s="89" t="s">
        <v>1994</v>
      </c>
      <c r="I376" s="80" t="s">
        <v>458</v>
      </c>
      <c r="J376" s="93">
        <f>AU376</f>
        <v>4</v>
      </c>
      <c r="K376" s="88">
        <v>0</v>
      </c>
      <c r="L376" s="58"/>
      <c r="M376" s="58"/>
      <c r="N376" s="62">
        <f>SUM(K376+L376-M376)</f>
        <v>0</v>
      </c>
      <c r="O376" s="60"/>
      <c r="P376" s="58"/>
      <c r="Q376" s="62">
        <f>SUM(N376+O376-P376)</f>
        <v>0</v>
      </c>
      <c r="R376" s="60"/>
      <c r="S376" s="58"/>
      <c r="T376" s="94">
        <f>SUM(Q376+R376-S376)</f>
        <v>0</v>
      </c>
      <c r="U376" s="60"/>
      <c r="V376" s="58"/>
      <c r="W376" s="62">
        <f>SUM(T376+U376-V376)</f>
        <v>0</v>
      </c>
      <c r="X376" s="60"/>
      <c r="Y376" s="58"/>
      <c r="Z376" s="94">
        <f>SUM(W376+X376-Y376)</f>
        <v>0</v>
      </c>
      <c r="AA376" s="60"/>
      <c r="AB376" s="58"/>
      <c r="AC376" s="62">
        <f>SUM(Z376+AA376-AB376)</f>
        <v>0</v>
      </c>
      <c r="AD376" s="57">
        <v>4</v>
      </c>
      <c r="AE376" s="58"/>
      <c r="AF376" s="165">
        <f>SUM(AC376+AD376-AE376)</f>
        <v>4</v>
      </c>
      <c r="AG376" s="60"/>
      <c r="AH376" s="58"/>
      <c r="AI376" s="62">
        <f>SUM(AF376+AG376-AH376)</f>
        <v>4</v>
      </c>
      <c r="AJ376" s="60"/>
      <c r="AK376" s="58"/>
      <c r="AL376" s="62">
        <f>SUM(AI376+AJ376-AK376)</f>
        <v>4</v>
      </c>
      <c r="AM376" s="60"/>
      <c r="AN376" s="58"/>
      <c r="AO376" s="62">
        <f>SUM(AL376+AM376-AN376)</f>
        <v>4</v>
      </c>
      <c r="AP376" s="60"/>
      <c r="AQ376" s="58"/>
      <c r="AR376" s="62">
        <f>SUM(AO376+AP376-AQ376)</f>
        <v>4</v>
      </c>
      <c r="AS376" s="60"/>
      <c r="AT376" s="58"/>
      <c r="AU376" s="62">
        <f>SUM(AR376+AS376-AT376)</f>
        <v>4</v>
      </c>
      <c r="AV376" s="96">
        <f>SUM(L376+O376+R376+U376+X376+AA376+AD376+AG376+AJ376+AM376+AP376+AS376)</f>
        <v>4</v>
      </c>
      <c r="AW376" s="83">
        <f>SUM(M376+P376+S376+V376+Y376+AB376+AE376+AH376+AK376+AN376+AQ376+AT376)</f>
        <v>0</v>
      </c>
      <c r="AX376" s="98">
        <f>SUM(M376,P376,S376,V376,Y376,AB376,AE376,AH376,AK376,AN376,AQ376,AT376)</f>
        <v>0</v>
      </c>
      <c r="AY376" s="99" t="e">
        <f>AVERAGE(M376,P376,S376,V376,Y376,AB376,AE376,AH376,AK376,AN376,AQ376,AT376)</f>
        <v>#DIV/0!</v>
      </c>
      <c r="AZ376" s="100">
        <f>COUNT(M376,P376,S376,V376,Y376,AB376,AE376,AH376,AK376,AN376,AQ376,AT376)</f>
        <v>0</v>
      </c>
      <c r="BA376" s="101">
        <v>4</v>
      </c>
      <c r="BB376" s="102">
        <v>1</v>
      </c>
      <c r="BC376" s="84">
        <f t="shared" si="777"/>
        <v>4</v>
      </c>
      <c r="BD376" s="83">
        <f t="shared" si="775"/>
        <v>3</v>
      </c>
      <c r="BE376" s="85">
        <v>2</v>
      </c>
      <c r="BF376" s="86">
        <v>46195</v>
      </c>
      <c r="BG376" s="72">
        <f t="shared" si="802"/>
        <v>46265</v>
      </c>
      <c r="BH376" s="109">
        <f>BG376-BF376</f>
        <v>70</v>
      </c>
      <c r="BI376" s="80" t="str">
        <f t="shared" si="776"/>
        <v/>
      </c>
      <c r="BJ376" s="238">
        <v>3500</v>
      </c>
    </row>
    <row r="377" spans="1:62" ht="13">
      <c r="A377" s="49"/>
      <c r="B377" s="50"/>
      <c r="C377" s="77">
        <v>374</v>
      </c>
      <c r="D377" s="117" t="s">
        <v>1522</v>
      </c>
      <c r="E377" s="117">
        <v>1</v>
      </c>
      <c r="F377" s="80" t="s">
        <v>181</v>
      </c>
      <c r="G377" s="81" t="s">
        <v>182</v>
      </c>
      <c r="H377" s="81" t="s">
        <v>289</v>
      </c>
      <c r="I377" s="80" t="s">
        <v>458</v>
      </c>
      <c r="J377" s="82">
        <f t="shared" ref="J377:J391" si="982">AU377</f>
        <v>2</v>
      </c>
      <c r="K377" s="80">
        <v>2</v>
      </c>
      <c r="L377" s="57"/>
      <c r="M377" s="58"/>
      <c r="N377" s="59">
        <f t="shared" ref="N377" si="983">SUM(K377+L377-M377)</f>
        <v>2</v>
      </c>
      <c r="O377" s="60"/>
      <c r="P377" s="58"/>
      <c r="Q377" s="59">
        <f t="shared" ref="Q377:Q391" si="984">SUM(N377+O377-P377)</f>
        <v>2</v>
      </c>
      <c r="R377" s="60"/>
      <c r="S377" s="58"/>
      <c r="T377" s="61">
        <f t="shared" ref="T377:T391" si="985">SUM(Q377+R377-S377)</f>
        <v>2</v>
      </c>
      <c r="U377" s="60"/>
      <c r="V377" s="58"/>
      <c r="W377" s="59">
        <f t="shared" ref="W377:W391" si="986">SUM(T377+U377-V377)</f>
        <v>2</v>
      </c>
      <c r="X377" s="60"/>
      <c r="Y377" s="58"/>
      <c r="Z377" s="61">
        <f t="shared" ref="Z377:Z391" si="987">SUM(W377+X377-Y377)</f>
        <v>2</v>
      </c>
      <c r="AA377" s="60"/>
      <c r="AB377" s="58"/>
      <c r="AC377" s="59">
        <f t="shared" ref="AC377:AC391" si="988">SUM(Z377+AA377-AB377)</f>
        <v>2</v>
      </c>
      <c r="AD377" s="57"/>
      <c r="AE377" s="58"/>
      <c r="AF377" s="243">
        <f t="shared" ref="AF377:AF391" si="989">SUM(AC377+AD377-AE377)</f>
        <v>2</v>
      </c>
      <c r="AG377" s="60"/>
      <c r="AH377" s="58"/>
      <c r="AI377" s="62">
        <f t="shared" ref="AI377:AI391" si="990">SUM(AF377+AG377-AH377)</f>
        <v>2</v>
      </c>
      <c r="AJ377" s="60"/>
      <c r="AK377" s="58"/>
      <c r="AL377" s="62">
        <f t="shared" ref="AL377:AL391" si="991">SUM(AI377+AJ377-AK377)</f>
        <v>2</v>
      </c>
      <c r="AM377" s="60"/>
      <c r="AN377" s="58"/>
      <c r="AO377" s="62">
        <f t="shared" ref="AO377:AO391" si="992">SUM(AL377+AM377-AN377)</f>
        <v>2</v>
      </c>
      <c r="AP377" s="60"/>
      <c r="AQ377" s="58"/>
      <c r="AR377" s="62">
        <f t="shared" ref="AR377" si="993">SUM(AO377+AP377-AQ377)</f>
        <v>2</v>
      </c>
      <c r="AS377" s="60"/>
      <c r="AT377" s="58"/>
      <c r="AU377" s="62">
        <f t="shared" ref="AU377:AU391" si="994">SUM(AR377+AS377-AT377)</f>
        <v>2</v>
      </c>
      <c r="AV377" s="83">
        <f t="shared" ref="AV377:AV391" si="995">SUM(L377+O377+R377+U377+X377+AA377+AD377+AG377+AJ377+AM377+AP377+AS377)</f>
        <v>0</v>
      </c>
      <c r="AW377" s="83">
        <f t="shared" si="950"/>
        <v>0</v>
      </c>
      <c r="AX377" s="64">
        <f t="shared" ref="AX377" si="996">SUM(M377,P377,S377,V377,Y377,AB377,AE377,AH377,AK377,AN377,AQ377,AT377)</f>
        <v>0</v>
      </c>
      <c r="AY377" s="65" t="e">
        <f t="shared" si="946"/>
        <v>#DIV/0!</v>
      </c>
      <c r="AZ377" s="66">
        <f>COUNT(M377,P377,S377,V377,Y377,AB377,AE377,AH377,#REF!,AN377,AQ377,AT377)</f>
        <v>0</v>
      </c>
      <c r="BA377" s="67">
        <f>MAX(0, Table176252626[[#This Row],[Column6]])</f>
        <v>2</v>
      </c>
      <c r="BB377" s="68">
        <v>1</v>
      </c>
      <c r="BC377" s="84">
        <f t="shared" si="777"/>
        <v>2</v>
      </c>
      <c r="BD377" s="83">
        <f t="shared" si="775"/>
        <v>1</v>
      </c>
      <c r="BE377" s="85">
        <v>2</v>
      </c>
      <c r="BF377" s="86">
        <v>42605.563333333332</v>
      </c>
      <c r="BG377" s="72">
        <f t="shared" si="802"/>
        <v>46265</v>
      </c>
      <c r="BH377" s="87">
        <f t="shared" ref="BH377:BH391" si="997">BG377-BF377</f>
        <v>3659.4366666666683</v>
      </c>
      <c r="BI377" s="80" t="str">
        <f t="shared" si="776"/>
        <v>Dead Stock</v>
      </c>
      <c r="BJ377" s="238">
        <v>2000</v>
      </c>
    </row>
    <row r="378" spans="1:62" ht="13">
      <c r="A378" s="90"/>
      <c r="B378" s="91"/>
      <c r="C378" s="77">
        <v>375</v>
      </c>
      <c r="D378" s="117" t="s">
        <v>1522</v>
      </c>
      <c r="E378" s="117">
        <v>2</v>
      </c>
      <c r="F378" s="80" t="s">
        <v>636</v>
      </c>
      <c r="G378" s="81" t="s">
        <v>637</v>
      </c>
      <c r="H378" s="81" t="s">
        <v>633</v>
      </c>
      <c r="I378" s="80" t="s">
        <v>458</v>
      </c>
      <c r="J378" s="82">
        <f t="shared" si="982"/>
        <v>10</v>
      </c>
      <c r="K378" s="80">
        <v>10</v>
      </c>
      <c r="L378" s="57"/>
      <c r="M378" s="58"/>
      <c r="N378" s="59">
        <f t="shared" ref="N378:N391" si="998">SUM(K378+L378-M378)</f>
        <v>10</v>
      </c>
      <c r="O378" s="60"/>
      <c r="P378" s="58"/>
      <c r="Q378" s="59">
        <f t="shared" si="984"/>
        <v>10</v>
      </c>
      <c r="R378" s="60"/>
      <c r="S378" s="58"/>
      <c r="T378" s="61">
        <f t="shared" si="985"/>
        <v>10</v>
      </c>
      <c r="U378" s="60"/>
      <c r="V378" s="58"/>
      <c r="W378" s="59">
        <f t="shared" si="986"/>
        <v>10</v>
      </c>
      <c r="X378" s="60"/>
      <c r="Y378" s="58"/>
      <c r="Z378" s="61">
        <f t="shared" si="987"/>
        <v>10</v>
      </c>
      <c r="AA378" s="60"/>
      <c r="AB378" s="58"/>
      <c r="AC378" s="59">
        <f t="shared" si="988"/>
        <v>10</v>
      </c>
      <c r="AD378" s="57"/>
      <c r="AE378" s="58"/>
      <c r="AF378" s="243">
        <f t="shared" si="989"/>
        <v>10</v>
      </c>
      <c r="AG378" s="60"/>
      <c r="AH378" s="58"/>
      <c r="AI378" s="62">
        <f t="shared" si="990"/>
        <v>10</v>
      </c>
      <c r="AJ378" s="60"/>
      <c r="AK378" s="136"/>
      <c r="AL378" s="62">
        <f>SUM(AI378+AJ378-AK377)</f>
        <v>10</v>
      </c>
      <c r="AM378" s="60"/>
      <c r="AN378" s="58"/>
      <c r="AO378" s="62">
        <f t="shared" si="992"/>
        <v>10</v>
      </c>
      <c r="AP378" s="60"/>
      <c r="AQ378" s="58"/>
      <c r="AR378" s="104">
        <f t="shared" ref="AR378:AR391" si="999">SUM(AO378+AP378-AQ378)</f>
        <v>10</v>
      </c>
      <c r="AS378" s="57"/>
      <c r="AT378" s="58"/>
      <c r="AU378" s="62">
        <f t="shared" si="994"/>
        <v>10</v>
      </c>
      <c r="AV378" s="83">
        <f t="shared" si="995"/>
        <v>0</v>
      </c>
      <c r="AW378" s="83">
        <f t="shared" si="950"/>
        <v>0</v>
      </c>
      <c r="AX378" s="64">
        <f>SUM(M378,P378,S378,V378,Y378,AB378,AE378,AH378,AK377,AN378,AQ378,AT378)</f>
        <v>0</v>
      </c>
      <c r="AY378" s="65" t="e">
        <f>AVERAGE(M378,P378,S378,V378,Y378,AB378,AE378,AH378,AK377,AN378,AQ378,AT378)</f>
        <v>#DIV/0!</v>
      </c>
      <c r="AZ378" s="66">
        <f>COUNT(M378,P378,S378,V378,Y378,AB378,AE378,AH378,AK377,AN378,AQ378,AT378)</f>
        <v>0</v>
      </c>
      <c r="BA378" s="67">
        <f>MAX(0, Table176252626[[#This Row],[Column6]])</f>
        <v>10</v>
      </c>
      <c r="BB378" s="68">
        <v>1</v>
      </c>
      <c r="BC378" s="84">
        <f t="shared" si="777"/>
        <v>10</v>
      </c>
      <c r="BD378" s="83">
        <f t="shared" si="775"/>
        <v>9</v>
      </c>
      <c r="BE378" s="85">
        <v>2</v>
      </c>
      <c r="BF378" s="86">
        <v>43392.553888888891</v>
      </c>
      <c r="BG378" s="72">
        <f t="shared" si="802"/>
        <v>46265</v>
      </c>
      <c r="BH378" s="87">
        <f t="shared" si="997"/>
        <v>2872.4461111111086</v>
      </c>
      <c r="BI378" s="80" t="str">
        <f t="shared" si="776"/>
        <v>Dead Stock</v>
      </c>
      <c r="BJ378" s="238">
        <v>1700</v>
      </c>
    </row>
    <row r="379" spans="1:62" ht="13">
      <c r="A379" s="49"/>
      <c r="B379" s="50"/>
      <c r="C379" s="51">
        <v>376</v>
      </c>
      <c r="D379" s="117" t="s">
        <v>1522</v>
      </c>
      <c r="E379" s="117">
        <v>3</v>
      </c>
      <c r="F379" s="80" t="s">
        <v>634</v>
      </c>
      <c r="G379" s="81" t="s">
        <v>635</v>
      </c>
      <c r="H379" s="81" t="s">
        <v>633</v>
      </c>
      <c r="I379" s="80" t="s">
        <v>458</v>
      </c>
      <c r="J379" s="82">
        <f t="shared" si="982"/>
        <v>4</v>
      </c>
      <c r="K379" s="80">
        <v>4</v>
      </c>
      <c r="L379" s="57"/>
      <c r="M379" s="58"/>
      <c r="N379" s="59">
        <f t="shared" si="998"/>
        <v>4</v>
      </c>
      <c r="O379" s="60"/>
      <c r="P379" s="58"/>
      <c r="Q379" s="59">
        <f t="shared" si="984"/>
        <v>4</v>
      </c>
      <c r="R379" s="60"/>
      <c r="S379" s="58"/>
      <c r="T379" s="61">
        <f t="shared" si="985"/>
        <v>4</v>
      </c>
      <c r="U379" s="60"/>
      <c r="V379" s="58"/>
      <c r="W379" s="59">
        <f t="shared" si="986"/>
        <v>4</v>
      </c>
      <c r="X379" s="60"/>
      <c r="Y379" s="58"/>
      <c r="Z379" s="61">
        <f t="shared" si="987"/>
        <v>4</v>
      </c>
      <c r="AA379" s="60"/>
      <c r="AB379" s="58"/>
      <c r="AC379" s="59">
        <f t="shared" si="988"/>
        <v>4</v>
      </c>
      <c r="AD379" s="57"/>
      <c r="AE379" s="58"/>
      <c r="AF379" s="243">
        <f t="shared" si="989"/>
        <v>4</v>
      </c>
      <c r="AG379" s="60"/>
      <c r="AH379" s="58"/>
      <c r="AI379" s="62">
        <f t="shared" si="990"/>
        <v>4</v>
      </c>
      <c r="AJ379" s="60"/>
      <c r="AK379" s="58"/>
      <c r="AL379" s="62">
        <f t="shared" si="991"/>
        <v>4</v>
      </c>
      <c r="AM379" s="60"/>
      <c r="AN379" s="58"/>
      <c r="AO379" s="62">
        <f t="shared" si="992"/>
        <v>4</v>
      </c>
      <c r="AP379" s="60"/>
      <c r="AQ379" s="58"/>
      <c r="AR379" s="104">
        <f t="shared" si="999"/>
        <v>4</v>
      </c>
      <c r="AS379" s="57"/>
      <c r="AT379" s="58"/>
      <c r="AU379" s="62">
        <f t="shared" si="994"/>
        <v>4</v>
      </c>
      <c r="AV379" s="83">
        <f t="shared" si="995"/>
        <v>0</v>
      </c>
      <c r="AW379" s="83">
        <f t="shared" si="950"/>
        <v>0</v>
      </c>
      <c r="AX379" s="64">
        <f t="shared" ref="AX379:AX391" si="1000">SUM(M379,P379,S379,V379,Y379,AB379,AE379,AH379,AK379,AN379,AQ379,AT379)</f>
        <v>0</v>
      </c>
      <c r="AY379" s="65" t="e">
        <f t="shared" ref="AY379:AY391" si="1001">AVERAGE(M379,P379,S379,V379,Y379,AB379,AE379,AH379,AK379,AN379,AQ379,AT379)</f>
        <v>#DIV/0!</v>
      </c>
      <c r="AZ379" s="66">
        <f t="shared" ref="AZ379:AZ391" si="1002">COUNT(M379,P379,S379,V379,Y379,AB379,AE379,AH379,AK379,AN379,AQ379,AT379)</f>
        <v>0</v>
      </c>
      <c r="BA379" s="67">
        <f>MAX(0, Table176252626[[#This Row],[Column6]])</f>
        <v>4</v>
      </c>
      <c r="BB379" s="68">
        <v>1</v>
      </c>
      <c r="BC379" s="84">
        <f t="shared" si="777"/>
        <v>4</v>
      </c>
      <c r="BD379" s="83">
        <f t="shared" si="775"/>
        <v>3</v>
      </c>
      <c r="BE379" s="85">
        <v>2</v>
      </c>
      <c r="BF379" s="86">
        <v>43392.553888888891</v>
      </c>
      <c r="BG379" s="72">
        <f t="shared" si="802"/>
        <v>46265</v>
      </c>
      <c r="BH379" s="87">
        <f t="shared" si="997"/>
        <v>2872.4461111111086</v>
      </c>
      <c r="BI379" s="80" t="str">
        <f t="shared" si="776"/>
        <v>Dead Stock</v>
      </c>
      <c r="BJ379" s="238">
        <v>1700</v>
      </c>
    </row>
    <row r="380" spans="1:62" ht="13">
      <c r="A380" s="49"/>
      <c r="B380" s="76"/>
      <c r="C380" s="51">
        <v>377</v>
      </c>
      <c r="D380" s="117" t="s">
        <v>1522</v>
      </c>
      <c r="E380" s="117">
        <v>5</v>
      </c>
      <c r="F380" s="137" t="s">
        <v>496</v>
      </c>
      <c r="G380" s="81" t="s">
        <v>497</v>
      </c>
      <c r="H380" s="81" t="s">
        <v>289</v>
      </c>
      <c r="I380" s="80" t="s">
        <v>458</v>
      </c>
      <c r="J380" s="82">
        <f>AU380</f>
        <v>1</v>
      </c>
      <c r="K380" s="80">
        <v>1</v>
      </c>
      <c r="L380" s="57"/>
      <c r="M380" s="58"/>
      <c r="N380" s="59">
        <f>SUM(K380+L380-M380)</f>
        <v>1</v>
      </c>
      <c r="O380" s="60"/>
      <c r="P380" s="58"/>
      <c r="Q380" s="59">
        <f>SUM(N380+O380-P380)</f>
        <v>1</v>
      </c>
      <c r="R380" s="60"/>
      <c r="S380" s="58"/>
      <c r="T380" s="61">
        <f>SUM(Q380+R380-S380)</f>
        <v>1</v>
      </c>
      <c r="U380" s="60"/>
      <c r="V380" s="58"/>
      <c r="W380" s="59">
        <f>SUM(T380+U380-V380)</f>
        <v>1</v>
      </c>
      <c r="X380" s="60"/>
      <c r="Y380" s="58"/>
      <c r="Z380" s="61">
        <f>SUM(W380+X380-Y380)</f>
        <v>1</v>
      </c>
      <c r="AA380" s="60"/>
      <c r="AB380" s="58"/>
      <c r="AC380" s="59">
        <f>SUM(Z380+AA380-AB380)</f>
        <v>1</v>
      </c>
      <c r="AD380" s="57"/>
      <c r="AE380" s="58"/>
      <c r="AF380" s="243">
        <f>SUM(AC380+AD380-AE380)</f>
        <v>1</v>
      </c>
      <c r="AG380" s="60"/>
      <c r="AH380" s="58"/>
      <c r="AI380" s="62">
        <f>SUM(AF380+AG380-AH380)</f>
        <v>1</v>
      </c>
      <c r="AJ380" s="60"/>
      <c r="AK380" s="58"/>
      <c r="AL380" s="62">
        <f>SUM(AI380+AJ380-AK380)</f>
        <v>1</v>
      </c>
      <c r="AM380" s="60"/>
      <c r="AN380" s="58"/>
      <c r="AO380" s="62">
        <f>SUM(AL380+AM380-AN380)</f>
        <v>1</v>
      </c>
      <c r="AP380" s="60"/>
      <c r="AQ380" s="58"/>
      <c r="AR380" s="62">
        <f>SUM(AO380+AP380-AQ380)</f>
        <v>1</v>
      </c>
      <c r="AS380" s="60"/>
      <c r="AT380" s="58"/>
      <c r="AU380" s="62">
        <f>SUM(AR380+AS380-AT380)</f>
        <v>1</v>
      </c>
      <c r="AV380" s="83">
        <f t="shared" ref="AV380:AW394" si="1003">SUM(L380+O380+R380+U380+X380+AA380+AD380+AG380+AJ380+AM380+AP380+AS380)</f>
        <v>0</v>
      </c>
      <c r="AW380" s="83">
        <f t="shared" si="950"/>
        <v>0</v>
      </c>
      <c r="AX380" s="64">
        <f>SUM(M380,P380,S380,V380,Y380,AB380,AE380,AH380,AK380,AN380,AQ380,AT380)</f>
        <v>0</v>
      </c>
      <c r="AY380" s="65" t="e">
        <f>AVERAGE(M380,P380,S380,V380,Y380,AB380,AE380,AH380,AK380,AN380,AQ380,AT380)</f>
        <v>#DIV/0!</v>
      </c>
      <c r="AZ380" s="66">
        <f>COUNT(M380,P380,S380,V380,Y380,AB380,AE380,AH380,AK380,AN380,AQ380,AT380)</f>
        <v>0</v>
      </c>
      <c r="BA380" s="67">
        <f>MAX(0, Table176252626[[#This Row],[Column6]])</f>
        <v>1</v>
      </c>
      <c r="BB380" s="68">
        <v>0</v>
      </c>
      <c r="BC380" s="84">
        <f t="shared" si="777"/>
        <v>1</v>
      </c>
      <c r="BD380" s="83">
        <f t="shared" si="775"/>
        <v>1</v>
      </c>
      <c r="BE380" s="85">
        <v>2</v>
      </c>
      <c r="BF380" s="86">
        <v>44600.727175925924</v>
      </c>
      <c r="BG380" s="72">
        <f t="shared" si="802"/>
        <v>46265</v>
      </c>
      <c r="BH380" s="87">
        <f>BG380-BF380</f>
        <v>1664.2728240740762</v>
      </c>
      <c r="BI380" s="80" t="str">
        <f t="shared" si="776"/>
        <v>Dead Stock</v>
      </c>
      <c r="BJ380" s="238">
        <v>7000</v>
      </c>
    </row>
    <row r="381" spans="1:62" ht="13">
      <c r="A381" s="49"/>
      <c r="B381" s="50"/>
      <c r="C381" s="51">
        <v>378</v>
      </c>
      <c r="D381" s="117" t="s">
        <v>1522</v>
      </c>
      <c r="E381" s="117">
        <v>6</v>
      </c>
      <c r="F381" s="80" t="s">
        <v>228</v>
      </c>
      <c r="G381" s="81" t="s">
        <v>229</v>
      </c>
      <c r="H381" s="81" t="s">
        <v>289</v>
      </c>
      <c r="I381" s="80" t="s">
        <v>458</v>
      </c>
      <c r="J381" s="82">
        <f>AU381</f>
        <v>1</v>
      </c>
      <c r="K381" s="80">
        <v>2</v>
      </c>
      <c r="L381" s="57"/>
      <c r="M381" s="58">
        <v>1</v>
      </c>
      <c r="N381" s="59">
        <f>SUM(K381+L381-M381)</f>
        <v>1</v>
      </c>
      <c r="O381" s="60"/>
      <c r="P381" s="58"/>
      <c r="Q381" s="59">
        <f>SUM(N381+O381-P381)</f>
        <v>1</v>
      </c>
      <c r="R381" s="60"/>
      <c r="S381" s="58"/>
      <c r="T381" s="61">
        <f>SUM(Q381+R381-S381)</f>
        <v>1</v>
      </c>
      <c r="U381" s="60"/>
      <c r="V381" s="58"/>
      <c r="W381" s="59">
        <f>SUM(T381+U381-V381)</f>
        <v>1</v>
      </c>
      <c r="X381" s="60"/>
      <c r="Y381" s="58"/>
      <c r="Z381" s="61">
        <f>SUM(W381+X381-Y381)</f>
        <v>1</v>
      </c>
      <c r="AA381" s="60"/>
      <c r="AB381" s="58"/>
      <c r="AC381" s="59">
        <f>SUM(Z381+AA381-AB381)</f>
        <v>1</v>
      </c>
      <c r="AD381" s="57"/>
      <c r="AE381" s="58"/>
      <c r="AF381" s="243">
        <f>SUM(AC381+AD381-AE381)</f>
        <v>1</v>
      </c>
      <c r="AG381" s="60"/>
      <c r="AH381" s="58"/>
      <c r="AI381" s="62">
        <f>SUM(AF381+AG381-AH381)</f>
        <v>1</v>
      </c>
      <c r="AJ381" s="60"/>
      <c r="AK381" s="58"/>
      <c r="AL381" s="62">
        <f>SUM(AI381+AJ381-AK381)</f>
        <v>1</v>
      </c>
      <c r="AM381" s="60"/>
      <c r="AN381" s="58"/>
      <c r="AO381" s="62">
        <f>SUM(AL381+AM381-AN381)</f>
        <v>1</v>
      </c>
      <c r="AP381" s="60"/>
      <c r="AQ381" s="58"/>
      <c r="AR381" s="62">
        <f>SUM(AO381+AP381-AQ381)</f>
        <v>1</v>
      </c>
      <c r="AS381" s="60"/>
      <c r="AT381" s="58"/>
      <c r="AU381" s="62">
        <f>SUM(AR381+AS381-AT381)</f>
        <v>1</v>
      </c>
      <c r="AV381" s="83">
        <f t="shared" si="1003"/>
        <v>0</v>
      </c>
      <c r="AW381" s="83">
        <f t="shared" si="1003"/>
        <v>1</v>
      </c>
      <c r="AX381" s="64">
        <f>SUM(M381,P381,S381,V381,Y381,AB381,AE381,AH381,AK381,AN381,AQ381,AT381)</f>
        <v>1</v>
      </c>
      <c r="AY381" s="65">
        <f>AVERAGE(M381,P381,S381,V381,Y381,AB381,AE381,AH381,AK381,AN381,AQ381,AT381)</f>
        <v>1</v>
      </c>
      <c r="AZ381" s="66">
        <f>COUNT(M381,P381,S381,V381,Y381,AB381,AE381,AH381,AK381,AN381,AQ381,AT381)</f>
        <v>1</v>
      </c>
      <c r="BA381" s="67">
        <f>MAX(0, Table176252626[[#This Row],[Column6]])</f>
        <v>1</v>
      </c>
      <c r="BB381" s="68">
        <v>0</v>
      </c>
      <c r="BC381" s="84">
        <f t="shared" si="777"/>
        <v>1</v>
      </c>
      <c r="BD381" s="83">
        <f t="shared" si="775"/>
        <v>1</v>
      </c>
      <c r="BE381" s="85">
        <v>2</v>
      </c>
      <c r="BF381" s="86">
        <v>43346.631481481483</v>
      </c>
      <c r="BG381" s="72">
        <f t="shared" si="802"/>
        <v>46265</v>
      </c>
      <c r="BH381" s="87">
        <f>BG381-BF381</f>
        <v>2918.3685185185168</v>
      </c>
      <c r="BI381" s="80" t="str">
        <f t="shared" si="776"/>
        <v>Dead Stock</v>
      </c>
      <c r="BJ381" s="238">
        <v>7130.26</v>
      </c>
    </row>
    <row r="382" spans="1:62" ht="13">
      <c r="A382" s="75"/>
      <c r="B382" s="76"/>
      <c r="C382" s="51">
        <v>379</v>
      </c>
      <c r="D382" s="117" t="s">
        <v>1522</v>
      </c>
      <c r="E382" s="117">
        <v>7</v>
      </c>
      <c r="F382" s="80" t="s">
        <v>176</v>
      </c>
      <c r="G382" s="81" t="s">
        <v>177</v>
      </c>
      <c r="H382" s="81" t="s">
        <v>289</v>
      </c>
      <c r="I382" s="80" t="s">
        <v>458</v>
      </c>
      <c r="J382" s="82">
        <f>AU382</f>
        <v>9</v>
      </c>
      <c r="K382" s="80">
        <v>9</v>
      </c>
      <c r="L382" s="57"/>
      <c r="M382" s="58"/>
      <c r="N382" s="59">
        <f>SUM(K382+L382-M382)</f>
        <v>9</v>
      </c>
      <c r="O382" s="60"/>
      <c r="P382" s="58"/>
      <c r="Q382" s="59">
        <f>SUM(N382+O382-P382)</f>
        <v>9</v>
      </c>
      <c r="R382" s="60"/>
      <c r="S382" s="58"/>
      <c r="T382" s="61">
        <f>SUM(Q382+R382-S382)</f>
        <v>9</v>
      </c>
      <c r="U382" s="60"/>
      <c r="V382" s="58"/>
      <c r="W382" s="59">
        <f>SUM(T382+U382-V382)</f>
        <v>9</v>
      </c>
      <c r="X382" s="60"/>
      <c r="Y382" s="58"/>
      <c r="Z382" s="61">
        <f>SUM(W382+X382-Y382)</f>
        <v>9</v>
      </c>
      <c r="AA382" s="60"/>
      <c r="AB382" s="58"/>
      <c r="AC382" s="59">
        <f>SUM(Z382+AA382-AB382)</f>
        <v>9</v>
      </c>
      <c r="AD382" s="57"/>
      <c r="AE382" s="58"/>
      <c r="AF382" s="243">
        <f>SUM(AC382+AD382-AE382)</f>
        <v>9</v>
      </c>
      <c r="AG382" s="60"/>
      <c r="AH382" s="58"/>
      <c r="AI382" s="62">
        <f>SUM(AF382+AG382-AH382)</f>
        <v>9</v>
      </c>
      <c r="AJ382" s="60"/>
      <c r="AK382" s="58"/>
      <c r="AL382" s="62">
        <f>SUM(AI382+AJ382-AK382)</f>
        <v>9</v>
      </c>
      <c r="AM382" s="60"/>
      <c r="AN382" s="58"/>
      <c r="AO382" s="62">
        <f>SUM(AL382+AM382-AN382)</f>
        <v>9</v>
      </c>
      <c r="AP382" s="60"/>
      <c r="AQ382" s="58"/>
      <c r="AR382" s="62">
        <f>SUM(AO382+AP382-AQ382)</f>
        <v>9</v>
      </c>
      <c r="AS382" s="60"/>
      <c r="AT382" s="58"/>
      <c r="AU382" s="62">
        <f>SUM(AR382+AS382-AT382)</f>
        <v>9</v>
      </c>
      <c r="AV382" s="83">
        <f t="shared" si="1003"/>
        <v>0</v>
      </c>
      <c r="AW382" s="83">
        <f t="shared" si="1003"/>
        <v>0</v>
      </c>
      <c r="AX382" s="64">
        <f>SUM(M382,P382,S382,V382,Y382,AB382,AE382,AH382,AK382,AN382,AQ382,AT382)</f>
        <v>0</v>
      </c>
      <c r="AY382" s="65" t="e">
        <f>AVERAGE(M382,P382,S382,V382,Y382,AB382,AE382,AH382,AK382,AN382,AQ382,AT382)</f>
        <v>#DIV/0!</v>
      </c>
      <c r="AZ382" s="66">
        <f>COUNT(M382,P382,S382,V382,Y382,AB382,AE382,AH382,AK382,AN382,AQ382,AT382)</f>
        <v>0</v>
      </c>
      <c r="BA382" s="67">
        <v>9</v>
      </c>
      <c r="BB382" s="68">
        <v>1</v>
      </c>
      <c r="BC382" s="84">
        <f t="shared" si="777"/>
        <v>9</v>
      </c>
      <c r="BD382" s="83">
        <f t="shared" ref="BD382:BD445" si="1004">SUM(BC382-BB382)</f>
        <v>8</v>
      </c>
      <c r="BE382" s="85">
        <v>2</v>
      </c>
      <c r="BF382" s="86">
        <v>42786.660671296297</v>
      </c>
      <c r="BG382" s="72">
        <f t="shared" si="802"/>
        <v>46265</v>
      </c>
      <c r="BH382" s="87">
        <f>BG382-BF382</f>
        <v>3478.3393287037034</v>
      </c>
      <c r="BI382" s="80" t="str">
        <f t="shared" ref="BI382:BI445" si="1005">IF(AND(J382&gt;0,BH382&gt;365),"Dead Stock","")</f>
        <v>Dead Stock</v>
      </c>
      <c r="BJ382" s="238">
        <v>3901.5</v>
      </c>
    </row>
    <row r="383" spans="1:62" ht="13">
      <c r="A383" s="75"/>
      <c r="B383" s="76"/>
      <c r="C383" s="77">
        <v>380</v>
      </c>
      <c r="D383" s="117" t="s">
        <v>1522</v>
      </c>
      <c r="E383" s="117">
        <v>8</v>
      </c>
      <c r="F383" s="80" t="s">
        <v>240</v>
      </c>
      <c r="G383" s="81" t="s">
        <v>1252</v>
      </c>
      <c r="H383" s="81" t="s">
        <v>289</v>
      </c>
      <c r="I383" s="80" t="s">
        <v>458</v>
      </c>
      <c r="J383" s="82">
        <f t="shared" si="982"/>
        <v>4</v>
      </c>
      <c r="K383" s="80">
        <v>4</v>
      </c>
      <c r="L383" s="57"/>
      <c r="M383" s="58"/>
      <c r="N383" s="59">
        <f t="shared" si="998"/>
        <v>4</v>
      </c>
      <c r="O383" s="60"/>
      <c r="P383" s="58"/>
      <c r="Q383" s="59">
        <f t="shared" si="984"/>
        <v>4</v>
      </c>
      <c r="R383" s="60"/>
      <c r="S383" s="58"/>
      <c r="T383" s="61">
        <f t="shared" si="985"/>
        <v>4</v>
      </c>
      <c r="U383" s="60"/>
      <c r="V383" s="58"/>
      <c r="W383" s="59">
        <f t="shared" si="986"/>
        <v>4</v>
      </c>
      <c r="X383" s="60"/>
      <c r="Y383" s="58"/>
      <c r="Z383" s="61">
        <f t="shared" si="987"/>
        <v>4</v>
      </c>
      <c r="AA383" s="60"/>
      <c r="AB383" s="58"/>
      <c r="AC383" s="59">
        <f t="shared" si="988"/>
        <v>4</v>
      </c>
      <c r="AD383" s="57"/>
      <c r="AE383" s="58"/>
      <c r="AF383" s="243">
        <f t="shared" si="989"/>
        <v>4</v>
      </c>
      <c r="AG383" s="60"/>
      <c r="AH383" s="58"/>
      <c r="AI383" s="62">
        <f t="shared" si="990"/>
        <v>4</v>
      </c>
      <c r="AJ383" s="60"/>
      <c r="AK383" s="58"/>
      <c r="AL383" s="62">
        <f t="shared" si="991"/>
        <v>4</v>
      </c>
      <c r="AM383" s="60"/>
      <c r="AN383" s="58"/>
      <c r="AO383" s="62">
        <f t="shared" si="992"/>
        <v>4</v>
      </c>
      <c r="AP383" s="60"/>
      <c r="AQ383" s="58"/>
      <c r="AR383" s="62">
        <f t="shared" si="999"/>
        <v>4</v>
      </c>
      <c r="AS383" s="60"/>
      <c r="AT383" s="58"/>
      <c r="AU383" s="62">
        <f t="shared" si="994"/>
        <v>4</v>
      </c>
      <c r="AV383" s="83">
        <f t="shared" si="995"/>
        <v>0</v>
      </c>
      <c r="AW383" s="83">
        <f t="shared" si="1003"/>
        <v>0</v>
      </c>
      <c r="AX383" s="64">
        <f t="shared" si="1000"/>
        <v>0</v>
      </c>
      <c r="AY383" s="65" t="e">
        <f t="shared" si="1001"/>
        <v>#DIV/0!</v>
      </c>
      <c r="AZ383" s="66">
        <f t="shared" si="1002"/>
        <v>0</v>
      </c>
      <c r="BA383" s="67">
        <f>MAX(0, Table176252626[[#This Row],[Column6]])</f>
        <v>4</v>
      </c>
      <c r="BB383" s="68">
        <v>1</v>
      </c>
      <c r="BC383" s="84">
        <f t="shared" ref="BC383:BC446" si="1006">J383</f>
        <v>4</v>
      </c>
      <c r="BD383" s="83">
        <f t="shared" si="1004"/>
        <v>3</v>
      </c>
      <c r="BE383" s="85">
        <v>2</v>
      </c>
      <c r="BF383" s="86">
        <v>42879.549224537041</v>
      </c>
      <c r="BG383" s="72">
        <f t="shared" si="802"/>
        <v>46265</v>
      </c>
      <c r="BH383" s="87">
        <f t="shared" si="997"/>
        <v>3385.4507754629594</v>
      </c>
      <c r="BI383" s="80" t="str">
        <f t="shared" si="1005"/>
        <v>Dead Stock</v>
      </c>
      <c r="BJ383" s="238">
        <v>4800</v>
      </c>
    </row>
    <row r="384" spans="1:62" ht="13">
      <c r="A384" s="90"/>
      <c r="B384" s="91"/>
      <c r="C384" s="77">
        <v>381</v>
      </c>
      <c r="D384" s="117" t="s">
        <v>1522</v>
      </c>
      <c r="E384" s="117">
        <v>9</v>
      </c>
      <c r="F384" s="88" t="s">
        <v>1031</v>
      </c>
      <c r="G384" s="89" t="s">
        <v>1371</v>
      </c>
      <c r="H384" s="81" t="s">
        <v>289</v>
      </c>
      <c r="I384" s="88" t="s">
        <v>458</v>
      </c>
      <c r="J384" s="82">
        <f>AU384</f>
        <v>1</v>
      </c>
      <c r="K384" s="88">
        <v>1</v>
      </c>
      <c r="L384" s="57"/>
      <c r="M384" s="58"/>
      <c r="N384" s="59">
        <f>SUM(K384+L384-M384)</f>
        <v>1</v>
      </c>
      <c r="O384" s="60"/>
      <c r="P384" s="58"/>
      <c r="Q384" s="59">
        <f>SUM(N384+O384-P384)</f>
        <v>1</v>
      </c>
      <c r="R384" s="60"/>
      <c r="S384" s="58"/>
      <c r="T384" s="61">
        <f>SUM(Q384+R384-S384)</f>
        <v>1</v>
      </c>
      <c r="U384" s="60"/>
      <c r="V384" s="58"/>
      <c r="W384" s="59">
        <f>SUM(T384+U384-V384)</f>
        <v>1</v>
      </c>
      <c r="X384" s="60"/>
      <c r="Y384" s="58"/>
      <c r="Z384" s="61">
        <f>SUM(W384+X384-Y384)</f>
        <v>1</v>
      </c>
      <c r="AA384" s="60"/>
      <c r="AB384" s="58"/>
      <c r="AC384" s="59">
        <f>SUM(Z384+AA384-AB384)</f>
        <v>1</v>
      </c>
      <c r="AD384" s="57"/>
      <c r="AE384" s="58"/>
      <c r="AF384" s="243">
        <f>SUM(AC384+AD384-AE384)</f>
        <v>1</v>
      </c>
      <c r="AG384" s="60"/>
      <c r="AH384" s="58"/>
      <c r="AI384" s="62">
        <f>SUM(AF384+AG384-AH384)</f>
        <v>1</v>
      </c>
      <c r="AJ384" s="60"/>
      <c r="AK384" s="58"/>
      <c r="AL384" s="62">
        <f>SUM(AI384+AJ384-AK384)</f>
        <v>1</v>
      </c>
      <c r="AM384" s="60"/>
      <c r="AN384" s="58"/>
      <c r="AO384" s="62">
        <f>SUM(AL384+AM384-AN384)</f>
        <v>1</v>
      </c>
      <c r="AP384" s="60"/>
      <c r="AQ384" s="58"/>
      <c r="AR384" s="62">
        <f>SUM(AO384+AP384-AQ384)</f>
        <v>1</v>
      </c>
      <c r="AS384" s="60"/>
      <c r="AT384" s="58"/>
      <c r="AU384" s="62">
        <f>SUM(AR384+AS384-AT384)</f>
        <v>1</v>
      </c>
      <c r="AV384" s="84">
        <f>SUM(L384+O384+R384+U384+X384+AA384+AD384+AG384+AJ384+AM384+AP384+AS384)</f>
        <v>0</v>
      </c>
      <c r="AW384" s="83">
        <f t="shared" si="1003"/>
        <v>0</v>
      </c>
      <c r="AX384" s="64">
        <f>SUM(M384,P384,S384,V384,Y384,AB384,AE384,AH384,AK384,AN384,AQ384,AT384)</f>
        <v>0</v>
      </c>
      <c r="AY384" s="65" t="e">
        <f>AVERAGE(M384,P384,S384,V384,Y384,AB384,AE384,AH384,AK384,AN384,AQ384,AT384)</f>
        <v>#DIV/0!</v>
      </c>
      <c r="AZ384" s="66">
        <f>COUNT(M384,P384,S384,V384,Y384,AB384,AE384,AH384,AK384,AN384,AQ384,AT384)</f>
        <v>0</v>
      </c>
      <c r="BA384" s="67">
        <f>MAX(0, Table176252626[[#This Row],[Column6]])</f>
        <v>1</v>
      </c>
      <c r="BB384" s="68">
        <v>0</v>
      </c>
      <c r="BC384" s="84">
        <f t="shared" si="1006"/>
        <v>1</v>
      </c>
      <c r="BD384" s="83">
        <f t="shared" si="1004"/>
        <v>1</v>
      </c>
      <c r="BE384" s="85">
        <v>2</v>
      </c>
      <c r="BF384" s="86">
        <v>44529.604884259257</v>
      </c>
      <c r="BG384" s="72">
        <f t="shared" si="802"/>
        <v>46265</v>
      </c>
      <c r="BH384" s="107">
        <f>BG384-BF384</f>
        <v>1735.3951157407428</v>
      </c>
      <c r="BI384" s="80" t="str">
        <f t="shared" si="1005"/>
        <v>Dead Stock</v>
      </c>
      <c r="BJ384" s="238">
        <v>40500</v>
      </c>
    </row>
    <row r="385" spans="1:293" ht="13">
      <c r="A385" s="49"/>
      <c r="B385" s="50"/>
      <c r="C385" s="51">
        <v>382</v>
      </c>
      <c r="D385" s="117" t="s">
        <v>1522</v>
      </c>
      <c r="E385" s="117">
        <v>10</v>
      </c>
      <c r="F385" s="80" t="s">
        <v>127</v>
      </c>
      <c r="G385" s="81" t="s">
        <v>128</v>
      </c>
      <c r="H385" s="81" t="s">
        <v>1642</v>
      </c>
      <c r="I385" s="80" t="s">
        <v>458</v>
      </c>
      <c r="J385" s="82">
        <f t="shared" si="982"/>
        <v>2</v>
      </c>
      <c r="K385" s="80">
        <v>4</v>
      </c>
      <c r="L385" s="57"/>
      <c r="M385" s="58">
        <f>1+1</f>
        <v>2</v>
      </c>
      <c r="N385" s="59">
        <f t="shared" si="998"/>
        <v>2</v>
      </c>
      <c r="O385" s="60"/>
      <c r="P385" s="58"/>
      <c r="Q385" s="59">
        <f t="shared" si="984"/>
        <v>2</v>
      </c>
      <c r="R385" s="60">
        <v>2</v>
      </c>
      <c r="S385" s="58"/>
      <c r="T385" s="61">
        <f t="shared" si="985"/>
        <v>4</v>
      </c>
      <c r="U385" s="60"/>
      <c r="V385" s="58"/>
      <c r="W385" s="59">
        <f t="shared" si="986"/>
        <v>4</v>
      </c>
      <c r="X385" s="60"/>
      <c r="Y385" s="58">
        <v>1</v>
      </c>
      <c r="Z385" s="61">
        <f t="shared" si="987"/>
        <v>3</v>
      </c>
      <c r="AA385" s="60"/>
      <c r="AB385" s="58"/>
      <c r="AC385" s="59">
        <f t="shared" si="988"/>
        <v>3</v>
      </c>
      <c r="AD385" s="57"/>
      <c r="AE385" s="58"/>
      <c r="AF385" s="243">
        <f t="shared" si="989"/>
        <v>3</v>
      </c>
      <c r="AG385" s="60"/>
      <c r="AH385" s="58">
        <v>1</v>
      </c>
      <c r="AI385" s="62">
        <f t="shared" si="990"/>
        <v>2</v>
      </c>
      <c r="AJ385" s="60"/>
      <c r="AK385" s="58"/>
      <c r="AL385" s="62">
        <f t="shared" si="991"/>
        <v>2</v>
      </c>
      <c r="AM385" s="60"/>
      <c r="AN385" s="58"/>
      <c r="AO385" s="62">
        <f t="shared" si="992"/>
        <v>2</v>
      </c>
      <c r="AP385" s="60"/>
      <c r="AQ385" s="58"/>
      <c r="AR385" s="62">
        <f t="shared" si="999"/>
        <v>2</v>
      </c>
      <c r="AS385" s="60"/>
      <c r="AT385" s="58"/>
      <c r="AU385" s="62">
        <f t="shared" si="994"/>
        <v>2</v>
      </c>
      <c r="AV385" s="83">
        <f t="shared" si="995"/>
        <v>2</v>
      </c>
      <c r="AW385" s="83">
        <f t="shared" si="1003"/>
        <v>4</v>
      </c>
      <c r="AX385" s="64">
        <f t="shared" si="1000"/>
        <v>4</v>
      </c>
      <c r="AY385" s="65">
        <f t="shared" si="1001"/>
        <v>1.3333333333333333</v>
      </c>
      <c r="AZ385" s="66">
        <f t="shared" si="1002"/>
        <v>3</v>
      </c>
      <c r="BA385" s="67">
        <v>3</v>
      </c>
      <c r="BB385" s="68">
        <v>1</v>
      </c>
      <c r="BC385" s="84">
        <f t="shared" si="1006"/>
        <v>2</v>
      </c>
      <c r="BD385" s="83">
        <f t="shared" si="1004"/>
        <v>1</v>
      </c>
      <c r="BE385" s="85">
        <v>2</v>
      </c>
      <c r="BF385" s="86">
        <v>46085</v>
      </c>
      <c r="BG385" s="72">
        <f t="shared" si="802"/>
        <v>46265</v>
      </c>
      <c r="BH385" s="107">
        <f t="shared" si="997"/>
        <v>180</v>
      </c>
      <c r="BI385" s="80" t="str">
        <f t="shared" si="1005"/>
        <v/>
      </c>
      <c r="BJ385" s="238">
        <v>1058</v>
      </c>
    </row>
    <row r="386" spans="1:293" ht="13">
      <c r="A386" s="75"/>
      <c r="B386" s="76"/>
      <c r="C386" s="51">
        <v>383</v>
      </c>
      <c r="D386" s="117" t="s">
        <v>1522</v>
      </c>
      <c r="E386" s="117">
        <v>11</v>
      </c>
      <c r="F386" s="80" t="s">
        <v>238</v>
      </c>
      <c r="G386" s="81" t="s">
        <v>239</v>
      </c>
      <c r="H386" s="81" t="s">
        <v>289</v>
      </c>
      <c r="I386" s="80" t="s">
        <v>458</v>
      </c>
      <c r="J386" s="82">
        <f t="shared" si="982"/>
        <v>1</v>
      </c>
      <c r="K386" s="80">
        <v>1</v>
      </c>
      <c r="L386" s="57"/>
      <c r="M386" s="58"/>
      <c r="N386" s="59">
        <f t="shared" si="998"/>
        <v>1</v>
      </c>
      <c r="O386" s="60"/>
      <c r="P386" s="58"/>
      <c r="Q386" s="59">
        <f t="shared" si="984"/>
        <v>1</v>
      </c>
      <c r="R386" s="60"/>
      <c r="S386" s="58"/>
      <c r="T386" s="61">
        <f t="shared" si="985"/>
        <v>1</v>
      </c>
      <c r="U386" s="60"/>
      <c r="V386" s="58"/>
      <c r="W386" s="59">
        <f t="shared" si="986"/>
        <v>1</v>
      </c>
      <c r="X386" s="60"/>
      <c r="Y386" s="58"/>
      <c r="Z386" s="61">
        <f t="shared" si="987"/>
        <v>1</v>
      </c>
      <c r="AA386" s="60"/>
      <c r="AB386" s="58"/>
      <c r="AC386" s="59">
        <f t="shared" si="988"/>
        <v>1</v>
      </c>
      <c r="AD386" s="57"/>
      <c r="AE386" s="58"/>
      <c r="AF386" s="243">
        <f t="shared" si="989"/>
        <v>1</v>
      </c>
      <c r="AG386" s="60"/>
      <c r="AH386" s="58"/>
      <c r="AI386" s="62">
        <f t="shared" si="990"/>
        <v>1</v>
      </c>
      <c r="AJ386" s="60"/>
      <c r="AK386" s="58"/>
      <c r="AL386" s="62">
        <f t="shared" si="991"/>
        <v>1</v>
      </c>
      <c r="AM386" s="60"/>
      <c r="AN386" s="58"/>
      <c r="AO386" s="62">
        <f t="shared" si="992"/>
        <v>1</v>
      </c>
      <c r="AP386" s="60"/>
      <c r="AQ386" s="58"/>
      <c r="AR386" s="62">
        <f t="shared" si="999"/>
        <v>1</v>
      </c>
      <c r="AS386" s="60"/>
      <c r="AT386" s="58"/>
      <c r="AU386" s="62">
        <f t="shared" si="994"/>
        <v>1</v>
      </c>
      <c r="AV386" s="83">
        <f t="shared" si="995"/>
        <v>0</v>
      </c>
      <c r="AW386" s="83">
        <f t="shared" si="1003"/>
        <v>0</v>
      </c>
      <c r="AX386" s="64">
        <f t="shared" si="1000"/>
        <v>0</v>
      </c>
      <c r="AY386" s="65" t="e">
        <f t="shared" si="1001"/>
        <v>#DIV/0!</v>
      </c>
      <c r="AZ386" s="66">
        <f t="shared" si="1002"/>
        <v>0</v>
      </c>
      <c r="BA386" s="67">
        <f>MAX(0, Table176252626[[#This Row],[Column6]])</f>
        <v>1</v>
      </c>
      <c r="BB386" s="68">
        <v>0</v>
      </c>
      <c r="BC386" s="84">
        <f t="shared" si="1006"/>
        <v>1</v>
      </c>
      <c r="BD386" s="83">
        <f t="shared" si="1004"/>
        <v>1</v>
      </c>
      <c r="BE386" s="85">
        <v>2</v>
      </c>
      <c r="BF386" s="86">
        <v>45156.561296296299</v>
      </c>
      <c r="BG386" s="72">
        <f t="shared" si="802"/>
        <v>46265</v>
      </c>
      <c r="BH386" s="87">
        <f t="shared" si="997"/>
        <v>1108.4387037037013</v>
      </c>
      <c r="BI386" s="80" t="str">
        <f t="shared" si="1005"/>
        <v>Dead Stock</v>
      </c>
      <c r="BJ386" s="238">
        <v>38000</v>
      </c>
    </row>
    <row r="387" spans="1:293" ht="13">
      <c r="A387" s="49"/>
      <c r="B387" s="76"/>
      <c r="C387" s="51">
        <v>384</v>
      </c>
      <c r="D387" s="117" t="s">
        <v>1522</v>
      </c>
      <c r="E387" s="117">
        <v>12</v>
      </c>
      <c r="F387" s="80" t="s">
        <v>224</v>
      </c>
      <c r="G387" s="81" t="s">
        <v>225</v>
      </c>
      <c r="H387" s="81" t="s">
        <v>289</v>
      </c>
      <c r="I387" s="80" t="s">
        <v>458</v>
      </c>
      <c r="J387" s="82">
        <f>AU387</f>
        <v>1</v>
      </c>
      <c r="K387" s="80">
        <v>1</v>
      </c>
      <c r="L387" s="57"/>
      <c r="M387" s="58"/>
      <c r="N387" s="59">
        <f>SUM(K387+L387-M387)</f>
        <v>1</v>
      </c>
      <c r="O387" s="60"/>
      <c r="P387" s="58"/>
      <c r="Q387" s="59">
        <f>SUM(N387+O387-P387)</f>
        <v>1</v>
      </c>
      <c r="R387" s="60"/>
      <c r="S387" s="58"/>
      <c r="T387" s="61">
        <f>SUM(Q387+R387-S387)</f>
        <v>1</v>
      </c>
      <c r="U387" s="60"/>
      <c r="V387" s="58"/>
      <c r="W387" s="59">
        <f>SUM(T387+U387-V387)</f>
        <v>1</v>
      </c>
      <c r="X387" s="60"/>
      <c r="Y387" s="58"/>
      <c r="Z387" s="61">
        <f>SUM(W387+X387-Y387)</f>
        <v>1</v>
      </c>
      <c r="AA387" s="60"/>
      <c r="AB387" s="58"/>
      <c r="AC387" s="59">
        <f>SUM(Z387+AA387-AB387)</f>
        <v>1</v>
      </c>
      <c r="AD387" s="57"/>
      <c r="AE387" s="58"/>
      <c r="AF387" s="243">
        <f>SUM(AC387+AD387-AE387)</f>
        <v>1</v>
      </c>
      <c r="AG387" s="60"/>
      <c r="AH387" s="58"/>
      <c r="AI387" s="62">
        <f>SUM(AF387+AG387-AH387)</f>
        <v>1</v>
      </c>
      <c r="AJ387" s="60"/>
      <c r="AK387" s="58"/>
      <c r="AL387" s="62">
        <f>SUM(AI387+AJ387-AK387)</f>
        <v>1</v>
      </c>
      <c r="AM387" s="60"/>
      <c r="AN387" s="58"/>
      <c r="AO387" s="62">
        <f>SUM(AL387+AM387-AN387)</f>
        <v>1</v>
      </c>
      <c r="AP387" s="60"/>
      <c r="AQ387" s="58"/>
      <c r="AR387" s="62">
        <f>SUM(AO387+AP387-AQ387)</f>
        <v>1</v>
      </c>
      <c r="AS387" s="60"/>
      <c r="AT387" s="58"/>
      <c r="AU387" s="62">
        <f>SUM(AR387+AS387-AT387)</f>
        <v>1</v>
      </c>
      <c r="AV387" s="83">
        <f t="shared" ref="AV387:AV390" si="1007">SUM(L387+O387+R387+U387+X387+AA387+AD387+AG387+AJ387+AM387+AP387+AS387)</f>
        <v>0</v>
      </c>
      <c r="AW387" s="83">
        <f t="shared" si="1003"/>
        <v>0</v>
      </c>
      <c r="AX387" s="64">
        <f>SUM(M387,P387,S387,V387,Y387,AB387,AE387,AH387,AK387,AN387,AQ387,AT387)</f>
        <v>0</v>
      </c>
      <c r="AY387" s="65" t="e">
        <f>AVERAGE(M387,P387,S387,V387,Y387,AB387,AE387,AH387,AK387,AN387,AQ387,AT387)</f>
        <v>#DIV/0!</v>
      </c>
      <c r="AZ387" s="66">
        <f>COUNT(M387,P387,S387,V387,Y387,AB387,AE387,AH387,AK387,AN387,AQ387,AT387)</f>
        <v>0</v>
      </c>
      <c r="BA387" s="67">
        <f>MAX(0, Table176252626[[#This Row],[Column6]])</f>
        <v>1</v>
      </c>
      <c r="BB387" s="68">
        <v>0</v>
      </c>
      <c r="BC387" s="84">
        <f t="shared" si="1006"/>
        <v>1</v>
      </c>
      <c r="BD387" s="83">
        <f t="shared" si="1004"/>
        <v>1</v>
      </c>
      <c r="BE387" s="85">
        <v>2</v>
      </c>
      <c r="BF387" s="86">
        <v>45118.593032407407</v>
      </c>
      <c r="BG387" s="72">
        <f t="shared" si="802"/>
        <v>46265</v>
      </c>
      <c r="BH387" s="87">
        <f>BG387-BF387</f>
        <v>1146.406967592593</v>
      </c>
      <c r="BI387" s="80" t="str">
        <f t="shared" si="1005"/>
        <v>Dead Stock</v>
      </c>
      <c r="BJ387" s="238">
        <v>1500</v>
      </c>
    </row>
    <row r="388" spans="1:293" ht="13">
      <c r="A388" s="75"/>
      <c r="B388" s="76"/>
      <c r="C388" s="51">
        <v>385</v>
      </c>
      <c r="D388" s="117" t="s">
        <v>1522</v>
      </c>
      <c r="E388" s="117">
        <v>13</v>
      </c>
      <c r="F388" s="80" t="s">
        <v>262</v>
      </c>
      <c r="G388" s="81" t="s">
        <v>1254</v>
      </c>
      <c r="H388" s="81" t="s">
        <v>289</v>
      </c>
      <c r="I388" s="80" t="s">
        <v>458</v>
      </c>
      <c r="J388" s="82">
        <f>AU388</f>
        <v>2</v>
      </c>
      <c r="K388" s="80">
        <v>2</v>
      </c>
      <c r="L388" s="57"/>
      <c r="M388" s="58"/>
      <c r="N388" s="59">
        <f>SUM(K388+L388-M388)</f>
        <v>2</v>
      </c>
      <c r="O388" s="60"/>
      <c r="P388" s="58"/>
      <c r="Q388" s="59">
        <f>SUM(N388+O388-P388)</f>
        <v>2</v>
      </c>
      <c r="R388" s="60"/>
      <c r="S388" s="58"/>
      <c r="T388" s="61">
        <f>SUM(Q388+R388-S388)</f>
        <v>2</v>
      </c>
      <c r="U388" s="60"/>
      <c r="V388" s="58"/>
      <c r="W388" s="59">
        <f>SUM(T388+U388-V388)</f>
        <v>2</v>
      </c>
      <c r="X388" s="60"/>
      <c r="Y388" s="58"/>
      <c r="Z388" s="61">
        <f>SUM(W388+X388-Y388)</f>
        <v>2</v>
      </c>
      <c r="AA388" s="60"/>
      <c r="AB388" s="58"/>
      <c r="AC388" s="59">
        <f>SUM(Z388+AA388-AB388)</f>
        <v>2</v>
      </c>
      <c r="AD388" s="57"/>
      <c r="AE388" s="58"/>
      <c r="AF388" s="243">
        <f>SUM(AC388+AD388-AE388)</f>
        <v>2</v>
      </c>
      <c r="AG388" s="60"/>
      <c r="AH388" s="58"/>
      <c r="AI388" s="62">
        <f>SUM(AF388+AG388-AH388)</f>
        <v>2</v>
      </c>
      <c r="AJ388" s="60"/>
      <c r="AK388" s="58"/>
      <c r="AL388" s="62">
        <f>SUM(AI388+AJ388-AK388)</f>
        <v>2</v>
      </c>
      <c r="AM388" s="60"/>
      <c r="AN388" s="58"/>
      <c r="AO388" s="62">
        <f>SUM(AL388+AM388-AN388)</f>
        <v>2</v>
      </c>
      <c r="AP388" s="60"/>
      <c r="AQ388" s="58"/>
      <c r="AR388" s="62">
        <f>SUM(AO388+AP388-AQ388)</f>
        <v>2</v>
      </c>
      <c r="AS388" s="60"/>
      <c r="AT388" s="58"/>
      <c r="AU388" s="62">
        <f>SUM(AR388+AS388-AT388)</f>
        <v>2</v>
      </c>
      <c r="AV388" s="83">
        <f t="shared" si="1007"/>
        <v>0</v>
      </c>
      <c r="AW388" s="83">
        <f t="shared" si="1003"/>
        <v>0</v>
      </c>
      <c r="AX388" s="64">
        <f>SUM(M388,P388,S388,V388,Y388,AB388,AE388,AH388,AK388,AN388,AQ388,AT388)</f>
        <v>0</v>
      </c>
      <c r="AY388" s="65" t="e">
        <f>AVERAGE(M388,P388,S388,V388,Y388,AB388,AE388,AH388,AK388,AN388,AQ388,AT388)</f>
        <v>#DIV/0!</v>
      </c>
      <c r="AZ388" s="66">
        <f>COUNT(M388,P388,S388,V388,Y388,AB388,AE388,AH388,AK388,AN388,AQ388,AT388)</f>
        <v>0</v>
      </c>
      <c r="BA388" s="67">
        <f>MAX(0, Table176252626[[#This Row],[Column6]])</f>
        <v>2</v>
      </c>
      <c r="BB388" s="68">
        <v>1</v>
      </c>
      <c r="BC388" s="84">
        <f t="shared" si="1006"/>
        <v>2</v>
      </c>
      <c r="BD388" s="83">
        <f t="shared" si="1004"/>
        <v>1</v>
      </c>
      <c r="BE388" s="85">
        <v>2</v>
      </c>
      <c r="BF388" s="86">
        <v>43067.457476851851</v>
      </c>
      <c r="BG388" s="72">
        <f t="shared" si="802"/>
        <v>46265</v>
      </c>
      <c r="BH388" s="87">
        <f>BG388-BF388</f>
        <v>3197.5425231481495</v>
      </c>
      <c r="BI388" s="80" t="str">
        <f t="shared" si="1005"/>
        <v>Dead Stock</v>
      </c>
      <c r="BJ388" s="238">
        <v>3000</v>
      </c>
    </row>
    <row r="389" spans="1:293" ht="13">
      <c r="A389" s="49"/>
      <c r="B389" s="50"/>
      <c r="C389" s="77">
        <v>386</v>
      </c>
      <c r="D389" s="117" t="s">
        <v>1522</v>
      </c>
      <c r="E389" s="117">
        <v>14</v>
      </c>
      <c r="F389" s="80" t="s">
        <v>222</v>
      </c>
      <c r="G389" s="81" t="s">
        <v>223</v>
      </c>
      <c r="H389" s="81" t="s">
        <v>289</v>
      </c>
      <c r="I389" s="80" t="s">
        <v>458</v>
      </c>
      <c r="J389" s="82">
        <f>AU389</f>
        <v>2</v>
      </c>
      <c r="K389" s="80">
        <v>2</v>
      </c>
      <c r="L389" s="57"/>
      <c r="M389" s="58"/>
      <c r="N389" s="59">
        <f>SUM(K389+L389-M389)</f>
        <v>2</v>
      </c>
      <c r="O389" s="60"/>
      <c r="P389" s="58"/>
      <c r="Q389" s="59">
        <f>SUM(N389+O389-P389)</f>
        <v>2</v>
      </c>
      <c r="R389" s="60"/>
      <c r="S389" s="58"/>
      <c r="T389" s="61">
        <f>SUM(Q389+R389-S389)</f>
        <v>2</v>
      </c>
      <c r="U389" s="60"/>
      <c r="V389" s="58"/>
      <c r="W389" s="59">
        <f>SUM(T389+U389-V389)</f>
        <v>2</v>
      </c>
      <c r="X389" s="60"/>
      <c r="Y389" s="58"/>
      <c r="Z389" s="61">
        <f>SUM(W389+X389-Y389)</f>
        <v>2</v>
      </c>
      <c r="AA389" s="60"/>
      <c r="AB389" s="58"/>
      <c r="AC389" s="59">
        <f>SUM(Z389+AA389-AB389)</f>
        <v>2</v>
      </c>
      <c r="AD389" s="57"/>
      <c r="AE389" s="58"/>
      <c r="AF389" s="243">
        <f>SUM(AC389+AD389-AE389)</f>
        <v>2</v>
      </c>
      <c r="AG389" s="60"/>
      <c r="AH389" s="58"/>
      <c r="AI389" s="62">
        <f>SUM(AF389+AG389-AH389)</f>
        <v>2</v>
      </c>
      <c r="AJ389" s="60"/>
      <c r="AK389" s="58"/>
      <c r="AL389" s="62">
        <f>SUM(AI389+AJ389-AK389)</f>
        <v>2</v>
      </c>
      <c r="AM389" s="60"/>
      <c r="AN389" s="58"/>
      <c r="AO389" s="62">
        <f>SUM(AL389+AM389-AN389)</f>
        <v>2</v>
      </c>
      <c r="AP389" s="60"/>
      <c r="AQ389" s="58"/>
      <c r="AR389" s="62">
        <f>SUM(AO389+AP389-AQ389)</f>
        <v>2</v>
      </c>
      <c r="AS389" s="60"/>
      <c r="AT389" s="58"/>
      <c r="AU389" s="62">
        <f>SUM(AR389+AS389-AT389)</f>
        <v>2</v>
      </c>
      <c r="AV389" s="83">
        <f t="shared" si="1007"/>
        <v>0</v>
      </c>
      <c r="AW389" s="83">
        <f t="shared" si="1003"/>
        <v>0</v>
      </c>
      <c r="AX389" s="64">
        <f>SUM(M389,P389,S389,V389,Y389,AB389,AE389,AH389,AK389,AN389,AQ389,AT389)</f>
        <v>0</v>
      </c>
      <c r="AY389" s="65" t="e">
        <f>AVERAGE(M389,P389,S389,V389,Y389,AB389,AE389,AH389,AK389,AN389,AQ389,AT389)</f>
        <v>#DIV/0!</v>
      </c>
      <c r="AZ389" s="66">
        <f>COUNT(M389,P389,S389,V389,Y389,AB389,AE389,AH389,AK389,AN389,AQ389,AT389)</f>
        <v>0</v>
      </c>
      <c r="BA389" s="67">
        <f>MAX(0, Table176252626[[#This Row],[Column6]])</f>
        <v>2</v>
      </c>
      <c r="BB389" s="68">
        <v>1</v>
      </c>
      <c r="BC389" s="84">
        <f t="shared" si="1006"/>
        <v>2</v>
      </c>
      <c r="BD389" s="83">
        <f t="shared" si="1004"/>
        <v>1</v>
      </c>
      <c r="BE389" s="85">
        <v>2</v>
      </c>
      <c r="BF389" s="86">
        <v>45118.593032407407</v>
      </c>
      <c r="BG389" s="72">
        <f t="shared" si="802"/>
        <v>46265</v>
      </c>
      <c r="BH389" s="87">
        <f>BG389-BF389</f>
        <v>1146.406967592593</v>
      </c>
      <c r="BI389" s="80" t="str">
        <f t="shared" si="1005"/>
        <v>Dead Stock</v>
      </c>
      <c r="BJ389" s="238">
        <v>2350</v>
      </c>
    </row>
    <row r="390" spans="1:293" ht="13">
      <c r="A390" s="75"/>
      <c r="B390" s="76"/>
      <c r="C390" s="77">
        <v>387</v>
      </c>
      <c r="D390" s="117" t="s">
        <v>1522</v>
      </c>
      <c r="E390" s="117">
        <v>15</v>
      </c>
      <c r="F390" s="80" t="s">
        <v>71</v>
      </c>
      <c r="G390" s="81" t="s">
        <v>72</v>
      </c>
      <c r="H390" s="81" t="s">
        <v>289</v>
      </c>
      <c r="I390" s="80" t="s">
        <v>458</v>
      </c>
      <c r="J390" s="82">
        <f>AU390</f>
        <v>1</v>
      </c>
      <c r="K390" s="80">
        <v>1</v>
      </c>
      <c r="L390" s="57"/>
      <c r="M390" s="58"/>
      <c r="N390" s="59">
        <f>SUM(K390+L390-M390)</f>
        <v>1</v>
      </c>
      <c r="O390" s="60"/>
      <c r="P390" s="58"/>
      <c r="Q390" s="59">
        <f>SUM(N390+O390-P390)</f>
        <v>1</v>
      </c>
      <c r="R390" s="60"/>
      <c r="S390" s="58"/>
      <c r="T390" s="61">
        <f>SUM(Q390+R390-S390)</f>
        <v>1</v>
      </c>
      <c r="U390" s="60"/>
      <c r="V390" s="58"/>
      <c r="W390" s="59">
        <f>SUM(T390+U390-V390)</f>
        <v>1</v>
      </c>
      <c r="X390" s="60"/>
      <c r="Y390" s="58"/>
      <c r="Z390" s="61">
        <f>SUM(W390+X390-Y390)</f>
        <v>1</v>
      </c>
      <c r="AA390" s="60"/>
      <c r="AB390" s="58"/>
      <c r="AC390" s="59">
        <f>SUM(Z390+AA390-AB390)</f>
        <v>1</v>
      </c>
      <c r="AD390" s="57"/>
      <c r="AE390" s="58"/>
      <c r="AF390" s="243">
        <f>SUM(AC390+AD390-AE390)</f>
        <v>1</v>
      </c>
      <c r="AG390" s="60"/>
      <c r="AH390" s="58"/>
      <c r="AI390" s="62">
        <f>SUM(AF390+AG390-AH390)</f>
        <v>1</v>
      </c>
      <c r="AJ390" s="60"/>
      <c r="AK390" s="58"/>
      <c r="AL390" s="62">
        <f>SUM(AI390+AJ390-AK390)</f>
        <v>1</v>
      </c>
      <c r="AM390" s="60"/>
      <c r="AN390" s="58"/>
      <c r="AO390" s="62">
        <f>SUM(AL390+AM390-AN390)</f>
        <v>1</v>
      </c>
      <c r="AP390" s="60"/>
      <c r="AQ390" s="58"/>
      <c r="AR390" s="62">
        <f>SUM(AO390+AP390-AQ390)</f>
        <v>1</v>
      </c>
      <c r="AS390" s="60"/>
      <c r="AT390" s="58"/>
      <c r="AU390" s="62">
        <f>SUM(AR390+AS390-AT390)</f>
        <v>1</v>
      </c>
      <c r="AV390" s="83">
        <f t="shared" si="1007"/>
        <v>0</v>
      </c>
      <c r="AW390" s="83">
        <f t="shared" si="1003"/>
        <v>0</v>
      </c>
      <c r="AX390" s="64">
        <f>SUM(M390,P390,S390,V390,Y390,AB390,AE390,AH390,AK390,AN390,AQ390,AT390)</f>
        <v>0</v>
      </c>
      <c r="AY390" s="65" t="e">
        <f>AVERAGE(M390,P390,S390,V390,Y390,AB390,AE390,AH390,AK390,AN390,AQ390,AT390)</f>
        <v>#DIV/0!</v>
      </c>
      <c r="AZ390" s="66">
        <f>COUNT(M390,P390,S390,V390,Y390,AB390,AE390,AH390,AK390,AN390,AQ390,AT390)</f>
        <v>0</v>
      </c>
      <c r="BA390" s="67">
        <f>MAX(0, Table176252626[[#This Row],[Column6]])</f>
        <v>1</v>
      </c>
      <c r="BB390" s="68">
        <v>0</v>
      </c>
      <c r="BC390" s="84">
        <f t="shared" si="1006"/>
        <v>1</v>
      </c>
      <c r="BD390" s="83">
        <f t="shared" si="1004"/>
        <v>1</v>
      </c>
      <c r="BE390" s="85">
        <v>2</v>
      </c>
      <c r="BF390" s="86">
        <v>45118.593032407407</v>
      </c>
      <c r="BG390" s="72">
        <f t="shared" si="802"/>
        <v>46265</v>
      </c>
      <c r="BH390" s="87">
        <f>BG390-BF390</f>
        <v>1146.406967592593</v>
      </c>
      <c r="BI390" s="80" t="str">
        <f t="shared" si="1005"/>
        <v>Dead Stock</v>
      </c>
      <c r="BJ390" s="238">
        <v>2800</v>
      </c>
    </row>
    <row r="391" spans="1:293" ht="13">
      <c r="A391" s="49"/>
      <c r="B391" s="76"/>
      <c r="C391" s="51">
        <v>388</v>
      </c>
      <c r="D391" s="117" t="s">
        <v>1522</v>
      </c>
      <c r="E391" s="117">
        <v>16</v>
      </c>
      <c r="F391" s="80" t="s">
        <v>935</v>
      </c>
      <c r="G391" s="55" t="s">
        <v>2039</v>
      </c>
      <c r="H391" s="81" t="s">
        <v>1160</v>
      </c>
      <c r="I391" s="80" t="s">
        <v>458</v>
      </c>
      <c r="J391" s="82">
        <f t="shared" si="982"/>
        <v>1</v>
      </c>
      <c r="K391" s="80">
        <v>0</v>
      </c>
      <c r="L391" s="57">
        <v>1</v>
      </c>
      <c r="M391" s="58"/>
      <c r="N391" s="59">
        <f t="shared" si="998"/>
        <v>1</v>
      </c>
      <c r="O391" s="60"/>
      <c r="P391" s="58"/>
      <c r="Q391" s="59">
        <f t="shared" si="984"/>
        <v>1</v>
      </c>
      <c r="R391" s="60"/>
      <c r="S391" s="58"/>
      <c r="T391" s="61">
        <f t="shared" si="985"/>
        <v>1</v>
      </c>
      <c r="U391" s="60"/>
      <c r="V391" s="58"/>
      <c r="W391" s="59">
        <f t="shared" si="986"/>
        <v>1</v>
      </c>
      <c r="X391" s="60"/>
      <c r="Y391" s="58"/>
      <c r="Z391" s="61">
        <f t="shared" si="987"/>
        <v>1</v>
      </c>
      <c r="AA391" s="60"/>
      <c r="AB391" s="58"/>
      <c r="AC391" s="59">
        <f t="shared" si="988"/>
        <v>1</v>
      </c>
      <c r="AD391" s="57"/>
      <c r="AE391" s="58"/>
      <c r="AF391" s="243">
        <f t="shared" si="989"/>
        <v>1</v>
      </c>
      <c r="AG391" s="60"/>
      <c r="AH391" s="58"/>
      <c r="AI391" s="62">
        <f t="shared" si="990"/>
        <v>1</v>
      </c>
      <c r="AJ391" s="60"/>
      <c r="AK391" s="58"/>
      <c r="AL391" s="62">
        <f t="shared" si="991"/>
        <v>1</v>
      </c>
      <c r="AM391" s="60"/>
      <c r="AN391" s="58"/>
      <c r="AO391" s="62">
        <f t="shared" si="992"/>
        <v>1</v>
      </c>
      <c r="AP391" s="60"/>
      <c r="AQ391" s="58"/>
      <c r="AR391" s="62">
        <f t="shared" si="999"/>
        <v>1</v>
      </c>
      <c r="AS391" s="60"/>
      <c r="AT391" s="58"/>
      <c r="AU391" s="62">
        <f t="shared" si="994"/>
        <v>1</v>
      </c>
      <c r="AV391" s="83">
        <f t="shared" si="995"/>
        <v>1</v>
      </c>
      <c r="AW391" s="83">
        <f t="shared" si="1003"/>
        <v>0</v>
      </c>
      <c r="AX391" s="64">
        <f t="shared" si="1000"/>
        <v>0</v>
      </c>
      <c r="AY391" s="65" t="e">
        <f t="shared" si="1001"/>
        <v>#DIV/0!</v>
      </c>
      <c r="AZ391" s="66">
        <f t="shared" si="1002"/>
        <v>0</v>
      </c>
      <c r="BA391" s="67">
        <f>MAX(0, Table176252626[[#This Row],[Column6]])</f>
        <v>1</v>
      </c>
      <c r="BB391" s="68">
        <v>0</v>
      </c>
      <c r="BC391" s="84">
        <f t="shared" si="1006"/>
        <v>1</v>
      </c>
      <c r="BD391" s="83">
        <f t="shared" si="1004"/>
        <v>1</v>
      </c>
      <c r="BE391" s="85">
        <v>2</v>
      </c>
      <c r="BF391" s="86">
        <v>46036</v>
      </c>
      <c r="BG391" s="72">
        <f t="shared" si="802"/>
        <v>46265</v>
      </c>
      <c r="BH391" s="87">
        <f t="shared" si="997"/>
        <v>229</v>
      </c>
      <c r="BI391" s="80" t="str">
        <f t="shared" si="1005"/>
        <v/>
      </c>
      <c r="BJ391" s="238">
        <v>35000</v>
      </c>
    </row>
    <row r="392" spans="1:293" ht="13">
      <c r="A392" s="49"/>
      <c r="B392" s="50"/>
      <c r="C392" s="51">
        <v>389</v>
      </c>
      <c r="D392" s="117" t="s">
        <v>1522</v>
      </c>
      <c r="E392" s="117">
        <v>17</v>
      </c>
      <c r="F392" s="80" t="s">
        <v>1316</v>
      </c>
      <c r="G392" s="89" t="s">
        <v>2040</v>
      </c>
      <c r="H392" s="89" t="s">
        <v>1668</v>
      </c>
      <c r="I392" s="88" t="s">
        <v>458</v>
      </c>
      <c r="J392" s="93">
        <f>AU392</f>
        <v>1</v>
      </c>
      <c r="K392" s="88">
        <v>1</v>
      </c>
      <c r="L392" s="58"/>
      <c r="M392" s="58"/>
      <c r="N392" s="62">
        <f>SUM(K392+L392-M392)</f>
        <v>1</v>
      </c>
      <c r="O392" s="60"/>
      <c r="P392" s="58"/>
      <c r="Q392" s="62">
        <f>SUM(N392+O392-P392)</f>
        <v>1</v>
      </c>
      <c r="R392" s="60"/>
      <c r="S392" s="58"/>
      <c r="T392" s="94">
        <f>SUM(Q392+R392-S392)</f>
        <v>1</v>
      </c>
      <c r="U392" s="60"/>
      <c r="V392" s="58"/>
      <c r="W392" s="62">
        <f>SUM(T392+U392-V392)</f>
        <v>1</v>
      </c>
      <c r="X392" s="60"/>
      <c r="Y392" s="58"/>
      <c r="Z392" s="94">
        <f>SUM(W392+X392-Y392)</f>
        <v>1</v>
      </c>
      <c r="AA392" s="60"/>
      <c r="AB392" s="58"/>
      <c r="AC392" s="62">
        <f>SUM(Z392+AA392-AB392)</f>
        <v>1</v>
      </c>
      <c r="AD392" s="57"/>
      <c r="AE392" s="58"/>
      <c r="AF392" s="165">
        <f>SUM(AC392+AD392-AE392)</f>
        <v>1</v>
      </c>
      <c r="AG392" s="60"/>
      <c r="AH392" s="58"/>
      <c r="AI392" s="62">
        <f>SUM(AF392+AG392-AH392)</f>
        <v>1</v>
      </c>
      <c r="AJ392" s="60"/>
      <c r="AK392" s="58"/>
      <c r="AL392" s="62">
        <f>SUM(AI392+AJ392-AK392)</f>
        <v>1</v>
      </c>
      <c r="AM392" s="60"/>
      <c r="AN392" s="58"/>
      <c r="AO392" s="62">
        <f>SUM(AL392+AM392-AN392)</f>
        <v>1</v>
      </c>
      <c r="AP392" s="60"/>
      <c r="AQ392" s="58"/>
      <c r="AR392" s="62">
        <f>SUM(AO392+AP392-AQ392)</f>
        <v>1</v>
      </c>
      <c r="AS392" s="60"/>
      <c r="AT392" s="58"/>
      <c r="AU392" s="62">
        <f t="shared" ref="AU392" si="1008">SUM(AR392+AS392-AT392)</f>
        <v>1</v>
      </c>
      <c r="AV392" s="96">
        <f t="shared" ref="AV392:AV394" si="1009">SUM(L392+O392+R392+U392+X392+AA392+AD392+AG392+AJ392+AM392+AP392+AS392)</f>
        <v>0</v>
      </c>
      <c r="AW392" s="83">
        <f t="shared" si="1003"/>
        <v>0</v>
      </c>
      <c r="AX392" s="98">
        <f t="shared" ref="AX392" si="1010">SUM(M392,P392,S392,V392,Y392,AB392,AE392,AH392,AK392,AN392,AQ392,AT392)</f>
        <v>0</v>
      </c>
      <c r="AY392" s="99" t="e">
        <f>AVERAGE(M392,P392,S392,V392,Y392,AB392,AE392,AH392,AK392,AN392,AQ392,AT392)</f>
        <v>#DIV/0!</v>
      </c>
      <c r="AZ392" s="100">
        <f>COUNT(M392,P392,S392,V392,Y392,AB392,AE392,AH392,AK392,AN392,AQ392,AT392)</f>
        <v>0</v>
      </c>
      <c r="BA392" s="101">
        <v>1</v>
      </c>
      <c r="BB392" s="102">
        <v>0</v>
      </c>
      <c r="BC392" s="84">
        <f t="shared" si="1006"/>
        <v>1</v>
      </c>
      <c r="BD392" s="83">
        <f t="shared" si="1004"/>
        <v>1</v>
      </c>
      <c r="BE392" s="85">
        <v>2</v>
      </c>
      <c r="BF392" s="86">
        <v>45142.477662037039</v>
      </c>
      <c r="BG392" s="72">
        <f t="shared" si="802"/>
        <v>46265</v>
      </c>
      <c r="BH392" s="103">
        <f>BG392-BF392</f>
        <v>1122.5223379629606</v>
      </c>
      <c r="BI392" s="80" t="str">
        <f t="shared" si="1005"/>
        <v>Dead Stock</v>
      </c>
      <c r="BJ392" s="238">
        <v>35000</v>
      </c>
    </row>
    <row r="393" spans="1:293" ht="13">
      <c r="A393" s="75"/>
      <c r="B393" s="76"/>
      <c r="C393" s="51">
        <v>390</v>
      </c>
      <c r="D393" s="117" t="s">
        <v>1522</v>
      </c>
      <c r="E393" s="117">
        <v>18</v>
      </c>
      <c r="F393" s="80" t="s">
        <v>892</v>
      </c>
      <c r="G393" s="55" t="s">
        <v>2041</v>
      </c>
      <c r="H393" s="81" t="s">
        <v>1163</v>
      </c>
      <c r="I393" s="80" t="s">
        <v>458</v>
      </c>
      <c r="J393" s="82">
        <f t="shared" ref="J393" si="1011">AU393</f>
        <v>1</v>
      </c>
      <c r="K393" s="80">
        <v>0</v>
      </c>
      <c r="L393" s="57"/>
      <c r="M393" s="58"/>
      <c r="N393" s="59">
        <f t="shared" ref="N393" si="1012">SUM(K393+L393-M393)</f>
        <v>0</v>
      </c>
      <c r="O393" s="60"/>
      <c r="P393" s="58"/>
      <c r="Q393" s="59">
        <f t="shared" ref="Q393" si="1013">SUM(N393+O393-P393)</f>
        <v>0</v>
      </c>
      <c r="R393" s="60"/>
      <c r="S393" s="58"/>
      <c r="T393" s="61">
        <f t="shared" ref="T393" si="1014">SUM(Q393+R393-S393)</f>
        <v>0</v>
      </c>
      <c r="U393" s="60"/>
      <c r="V393" s="58"/>
      <c r="W393" s="59">
        <f t="shared" ref="W393" si="1015">SUM(T393+U393-V393)</f>
        <v>0</v>
      </c>
      <c r="X393" s="60"/>
      <c r="Y393" s="58"/>
      <c r="Z393" s="61">
        <f t="shared" ref="Z393" si="1016">SUM(W393+X393-Y393)</f>
        <v>0</v>
      </c>
      <c r="AA393" s="60">
        <v>1</v>
      </c>
      <c r="AB393" s="58"/>
      <c r="AC393" s="59">
        <f t="shared" ref="AC393" si="1017">SUM(Z393+AA393-AB393)</f>
        <v>1</v>
      </c>
      <c r="AD393" s="57"/>
      <c r="AE393" s="58"/>
      <c r="AF393" s="243">
        <f t="shared" ref="AF393" si="1018">SUM(AC393+AD393-AE393)</f>
        <v>1</v>
      </c>
      <c r="AG393" s="60"/>
      <c r="AH393" s="58"/>
      <c r="AI393" s="62">
        <f t="shared" ref="AI393" si="1019">SUM(AF393+AG393-AH393)</f>
        <v>1</v>
      </c>
      <c r="AJ393" s="60"/>
      <c r="AK393" s="58"/>
      <c r="AL393" s="62">
        <f t="shared" ref="AL393" si="1020">SUM(AI393+AJ393-AK393)</f>
        <v>1</v>
      </c>
      <c r="AM393" s="60"/>
      <c r="AN393" s="58"/>
      <c r="AO393" s="62">
        <f t="shared" ref="AO393" si="1021">SUM(AL393+AM393-AN393)</f>
        <v>1</v>
      </c>
      <c r="AP393" s="60"/>
      <c r="AQ393" s="58"/>
      <c r="AR393" s="62">
        <f t="shared" ref="AR393" si="1022">SUM(AO393+AP393-AQ393)</f>
        <v>1</v>
      </c>
      <c r="AS393" s="60"/>
      <c r="AT393" s="58"/>
      <c r="AU393" s="62">
        <f>SUM(AR393+AS393-AT393)</f>
        <v>1</v>
      </c>
      <c r="AV393" s="83">
        <f t="shared" si="1009"/>
        <v>1</v>
      </c>
      <c r="AW393" s="83">
        <f t="shared" si="1003"/>
        <v>0</v>
      </c>
      <c r="AX393" s="64">
        <f>SUM(M393,P393,S393,V393,Y393,AB393,AE393,AH393,AK393,AN393,AQ393,AT393)</f>
        <v>0</v>
      </c>
      <c r="AY393" s="65" t="e">
        <f>AVERAGE(M393,P393,S393,V393,Y393,AB393,AE393,AH393,AK393,AN393,AQ393,AT393)</f>
        <v>#DIV/0!</v>
      </c>
      <c r="AZ393" s="66">
        <f>COUNT(M393,P393,S393,V393,Y393,AB393,AE393,AH393,AK393,AN393,AQ393,AT393)</f>
        <v>0</v>
      </c>
      <c r="BA393" s="67">
        <f>MAX(0, Table176252626[[#This Row],[Column6]])</f>
        <v>1</v>
      </c>
      <c r="BB393" s="68">
        <v>0</v>
      </c>
      <c r="BC393" s="84">
        <f t="shared" si="1006"/>
        <v>1</v>
      </c>
      <c r="BD393" s="83">
        <f t="shared" si="1004"/>
        <v>1</v>
      </c>
      <c r="BE393" s="85">
        <v>2</v>
      </c>
      <c r="BF393" s="86">
        <v>46182</v>
      </c>
      <c r="BG393" s="72">
        <f t="shared" si="802"/>
        <v>46265</v>
      </c>
      <c r="BH393" s="87">
        <f>BG393-BF393</f>
        <v>83</v>
      </c>
      <c r="BI393" s="80" t="str">
        <f t="shared" si="1005"/>
        <v/>
      </c>
      <c r="BJ393" s="238">
        <v>41800</v>
      </c>
    </row>
    <row r="394" spans="1:293" ht="13">
      <c r="A394" s="49"/>
      <c r="B394" s="76"/>
      <c r="C394" s="51">
        <v>391</v>
      </c>
      <c r="D394" s="117" t="s">
        <v>1522</v>
      </c>
      <c r="E394" s="117">
        <v>19</v>
      </c>
      <c r="F394" s="80" t="s">
        <v>928</v>
      </c>
      <c r="G394" s="89" t="s">
        <v>2042</v>
      </c>
      <c r="H394" s="81" t="s">
        <v>1157</v>
      </c>
      <c r="I394" s="80" t="s">
        <v>458</v>
      </c>
      <c r="J394" s="82">
        <f>AU394</f>
        <v>1</v>
      </c>
      <c r="K394" s="80">
        <v>1</v>
      </c>
      <c r="L394" s="57"/>
      <c r="M394" s="58"/>
      <c r="N394" s="59">
        <f>SUM(K394+L394-M394)</f>
        <v>1</v>
      </c>
      <c r="O394" s="60"/>
      <c r="P394" s="58"/>
      <c r="Q394" s="59">
        <f>SUM(N394+O394-P394)</f>
        <v>1</v>
      </c>
      <c r="R394" s="60"/>
      <c r="S394" s="58"/>
      <c r="T394" s="61">
        <f>SUM(Q394+R394-S394)</f>
        <v>1</v>
      </c>
      <c r="U394" s="60"/>
      <c r="V394" s="58"/>
      <c r="W394" s="59">
        <f>SUM(T394+U394-V394)</f>
        <v>1</v>
      </c>
      <c r="X394" s="60"/>
      <c r="Y394" s="58"/>
      <c r="Z394" s="61">
        <f>SUM(W394+X394-Y394)</f>
        <v>1</v>
      </c>
      <c r="AA394" s="60"/>
      <c r="AB394" s="58"/>
      <c r="AC394" s="59">
        <f>SUM(Z394+AA394-AB394)</f>
        <v>1</v>
      </c>
      <c r="AD394" s="57"/>
      <c r="AE394" s="58"/>
      <c r="AF394" s="243">
        <f>SUM(AC394+AD394-AE394)</f>
        <v>1</v>
      </c>
      <c r="AG394" s="60"/>
      <c r="AH394" s="58"/>
      <c r="AI394" s="62">
        <f>SUM(AF394+AG394-AH394)</f>
        <v>1</v>
      </c>
      <c r="AJ394" s="60"/>
      <c r="AK394" s="58"/>
      <c r="AL394" s="62">
        <f>SUM(AI394+AJ394-AK394)</f>
        <v>1</v>
      </c>
      <c r="AM394" s="60"/>
      <c r="AN394" s="58"/>
      <c r="AO394" s="62">
        <f>SUM(AL394+AM394-AN394)</f>
        <v>1</v>
      </c>
      <c r="AP394" s="60"/>
      <c r="AQ394" s="58"/>
      <c r="AR394" s="62">
        <f>SUM(AO394+AP394-AQ394)</f>
        <v>1</v>
      </c>
      <c r="AS394" s="60"/>
      <c r="AT394" s="58"/>
      <c r="AU394" s="62">
        <f>SUM(AR394+AS394-AT394)</f>
        <v>1</v>
      </c>
      <c r="AV394" s="83">
        <f t="shared" si="1009"/>
        <v>0</v>
      </c>
      <c r="AW394" s="83">
        <f t="shared" si="1003"/>
        <v>0</v>
      </c>
      <c r="AX394" s="64">
        <f>SUM(M394,P394,S394,V394,Y394,AB394,AE394,AH394,AK394,AN394,AQ394,AT394)</f>
        <v>0</v>
      </c>
      <c r="AY394" s="65" t="e">
        <f>AVERAGE(M394,P394,S394,V394,Y394,AB394,AE394,AH394,AK394,AN394,AQ394,AT394)</f>
        <v>#DIV/0!</v>
      </c>
      <c r="AZ394" s="66">
        <f>COUNT(M394,P394,S394,V394,Y394,AB394,AE394,AH394,AK394,AN394,AQ394,AT394)</f>
        <v>0</v>
      </c>
      <c r="BA394" s="67">
        <f>MAX(0, Table176252626[[#This Row],[Column6]])</f>
        <v>1</v>
      </c>
      <c r="BB394" s="68">
        <v>0</v>
      </c>
      <c r="BC394" s="84">
        <f t="shared" si="1006"/>
        <v>1</v>
      </c>
      <c r="BD394" s="83">
        <f t="shared" si="1004"/>
        <v>1</v>
      </c>
      <c r="BE394" s="85">
        <v>2</v>
      </c>
      <c r="BF394" s="86">
        <v>45155.468738425923</v>
      </c>
      <c r="BG394" s="72">
        <f t="shared" ref="BG394:BG456" si="1023">BG393</f>
        <v>46265</v>
      </c>
      <c r="BH394" s="87">
        <f>BG394-BF394</f>
        <v>1109.5312615740768</v>
      </c>
      <c r="BI394" s="80" t="str">
        <f t="shared" si="1005"/>
        <v>Dead Stock</v>
      </c>
      <c r="BJ394" s="238">
        <v>33250</v>
      </c>
    </row>
    <row r="395" spans="1:293" ht="13">
      <c r="A395" s="49"/>
      <c r="B395" s="50"/>
      <c r="C395" s="77">
        <v>392</v>
      </c>
      <c r="D395" s="138" t="s">
        <v>1523</v>
      </c>
      <c r="E395" s="138">
        <v>1</v>
      </c>
      <c r="F395" s="88" t="s">
        <v>434</v>
      </c>
      <c r="G395" s="89" t="s">
        <v>433</v>
      </c>
      <c r="H395" s="81" t="s">
        <v>299</v>
      </c>
      <c r="I395" s="80" t="s">
        <v>458</v>
      </c>
      <c r="J395" s="82">
        <f t="shared" ref="J395:J405" si="1024">AU395</f>
        <v>2</v>
      </c>
      <c r="K395" s="80">
        <v>2</v>
      </c>
      <c r="L395" s="57"/>
      <c r="M395" s="58"/>
      <c r="N395" s="62">
        <f t="shared" ref="N395:N405" si="1025">SUM(K395+L395-M395)</f>
        <v>2</v>
      </c>
      <c r="O395" s="60"/>
      <c r="P395" s="58"/>
      <c r="Q395" s="62">
        <f t="shared" ref="Q395:Q405" si="1026">SUM(N395+O395-P395)</f>
        <v>2</v>
      </c>
      <c r="R395" s="60"/>
      <c r="S395" s="58"/>
      <c r="T395" s="94">
        <f t="shared" ref="T395:T405" si="1027">SUM(Q395+R395-S395)</f>
        <v>2</v>
      </c>
      <c r="U395" s="60"/>
      <c r="V395" s="58"/>
      <c r="W395" s="62">
        <f t="shared" ref="W395:W405" si="1028">SUM(T395+U395-V395)</f>
        <v>2</v>
      </c>
      <c r="X395" s="60"/>
      <c r="Y395" s="58"/>
      <c r="Z395" s="94">
        <f t="shared" ref="Z395:Z405" si="1029">SUM(W395+X395-Y395)</f>
        <v>2</v>
      </c>
      <c r="AA395" s="60"/>
      <c r="AB395" s="58"/>
      <c r="AC395" s="62">
        <f t="shared" ref="AC395:AC405" si="1030">SUM(Z395+AA395-AB395)</f>
        <v>2</v>
      </c>
      <c r="AD395" s="57"/>
      <c r="AE395" s="58"/>
      <c r="AF395" s="165">
        <f t="shared" ref="AF395:AF405" si="1031">SUM(AC395+AD395-AE395)</f>
        <v>2</v>
      </c>
      <c r="AG395" s="60"/>
      <c r="AH395" s="58"/>
      <c r="AI395" s="62">
        <f t="shared" ref="AI395:AI405" si="1032">SUM(AF395+AG395-AH395)</f>
        <v>2</v>
      </c>
      <c r="AJ395" s="60"/>
      <c r="AK395" s="58"/>
      <c r="AL395" s="62">
        <f t="shared" ref="AL395:AL405" si="1033">SUM(AI395+AJ395-AK395)</f>
        <v>2</v>
      </c>
      <c r="AM395" s="60"/>
      <c r="AN395" s="58"/>
      <c r="AO395" s="62">
        <f t="shared" ref="AO395:AO405" si="1034">SUM(AL395+AM395-AN395)</f>
        <v>2</v>
      </c>
      <c r="AP395" s="60"/>
      <c r="AQ395" s="58"/>
      <c r="AR395" s="62">
        <f t="shared" ref="AR395:AR405" si="1035">SUM(AO395+AP395-AQ395)</f>
        <v>2</v>
      </c>
      <c r="AS395" s="60"/>
      <c r="AT395" s="58"/>
      <c r="AU395" s="62">
        <f t="shared" ref="AU395:AU405" si="1036">SUM(AR395+AS395-AT395)</f>
        <v>2</v>
      </c>
      <c r="AV395" s="83">
        <f t="shared" ref="AV395:AW409" si="1037">SUM(L395+O395+R395+U395+X395+AA395+AD395+AG395+AJ395+AM395+AP395+AS395)</f>
        <v>0</v>
      </c>
      <c r="AW395" s="83">
        <f t="shared" si="1037"/>
        <v>0</v>
      </c>
      <c r="AX395" s="64">
        <f t="shared" ref="AX395:AX405" si="1038">SUM(M395,P395,S395,V395,Y395,AB395,AE395,AH395,AK395,AN395,AQ395,AT395)</f>
        <v>0</v>
      </c>
      <c r="AY395" s="65" t="e">
        <f t="shared" ref="AY395:AY405" si="1039">AVERAGE(M395,P395,S395,V395,Y395,AB395,AE395,AH395,AK395,AN395,AQ395,AT395)</f>
        <v>#DIV/0!</v>
      </c>
      <c r="AZ395" s="66">
        <f t="shared" ref="AZ395:AZ405" si="1040">COUNT(M395,P395,S395,V395,Y395,AB395,AE395,AH395,AK395,AN395,AQ395,AT395)</f>
        <v>0</v>
      </c>
      <c r="BA395" s="67">
        <f>MAX(0, Table176252626[[#This Row],[Column6]])</f>
        <v>2</v>
      </c>
      <c r="BB395" s="68">
        <v>1</v>
      </c>
      <c r="BC395" s="84">
        <f t="shared" si="1006"/>
        <v>2</v>
      </c>
      <c r="BD395" s="83">
        <f t="shared" si="1004"/>
        <v>1</v>
      </c>
      <c r="BE395" s="85">
        <v>2</v>
      </c>
      <c r="BF395" s="86">
        <v>43138.637037037035</v>
      </c>
      <c r="BG395" s="72">
        <f t="shared" si="1023"/>
        <v>46265</v>
      </c>
      <c r="BH395" s="87">
        <f t="shared" ref="BH395:BH405" si="1041">BG395-BF395</f>
        <v>3126.362962962965</v>
      </c>
      <c r="BI395" s="80" t="str">
        <f t="shared" si="1005"/>
        <v>Dead Stock</v>
      </c>
      <c r="BJ395" s="238">
        <v>272.85000000000002</v>
      </c>
    </row>
    <row r="396" spans="1:293" s="48" customFormat="1" ht="13">
      <c r="A396" s="90"/>
      <c r="B396" s="91"/>
      <c r="C396" s="77">
        <v>393</v>
      </c>
      <c r="D396" s="138" t="s">
        <v>1523</v>
      </c>
      <c r="E396" s="138">
        <v>2</v>
      </c>
      <c r="F396" s="80" t="s">
        <v>59</v>
      </c>
      <c r="G396" s="81" t="s">
        <v>60</v>
      </c>
      <c r="H396" s="81" t="s">
        <v>290</v>
      </c>
      <c r="I396" s="80" t="s">
        <v>458</v>
      </c>
      <c r="J396" s="82">
        <f t="shared" si="1024"/>
        <v>2</v>
      </c>
      <c r="K396" s="80">
        <v>2</v>
      </c>
      <c r="L396" s="57"/>
      <c r="M396" s="58">
        <v>1</v>
      </c>
      <c r="N396" s="59">
        <f t="shared" si="1025"/>
        <v>1</v>
      </c>
      <c r="O396" s="60"/>
      <c r="P396" s="58"/>
      <c r="Q396" s="59">
        <f t="shared" si="1026"/>
        <v>1</v>
      </c>
      <c r="R396" s="60"/>
      <c r="S396" s="58">
        <v>1</v>
      </c>
      <c r="T396" s="61">
        <f t="shared" si="1027"/>
        <v>0</v>
      </c>
      <c r="U396" s="60"/>
      <c r="V396" s="58"/>
      <c r="W396" s="59">
        <f t="shared" si="1028"/>
        <v>0</v>
      </c>
      <c r="X396" s="60">
        <v>2</v>
      </c>
      <c r="Y396" s="58"/>
      <c r="Z396" s="61">
        <f t="shared" si="1029"/>
        <v>2</v>
      </c>
      <c r="AA396" s="60"/>
      <c r="AB396" s="58"/>
      <c r="AC396" s="59">
        <f t="shared" si="1030"/>
        <v>2</v>
      </c>
      <c r="AD396" s="57"/>
      <c r="AE396" s="58"/>
      <c r="AF396" s="243">
        <f t="shared" si="1031"/>
        <v>2</v>
      </c>
      <c r="AG396" s="60"/>
      <c r="AH396" s="58"/>
      <c r="AI396" s="62">
        <f t="shared" si="1032"/>
        <v>2</v>
      </c>
      <c r="AJ396" s="60"/>
      <c r="AK396" s="58"/>
      <c r="AL396" s="62">
        <f t="shared" si="1033"/>
        <v>2</v>
      </c>
      <c r="AM396" s="60"/>
      <c r="AN396" s="58"/>
      <c r="AO396" s="62">
        <f t="shared" si="1034"/>
        <v>2</v>
      </c>
      <c r="AP396" s="60"/>
      <c r="AQ396" s="58"/>
      <c r="AR396" s="62">
        <f t="shared" si="1035"/>
        <v>2</v>
      </c>
      <c r="AS396" s="60"/>
      <c r="AT396" s="58"/>
      <c r="AU396" s="62">
        <f t="shared" si="1036"/>
        <v>2</v>
      </c>
      <c r="AV396" s="83">
        <f t="shared" si="1037"/>
        <v>2</v>
      </c>
      <c r="AW396" s="83">
        <f t="shared" si="1037"/>
        <v>2</v>
      </c>
      <c r="AX396" s="64">
        <f t="shared" si="1038"/>
        <v>2</v>
      </c>
      <c r="AY396" s="65">
        <f t="shared" si="1039"/>
        <v>1</v>
      </c>
      <c r="AZ396" s="66">
        <f t="shared" si="1040"/>
        <v>2</v>
      </c>
      <c r="BA396" s="67">
        <f>MAX(0, Table176252626[[#This Row],[Column6]])</f>
        <v>2</v>
      </c>
      <c r="BB396" s="68">
        <v>1</v>
      </c>
      <c r="BC396" s="84">
        <f t="shared" si="1006"/>
        <v>2</v>
      </c>
      <c r="BD396" s="83">
        <f t="shared" si="1004"/>
        <v>1</v>
      </c>
      <c r="BE396" s="85">
        <v>2</v>
      </c>
      <c r="BF396" s="86">
        <v>46160</v>
      </c>
      <c r="BG396" s="72">
        <f t="shared" si="1023"/>
        <v>46265</v>
      </c>
      <c r="BH396" s="107">
        <f t="shared" si="1041"/>
        <v>105</v>
      </c>
      <c r="BI396" s="80" t="str">
        <f t="shared" si="1005"/>
        <v/>
      </c>
      <c r="BJ396" s="238">
        <v>1330.56</v>
      </c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  <c r="FS396" s="30"/>
      <c r="FT396" s="30"/>
      <c r="FU396" s="30"/>
      <c r="FV396" s="30"/>
      <c r="FW396" s="30"/>
      <c r="FX396" s="30"/>
      <c r="FY396" s="30"/>
      <c r="FZ396" s="30"/>
      <c r="GA396" s="30"/>
      <c r="GB396" s="30"/>
      <c r="GC396" s="30"/>
      <c r="GD396" s="30"/>
      <c r="GE396" s="30"/>
      <c r="GF396" s="30"/>
      <c r="GG396" s="30"/>
      <c r="GH396" s="30"/>
      <c r="GI396" s="30"/>
      <c r="GJ396" s="30"/>
      <c r="GK396" s="30"/>
      <c r="GL396" s="30"/>
      <c r="GM396" s="30"/>
      <c r="GN396" s="30"/>
      <c r="GO396" s="30"/>
      <c r="GP396" s="30"/>
      <c r="GQ396" s="30"/>
      <c r="GR396" s="30"/>
      <c r="GS396" s="30"/>
      <c r="GT396" s="30"/>
      <c r="GU396" s="30"/>
      <c r="GV396" s="30"/>
      <c r="GW396" s="30"/>
      <c r="GX396" s="30"/>
      <c r="GY396" s="30"/>
      <c r="GZ396" s="30"/>
      <c r="HA396" s="30"/>
      <c r="HB396" s="30"/>
      <c r="HC396" s="30"/>
      <c r="HD396" s="30"/>
      <c r="HE396" s="30"/>
      <c r="HF396" s="30"/>
      <c r="HG396" s="30"/>
      <c r="HH396" s="30"/>
      <c r="HI396" s="30"/>
      <c r="HJ396" s="30"/>
      <c r="HK396" s="30"/>
      <c r="HL396" s="30"/>
      <c r="HM396" s="30"/>
      <c r="HN396" s="30"/>
      <c r="HO396" s="30"/>
      <c r="HP396" s="30"/>
      <c r="HQ396" s="30"/>
      <c r="HR396" s="30"/>
      <c r="HS396" s="30"/>
      <c r="HT396" s="30"/>
      <c r="HU396" s="30"/>
      <c r="HV396" s="30"/>
      <c r="HW396" s="30"/>
      <c r="HX396" s="30"/>
      <c r="HY396" s="30"/>
      <c r="HZ396" s="30"/>
      <c r="IA396" s="30"/>
      <c r="IB396" s="30"/>
      <c r="IC396" s="30"/>
      <c r="ID396" s="30"/>
      <c r="IE396" s="30"/>
      <c r="IF396" s="30"/>
      <c r="IG396" s="30"/>
      <c r="IH396" s="30"/>
      <c r="II396" s="30"/>
      <c r="IJ396" s="30"/>
      <c r="IK396" s="30"/>
      <c r="IL396" s="30"/>
      <c r="IM396" s="30"/>
      <c r="IN396" s="30"/>
      <c r="IO396" s="30"/>
      <c r="IP396" s="30"/>
      <c r="IQ396" s="30"/>
      <c r="IR396" s="30"/>
      <c r="IS396" s="30"/>
      <c r="IT396" s="30"/>
      <c r="IU396" s="30"/>
      <c r="IV396" s="30"/>
      <c r="IW396" s="30"/>
      <c r="IX396" s="30"/>
      <c r="IY396" s="30"/>
      <c r="IZ396" s="30"/>
      <c r="JA396" s="30"/>
      <c r="JB396" s="30"/>
      <c r="JC396" s="30"/>
      <c r="JD396" s="30"/>
      <c r="JE396" s="30"/>
      <c r="JF396" s="30"/>
      <c r="JG396" s="30"/>
      <c r="JH396" s="30"/>
      <c r="JI396" s="30"/>
      <c r="JJ396" s="30"/>
      <c r="JK396" s="30"/>
      <c r="JL396" s="30"/>
      <c r="JM396" s="30"/>
      <c r="JN396" s="30"/>
      <c r="JO396" s="30"/>
      <c r="JP396" s="30"/>
      <c r="JQ396" s="30"/>
      <c r="JR396" s="30"/>
      <c r="JS396" s="30"/>
      <c r="JT396" s="30"/>
      <c r="JU396" s="30"/>
      <c r="JV396" s="30"/>
      <c r="JW396" s="30"/>
      <c r="JX396" s="30"/>
      <c r="JY396" s="30"/>
      <c r="JZ396" s="30"/>
      <c r="KA396" s="30"/>
      <c r="KB396" s="30"/>
      <c r="KC396" s="30"/>
      <c r="KD396" s="30"/>
      <c r="KE396" s="30"/>
      <c r="KF396" s="30"/>
      <c r="KG396" s="30"/>
    </row>
    <row r="397" spans="1:293" ht="13">
      <c r="A397" s="49"/>
      <c r="B397" s="76"/>
      <c r="C397" s="51">
        <v>394</v>
      </c>
      <c r="D397" s="138" t="s">
        <v>1523</v>
      </c>
      <c r="E397" s="138">
        <v>3</v>
      </c>
      <c r="F397" s="80" t="s">
        <v>466</v>
      </c>
      <c r="G397" s="81" t="s">
        <v>465</v>
      </c>
      <c r="H397" s="81" t="s">
        <v>289</v>
      </c>
      <c r="I397" s="80" t="s">
        <v>458</v>
      </c>
      <c r="J397" s="82">
        <f t="shared" ref="J397:J403" si="1042">AU397</f>
        <v>2</v>
      </c>
      <c r="K397" s="80">
        <v>1</v>
      </c>
      <c r="L397" s="57"/>
      <c r="M397" s="58"/>
      <c r="N397" s="59">
        <f t="shared" ref="N397:N403" si="1043">SUM(K397+L397-M397)</f>
        <v>1</v>
      </c>
      <c r="O397" s="60"/>
      <c r="P397" s="58"/>
      <c r="Q397" s="59">
        <f t="shared" ref="Q397:Q403" si="1044">SUM(N397+O397-P397)</f>
        <v>1</v>
      </c>
      <c r="R397" s="60"/>
      <c r="S397" s="58">
        <v>1</v>
      </c>
      <c r="T397" s="61">
        <f t="shared" ref="T397:T403" si="1045">SUM(Q397+R397-S397)</f>
        <v>0</v>
      </c>
      <c r="U397" s="60"/>
      <c r="V397" s="58"/>
      <c r="W397" s="59">
        <f t="shared" ref="W397:W403" si="1046">SUM(T397+U397-V397)</f>
        <v>0</v>
      </c>
      <c r="X397" s="60">
        <v>2</v>
      </c>
      <c r="Y397" s="58"/>
      <c r="Z397" s="61">
        <f t="shared" ref="Z397:Z403" si="1047">SUM(W397+X397-Y397)</f>
        <v>2</v>
      </c>
      <c r="AA397" s="60"/>
      <c r="AB397" s="58"/>
      <c r="AC397" s="59">
        <f t="shared" ref="AC397:AC403" si="1048">SUM(Z397+AA397-AB397)</f>
        <v>2</v>
      </c>
      <c r="AD397" s="57"/>
      <c r="AE397" s="58"/>
      <c r="AF397" s="243">
        <f t="shared" ref="AF397:AF403" si="1049">SUM(AC397+AD397-AE397)</f>
        <v>2</v>
      </c>
      <c r="AG397" s="60"/>
      <c r="AH397" s="58"/>
      <c r="AI397" s="62">
        <f t="shared" ref="AI397:AI403" si="1050">SUM(AF397+AG397-AH397)</f>
        <v>2</v>
      </c>
      <c r="AJ397" s="60"/>
      <c r="AK397" s="58"/>
      <c r="AL397" s="62">
        <f t="shared" ref="AL397:AL403" si="1051">SUM(AI397+AJ397-AK397)</f>
        <v>2</v>
      </c>
      <c r="AM397" s="60"/>
      <c r="AN397" s="58"/>
      <c r="AO397" s="62">
        <f t="shared" ref="AO397:AO403" si="1052">SUM(AL397+AM397-AN397)</f>
        <v>2</v>
      </c>
      <c r="AP397" s="60"/>
      <c r="AQ397" s="58"/>
      <c r="AR397" s="62">
        <f t="shared" ref="AR397:AR403" si="1053">SUM(AO397+AP397-AQ397)</f>
        <v>2</v>
      </c>
      <c r="AS397" s="60"/>
      <c r="AT397" s="58"/>
      <c r="AU397" s="62">
        <f t="shared" ref="AU397:AU403" si="1054">SUM(AR397+AS397-AT397)</f>
        <v>2</v>
      </c>
      <c r="AV397" s="83">
        <f t="shared" ref="AV397:AV403" si="1055">SUM(L397+O397+R397+U397+X397+AA397+AD397+AG397+AJ397+AM397+AP397+AS397)</f>
        <v>2</v>
      </c>
      <c r="AW397" s="83">
        <f t="shared" si="1037"/>
        <v>1</v>
      </c>
      <c r="AX397" s="64">
        <f t="shared" ref="AX397:AX403" si="1056">SUM(M397,P397,S397,V397,Y397,AB397,AE397,AH397,AK397,AN397,AQ397,AT397)</f>
        <v>1</v>
      </c>
      <c r="AY397" s="65">
        <f t="shared" ref="AY397:AY403" si="1057">AVERAGE(M397,P397,S397,V397,Y397,AB397,AE397,AH397,AK397,AN397,AQ397,AT397)</f>
        <v>1</v>
      </c>
      <c r="AZ397" s="66">
        <f t="shared" ref="AZ397:AZ403" si="1058">COUNT(M397,P397,S397,V397,Y397,AB397,AE397,AH397,AK397,AN397,AQ397,AT397)</f>
        <v>1</v>
      </c>
      <c r="BA397" s="67">
        <f>MAX(0, Table176252626[[#This Row],[Column6]])</f>
        <v>2</v>
      </c>
      <c r="BB397" s="68">
        <v>1</v>
      </c>
      <c r="BC397" s="84">
        <f t="shared" si="1006"/>
        <v>2</v>
      </c>
      <c r="BD397" s="83">
        <f t="shared" si="1004"/>
        <v>1</v>
      </c>
      <c r="BE397" s="85">
        <v>2</v>
      </c>
      <c r="BF397" s="86">
        <v>46147</v>
      </c>
      <c r="BG397" s="72">
        <f t="shared" si="1023"/>
        <v>46265</v>
      </c>
      <c r="BH397" s="87">
        <f t="shared" ref="BH397:BH403" si="1059">BG397-BF397</f>
        <v>118</v>
      </c>
      <c r="BI397" s="80" t="str">
        <f t="shared" si="1005"/>
        <v/>
      </c>
      <c r="BJ397" s="238">
        <v>2719.5</v>
      </c>
    </row>
    <row r="398" spans="1:293" s="48" customFormat="1" ht="13">
      <c r="A398" s="75"/>
      <c r="B398" s="76"/>
      <c r="C398" s="51">
        <v>395</v>
      </c>
      <c r="D398" s="138" t="s">
        <v>1523</v>
      </c>
      <c r="E398" s="138">
        <v>4</v>
      </c>
      <c r="F398" s="80" t="s">
        <v>226</v>
      </c>
      <c r="G398" s="81" t="s">
        <v>1131</v>
      </c>
      <c r="H398" s="81" t="s">
        <v>293</v>
      </c>
      <c r="I398" s="80" t="s">
        <v>458</v>
      </c>
      <c r="J398" s="82">
        <f t="shared" si="1042"/>
        <v>7</v>
      </c>
      <c r="K398" s="80">
        <v>7</v>
      </c>
      <c r="L398" s="57"/>
      <c r="M398" s="58"/>
      <c r="N398" s="59">
        <f t="shared" si="1043"/>
        <v>7</v>
      </c>
      <c r="O398" s="60"/>
      <c r="P398" s="58"/>
      <c r="Q398" s="59">
        <f t="shared" si="1044"/>
        <v>7</v>
      </c>
      <c r="R398" s="60"/>
      <c r="S398" s="58"/>
      <c r="T398" s="61">
        <f t="shared" si="1045"/>
        <v>7</v>
      </c>
      <c r="U398" s="60"/>
      <c r="V398" s="58"/>
      <c r="W398" s="59">
        <f t="shared" si="1046"/>
        <v>7</v>
      </c>
      <c r="X398" s="60"/>
      <c r="Y398" s="58"/>
      <c r="Z398" s="61">
        <f t="shared" si="1047"/>
        <v>7</v>
      </c>
      <c r="AA398" s="60"/>
      <c r="AB398" s="58"/>
      <c r="AC398" s="59">
        <f t="shared" si="1048"/>
        <v>7</v>
      </c>
      <c r="AD398" s="57"/>
      <c r="AE398" s="58"/>
      <c r="AF398" s="243">
        <f t="shared" si="1049"/>
        <v>7</v>
      </c>
      <c r="AG398" s="60"/>
      <c r="AH398" s="58"/>
      <c r="AI398" s="62">
        <f t="shared" si="1050"/>
        <v>7</v>
      </c>
      <c r="AJ398" s="60"/>
      <c r="AK398" s="58"/>
      <c r="AL398" s="62">
        <f t="shared" si="1051"/>
        <v>7</v>
      </c>
      <c r="AM398" s="60"/>
      <c r="AN398" s="58"/>
      <c r="AO398" s="62">
        <f t="shared" si="1052"/>
        <v>7</v>
      </c>
      <c r="AP398" s="60"/>
      <c r="AQ398" s="58"/>
      <c r="AR398" s="62">
        <f t="shared" si="1053"/>
        <v>7</v>
      </c>
      <c r="AS398" s="60"/>
      <c r="AT398" s="58"/>
      <c r="AU398" s="62">
        <f t="shared" si="1054"/>
        <v>7</v>
      </c>
      <c r="AV398" s="83">
        <f t="shared" si="1055"/>
        <v>0</v>
      </c>
      <c r="AW398" s="83">
        <f t="shared" si="1037"/>
        <v>0</v>
      </c>
      <c r="AX398" s="64">
        <f t="shared" si="1056"/>
        <v>0</v>
      </c>
      <c r="AY398" s="65" t="e">
        <f t="shared" si="1057"/>
        <v>#DIV/0!</v>
      </c>
      <c r="AZ398" s="66">
        <f t="shared" si="1058"/>
        <v>0</v>
      </c>
      <c r="BA398" s="67">
        <v>7</v>
      </c>
      <c r="BB398" s="68">
        <v>1</v>
      </c>
      <c r="BC398" s="84">
        <f t="shared" si="1006"/>
        <v>7</v>
      </c>
      <c r="BD398" s="83">
        <f t="shared" si="1004"/>
        <v>6</v>
      </c>
      <c r="BE398" s="85">
        <v>2</v>
      </c>
      <c r="BF398" s="86">
        <v>42991.667222222219</v>
      </c>
      <c r="BG398" s="72">
        <f t="shared" si="1023"/>
        <v>46265</v>
      </c>
      <c r="BH398" s="87">
        <f t="shared" si="1059"/>
        <v>3273.3327777777813</v>
      </c>
      <c r="BI398" s="80" t="str">
        <f t="shared" si="1005"/>
        <v>Dead Stock</v>
      </c>
      <c r="BJ398" s="238">
        <v>534.75</v>
      </c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  <c r="FS398" s="30"/>
      <c r="FT398" s="30"/>
      <c r="FU398" s="30"/>
      <c r="FV398" s="30"/>
      <c r="FW398" s="30"/>
      <c r="FX398" s="30"/>
      <c r="FY398" s="30"/>
      <c r="FZ398" s="30"/>
      <c r="GA398" s="30"/>
      <c r="GB398" s="30"/>
      <c r="GC398" s="30"/>
      <c r="GD398" s="30"/>
      <c r="GE398" s="30"/>
      <c r="GF398" s="30"/>
      <c r="GG398" s="30"/>
      <c r="GH398" s="30"/>
      <c r="GI398" s="30"/>
      <c r="GJ398" s="30"/>
      <c r="GK398" s="30"/>
      <c r="GL398" s="30"/>
      <c r="GM398" s="30"/>
      <c r="GN398" s="30"/>
      <c r="GO398" s="30"/>
      <c r="GP398" s="30"/>
      <c r="GQ398" s="30"/>
      <c r="GR398" s="30"/>
      <c r="GS398" s="30"/>
      <c r="GT398" s="30"/>
      <c r="GU398" s="30"/>
      <c r="GV398" s="30"/>
      <c r="GW398" s="30"/>
      <c r="GX398" s="30"/>
      <c r="GY398" s="30"/>
      <c r="GZ398" s="30"/>
      <c r="HA398" s="30"/>
      <c r="HB398" s="30"/>
      <c r="HC398" s="30"/>
      <c r="HD398" s="30"/>
      <c r="HE398" s="30"/>
      <c r="HF398" s="30"/>
      <c r="HG398" s="30"/>
      <c r="HH398" s="30"/>
      <c r="HI398" s="30"/>
      <c r="HJ398" s="30"/>
      <c r="HK398" s="30"/>
      <c r="HL398" s="30"/>
      <c r="HM398" s="30"/>
      <c r="HN398" s="30"/>
      <c r="HO398" s="30"/>
      <c r="HP398" s="30"/>
      <c r="HQ398" s="30"/>
      <c r="HR398" s="30"/>
      <c r="HS398" s="30"/>
      <c r="HT398" s="30"/>
      <c r="HU398" s="30"/>
      <c r="HV398" s="30"/>
      <c r="HW398" s="30"/>
      <c r="HX398" s="30"/>
      <c r="HY398" s="30"/>
      <c r="HZ398" s="30"/>
      <c r="IA398" s="30"/>
      <c r="IB398" s="30"/>
      <c r="IC398" s="30"/>
      <c r="ID398" s="30"/>
      <c r="IE398" s="30"/>
      <c r="IF398" s="30"/>
      <c r="IG398" s="30"/>
      <c r="IH398" s="30"/>
      <c r="II398" s="30"/>
      <c r="IJ398" s="30"/>
      <c r="IK398" s="30"/>
      <c r="IL398" s="30"/>
      <c r="IM398" s="30"/>
      <c r="IN398" s="30"/>
      <c r="IO398" s="30"/>
      <c r="IP398" s="30"/>
      <c r="IQ398" s="30"/>
      <c r="IR398" s="30"/>
      <c r="IS398" s="30"/>
      <c r="IT398" s="30"/>
      <c r="IU398" s="30"/>
      <c r="IV398" s="30"/>
      <c r="IW398" s="30"/>
      <c r="IX398" s="30"/>
      <c r="IY398" s="30"/>
      <c r="IZ398" s="30"/>
      <c r="JA398" s="30"/>
      <c r="JB398" s="30"/>
      <c r="JC398" s="30"/>
      <c r="JD398" s="30"/>
      <c r="JE398" s="30"/>
      <c r="JF398" s="30"/>
      <c r="JG398" s="30"/>
      <c r="JH398" s="30"/>
      <c r="JI398" s="30"/>
      <c r="JJ398" s="30"/>
      <c r="JK398" s="30"/>
      <c r="JL398" s="30"/>
      <c r="JM398" s="30"/>
      <c r="JN398" s="30"/>
      <c r="JO398" s="30"/>
      <c r="JP398" s="30"/>
      <c r="JQ398" s="30"/>
      <c r="JR398" s="30"/>
      <c r="JS398" s="30"/>
      <c r="JT398" s="30"/>
      <c r="JU398" s="30"/>
      <c r="JV398" s="30"/>
      <c r="JW398" s="30"/>
      <c r="JX398" s="30"/>
      <c r="JY398" s="30"/>
      <c r="JZ398" s="30"/>
      <c r="KA398" s="30"/>
      <c r="KB398" s="30"/>
      <c r="KC398" s="30"/>
      <c r="KD398" s="30"/>
      <c r="KE398" s="30"/>
      <c r="KF398" s="30"/>
      <c r="KG398" s="30"/>
    </row>
    <row r="399" spans="1:293" s="48" customFormat="1" ht="13">
      <c r="A399" s="90"/>
      <c r="B399" s="91"/>
      <c r="C399" s="51">
        <v>396</v>
      </c>
      <c r="D399" s="138" t="s">
        <v>1523</v>
      </c>
      <c r="E399" s="138">
        <v>5</v>
      </c>
      <c r="F399" s="80" t="s">
        <v>66</v>
      </c>
      <c r="G399" s="81" t="s">
        <v>67</v>
      </c>
      <c r="H399" s="55" t="s">
        <v>290</v>
      </c>
      <c r="I399" s="80" t="s">
        <v>458</v>
      </c>
      <c r="J399" s="82">
        <f t="shared" si="1042"/>
        <v>5</v>
      </c>
      <c r="K399" s="54">
        <v>6</v>
      </c>
      <c r="L399" s="57"/>
      <c r="M399" s="58"/>
      <c r="N399" s="59">
        <f t="shared" si="1043"/>
        <v>6</v>
      </c>
      <c r="O399" s="60"/>
      <c r="P399" s="58">
        <v>1</v>
      </c>
      <c r="Q399" s="59">
        <f t="shared" si="1044"/>
        <v>5</v>
      </c>
      <c r="R399" s="60"/>
      <c r="S399" s="58"/>
      <c r="T399" s="61">
        <f t="shared" si="1045"/>
        <v>5</v>
      </c>
      <c r="U399" s="60"/>
      <c r="V399" s="58"/>
      <c r="W399" s="59">
        <f t="shared" si="1046"/>
        <v>5</v>
      </c>
      <c r="X399" s="60"/>
      <c r="Y399" s="58"/>
      <c r="Z399" s="61">
        <f t="shared" si="1047"/>
        <v>5</v>
      </c>
      <c r="AA399" s="60"/>
      <c r="AB399" s="58"/>
      <c r="AC399" s="59">
        <f t="shared" si="1048"/>
        <v>5</v>
      </c>
      <c r="AD399" s="57"/>
      <c r="AE399" s="58"/>
      <c r="AF399" s="243">
        <f t="shared" si="1049"/>
        <v>5</v>
      </c>
      <c r="AG399" s="60"/>
      <c r="AH399" s="58"/>
      <c r="AI399" s="62">
        <f t="shared" si="1050"/>
        <v>5</v>
      </c>
      <c r="AJ399" s="60"/>
      <c r="AK399" s="58"/>
      <c r="AL399" s="62">
        <f t="shared" si="1051"/>
        <v>5</v>
      </c>
      <c r="AM399" s="60"/>
      <c r="AN399" s="58"/>
      <c r="AO399" s="62">
        <f t="shared" si="1052"/>
        <v>5</v>
      </c>
      <c r="AP399" s="60"/>
      <c r="AQ399" s="58"/>
      <c r="AR399" s="62">
        <f t="shared" si="1053"/>
        <v>5</v>
      </c>
      <c r="AS399" s="60"/>
      <c r="AT399" s="58"/>
      <c r="AU399" s="62">
        <f t="shared" si="1054"/>
        <v>5</v>
      </c>
      <c r="AV399" s="83">
        <f t="shared" si="1055"/>
        <v>0</v>
      </c>
      <c r="AW399" s="83">
        <f t="shared" si="1037"/>
        <v>1</v>
      </c>
      <c r="AX399" s="64">
        <f t="shared" si="1056"/>
        <v>1</v>
      </c>
      <c r="AY399" s="65">
        <f t="shared" si="1057"/>
        <v>1</v>
      </c>
      <c r="AZ399" s="66">
        <f t="shared" si="1058"/>
        <v>1</v>
      </c>
      <c r="BA399" s="67">
        <f>MAX(0, Table176252626[[#This Row],[Column6]])</f>
        <v>5</v>
      </c>
      <c r="BB399" s="68">
        <v>1</v>
      </c>
      <c r="BC399" s="84">
        <f t="shared" si="1006"/>
        <v>5</v>
      </c>
      <c r="BD399" s="83">
        <f t="shared" si="1004"/>
        <v>4</v>
      </c>
      <c r="BE399" s="85">
        <v>2</v>
      </c>
      <c r="BF399" s="86">
        <v>43271.628854166665</v>
      </c>
      <c r="BG399" s="72">
        <f t="shared" si="1023"/>
        <v>46265</v>
      </c>
      <c r="BH399" s="87">
        <f t="shared" si="1059"/>
        <v>2993.3711458333346</v>
      </c>
      <c r="BI399" s="80" t="str">
        <f t="shared" si="1005"/>
        <v>Dead Stock</v>
      </c>
      <c r="BJ399" s="238">
        <v>812.08</v>
      </c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  <c r="FS399" s="30"/>
      <c r="FT399" s="30"/>
      <c r="FU399" s="30"/>
      <c r="FV399" s="30"/>
      <c r="FW399" s="30"/>
      <c r="FX399" s="30"/>
      <c r="FY399" s="30"/>
      <c r="FZ399" s="30"/>
      <c r="GA399" s="30"/>
      <c r="GB399" s="30"/>
      <c r="GC399" s="30"/>
      <c r="GD399" s="30"/>
      <c r="GE399" s="30"/>
      <c r="GF399" s="30"/>
      <c r="GG399" s="30"/>
      <c r="GH399" s="30"/>
      <c r="GI399" s="30"/>
      <c r="GJ399" s="30"/>
      <c r="GK399" s="30"/>
      <c r="GL399" s="30"/>
      <c r="GM399" s="30"/>
      <c r="GN399" s="30"/>
      <c r="GO399" s="30"/>
      <c r="GP399" s="30"/>
      <c r="GQ399" s="30"/>
      <c r="GR399" s="30"/>
      <c r="GS399" s="30"/>
      <c r="GT399" s="30"/>
      <c r="GU399" s="30"/>
      <c r="GV399" s="30"/>
      <c r="GW399" s="30"/>
      <c r="GX399" s="30"/>
      <c r="GY399" s="30"/>
      <c r="GZ399" s="30"/>
      <c r="HA399" s="30"/>
      <c r="HB399" s="30"/>
      <c r="HC399" s="30"/>
      <c r="HD399" s="30"/>
      <c r="HE399" s="30"/>
      <c r="HF399" s="30"/>
      <c r="HG399" s="30"/>
      <c r="HH399" s="30"/>
      <c r="HI399" s="30"/>
      <c r="HJ399" s="30"/>
      <c r="HK399" s="30"/>
      <c r="HL399" s="30"/>
      <c r="HM399" s="30"/>
      <c r="HN399" s="30"/>
      <c r="HO399" s="30"/>
      <c r="HP399" s="30"/>
      <c r="HQ399" s="30"/>
      <c r="HR399" s="30"/>
      <c r="HS399" s="30"/>
      <c r="HT399" s="30"/>
      <c r="HU399" s="30"/>
      <c r="HV399" s="30"/>
      <c r="HW399" s="30"/>
      <c r="HX399" s="30"/>
      <c r="HY399" s="30"/>
      <c r="HZ399" s="30"/>
      <c r="IA399" s="30"/>
      <c r="IB399" s="30"/>
      <c r="IC399" s="30"/>
      <c r="ID399" s="30"/>
      <c r="IE399" s="30"/>
      <c r="IF399" s="30"/>
      <c r="IG399" s="30"/>
      <c r="IH399" s="30"/>
      <c r="II399" s="30"/>
      <c r="IJ399" s="30"/>
      <c r="IK399" s="30"/>
      <c r="IL399" s="30"/>
      <c r="IM399" s="30"/>
      <c r="IN399" s="30"/>
      <c r="IO399" s="30"/>
      <c r="IP399" s="30"/>
      <c r="IQ399" s="30"/>
      <c r="IR399" s="30"/>
      <c r="IS399" s="30"/>
      <c r="IT399" s="30"/>
      <c r="IU399" s="30"/>
      <c r="IV399" s="30"/>
      <c r="IW399" s="30"/>
      <c r="IX399" s="30"/>
      <c r="IY399" s="30"/>
      <c r="IZ399" s="30"/>
      <c r="JA399" s="30"/>
      <c r="JB399" s="30"/>
      <c r="JC399" s="30"/>
      <c r="JD399" s="30"/>
      <c r="JE399" s="30"/>
      <c r="JF399" s="30"/>
      <c r="JG399" s="30"/>
      <c r="JH399" s="30"/>
      <c r="JI399" s="30"/>
      <c r="JJ399" s="30"/>
      <c r="JK399" s="30"/>
      <c r="JL399" s="30"/>
      <c r="JM399" s="30"/>
      <c r="JN399" s="30"/>
      <c r="JO399" s="30"/>
      <c r="JP399" s="30"/>
      <c r="JQ399" s="30"/>
      <c r="JR399" s="30"/>
      <c r="JS399" s="30"/>
      <c r="JT399" s="30"/>
      <c r="JU399" s="30"/>
      <c r="JV399" s="30"/>
      <c r="JW399" s="30"/>
      <c r="JX399" s="30"/>
      <c r="JY399" s="30"/>
      <c r="JZ399" s="30"/>
      <c r="KA399" s="30"/>
      <c r="KB399" s="30"/>
      <c r="KC399" s="30"/>
      <c r="KD399" s="30"/>
      <c r="KE399" s="30"/>
      <c r="KF399" s="30"/>
      <c r="KG399" s="30"/>
    </row>
    <row r="400" spans="1:293" ht="13">
      <c r="A400" s="75"/>
      <c r="B400" s="76"/>
      <c r="C400" s="51">
        <v>397</v>
      </c>
      <c r="D400" s="138" t="s">
        <v>1523</v>
      </c>
      <c r="E400" s="138">
        <v>6</v>
      </c>
      <c r="F400" s="80" t="s">
        <v>89</v>
      </c>
      <c r="G400" s="81" t="s">
        <v>90</v>
      </c>
      <c r="H400" s="81" t="s">
        <v>290</v>
      </c>
      <c r="I400" s="80" t="s">
        <v>458</v>
      </c>
      <c r="J400" s="82">
        <f t="shared" si="1042"/>
        <v>9</v>
      </c>
      <c r="K400" s="80">
        <v>9</v>
      </c>
      <c r="L400" s="57"/>
      <c r="M400" s="58"/>
      <c r="N400" s="59">
        <f t="shared" si="1043"/>
        <v>9</v>
      </c>
      <c r="O400" s="60"/>
      <c r="P400" s="58"/>
      <c r="Q400" s="59">
        <f t="shared" si="1044"/>
        <v>9</v>
      </c>
      <c r="R400" s="60"/>
      <c r="S400" s="58"/>
      <c r="T400" s="61">
        <f t="shared" si="1045"/>
        <v>9</v>
      </c>
      <c r="U400" s="60"/>
      <c r="V400" s="58"/>
      <c r="W400" s="59">
        <f t="shared" si="1046"/>
        <v>9</v>
      </c>
      <c r="X400" s="60"/>
      <c r="Y400" s="58"/>
      <c r="Z400" s="61">
        <f t="shared" si="1047"/>
        <v>9</v>
      </c>
      <c r="AA400" s="60"/>
      <c r="AB400" s="58"/>
      <c r="AC400" s="59">
        <f t="shared" si="1048"/>
        <v>9</v>
      </c>
      <c r="AD400" s="57"/>
      <c r="AE400" s="58"/>
      <c r="AF400" s="243">
        <f t="shared" si="1049"/>
        <v>9</v>
      </c>
      <c r="AG400" s="60"/>
      <c r="AH400" s="58"/>
      <c r="AI400" s="62">
        <f t="shared" si="1050"/>
        <v>9</v>
      </c>
      <c r="AJ400" s="60"/>
      <c r="AK400" s="58"/>
      <c r="AL400" s="62">
        <f t="shared" si="1051"/>
        <v>9</v>
      </c>
      <c r="AM400" s="60"/>
      <c r="AN400" s="58"/>
      <c r="AO400" s="62">
        <f t="shared" si="1052"/>
        <v>9</v>
      </c>
      <c r="AP400" s="60"/>
      <c r="AQ400" s="58"/>
      <c r="AR400" s="62">
        <f t="shared" si="1053"/>
        <v>9</v>
      </c>
      <c r="AS400" s="60"/>
      <c r="AT400" s="58"/>
      <c r="AU400" s="62">
        <f t="shared" si="1054"/>
        <v>9</v>
      </c>
      <c r="AV400" s="83">
        <f t="shared" si="1055"/>
        <v>0</v>
      </c>
      <c r="AW400" s="83">
        <f t="shared" si="1037"/>
        <v>0</v>
      </c>
      <c r="AX400" s="64">
        <f t="shared" si="1056"/>
        <v>0</v>
      </c>
      <c r="AY400" s="65" t="e">
        <f t="shared" si="1057"/>
        <v>#DIV/0!</v>
      </c>
      <c r="AZ400" s="66">
        <f t="shared" si="1058"/>
        <v>0</v>
      </c>
      <c r="BA400" s="67">
        <v>9</v>
      </c>
      <c r="BB400" s="68">
        <v>1</v>
      </c>
      <c r="BC400" s="84">
        <f t="shared" si="1006"/>
        <v>9</v>
      </c>
      <c r="BD400" s="83">
        <f t="shared" si="1004"/>
        <v>8</v>
      </c>
      <c r="BE400" s="85">
        <v>2</v>
      </c>
      <c r="BF400" s="86">
        <v>42975.563750000001</v>
      </c>
      <c r="BG400" s="72">
        <f t="shared" si="1023"/>
        <v>46265</v>
      </c>
      <c r="BH400" s="87">
        <f t="shared" si="1059"/>
        <v>3289.4362499999988</v>
      </c>
      <c r="BI400" s="80" t="str">
        <f t="shared" si="1005"/>
        <v>Dead Stock</v>
      </c>
      <c r="BJ400" s="238">
        <v>175.95</v>
      </c>
    </row>
    <row r="401" spans="1:293" ht="13">
      <c r="A401" s="49"/>
      <c r="B401" s="50"/>
      <c r="C401" s="77">
        <v>398</v>
      </c>
      <c r="D401" s="138" t="s">
        <v>1523</v>
      </c>
      <c r="E401" s="138">
        <v>7</v>
      </c>
      <c r="F401" s="88" t="s">
        <v>452</v>
      </c>
      <c r="G401" s="89" t="s">
        <v>454</v>
      </c>
      <c r="H401" s="81" t="s">
        <v>299</v>
      </c>
      <c r="I401" s="80" t="s">
        <v>458</v>
      </c>
      <c r="J401" s="82">
        <f t="shared" si="1042"/>
        <v>4</v>
      </c>
      <c r="K401" s="80">
        <v>4</v>
      </c>
      <c r="L401" s="57"/>
      <c r="M401" s="58"/>
      <c r="N401" s="59">
        <f t="shared" si="1043"/>
        <v>4</v>
      </c>
      <c r="O401" s="60"/>
      <c r="P401" s="58"/>
      <c r="Q401" s="59">
        <f t="shared" si="1044"/>
        <v>4</v>
      </c>
      <c r="R401" s="60"/>
      <c r="S401" s="58"/>
      <c r="T401" s="61">
        <f t="shared" si="1045"/>
        <v>4</v>
      </c>
      <c r="U401" s="60"/>
      <c r="V401" s="58"/>
      <c r="W401" s="59">
        <f t="shared" si="1046"/>
        <v>4</v>
      </c>
      <c r="X401" s="60"/>
      <c r="Y401" s="58"/>
      <c r="Z401" s="61">
        <f t="shared" si="1047"/>
        <v>4</v>
      </c>
      <c r="AA401" s="60"/>
      <c r="AB401" s="58"/>
      <c r="AC401" s="59">
        <f t="shared" si="1048"/>
        <v>4</v>
      </c>
      <c r="AD401" s="57"/>
      <c r="AE401" s="58"/>
      <c r="AF401" s="243">
        <f t="shared" si="1049"/>
        <v>4</v>
      </c>
      <c r="AG401" s="60"/>
      <c r="AH401" s="58"/>
      <c r="AI401" s="62">
        <f t="shared" si="1050"/>
        <v>4</v>
      </c>
      <c r="AJ401" s="60"/>
      <c r="AK401" s="58"/>
      <c r="AL401" s="62">
        <f t="shared" si="1051"/>
        <v>4</v>
      </c>
      <c r="AM401" s="60"/>
      <c r="AN401" s="58"/>
      <c r="AO401" s="62">
        <f t="shared" si="1052"/>
        <v>4</v>
      </c>
      <c r="AP401" s="60"/>
      <c r="AQ401" s="58"/>
      <c r="AR401" s="62">
        <f t="shared" si="1053"/>
        <v>4</v>
      </c>
      <c r="AS401" s="60"/>
      <c r="AT401" s="58"/>
      <c r="AU401" s="62">
        <f t="shared" si="1054"/>
        <v>4</v>
      </c>
      <c r="AV401" s="83">
        <f t="shared" si="1055"/>
        <v>0</v>
      </c>
      <c r="AW401" s="83">
        <f t="shared" si="1037"/>
        <v>0</v>
      </c>
      <c r="AX401" s="64">
        <f t="shared" si="1056"/>
        <v>0</v>
      </c>
      <c r="AY401" s="65" t="e">
        <f t="shared" si="1057"/>
        <v>#DIV/0!</v>
      </c>
      <c r="AZ401" s="66">
        <f t="shared" si="1058"/>
        <v>0</v>
      </c>
      <c r="BA401" s="67">
        <f>MAX(0, Table176252626[[#This Row],[Column6]])</f>
        <v>4</v>
      </c>
      <c r="BB401" s="68">
        <v>1</v>
      </c>
      <c r="BC401" s="84">
        <f t="shared" si="1006"/>
        <v>4</v>
      </c>
      <c r="BD401" s="83">
        <f t="shared" si="1004"/>
        <v>3</v>
      </c>
      <c r="BE401" s="85">
        <v>2</v>
      </c>
      <c r="BF401" s="86">
        <v>43145.599409722221</v>
      </c>
      <c r="BG401" s="72">
        <f t="shared" si="1023"/>
        <v>46265</v>
      </c>
      <c r="BH401" s="87">
        <f t="shared" si="1059"/>
        <v>3119.400590277779</v>
      </c>
      <c r="BI401" s="80" t="str">
        <f t="shared" si="1005"/>
        <v>Dead Stock</v>
      </c>
      <c r="BJ401" s="238">
        <v>439.5</v>
      </c>
    </row>
    <row r="402" spans="1:293" ht="13">
      <c r="A402" s="75"/>
      <c r="B402" s="76"/>
      <c r="C402" s="77">
        <v>399</v>
      </c>
      <c r="D402" s="138" t="s">
        <v>1523</v>
      </c>
      <c r="E402" s="138">
        <v>8</v>
      </c>
      <c r="F402" s="88" t="s">
        <v>1305</v>
      </c>
      <c r="G402" s="89" t="s">
        <v>1306</v>
      </c>
      <c r="H402" s="89" t="s">
        <v>299</v>
      </c>
      <c r="I402" s="88" t="s">
        <v>458</v>
      </c>
      <c r="J402" s="93">
        <f t="shared" si="1042"/>
        <v>1</v>
      </c>
      <c r="K402" s="88">
        <v>1</v>
      </c>
      <c r="L402" s="58"/>
      <c r="M402" s="58"/>
      <c r="N402" s="62">
        <f t="shared" si="1043"/>
        <v>1</v>
      </c>
      <c r="O402" s="60"/>
      <c r="P402" s="58"/>
      <c r="Q402" s="62">
        <f t="shared" si="1044"/>
        <v>1</v>
      </c>
      <c r="R402" s="60"/>
      <c r="S402" s="58"/>
      <c r="T402" s="94">
        <f t="shared" si="1045"/>
        <v>1</v>
      </c>
      <c r="U402" s="60"/>
      <c r="V402" s="58"/>
      <c r="W402" s="62">
        <f t="shared" si="1046"/>
        <v>1</v>
      </c>
      <c r="X402" s="60"/>
      <c r="Y402" s="58"/>
      <c r="Z402" s="94">
        <f t="shared" si="1047"/>
        <v>1</v>
      </c>
      <c r="AA402" s="60"/>
      <c r="AB402" s="58"/>
      <c r="AC402" s="62">
        <f t="shared" si="1048"/>
        <v>1</v>
      </c>
      <c r="AD402" s="57"/>
      <c r="AE402" s="58"/>
      <c r="AF402" s="165">
        <f t="shared" si="1049"/>
        <v>1</v>
      </c>
      <c r="AG402" s="60"/>
      <c r="AH402" s="58"/>
      <c r="AI402" s="62">
        <f t="shared" si="1050"/>
        <v>1</v>
      </c>
      <c r="AJ402" s="60"/>
      <c r="AK402" s="58"/>
      <c r="AL402" s="62">
        <f t="shared" si="1051"/>
        <v>1</v>
      </c>
      <c r="AM402" s="60"/>
      <c r="AN402" s="58"/>
      <c r="AO402" s="62">
        <f t="shared" si="1052"/>
        <v>1</v>
      </c>
      <c r="AP402" s="60"/>
      <c r="AQ402" s="58"/>
      <c r="AR402" s="62">
        <f t="shared" si="1053"/>
        <v>1</v>
      </c>
      <c r="AS402" s="60"/>
      <c r="AT402" s="58"/>
      <c r="AU402" s="62">
        <f t="shared" si="1054"/>
        <v>1</v>
      </c>
      <c r="AV402" s="96">
        <f t="shared" si="1055"/>
        <v>0</v>
      </c>
      <c r="AW402" s="83">
        <f t="shared" si="1037"/>
        <v>0</v>
      </c>
      <c r="AX402" s="98">
        <f t="shared" si="1056"/>
        <v>0</v>
      </c>
      <c r="AY402" s="99" t="e">
        <f t="shared" si="1057"/>
        <v>#DIV/0!</v>
      </c>
      <c r="AZ402" s="100">
        <f t="shared" si="1058"/>
        <v>0</v>
      </c>
      <c r="BA402" s="101">
        <v>1</v>
      </c>
      <c r="BB402" s="102">
        <v>0</v>
      </c>
      <c r="BC402" s="84">
        <f t="shared" si="1006"/>
        <v>1</v>
      </c>
      <c r="BD402" s="83">
        <f t="shared" si="1004"/>
        <v>1</v>
      </c>
      <c r="BE402" s="85">
        <v>2</v>
      </c>
      <c r="BF402" s="86">
        <v>45086.551446759258</v>
      </c>
      <c r="BG402" s="72">
        <f t="shared" si="1023"/>
        <v>46265</v>
      </c>
      <c r="BH402" s="103">
        <f t="shared" si="1059"/>
        <v>1178.4485532407416</v>
      </c>
      <c r="BI402" s="80" t="str">
        <f t="shared" si="1005"/>
        <v>Dead Stock</v>
      </c>
      <c r="BJ402" s="238">
        <v>1308</v>
      </c>
    </row>
    <row r="403" spans="1:293" ht="13">
      <c r="A403" s="49"/>
      <c r="B403" s="76"/>
      <c r="C403" s="51">
        <v>400</v>
      </c>
      <c r="D403" s="138" t="s">
        <v>1523</v>
      </c>
      <c r="E403" s="138">
        <v>8</v>
      </c>
      <c r="F403" s="88" t="s">
        <v>1303</v>
      </c>
      <c r="G403" s="89" t="s">
        <v>1304</v>
      </c>
      <c r="H403" s="89" t="s">
        <v>299</v>
      </c>
      <c r="I403" s="88" t="s">
        <v>458</v>
      </c>
      <c r="J403" s="93">
        <f t="shared" si="1042"/>
        <v>1</v>
      </c>
      <c r="K403" s="88">
        <v>1</v>
      </c>
      <c r="L403" s="58"/>
      <c r="M403" s="58"/>
      <c r="N403" s="62">
        <f t="shared" si="1043"/>
        <v>1</v>
      </c>
      <c r="O403" s="60"/>
      <c r="P403" s="58"/>
      <c r="Q403" s="62">
        <f t="shared" si="1044"/>
        <v>1</v>
      </c>
      <c r="R403" s="60"/>
      <c r="S403" s="58"/>
      <c r="T403" s="94">
        <f t="shared" si="1045"/>
        <v>1</v>
      </c>
      <c r="U403" s="60"/>
      <c r="V403" s="58"/>
      <c r="W403" s="62">
        <f t="shared" si="1046"/>
        <v>1</v>
      </c>
      <c r="X403" s="60"/>
      <c r="Y403" s="58"/>
      <c r="Z403" s="94">
        <f t="shared" si="1047"/>
        <v>1</v>
      </c>
      <c r="AA403" s="60"/>
      <c r="AB403" s="58"/>
      <c r="AC403" s="62">
        <f t="shared" si="1048"/>
        <v>1</v>
      </c>
      <c r="AD403" s="57"/>
      <c r="AE403" s="58"/>
      <c r="AF403" s="165">
        <f t="shared" si="1049"/>
        <v>1</v>
      </c>
      <c r="AG403" s="60"/>
      <c r="AH403" s="58"/>
      <c r="AI403" s="62">
        <f t="shared" si="1050"/>
        <v>1</v>
      </c>
      <c r="AJ403" s="60"/>
      <c r="AK403" s="58"/>
      <c r="AL403" s="62">
        <f t="shared" si="1051"/>
        <v>1</v>
      </c>
      <c r="AM403" s="60"/>
      <c r="AN403" s="58"/>
      <c r="AO403" s="62">
        <f t="shared" si="1052"/>
        <v>1</v>
      </c>
      <c r="AP403" s="60"/>
      <c r="AQ403" s="58"/>
      <c r="AR403" s="62">
        <f t="shared" si="1053"/>
        <v>1</v>
      </c>
      <c r="AS403" s="60"/>
      <c r="AT403" s="58"/>
      <c r="AU403" s="62">
        <f t="shared" si="1054"/>
        <v>1</v>
      </c>
      <c r="AV403" s="96">
        <f t="shared" si="1055"/>
        <v>0</v>
      </c>
      <c r="AW403" s="83">
        <f t="shared" si="1037"/>
        <v>0</v>
      </c>
      <c r="AX403" s="98">
        <f t="shared" si="1056"/>
        <v>0</v>
      </c>
      <c r="AY403" s="99" t="e">
        <f t="shared" si="1057"/>
        <v>#DIV/0!</v>
      </c>
      <c r="AZ403" s="100">
        <f t="shared" si="1058"/>
        <v>0</v>
      </c>
      <c r="BA403" s="101">
        <v>1</v>
      </c>
      <c r="BB403" s="102">
        <v>0</v>
      </c>
      <c r="BC403" s="84">
        <f t="shared" si="1006"/>
        <v>1</v>
      </c>
      <c r="BD403" s="83">
        <f t="shared" si="1004"/>
        <v>1</v>
      </c>
      <c r="BE403" s="85">
        <v>2</v>
      </c>
      <c r="BF403" s="86">
        <v>45086.551446759258</v>
      </c>
      <c r="BG403" s="72">
        <f t="shared" si="1023"/>
        <v>46265</v>
      </c>
      <c r="BH403" s="103">
        <f t="shared" si="1059"/>
        <v>1178.4485532407416</v>
      </c>
      <c r="BI403" s="80" t="str">
        <f t="shared" si="1005"/>
        <v>Dead Stock</v>
      </c>
      <c r="BJ403" s="238">
        <v>1777.5</v>
      </c>
    </row>
    <row r="404" spans="1:293" ht="13">
      <c r="A404" s="49"/>
      <c r="B404" s="50"/>
      <c r="C404" s="51">
        <v>401</v>
      </c>
      <c r="D404" s="138" t="s">
        <v>1523</v>
      </c>
      <c r="E404" s="138">
        <v>9</v>
      </c>
      <c r="F404" s="80" t="s">
        <v>263</v>
      </c>
      <c r="G404" s="81" t="s">
        <v>1702</v>
      </c>
      <c r="H404" s="81" t="s">
        <v>293</v>
      </c>
      <c r="I404" s="80" t="s">
        <v>458</v>
      </c>
      <c r="J404" s="82">
        <f t="shared" si="1024"/>
        <v>1</v>
      </c>
      <c r="K404" s="80">
        <v>2</v>
      </c>
      <c r="L404" s="57"/>
      <c r="M404" s="58"/>
      <c r="N404" s="59">
        <f t="shared" si="1025"/>
        <v>2</v>
      </c>
      <c r="O404" s="60"/>
      <c r="P404" s="58">
        <v>1</v>
      </c>
      <c r="Q404" s="59">
        <f t="shared" si="1026"/>
        <v>1</v>
      </c>
      <c r="R404" s="60"/>
      <c r="S404" s="58"/>
      <c r="T404" s="61">
        <f t="shared" si="1027"/>
        <v>1</v>
      </c>
      <c r="U404" s="60"/>
      <c r="V404" s="58"/>
      <c r="W404" s="59">
        <f t="shared" si="1028"/>
        <v>1</v>
      </c>
      <c r="X404" s="60"/>
      <c r="Y404" s="58"/>
      <c r="Z404" s="61">
        <f t="shared" si="1029"/>
        <v>1</v>
      </c>
      <c r="AA404" s="60"/>
      <c r="AB404" s="58"/>
      <c r="AC404" s="59">
        <f t="shared" si="1030"/>
        <v>1</v>
      </c>
      <c r="AD404" s="57"/>
      <c r="AE404" s="58"/>
      <c r="AF404" s="243">
        <f t="shared" si="1031"/>
        <v>1</v>
      </c>
      <c r="AG404" s="60"/>
      <c r="AH404" s="58"/>
      <c r="AI404" s="62">
        <f t="shared" si="1032"/>
        <v>1</v>
      </c>
      <c r="AJ404" s="60"/>
      <c r="AK404" s="58"/>
      <c r="AL404" s="62">
        <f t="shared" si="1033"/>
        <v>1</v>
      </c>
      <c r="AM404" s="60"/>
      <c r="AN404" s="58"/>
      <c r="AO404" s="62">
        <f t="shared" si="1034"/>
        <v>1</v>
      </c>
      <c r="AP404" s="60"/>
      <c r="AQ404" s="58"/>
      <c r="AR404" s="62">
        <f t="shared" si="1035"/>
        <v>1</v>
      </c>
      <c r="AS404" s="60"/>
      <c r="AT404" s="58"/>
      <c r="AU404" s="62">
        <f t="shared" si="1036"/>
        <v>1</v>
      </c>
      <c r="AV404" s="83">
        <f t="shared" si="1037"/>
        <v>0</v>
      </c>
      <c r="AW404" s="83">
        <f t="shared" si="1037"/>
        <v>1</v>
      </c>
      <c r="AX404" s="64">
        <f t="shared" si="1038"/>
        <v>1</v>
      </c>
      <c r="AY404" s="65">
        <f t="shared" si="1039"/>
        <v>1</v>
      </c>
      <c r="AZ404" s="66">
        <f t="shared" si="1040"/>
        <v>1</v>
      </c>
      <c r="BA404" s="67">
        <f>MAX(0, Table176252626[[#This Row],[Column6]])</f>
        <v>1</v>
      </c>
      <c r="BB404" s="68">
        <v>0</v>
      </c>
      <c r="BC404" s="84">
        <f t="shared" si="1006"/>
        <v>1</v>
      </c>
      <c r="BD404" s="83">
        <f t="shared" si="1004"/>
        <v>1</v>
      </c>
      <c r="BE404" s="85">
        <v>2</v>
      </c>
      <c r="BF404" s="86">
        <v>42975.563750000001</v>
      </c>
      <c r="BG404" s="72">
        <f t="shared" si="1023"/>
        <v>46265</v>
      </c>
      <c r="BH404" s="87">
        <f t="shared" si="1041"/>
        <v>3289.4362499999988</v>
      </c>
      <c r="BI404" s="80" t="str">
        <f t="shared" si="1005"/>
        <v>Dead Stock</v>
      </c>
      <c r="BJ404" s="238">
        <v>689.25</v>
      </c>
    </row>
    <row r="405" spans="1:293" s="48" customFormat="1" ht="13">
      <c r="A405" s="49"/>
      <c r="B405" s="76"/>
      <c r="C405" s="51">
        <v>402</v>
      </c>
      <c r="D405" s="138" t="s">
        <v>1523</v>
      </c>
      <c r="E405" s="138">
        <v>10</v>
      </c>
      <c r="F405" s="80" t="s">
        <v>271</v>
      </c>
      <c r="G405" s="81" t="s">
        <v>272</v>
      </c>
      <c r="H405" s="81" t="s">
        <v>293</v>
      </c>
      <c r="I405" s="80" t="s">
        <v>458</v>
      </c>
      <c r="J405" s="82">
        <f t="shared" si="1024"/>
        <v>3</v>
      </c>
      <c r="K405" s="80">
        <v>3</v>
      </c>
      <c r="L405" s="57"/>
      <c r="M405" s="58"/>
      <c r="N405" s="59">
        <f t="shared" si="1025"/>
        <v>3</v>
      </c>
      <c r="O405" s="60"/>
      <c r="P405" s="58"/>
      <c r="Q405" s="59">
        <f t="shared" si="1026"/>
        <v>3</v>
      </c>
      <c r="R405" s="60"/>
      <c r="S405" s="58"/>
      <c r="T405" s="61">
        <f t="shared" si="1027"/>
        <v>3</v>
      </c>
      <c r="U405" s="60"/>
      <c r="V405" s="58"/>
      <c r="W405" s="59">
        <f t="shared" si="1028"/>
        <v>3</v>
      </c>
      <c r="X405" s="60"/>
      <c r="Y405" s="58"/>
      <c r="Z405" s="61">
        <f t="shared" si="1029"/>
        <v>3</v>
      </c>
      <c r="AA405" s="60"/>
      <c r="AB405" s="58"/>
      <c r="AC405" s="59">
        <f t="shared" si="1030"/>
        <v>3</v>
      </c>
      <c r="AD405" s="57"/>
      <c r="AE405" s="58"/>
      <c r="AF405" s="243">
        <f t="shared" si="1031"/>
        <v>3</v>
      </c>
      <c r="AG405" s="60"/>
      <c r="AH405" s="58"/>
      <c r="AI405" s="62">
        <f t="shared" si="1032"/>
        <v>3</v>
      </c>
      <c r="AJ405" s="60"/>
      <c r="AK405" s="58"/>
      <c r="AL405" s="62">
        <f t="shared" si="1033"/>
        <v>3</v>
      </c>
      <c r="AM405" s="60"/>
      <c r="AN405" s="58"/>
      <c r="AO405" s="62">
        <f t="shared" si="1034"/>
        <v>3</v>
      </c>
      <c r="AP405" s="60"/>
      <c r="AQ405" s="58"/>
      <c r="AR405" s="62">
        <f t="shared" si="1035"/>
        <v>3</v>
      </c>
      <c r="AS405" s="60"/>
      <c r="AT405" s="58"/>
      <c r="AU405" s="62">
        <f t="shared" si="1036"/>
        <v>3</v>
      </c>
      <c r="AV405" s="83">
        <f t="shared" si="1037"/>
        <v>0</v>
      </c>
      <c r="AW405" s="83">
        <f t="shared" si="1037"/>
        <v>0</v>
      </c>
      <c r="AX405" s="64">
        <f t="shared" si="1038"/>
        <v>0</v>
      </c>
      <c r="AY405" s="65" t="e">
        <f t="shared" si="1039"/>
        <v>#DIV/0!</v>
      </c>
      <c r="AZ405" s="66">
        <f t="shared" si="1040"/>
        <v>0</v>
      </c>
      <c r="BA405" s="67">
        <v>3</v>
      </c>
      <c r="BB405" s="68">
        <v>1</v>
      </c>
      <c r="BC405" s="84">
        <f t="shared" si="1006"/>
        <v>3</v>
      </c>
      <c r="BD405" s="83">
        <f t="shared" si="1004"/>
        <v>2</v>
      </c>
      <c r="BE405" s="85">
        <v>2</v>
      </c>
      <c r="BF405" s="86">
        <v>42991.667222222219</v>
      </c>
      <c r="BG405" s="72">
        <f t="shared" si="1023"/>
        <v>46265</v>
      </c>
      <c r="BH405" s="87">
        <f t="shared" si="1041"/>
        <v>3273.3327777777813</v>
      </c>
      <c r="BI405" s="80" t="str">
        <f t="shared" si="1005"/>
        <v>Dead Stock</v>
      </c>
      <c r="BJ405" s="238">
        <v>787.5</v>
      </c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  <c r="FS405" s="30"/>
      <c r="FT405" s="30"/>
      <c r="FU405" s="30"/>
      <c r="FV405" s="30"/>
      <c r="FW405" s="30"/>
      <c r="FX405" s="30"/>
      <c r="FY405" s="30"/>
      <c r="FZ405" s="30"/>
      <c r="GA405" s="30"/>
      <c r="GB405" s="30"/>
      <c r="GC405" s="30"/>
      <c r="GD405" s="30"/>
      <c r="GE405" s="30"/>
      <c r="GF405" s="30"/>
      <c r="GG405" s="30"/>
      <c r="GH405" s="30"/>
      <c r="GI405" s="30"/>
      <c r="GJ405" s="30"/>
      <c r="GK405" s="30"/>
      <c r="GL405" s="30"/>
      <c r="GM405" s="30"/>
      <c r="GN405" s="30"/>
      <c r="GO405" s="30"/>
      <c r="GP405" s="30"/>
      <c r="GQ405" s="30"/>
      <c r="GR405" s="30"/>
      <c r="GS405" s="30"/>
      <c r="GT405" s="30"/>
      <c r="GU405" s="30"/>
      <c r="GV405" s="30"/>
      <c r="GW405" s="30"/>
      <c r="GX405" s="30"/>
      <c r="GY405" s="30"/>
      <c r="GZ405" s="30"/>
      <c r="HA405" s="30"/>
      <c r="HB405" s="30"/>
      <c r="HC405" s="30"/>
      <c r="HD405" s="30"/>
      <c r="HE405" s="30"/>
      <c r="HF405" s="30"/>
      <c r="HG405" s="30"/>
      <c r="HH405" s="30"/>
      <c r="HI405" s="30"/>
      <c r="HJ405" s="30"/>
      <c r="HK405" s="30"/>
      <c r="HL405" s="30"/>
      <c r="HM405" s="30"/>
      <c r="HN405" s="30"/>
      <c r="HO405" s="30"/>
      <c r="HP405" s="30"/>
      <c r="HQ405" s="30"/>
      <c r="HR405" s="30"/>
      <c r="HS405" s="30"/>
      <c r="HT405" s="30"/>
      <c r="HU405" s="30"/>
      <c r="HV405" s="30"/>
      <c r="HW405" s="30"/>
      <c r="HX405" s="30"/>
      <c r="HY405" s="30"/>
      <c r="HZ405" s="30"/>
      <c r="IA405" s="30"/>
      <c r="IB405" s="30"/>
      <c r="IC405" s="30"/>
      <c r="ID405" s="30"/>
      <c r="IE405" s="30"/>
      <c r="IF405" s="30"/>
      <c r="IG405" s="30"/>
      <c r="IH405" s="30"/>
      <c r="II405" s="30"/>
      <c r="IJ405" s="30"/>
      <c r="IK405" s="30"/>
      <c r="IL405" s="30"/>
      <c r="IM405" s="30"/>
      <c r="IN405" s="30"/>
      <c r="IO405" s="30"/>
      <c r="IP405" s="30"/>
      <c r="IQ405" s="30"/>
      <c r="IR405" s="30"/>
      <c r="IS405" s="30"/>
      <c r="IT405" s="30"/>
      <c r="IU405" s="30"/>
      <c r="IV405" s="30"/>
      <c r="IW405" s="30"/>
      <c r="IX405" s="30"/>
      <c r="IY405" s="30"/>
      <c r="IZ405" s="30"/>
      <c r="JA405" s="30"/>
      <c r="JB405" s="30"/>
      <c r="JC405" s="30"/>
      <c r="JD405" s="30"/>
      <c r="JE405" s="30"/>
      <c r="JF405" s="30"/>
      <c r="JG405" s="30"/>
      <c r="JH405" s="30"/>
      <c r="JI405" s="30"/>
      <c r="JJ405" s="30"/>
      <c r="JK405" s="30"/>
      <c r="JL405" s="30"/>
      <c r="JM405" s="30"/>
      <c r="JN405" s="30"/>
      <c r="JO405" s="30"/>
      <c r="JP405" s="30"/>
      <c r="JQ405" s="30"/>
      <c r="JR405" s="30"/>
      <c r="JS405" s="30"/>
      <c r="JT405" s="30"/>
      <c r="JU405" s="30"/>
      <c r="JV405" s="30"/>
      <c r="JW405" s="30"/>
      <c r="JX405" s="30"/>
      <c r="JY405" s="30"/>
      <c r="JZ405" s="30"/>
      <c r="KA405" s="30"/>
      <c r="KB405" s="30"/>
      <c r="KC405" s="30"/>
      <c r="KD405" s="30"/>
      <c r="KE405" s="30"/>
      <c r="KF405" s="30"/>
      <c r="KG405" s="30"/>
    </row>
    <row r="406" spans="1:293" ht="13">
      <c r="A406" s="49"/>
      <c r="B406" s="50"/>
      <c r="C406" s="77">
        <v>404</v>
      </c>
      <c r="D406" s="138" t="s">
        <v>1523</v>
      </c>
      <c r="E406" s="138">
        <v>12</v>
      </c>
      <c r="F406" s="88" t="s">
        <v>431</v>
      </c>
      <c r="G406" s="89" t="s">
        <v>432</v>
      </c>
      <c r="H406" s="81" t="s">
        <v>299</v>
      </c>
      <c r="I406" s="80" t="s">
        <v>458</v>
      </c>
      <c r="J406" s="82">
        <f t="shared" ref="J406:J408" si="1060">AU406</f>
        <v>2</v>
      </c>
      <c r="K406" s="80">
        <v>2</v>
      </c>
      <c r="L406" s="57"/>
      <c r="M406" s="58"/>
      <c r="N406" s="59">
        <f t="shared" ref="N406:N408" si="1061">SUM(K406+L406-M406)</f>
        <v>2</v>
      </c>
      <c r="O406" s="60"/>
      <c r="P406" s="58"/>
      <c r="Q406" s="59">
        <f t="shared" ref="Q406:Q408" si="1062">SUM(N406+O406-P406)</f>
        <v>2</v>
      </c>
      <c r="R406" s="60"/>
      <c r="S406" s="58"/>
      <c r="T406" s="61">
        <f t="shared" ref="T406:T408" si="1063">SUM(Q406+R406-S406)</f>
        <v>2</v>
      </c>
      <c r="U406" s="60"/>
      <c r="V406" s="58"/>
      <c r="W406" s="59">
        <f t="shared" ref="W406:W408" si="1064">SUM(T406+U406-V406)</f>
        <v>2</v>
      </c>
      <c r="X406" s="60"/>
      <c r="Y406" s="58"/>
      <c r="Z406" s="61">
        <f t="shared" ref="Z406:Z408" si="1065">SUM(W406+X406-Y406)</f>
        <v>2</v>
      </c>
      <c r="AA406" s="60"/>
      <c r="AB406" s="58"/>
      <c r="AC406" s="59">
        <f t="shared" ref="AC406:AC408" si="1066">SUM(Z406+AA406-AB406)</f>
        <v>2</v>
      </c>
      <c r="AD406" s="57"/>
      <c r="AE406" s="58"/>
      <c r="AF406" s="243">
        <f t="shared" ref="AF406:AF408" si="1067">SUM(AC406+AD406-AE406)</f>
        <v>2</v>
      </c>
      <c r="AG406" s="60"/>
      <c r="AH406" s="58"/>
      <c r="AI406" s="62">
        <f t="shared" ref="AI406:AI408" si="1068">SUM(AF406+AG406-AH406)</f>
        <v>2</v>
      </c>
      <c r="AJ406" s="60"/>
      <c r="AK406" s="58"/>
      <c r="AL406" s="62">
        <f t="shared" ref="AL406:AL408" si="1069">SUM(AI406+AJ406-AK406)</f>
        <v>2</v>
      </c>
      <c r="AM406" s="60"/>
      <c r="AN406" s="58"/>
      <c r="AO406" s="62">
        <f t="shared" ref="AO406:AO408" si="1070">SUM(AL406+AM406-AN406)</f>
        <v>2</v>
      </c>
      <c r="AP406" s="60"/>
      <c r="AQ406" s="58"/>
      <c r="AR406" s="62">
        <f t="shared" ref="AR406:AR408" si="1071">SUM(AO406+AP406-AQ406)</f>
        <v>2</v>
      </c>
      <c r="AS406" s="60"/>
      <c r="AT406" s="58"/>
      <c r="AU406" s="62">
        <f t="shared" ref="AU406:AU408" si="1072">SUM(AR406+AS406-AT406)</f>
        <v>2</v>
      </c>
      <c r="AV406" s="83">
        <f t="shared" ref="AV406:AV408" si="1073">SUM(L406+O406+R406+U406+X406+AA406+AD406+AG406+AJ406+AM406+AP406+AS406)</f>
        <v>0</v>
      </c>
      <c r="AW406" s="83">
        <f t="shared" si="1037"/>
        <v>0</v>
      </c>
      <c r="AX406" s="64">
        <f t="shared" ref="AX406:AX408" si="1074">SUM(M406,P406,S406,V406,Y406,AB406,AE406,AH406,AK406,AN406,AQ406,AT406)</f>
        <v>0</v>
      </c>
      <c r="AY406" s="65" t="e">
        <f t="shared" ref="AY406:AY408" si="1075">AVERAGE(M406,P406,S406,V406,Y406,AB406,AE406,AH406,AK406,AN406,AQ406,AT406)</f>
        <v>#DIV/0!</v>
      </c>
      <c r="AZ406" s="66">
        <f t="shared" ref="AZ406:AZ408" si="1076">COUNT(M406,P406,S406,V406,Y406,AB406,AE406,AH406,AK406,AN406,AQ406,AT406)</f>
        <v>0</v>
      </c>
      <c r="BA406" s="67">
        <f>MAX(0, Table176252626[[#This Row],[Column6]])</f>
        <v>2</v>
      </c>
      <c r="BB406" s="68">
        <v>1</v>
      </c>
      <c r="BC406" s="84">
        <f t="shared" si="1006"/>
        <v>2</v>
      </c>
      <c r="BD406" s="83">
        <f t="shared" si="1004"/>
        <v>1</v>
      </c>
      <c r="BE406" s="85">
        <v>2</v>
      </c>
      <c r="BF406" s="86">
        <v>45547.591377314813</v>
      </c>
      <c r="BG406" s="72" t="e">
        <f>#REF!</f>
        <v>#REF!</v>
      </c>
      <c r="BH406" s="87" t="e">
        <f t="shared" ref="BH406:BH408" si="1077">BG406-BF406</f>
        <v>#REF!</v>
      </c>
      <c r="BI406" s="80" t="e">
        <f t="shared" si="1005"/>
        <v>#REF!</v>
      </c>
      <c r="BJ406" s="238">
        <v>1158.75</v>
      </c>
    </row>
    <row r="407" spans="1:293" s="48" customFormat="1" ht="13">
      <c r="A407" s="49"/>
      <c r="B407" s="50"/>
      <c r="C407" s="77">
        <v>405</v>
      </c>
      <c r="D407" s="138" t="s">
        <v>1523</v>
      </c>
      <c r="E407" s="138">
        <v>13</v>
      </c>
      <c r="F407" s="80" t="s">
        <v>7</v>
      </c>
      <c r="G407" s="81" t="s">
        <v>8</v>
      </c>
      <c r="H407" s="81" t="s">
        <v>290</v>
      </c>
      <c r="I407" s="80" t="s">
        <v>458</v>
      </c>
      <c r="J407" s="82">
        <f>AU407</f>
        <v>4</v>
      </c>
      <c r="K407" s="80">
        <v>4</v>
      </c>
      <c r="L407" s="57"/>
      <c r="M407" s="58">
        <f>1+1</f>
        <v>2</v>
      </c>
      <c r="N407" s="59">
        <f>SUM(K407+L407-M407)</f>
        <v>2</v>
      </c>
      <c r="O407" s="60"/>
      <c r="P407" s="58">
        <v>1</v>
      </c>
      <c r="Q407" s="59">
        <f>SUM(N407+O407-P407)</f>
        <v>1</v>
      </c>
      <c r="R407" s="60"/>
      <c r="S407" s="58"/>
      <c r="T407" s="61">
        <f>SUM(Q407+R407-S407)</f>
        <v>1</v>
      </c>
      <c r="U407" s="60"/>
      <c r="V407" s="58">
        <v>1</v>
      </c>
      <c r="W407" s="59">
        <f>SUM(T407+U407-V407)</f>
        <v>0</v>
      </c>
      <c r="X407" s="60">
        <v>5</v>
      </c>
      <c r="Y407" s="58"/>
      <c r="Z407" s="61">
        <f>SUM(W407+X407-Y407)</f>
        <v>5</v>
      </c>
      <c r="AA407" s="60"/>
      <c r="AB407" s="58"/>
      <c r="AC407" s="59">
        <f>SUM(Z407+AA407-AB407)</f>
        <v>5</v>
      </c>
      <c r="AD407" s="57"/>
      <c r="AE407" s="58">
        <v>1</v>
      </c>
      <c r="AF407" s="243">
        <f>SUM(AC407+AD407-AE407)</f>
        <v>4</v>
      </c>
      <c r="AG407" s="60"/>
      <c r="AH407" s="58"/>
      <c r="AI407" s="62">
        <f>SUM(AF407+AG407-AH407)</f>
        <v>4</v>
      </c>
      <c r="AJ407" s="60"/>
      <c r="AK407" s="58"/>
      <c r="AL407" s="62">
        <f>SUM(AI407+AJ407-AK407)</f>
        <v>4</v>
      </c>
      <c r="AM407" s="60"/>
      <c r="AN407" s="58"/>
      <c r="AO407" s="62">
        <f>SUM(AL407+AM407-AN407)</f>
        <v>4</v>
      </c>
      <c r="AP407" s="60"/>
      <c r="AQ407" s="58"/>
      <c r="AR407" s="62">
        <f>SUM(AO407+AP407-AQ407)</f>
        <v>4</v>
      </c>
      <c r="AS407" s="60"/>
      <c r="AT407" s="58"/>
      <c r="AU407" s="62">
        <f>SUM(AR407+AS407-AT407)</f>
        <v>4</v>
      </c>
      <c r="AV407" s="83">
        <f>SUM(L407+O407+R407+U407+X407+AA407+AD407+AG407+AJ407+AM407+AP407+AS407)</f>
        <v>5</v>
      </c>
      <c r="AW407" s="83">
        <f t="shared" si="1037"/>
        <v>5</v>
      </c>
      <c r="AX407" s="64">
        <f>SUM(M407,P407,S407,V407,Y407,AB407,AE407,AH407,AK407,AN407,AQ407,AT407)</f>
        <v>5</v>
      </c>
      <c r="AY407" s="65">
        <f>AVERAGE(M407,P407,S407,V407,Y407,AB407,AE407,AH407,AK407,AN407,AQ407,AT407)</f>
        <v>1.25</v>
      </c>
      <c r="AZ407" s="66">
        <f>COUNT(M407,P407,S407,V407,Y407,AB407,AE407,AH407,AK407,AN407,AQ407,AT407)</f>
        <v>4</v>
      </c>
      <c r="BA407" s="67">
        <f>MAX(0, Table176252626[[#This Row],[Column6]])</f>
        <v>4</v>
      </c>
      <c r="BB407" s="68">
        <v>1</v>
      </c>
      <c r="BC407" s="84">
        <f t="shared" si="1006"/>
        <v>4</v>
      </c>
      <c r="BD407" s="83">
        <f t="shared" si="1004"/>
        <v>3</v>
      </c>
      <c r="BE407" s="85">
        <v>2</v>
      </c>
      <c r="BF407" s="86">
        <v>46169</v>
      </c>
      <c r="BG407" s="72" t="e">
        <f t="shared" si="1023"/>
        <v>#REF!</v>
      </c>
      <c r="BH407" s="87" t="e">
        <f>BG407-BF407</f>
        <v>#REF!</v>
      </c>
      <c r="BI407" s="80" t="e">
        <f t="shared" si="1005"/>
        <v>#REF!</v>
      </c>
      <c r="BJ407" s="238">
        <v>1313.25</v>
      </c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  <c r="FS407" s="30"/>
      <c r="FT407" s="30"/>
      <c r="FU407" s="30"/>
      <c r="FV407" s="30"/>
      <c r="FW407" s="30"/>
      <c r="FX407" s="30"/>
      <c r="FY407" s="30"/>
      <c r="FZ407" s="30"/>
      <c r="GA407" s="30"/>
      <c r="GB407" s="30"/>
      <c r="GC407" s="30"/>
      <c r="GD407" s="30"/>
      <c r="GE407" s="30"/>
      <c r="GF407" s="30"/>
      <c r="GG407" s="30"/>
      <c r="GH407" s="30"/>
      <c r="GI407" s="30"/>
      <c r="GJ407" s="30"/>
      <c r="GK407" s="30"/>
      <c r="GL407" s="30"/>
      <c r="GM407" s="30"/>
      <c r="GN407" s="30"/>
      <c r="GO407" s="30"/>
      <c r="GP407" s="30"/>
      <c r="GQ407" s="30"/>
      <c r="GR407" s="30"/>
      <c r="GS407" s="30"/>
      <c r="GT407" s="30"/>
      <c r="GU407" s="30"/>
      <c r="GV407" s="30"/>
      <c r="GW407" s="30"/>
      <c r="GX407" s="30"/>
      <c r="GY407" s="30"/>
      <c r="GZ407" s="30"/>
      <c r="HA407" s="30"/>
      <c r="HB407" s="30"/>
      <c r="HC407" s="30"/>
      <c r="HD407" s="30"/>
      <c r="HE407" s="30"/>
      <c r="HF407" s="30"/>
      <c r="HG407" s="30"/>
      <c r="HH407" s="30"/>
      <c r="HI407" s="30"/>
      <c r="HJ407" s="30"/>
      <c r="HK407" s="30"/>
      <c r="HL407" s="30"/>
      <c r="HM407" s="30"/>
      <c r="HN407" s="30"/>
      <c r="HO407" s="30"/>
      <c r="HP407" s="30"/>
      <c r="HQ407" s="30"/>
      <c r="HR407" s="30"/>
      <c r="HS407" s="30"/>
      <c r="HT407" s="30"/>
      <c r="HU407" s="30"/>
      <c r="HV407" s="30"/>
      <c r="HW407" s="30"/>
      <c r="HX407" s="30"/>
      <c r="HY407" s="30"/>
      <c r="HZ407" s="30"/>
      <c r="IA407" s="30"/>
      <c r="IB407" s="30"/>
      <c r="IC407" s="30"/>
      <c r="ID407" s="30"/>
      <c r="IE407" s="30"/>
      <c r="IF407" s="30"/>
      <c r="IG407" s="30"/>
      <c r="IH407" s="30"/>
      <c r="II407" s="30"/>
      <c r="IJ407" s="30"/>
      <c r="IK407" s="30"/>
      <c r="IL407" s="30"/>
      <c r="IM407" s="30"/>
      <c r="IN407" s="30"/>
      <c r="IO407" s="30"/>
      <c r="IP407" s="30"/>
      <c r="IQ407" s="30"/>
      <c r="IR407" s="30"/>
      <c r="IS407" s="30"/>
      <c r="IT407" s="30"/>
      <c r="IU407" s="30"/>
      <c r="IV407" s="30"/>
      <c r="IW407" s="30"/>
      <c r="IX407" s="30"/>
      <c r="IY407" s="30"/>
      <c r="IZ407" s="30"/>
      <c r="JA407" s="30"/>
      <c r="JB407" s="30"/>
      <c r="JC407" s="30"/>
      <c r="JD407" s="30"/>
      <c r="JE407" s="30"/>
      <c r="JF407" s="30"/>
      <c r="JG407" s="30"/>
      <c r="JH407" s="30"/>
      <c r="JI407" s="30"/>
      <c r="JJ407" s="30"/>
      <c r="JK407" s="30"/>
      <c r="JL407" s="30"/>
      <c r="JM407" s="30"/>
      <c r="JN407" s="30"/>
      <c r="JO407" s="30"/>
      <c r="JP407" s="30"/>
      <c r="JQ407" s="30"/>
      <c r="JR407" s="30"/>
      <c r="JS407" s="30"/>
      <c r="JT407" s="30"/>
      <c r="JU407" s="30"/>
      <c r="JV407" s="30"/>
      <c r="JW407" s="30"/>
      <c r="JX407" s="30"/>
      <c r="JY407" s="30"/>
      <c r="JZ407" s="30"/>
      <c r="KA407" s="30"/>
      <c r="KB407" s="30"/>
      <c r="KC407" s="30"/>
      <c r="KD407" s="30"/>
      <c r="KE407" s="30"/>
      <c r="KF407" s="30"/>
      <c r="KG407" s="30"/>
    </row>
    <row r="408" spans="1:293" ht="13">
      <c r="A408" s="49"/>
      <c r="B408" s="50"/>
      <c r="C408" s="51">
        <v>406</v>
      </c>
      <c r="D408" s="138" t="s">
        <v>1523</v>
      </c>
      <c r="E408" s="138">
        <v>14</v>
      </c>
      <c r="F408" s="88" t="s">
        <v>13</v>
      </c>
      <c r="G408" s="89" t="s">
        <v>1738</v>
      </c>
      <c r="H408" s="81" t="s">
        <v>290</v>
      </c>
      <c r="I408" s="80" t="s">
        <v>458</v>
      </c>
      <c r="J408" s="82">
        <f t="shared" si="1060"/>
        <v>3</v>
      </c>
      <c r="K408" s="80">
        <v>2</v>
      </c>
      <c r="L408" s="57"/>
      <c r="M408" s="58"/>
      <c r="N408" s="59">
        <f t="shared" si="1061"/>
        <v>2</v>
      </c>
      <c r="O408" s="60">
        <v>3</v>
      </c>
      <c r="P408" s="58"/>
      <c r="Q408" s="59">
        <f t="shared" si="1062"/>
        <v>5</v>
      </c>
      <c r="R408" s="60"/>
      <c r="S408" s="58"/>
      <c r="T408" s="61">
        <f t="shared" si="1063"/>
        <v>5</v>
      </c>
      <c r="U408" s="60"/>
      <c r="V408" s="58">
        <v>1</v>
      </c>
      <c r="W408" s="59">
        <f t="shared" si="1064"/>
        <v>4</v>
      </c>
      <c r="X408" s="60"/>
      <c r="Y408" s="58"/>
      <c r="Z408" s="61">
        <f t="shared" si="1065"/>
        <v>4</v>
      </c>
      <c r="AA408" s="60"/>
      <c r="AB408" s="58">
        <v>1</v>
      </c>
      <c r="AC408" s="59">
        <f t="shared" si="1066"/>
        <v>3</v>
      </c>
      <c r="AD408" s="57"/>
      <c r="AE408" s="58"/>
      <c r="AF408" s="243">
        <f t="shared" si="1067"/>
        <v>3</v>
      </c>
      <c r="AG408" s="60"/>
      <c r="AH408" s="58"/>
      <c r="AI408" s="62">
        <f t="shared" si="1068"/>
        <v>3</v>
      </c>
      <c r="AJ408" s="60"/>
      <c r="AK408" s="58"/>
      <c r="AL408" s="62">
        <f t="shared" si="1069"/>
        <v>3</v>
      </c>
      <c r="AM408" s="60"/>
      <c r="AN408" s="58"/>
      <c r="AO408" s="62">
        <f t="shared" si="1070"/>
        <v>3</v>
      </c>
      <c r="AP408" s="60"/>
      <c r="AQ408" s="58"/>
      <c r="AR408" s="62">
        <f t="shared" si="1071"/>
        <v>3</v>
      </c>
      <c r="AS408" s="60"/>
      <c r="AT408" s="58"/>
      <c r="AU408" s="62">
        <f t="shared" si="1072"/>
        <v>3</v>
      </c>
      <c r="AV408" s="83">
        <f t="shared" si="1073"/>
        <v>3</v>
      </c>
      <c r="AW408" s="83">
        <f t="shared" si="1037"/>
        <v>2</v>
      </c>
      <c r="AX408" s="64">
        <f t="shared" si="1074"/>
        <v>2</v>
      </c>
      <c r="AY408" s="65">
        <f t="shared" si="1075"/>
        <v>1</v>
      </c>
      <c r="AZ408" s="66">
        <f t="shared" si="1076"/>
        <v>2</v>
      </c>
      <c r="BA408" s="67">
        <v>3</v>
      </c>
      <c r="BB408" s="68">
        <v>1</v>
      </c>
      <c r="BC408" s="84">
        <f t="shared" si="1006"/>
        <v>3</v>
      </c>
      <c r="BD408" s="83">
        <f t="shared" si="1004"/>
        <v>2</v>
      </c>
      <c r="BE408" s="85">
        <v>2</v>
      </c>
      <c r="BF408" s="86">
        <v>46065</v>
      </c>
      <c r="BG408" s="72" t="e">
        <f t="shared" si="1023"/>
        <v>#REF!</v>
      </c>
      <c r="BH408" s="87" t="e">
        <f t="shared" si="1077"/>
        <v>#REF!</v>
      </c>
      <c r="BI408" s="80" t="e">
        <f t="shared" si="1005"/>
        <v>#REF!</v>
      </c>
      <c r="BJ408" s="238">
        <v>1743.75</v>
      </c>
    </row>
    <row r="409" spans="1:293" ht="13">
      <c r="A409" s="75"/>
      <c r="B409" s="76"/>
      <c r="C409" s="51">
        <v>407</v>
      </c>
      <c r="D409" s="138" t="s">
        <v>1523</v>
      </c>
      <c r="E409" s="138">
        <v>15</v>
      </c>
      <c r="F409" s="80" t="s">
        <v>713</v>
      </c>
      <c r="G409" s="81" t="s">
        <v>1045</v>
      </c>
      <c r="H409" s="81" t="s">
        <v>296</v>
      </c>
      <c r="I409" s="80" t="s">
        <v>458</v>
      </c>
      <c r="J409" s="82">
        <f t="shared" ref="J409:J416" si="1078">AU409</f>
        <v>1</v>
      </c>
      <c r="K409" s="80">
        <v>1</v>
      </c>
      <c r="L409" s="57"/>
      <c r="M409" s="58"/>
      <c r="N409" s="59">
        <f t="shared" ref="N409:N416" si="1079">SUM(K409+L409-M409)</f>
        <v>1</v>
      </c>
      <c r="O409" s="60"/>
      <c r="P409" s="58"/>
      <c r="Q409" s="59">
        <f t="shared" ref="Q409:Q416" si="1080">SUM(N409+O409-P409)</f>
        <v>1</v>
      </c>
      <c r="R409" s="60">
        <v>1</v>
      </c>
      <c r="S409" s="58"/>
      <c r="T409" s="61">
        <f t="shared" ref="T409:T416" si="1081">SUM(Q409+R409-S409)</f>
        <v>2</v>
      </c>
      <c r="U409" s="60"/>
      <c r="V409" s="58"/>
      <c r="W409" s="59">
        <f t="shared" ref="W409:W416" si="1082">SUM(T409+U409-V409)</f>
        <v>2</v>
      </c>
      <c r="X409" s="60"/>
      <c r="Y409" s="58"/>
      <c r="Z409" s="61">
        <f t="shared" ref="Z409:Z416" si="1083">SUM(W409+X409-Y409)</f>
        <v>2</v>
      </c>
      <c r="AA409" s="60"/>
      <c r="AB409" s="58"/>
      <c r="AC409" s="59">
        <f t="shared" ref="AC409:AC416" si="1084">SUM(Z409+AA409-AB409)</f>
        <v>2</v>
      </c>
      <c r="AD409" s="57"/>
      <c r="AE409" s="58">
        <v>1</v>
      </c>
      <c r="AF409" s="243">
        <f t="shared" ref="AF409:AF416" si="1085">SUM(AC409+AD409-AE409)</f>
        <v>1</v>
      </c>
      <c r="AG409" s="60"/>
      <c r="AH409" s="58"/>
      <c r="AI409" s="62">
        <f t="shared" ref="AI409:AI416" si="1086">SUM(AF409+AG409-AH409)</f>
        <v>1</v>
      </c>
      <c r="AJ409" s="60"/>
      <c r="AK409" s="58"/>
      <c r="AL409" s="62">
        <f t="shared" ref="AL409:AL416" si="1087">SUM(AI409+AJ409-AK409)</f>
        <v>1</v>
      </c>
      <c r="AM409" s="60"/>
      <c r="AN409" s="58"/>
      <c r="AO409" s="62">
        <f t="shared" ref="AO409:AO416" si="1088">SUM(AL409+AM409-AN409)</f>
        <v>1</v>
      </c>
      <c r="AP409" s="60"/>
      <c r="AQ409" s="58"/>
      <c r="AR409" s="62">
        <f t="shared" ref="AR409:AR416" si="1089">SUM(AO409+AP409-AQ409)</f>
        <v>1</v>
      </c>
      <c r="AS409" s="60"/>
      <c r="AT409" s="58"/>
      <c r="AU409" s="62">
        <f t="shared" ref="AU409:AU416" si="1090">SUM(AR409+AS409-AT409)</f>
        <v>1</v>
      </c>
      <c r="AV409" s="83">
        <f t="shared" ref="AV409:AW425" si="1091">SUM(L409+O409+R409+U409+X409+AA409+AD409+AG409+AJ409+AM409+AP409+AS409)</f>
        <v>1</v>
      </c>
      <c r="AW409" s="83">
        <f t="shared" si="1037"/>
        <v>1</v>
      </c>
      <c r="AX409" s="64">
        <f t="shared" ref="AX409:AX416" si="1092">SUM(M409,P409,S409,V409,Y409,AB409,AE409,AH409,AK409,AN409,AQ409,AT409)</f>
        <v>1</v>
      </c>
      <c r="AY409" s="65">
        <f t="shared" ref="AY409:AY416" si="1093">AVERAGE(M409,P409,S409,V409,Y409,AB409,AE409,AH409,AK409,AN409,AQ409,AT409)</f>
        <v>1</v>
      </c>
      <c r="AZ409" s="66">
        <f t="shared" ref="AZ409:AZ416" si="1094">COUNT(M409,P409,S409,V409,Y409,AB409,AE409,AH409,AK409,AN409,AQ409,AT409)</f>
        <v>1</v>
      </c>
      <c r="BA409" s="67">
        <f>MAX(0, Table176252626[[#This Row],[Column6]])</f>
        <v>1</v>
      </c>
      <c r="BB409" s="68">
        <v>0</v>
      </c>
      <c r="BC409" s="84">
        <f t="shared" si="1006"/>
        <v>1</v>
      </c>
      <c r="BD409" s="83">
        <f t="shared" si="1004"/>
        <v>1</v>
      </c>
      <c r="BE409" s="85">
        <v>2</v>
      </c>
      <c r="BF409" s="86">
        <v>46162</v>
      </c>
      <c r="BG409" s="72" t="e">
        <f t="shared" si="1023"/>
        <v>#REF!</v>
      </c>
      <c r="BH409" s="87" t="e">
        <f t="shared" ref="BH409:BH416" si="1095">BG409-BF409</f>
        <v>#REF!</v>
      </c>
      <c r="BI409" s="80" t="e">
        <f t="shared" si="1005"/>
        <v>#REF!</v>
      </c>
      <c r="BJ409" s="238">
        <v>18000</v>
      </c>
    </row>
    <row r="410" spans="1:293" s="48" customFormat="1" ht="13">
      <c r="A410" s="49"/>
      <c r="B410" s="76"/>
      <c r="C410" s="51">
        <v>408</v>
      </c>
      <c r="D410" s="138" t="s">
        <v>1523</v>
      </c>
      <c r="E410" s="138">
        <v>16</v>
      </c>
      <c r="F410" s="80" t="s">
        <v>192</v>
      </c>
      <c r="G410" s="81" t="s">
        <v>1373</v>
      </c>
      <c r="H410" s="81" t="s">
        <v>292</v>
      </c>
      <c r="I410" s="80" t="s">
        <v>458</v>
      </c>
      <c r="J410" s="82">
        <f t="shared" si="1078"/>
        <v>6</v>
      </c>
      <c r="K410" s="80">
        <v>11</v>
      </c>
      <c r="L410" s="57"/>
      <c r="M410" s="58"/>
      <c r="N410" s="59">
        <f t="shared" si="1079"/>
        <v>11</v>
      </c>
      <c r="O410" s="60"/>
      <c r="P410" s="58">
        <v>4</v>
      </c>
      <c r="Q410" s="59">
        <f t="shared" si="1080"/>
        <v>7</v>
      </c>
      <c r="R410" s="60"/>
      <c r="S410" s="58"/>
      <c r="T410" s="61">
        <f t="shared" si="1081"/>
        <v>7</v>
      </c>
      <c r="U410" s="60"/>
      <c r="V410" s="58"/>
      <c r="W410" s="59">
        <f t="shared" si="1082"/>
        <v>7</v>
      </c>
      <c r="X410" s="60"/>
      <c r="Y410" s="58"/>
      <c r="Z410" s="61">
        <f t="shared" si="1083"/>
        <v>7</v>
      </c>
      <c r="AA410" s="60"/>
      <c r="AB410" s="58"/>
      <c r="AC410" s="59">
        <f t="shared" si="1084"/>
        <v>7</v>
      </c>
      <c r="AD410" s="57"/>
      <c r="AE410" s="58"/>
      <c r="AF410" s="243">
        <f t="shared" si="1085"/>
        <v>7</v>
      </c>
      <c r="AG410" s="60"/>
      <c r="AH410" s="58">
        <v>1</v>
      </c>
      <c r="AI410" s="62">
        <f t="shared" si="1086"/>
        <v>6</v>
      </c>
      <c r="AJ410" s="60"/>
      <c r="AK410" s="58"/>
      <c r="AL410" s="62">
        <f t="shared" si="1087"/>
        <v>6</v>
      </c>
      <c r="AM410" s="60"/>
      <c r="AN410" s="58"/>
      <c r="AO410" s="62">
        <f t="shared" si="1088"/>
        <v>6</v>
      </c>
      <c r="AP410" s="60"/>
      <c r="AQ410" s="58"/>
      <c r="AR410" s="62">
        <f t="shared" si="1089"/>
        <v>6</v>
      </c>
      <c r="AS410" s="60"/>
      <c r="AT410" s="58"/>
      <c r="AU410" s="62">
        <f t="shared" si="1090"/>
        <v>6</v>
      </c>
      <c r="AV410" s="83">
        <f t="shared" si="1091"/>
        <v>0</v>
      </c>
      <c r="AW410" s="83">
        <f t="shared" si="1091"/>
        <v>5</v>
      </c>
      <c r="AX410" s="64">
        <f t="shared" si="1092"/>
        <v>5</v>
      </c>
      <c r="AY410" s="65">
        <f t="shared" si="1093"/>
        <v>2.5</v>
      </c>
      <c r="AZ410" s="66">
        <f t="shared" si="1094"/>
        <v>2</v>
      </c>
      <c r="BA410" s="67">
        <v>7</v>
      </c>
      <c r="BB410" s="68">
        <v>1</v>
      </c>
      <c r="BC410" s="84">
        <f t="shared" si="1006"/>
        <v>6</v>
      </c>
      <c r="BD410" s="83">
        <f t="shared" si="1004"/>
        <v>5</v>
      </c>
      <c r="BE410" s="85">
        <v>2</v>
      </c>
      <c r="BF410" s="86">
        <v>45601.455034722225</v>
      </c>
      <c r="BG410" s="72" t="e">
        <f t="shared" si="1023"/>
        <v>#REF!</v>
      </c>
      <c r="BH410" s="87" t="e">
        <f t="shared" si="1095"/>
        <v>#REF!</v>
      </c>
      <c r="BI410" s="80" t="e">
        <f t="shared" si="1005"/>
        <v>#REF!</v>
      </c>
      <c r="BJ410" s="238">
        <v>422.26</v>
      </c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  <c r="FS410" s="30"/>
      <c r="FT410" s="30"/>
      <c r="FU410" s="30"/>
      <c r="FV410" s="30"/>
      <c r="FW410" s="30"/>
      <c r="FX410" s="30"/>
      <c r="FY410" s="30"/>
      <c r="FZ410" s="30"/>
      <c r="GA410" s="30"/>
      <c r="GB410" s="30"/>
      <c r="GC410" s="30"/>
      <c r="GD410" s="30"/>
      <c r="GE410" s="30"/>
      <c r="GF410" s="30"/>
      <c r="GG410" s="30"/>
      <c r="GH410" s="30"/>
      <c r="GI410" s="30"/>
      <c r="GJ410" s="30"/>
      <c r="GK410" s="30"/>
      <c r="GL410" s="30"/>
      <c r="GM410" s="30"/>
      <c r="GN410" s="30"/>
      <c r="GO410" s="30"/>
      <c r="GP410" s="30"/>
      <c r="GQ410" s="30"/>
      <c r="GR410" s="30"/>
      <c r="GS410" s="30"/>
      <c r="GT410" s="30"/>
      <c r="GU410" s="30"/>
      <c r="GV410" s="30"/>
      <c r="GW410" s="30"/>
      <c r="GX410" s="30"/>
      <c r="GY410" s="30"/>
      <c r="GZ410" s="30"/>
      <c r="HA410" s="30"/>
      <c r="HB410" s="30"/>
      <c r="HC410" s="30"/>
      <c r="HD410" s="30"/>
      <c r="HE410" s="30"/>
      <c r="HF410" s="30"/>
      <c r="HG410" s="30"/>
      <c r="HH410" s="30"/>
      <c r="HI410" s="30"/>
      <c r="HJ410" s="30"/>
      <c r="HK410" s="30"/>
      <c r="HL410" s="30"/>
      <c r="HM410" s="30"/>
      <c r="HN410" s="30"/>
      <c r="HO410" s="30"/>
      <c r="HP410" s="30"/>
      <c r="HQ410" s="30"/>
      <c r="HR410" s="30"/>
      <c r="HS410" s="30"/>
      <c r="HT410" s="30"/>
      <c r="HU410" s="30"/>
      <c r="HV410" s="30"/>
      <c r="HW410" s="30"/>
      <c r="HX410" s="30"/>
      <c r="HY410" s="30"/>
      <c r="HZ410" s="30"/>
      <c r="IA410" s="30"/>
      <c r="IB410" s="30"/>
      <c r="IC410" s="30"/>
      <c r="ID410" s="30"/>
      <c r="IE410" s="30"/>
      <c r="IF410" s="30"/>
      <c r="IG410" s="30"/>
      <c r="IH410" s="30"/>
      <c r="II410" s="30"/>
      <c r="IJ410" s="30"/>
      <c r="IK410" s="30"/>
      <c r="IL410" s="30"/>
      <c r="IM410" s="30"/>
      <c r="IN410" s="30"/>
      <c r="IO410" s="30"/>
      <c r="IP410" s="30"/>
      <c r="IQ410" s="30"/>
      <c r="IR410" s="30"/>
      <c r="IS410" s="30"/>
      <c r="IT410" s="30"/>
      <c r="IU410" s="30"/>
      <c r="IV410" s="30"/>
      <c r="IW410" s="30"/>
      <c r="IX410" s="30"/>
      <c r="IY410" s="30"/>
      <c r="IZ410" s="30"/>
      <c r="JA410" s="30"/>
      <c r="JB410" s="30"/>
      <c r="JC410" s="30"/>
      <c r="JD410" s="30"/>
      <c r="JE410" s="30"/>
      <c r="JF410" s="30"/>
      <c r="JG410" s="30"/>
      <c r="JH410" s="30"/>
      <c r="JI410" s="30"/>
      <c r="JJ410" s="30"/>
      <c r="JK410" s="30"/>
      <c r="JL410" s="30"/>
      <c r="JM410" s="30"/>
      <c r="JN410" s="30"/>
      <c r="JO410" s="30"/>
      <c r="JP410" s="30"/>
      <c r="JQ410" s="30"/>
      <c r="JR410" s="30"/>
      <c r="JS410" s="30"/>
      <c r="JT410" s="30"/>
      <c r="JU410" s="30"/>
      <c r="JV410" s="30"/>
      <c r="JW410" s="30"/>
      <c r="JX410" s="30"/>
      <c r="JY410" s="30"/>
      <c r="JZ410" s="30"/>
      <c r="KA410" s="30"/>
      <c r="KB410" s="30"/>
      <c r="KC410" s="30"/>
      <c r="KD410" s="30"/>
      <c r="KE410" s="30"/>
      <c r="KF410" s="30"/>
      <c r="KG410" s="30"/>
    </row>
    <row r="411" spans="1:293" ht="13">
      <c r="A411" s="49"/>
      <c r="B411" s="50"/>
      <c r="C411" s="51">
        <v>409</v>
      </c>
      <c r="D411" s="138" t="s">
        <v>1523</v>
      </c>
      <c r="E411" s="138">
        <v>17</v>
      </c>
      <c r="F411" s="80" t="s">
        <v>374</v>
      </c>
      <c r="G411" s="81" t="s">
        <v>375</v>
      </c>
      <c r="H411" s="89" t="s">
        <v>290</v>
      </c>
      <c r="I411" s="80" t="s">
        <v>458</v>
      </c>
      <c r="J411" s="82">
        <f t="shared" si="1078"/>
        <v>5</v>
      </c>
      <c r="K411" s="80">
        <v>7</v>
      </c>
      <c r="L411" s="57"/>
      <c r="M411" s="58"/>
      <c r="N411" s="59">
        <f t="shared" si="1079"/>
        <v>7</v>
      </c>
      <c r="O411" s="60"/>
      <c r="P411" s="58"/>
      <c r="Q411" s="59">
        <f t="shared" si="1080"/>
        <v>7</v>
      </c>
      <c r="R411" s="60"/>
      <c r="S411" s="58">
        <v>1</v>
      </c>
      <c r="T411" s="61">
        <f t="shared" si="1081"/>
        <v>6</v>
      </c>
      <c r="U411" s="60"/>
      <c r="V411" s="58"/>
      <c r="W411" s="59">
        <f t="shared" si="1082"/>
        <v>6</v>
      </c>
      <c r="X411" s="60"/>
      <c r="Y411" s="58"/>
      <c r="Z411" s="61">
        <f t="shared" si="1083"/>
        <v>6</v>
      </c>
      <c r="AA411" s="60"/>
      <c r="AB411" s="58"/>
      <c r="AC411" s="59">
        <f t="shared" si="1084"/>
        <v>6</v>
      </c>
      <c r="AD411" s="57"/>
      <c r="AE411" s="58"/>
      <c r="AF411" s="243">
        <f t="shared" si="1085"/>
        <v>6</v>
      </c>
      <c r="AG411" s="60"/>
      <c r="AH411" s="58">
        <v>1</v>
      </c>
      <c r="AI411" s="62">
        <f t="shared" si="1086"/>
        <v>5</v>
      </c>
      <c r="AJ411" s="60"/>
      <c r="AK411" s="58"/>
      <c r="AL411" s="62">
        <f t="shared" si="1087"/>
        <v>5</v>
      </c>
      <c r="AM411" s="60"/>
      <c r="AN411" s="58"/>
      <c r="AO411" s="62">
        <f t="shared" si="1088"/>
        <v>5</v>
      </c>
      <c r="AP411" s="60"/>
      <c r="AQ411" s="58"/>
      <c r="AR411" s="62">
        <f t="shared" si="1089"/>
        <v>5</v>
      </c>
      <c r="AS411" s="60"/>
      <c r="AT411" s="58"/>
      <c r="AU411" s="62">
        <f t="shared" si="1090"/>
        <v>5</v>
      </c>
      <c r="AV411" s="83">
        <f t="shared" si="1091"/>
        <v>0</v>
      </c>
      <c r="AW411" s="83">
        <f t="shared" si="1091"/>
        <v>2</v>
      </c>
      <c r="AX411" s="64">
        <f t="shared" si="1092"/>
        <v>2</v>
      </c>
      <c r="AY411" s="65">
        <f t="shared" si="1093"/>
        <v>1</v>
      </c>
      <c r="AZ411" s="66">
        <f t="shared" si="1094"/>
        <v>2</v>
      </c>
      <c r="BA411" s="67">
        <f>MAX(0, Table176252626[[#This Row],[Column6]])</f>
        <v>5</v>
      </c>
      <c r="BB411" s="68">
        <v>1</v>
      </c>
      <c r="BC411" s="84">
        <f t="shared" si="1006"/>
        <v>5</v>
      </c>
      <c r="BD411" s="83">
        <f t="shared" si="1004"/>
        <v>4</v>
      </c>
      <c r="BE411" s="85">
        <v>2</v>
      </c>
      <c r="BF411" s="86">
        <v>45645.447835648149</v>
      </c>
      <c r="BG411" s="72" t="e">
        <f t="shared" si="1023"/>
        <v>#REF!</v>
      </c>
      <c r="BH411" s="87" t="e">
        <f t="shared" si="1095"/>
        <v>#REF!</v>
      </c>
      <c r="BI411" s="80" t="e">
        <f t="shared" si="1005"/>
        <v>#REF!</v>
      </c>
      <c r="BJ411" s="238">
        <v>261.17</v>
      </c>
    </row>
    <row r="412" spans="1:293" ht="13">
      <c r="A412" s="75"/>
      <c r="B412" s="76"/>
      <c r="C412" s="77">
        <v>410</v>
      </c>
      <c r="D412" s="138" t="s">
        <v>1523</v>
      </c>
      <c r="E412" s="138">
        <v>18</v>
      </c>
      <c r="F412" s="80" t="s">
        <v>157</v>
      </c>
      <c r="G412" s="81" t="s">
        <v>856</v>
      </c>
      <c r="H412" s="81" t="s">
        <v>290</v>
      </c>
      <c r="I412" s="80" t="s">
        <v>458</v>
      </c>
      <c r="J412" s="82">
        <f t="shared" si="1078"/>
        <v>8</v>
      </c>
      <c r="K412" s="80">
        <v>10</v>
      </c>
      <c r="L412" s="57"/>
      <c r="M412" s="58"/>
      <c r="N412" s="59">
        <f t="shared" si="1079"/>
        <v>10</v>
      </c>
      <c r="O412" s="60"/>
      <c r="P412" s="58"/>
      <c r="Q412" s="59">
        <f t="shared" si="1080"/>
        <v>10</v>
      </c>
      <c r="R412" s="60"/>
      <c r="S412" s="58">
        <f>1+1</f>
        <v>2</v>
      </c>
      <c r="T412" s="61">
        <f t="shared" si="1081"/>
        <v>8</v>
      </c>
      <c r="U412" s="60"/>
      <c r="V412" s="58"/>
      <c r="W412" s="59">
        <f t="shared" si="1082"/>
        <v>8</v>
      </c>
      <c r="X412" s="60"/>
      <c r="Y412" s="58"/>
      <c r="Z412" s="61">
        <f t="shared" si="1083"/>
        <v>8</v>
      </c>
      <c r="AA412" s="60"/>
      <c r="AB412" s="58"/>
      <c r="AC412" s="59">
        <f t="shared" si="1084"/>
        <v>8</v>
      </c>
      <c r="AD412" s="57"/>
      <c r="AE412" s="58"/>
      <c r="AF412" s="243">
        <f t="shared" si="1085"/>
        <v>8</v>
      </c>
      <c r="AG412" s="60"/>
      <c r="AH412" s="58"/>
      <c r="AI412" s="62">
        <f t="shared" si="1086"/>
        <v>8</v>
      </c>
      <c r="AJ412" s="60"/>
      <c r="AK412" s="58"/>
      <c r="AL412" s="62">
        <f t="shared" si="1087"/>
        <v>8</v>
      </c>
      <c r="AM412" s="60"/>
      <c r="AN412" s="58"/>
      <c r="AO412" s="62">
        <f t="shared" si="1088"/>
        <v>8</v>
      </c>
      <c r="AP412" s="60"/>
      <c r="AQ412" s="58"/>
      <c r="AR412" s="62">
        <f t="shared" si="1089"/>
        <v>8</v>
      </c>
      <c r="AS412" s="60"/>
      <c r="AT412" s="58"/>
      <c r="AU412" s="62">
        <f t="shared" si="1090"/>
        <v>8</v>
      </c>
      <c r="AV412" s="83">
        <f t="shared" ref="AV412" si="1096">SUM(L412+O412+R412+U412+X412+AA412+AD412+AG412+AJ412+AM412+AP412+AS412)</f>
        <v>0</v>
      </c>
      <c r="AW412" s="83">
        <f t="shared" si="1091"/>
        <v>2</v>
      </c>
      <c r="AX412" s="64">
        <f t="shared" si="1092"/>
        <v>2</v>
      </c>
      <c r="AY412" s="65">
        <f t="shared" si="1093"/>
        <v>2</v>
      </c>
      <c r="AZ412" s="66">
        <f t="shared" si="1094"/>
        <v>1</v>
      </c>
      <c r="BA412" s="67">
        <f>MAX(0, Table176252626[[#This Row],[Column6]])</f>
        <v>8</v>
      </c>
      <c r="BB412" s="68">
        <v>1</v>
      </c>
      <c r="BC412" s="84">
        <f t="shared" si="1006"/>
        <v>8</v>
      </c>
      <c r="BD412" s="83">
        <f t="shared" si="1004"/>
        <v>7</v>
      </c>
      <c r="BE412" s="85">
        <v>2</v>
      </c>
      <c r="BF412" s="86">
        <v>45645.445729166669</v>
      </c>
      <c r="BG412" s="72" t="e">
        <f t="shared" si="1023"/>
        <v>#REF!</v>
      </c>
      <c r="BH412" s="87" t="e">
        <f t="shared" si="1095"/>
        <v>#REF!</v>
      </c>
      <c r="BI412" s="80" t="e">
        <f t="shared" si="1005"/>
        <v>#REF!</v>
      </c>
      <c r="BJ412" s="238">
        <v>206</v>
      </c>
    </row>
    <row r="413" spans="1:293" ht="13">
      <c r="A413" s="49"/>
      <c r="B413" s="76"/>
      <c r="C413" s="77">
        <v>411</v>
      </c>
      <c r="D413" s="138" t="s">
        <v>2071</v>
      </c>
      <c r="E413" s="138">
        <v>19</v>
      </c>
      <c r="F413" s="80" t="s">
        <v>423</v>
      </c>
      <c r="G413" s="81" t="s">
        <v>1344</v>
      </c>
      <c r="H413" s="81" t="s">
        <v>296</v>
      </c>
      <c r="I413" s="80" t="s">
        <v>458</v>
      </c>
      <c r="J413" s="82">
        <f>AU413</f>
        <v>1</v>
      </c>
      <c r="K413" s="80">
        <v>0</v>
      </c>
      <c r="L413" s="57"/>
      <c r="M413" s="58"/>
      <c r="N413" s="59">
        <f>SUM(K413+L413-M413)</f>
        <v>0</v>
      </c>
      <c r="O413" s="60"/>
      <c r="P413" s="58"/>
      <c r="Q413" s="59">
        <f>SUM(N413+O413-P413)</f>
        <v>0</v>
      </c>
      <c r="R413" s="60"/>
      <c r="S413" s="58"/>
      <c r="T413" s="61">
        <f>SUM(Q413+R413-S413)</f>
        <v>0</v>
      </c>
      <c r="U413" s="60"/>
      <c r="V413" s="58"/>
      <c r="W413" s="59">
        <f>SUM(T413+U413-V413)</f>
        <v>0</v>
      </c>
      <c r="X413" s="60"/>
      <c r="Y413" s="58"/>
      <c r="Z413" s="61">
        <f>SUM(W413+X413-Y413)</f>
        <v>0</v>
      </c>
      <c r="AA413" s="60"/>
      <c r="AB413" s="58"/>
      <c r="AC413" s="59">
        <f>SUM(Z413+AA413-AB413)</f>
        <v>0</v>
      </c>
      <c r="AD413" s="57"/>
      <c r="AE413" s="58"/>
      <c r="AF413" s="243">
        <f>SUM(AC413+AD413-AE413)</f>
        <v>0</v>
      </c>
      <c r="AG413" s="60">
        <v>1</v>
      </c>
      <c r="AH413" s="58"/>
      <c r="AI413" s="62">
        <f>SUM(AF413+AG413-AH413)</f>
        <v>1</v>
      </c>
      <c r="AJ413" s="60"/>
      <c r="AK413" s="58"/>
      <c r="AL413" s="62">
        <f>SUM(AI413+AJ413-AK413)</f>
        <v>1</v>
      </c>
      <c r="AM413" s="60"/>
      <c r="AN413" s="58"/>
      <c r="AO413" s="62">
        <f>SUM(AL413+AM413-AN413)</f>
        <v>1</v>
      </c>
      <c r="AP413" s="60"/>
      <c r="AQ413" s="58"/>
      <c r="AR413" s="62">
        <f>SUM(AO413+AP413-AQ413)</f>
        <v>1</v>
      </c>
      <c r="AS413" s="60"/>
      <c r="AT413" s="58"/>
      <c r="AU413" s="62">
        <f>SUM(AR413+AS413-AT413)</f>
        <v>1</v>
      </c>
      <c r="AV413" s="83">
        <f>SUM(L413+O413+R413+U413+X413+AA413+AD413+AG413+AJ413+AM413+AP413+AS413)</f>
        <v>1</v>
      </c>
      <c r="AW413" s="83">
        <f t="shared" ref="AW413" si="1097">SUM(M413+P413+S413+V413+Y413+AB413+AE413+AH413+AK413+AN413+AQ413+AT413)</f>
        <v>0</v>
      </c>
      <c r="AX413" s="64">
        <f>SUM(M413,P413,S413,V413,Y413,AB413,AE413,AH413,AK413,AN413,AQ413,AT413)</f>
        <v>0</v>
      </c>
      <c r="AY413" s="65" t="e">
        <f>AVERAGE(M413,P413,S413,V413,Y413,AB413,AE413,AH413,AK413,AN413,AQ413,AT413)</f>
        <v>#DIV/0!</v>
      </c>
      <c r="AZ413" s="66">
        <f>COUNT(M413,P413,S413,V413,Y413,AB413,AE413,AH413,AK413,AN413,AQ413,AT413)</f>
        <v>0</v>
      </c>
      <c r="BA413" s="67">
        <v>1</v>
      </c>
      <c r="BB413" s="68">
        <v>0</v>
      </c>
      <c r="BC413" s="84">
        <f>J413</f>
        <v>1</v>
      </c>
      <c r="BD413" s="83">
        <f>SUM(BC413-BB413)</f>
        <v>1</v>
      </c>
      <c r="BE413" s="85">
        <v>2</v>
      </c>
      <c r="BF413" s="86">
        <v>46259</v>
      </c>
      <c r="BG413" s="72" t="e">
        <f t="shared" si="1023"/>
        <v>#REF!</v>
      </c>
      <c r="BH413" s="107" t="e">
        <f>BG413-BF413</f>
        <v>#REF!</v>
      </c>
      <c r="BI413" s="80" t="e">
        <f>IF(AND(J413&gt;0,BH413&gt;365),"Dead Stock","")</f>
        <v>#REF!</v>
      </c>
      <c r="BJ413" s="238">
        <v>92700</v>
      </c>
    </row>
    <row r="414" spans="1:293" ht="13">
      <c r="A414" s="49"/>
      <c r="B414" s="76"/>
      <c r="C414" s="51">
        <v>412</v>
      </c>
      <c r="D414" s="127" t="s">
        <v>1524</v>
      </c>
      <c r="E414" s="127">
        <v>1</v>
      </c>
      <c r="F414" s="80" t="s">
        <v>991</v>
      </c>
      <c r="G414" s="81" t="s">
        <v>992</v>
      </c>
      <c r="H414" s="81" t="s">
        <v>295</v>
      </c>
      <c r="I414" s="80" t="s">
        <v>458</v>
      </c>
      <c r="J414" s="82">
        <f t="shared" si="1078"/>
        <v>1</v>
      </c>
      <c r="K414" s="80">
        <v>2</v>
      </c>
      <c r="L414" s="57"/>
      <c r="M414" s="58"/>
      <c r="N414" s="59">
        <f t="shared" si="1079"/>
        <v>2</v>
      </c>
      <c r="O414" s="60"/>
      <c r="P414" s="58"/>
      <c r="Q414" s="59">
        <f t="shared" si="1080"/>
        <v>2</v>
      </c>
      <c r="R414" s="60"/>
      <c r="S414" s="58"/>
      <c r="T414" s="61">
        <f t="shared" si="1081"/>
        <v>2</v>
      </c>
      <c r="U414" s="60"/>
      <c r="V414" s="58"/>
      <c r="W414" s="59">
        <f t="shared" si="1082"/>
        <v>2</v>
      </c>
      <c r="X414" s="60"/>
      <c r="Y414" s="58">
        <v>1</v>
      </c>
      <c r="Z414" s="61">
        <f t="shared" si="1083"/>
        <v>1</v>
      </c>
      <c r="AA414" s="60"/>
      <c r="AB414" s="58"/>
      <c r="AC414" s="59">
        <f t="shared" si="1084"/>
        <v>1</v>
      </c>
      <c r="AD414" s="57"/>
      <c r="AE414" s="58"/>
      <c r="AF414" s="243">
        <f t="shared" si="1085"/>
        <v>1</v>
      </c>
      <c r="AG414" s="60"/>
      <c r="AH414" s="58"/>
      <c r="AI414" s="62">
        <f t="shared" si="1086"/>
        <v>1</v>
      </c>
      <c r="AJ414" s="60"/>
      <c r="AK414" s="58"/>
      <c r="AL414" s="62">
        <f t="shared" si="1087"/>
        <v>1</v>
      </c>
      <c r="AM414" s="60"/>
      <c r="AN414" s="58"/>
      <c r="AO414" s="62">
        <f t="shared" si="1088"/>
        <v>1</v>
      </c>
      <c r="AP414" s="60"/>
      <c r="AQ414" s="58"/>
      <c r="AR414" s="62">
        <f t="shared" si="1089"/>
        <v>1</v>
      </c>
      <c r="AS414" s="60"/>
      <c r="AT414" s="58"/>
      <c r="AU414" s="62">
        <f t="shared" si="1090"/>
        <v>1</v>
      </c>
      <c r="AV414" s="83">
        <f t="shared" ref="AV414:AV416" si="1098">SUM(L414+O414+R414+U414+X414+AA414+AD414+AG414+AJ414+AM414+AP414+AS414)</f>
        <v>0</v>
      </c>
      <c r="AW414" s="83">
        <f t="shared" si="1091"/>
        <v>1</v>
      </c>
      <c r="AX414" s="64">
        <f t="shared" si="1092"/>
        <v>1</v>
      </c>
      <c r="AY414" s="65">
        <f t="shared" si="1093"/>
        <v>1</v>
      </c>
      <c r="AZ414" s="66">
        <f t="shared" si="1094"/>
        <v>1</v>
      </c>
      <c r="BA414" s="67">
        <f>MAX(0, Table176252626[[#This Row],[Column6]])</f>
        <v>1</v>
      </c>
      <c r="BB414" s="68">
        <v>0</v>
      </c>
      <c r="BC414" s="84">
        <f t="shared" si="1006"/>
        <v>1</v>
      </c>
      <c r="BD414" s="83">
        <f t="shared" si="1004"/>
        <v>1</v>
      </c>
      <c r="BE414" s="85">
        <v>2</v>
      </c>
      <c r="BF414" s="86">
        <v>45254.683263888888</v>
      </c>
      <c r="BG414" s="72" t="e">
        <f t="shared" si="1023"/>
        <v>#REF!</v>
      </c>
      <c r="BH414" s="107" t="e">
        <f t="shared" si="1095"/>
        <v>#REF!</v>
      </c>
      <c r="BI414" s="80" t="e">
        <f t="shared" si="1005"/>
        <v>#REF!</v>
      </c>
      <c r="BJ414" s="238">
        <v>888</v>
      </c>
    </row>
    <row r="415" spans="1:293" ht="13">
      <c r="A415" s="75"/>
      <c r="B415" s="76"/>
      <c r="C415" s="51">
        <v>413</v>
      </c>
      <c r="D415" s="127" t="s">
        <v>1524</v>
      </c>
      <c r="E415" s="127">
        <v>2</v>
      </c>
      <c r="F415" s="80" t="s">
        <v>269</v>
      </c>
      <c r="G415" s="81" t="s">
        <v>1054</v>
      </c>
      <c r="H415" s="81" t="s">
        <v>290</v>
      </c>
      <c r="I415" s="80" t="s">
        <v>458</v>
      </c>
      <c r="J415" s="82">
        <f t="shared" si="1078"/>
        <v>1</v>
      </c>
      <c r="K415" s="80">
        <v>2</v>
      </c>
      <c r="L415" s="57"/>
      <c r="M415" s="58"/>
      <c r="N415" s="59">
        <f t="shared" si="1079"/>
        <v>2</v>
      </c>
      <c r="O415" s="60"/>
      <c r="P415" s="58"/>
      <c r="Q415" s="59">
        <f t="shared" si="1080"/>
        <v>2</v>
      </c>
      <c r="R415" s="60"/>
      <c r="S415" s="58"/>
      <c r="T415" s="61">
        <f t="shared" si="1081"/>
        <v>2</v>
      </c>
      <c r="U415" s="60"/>
      <c r="V415" s="58"/>
      <c r="W415" s="59">
        <f t="shared" si="1082"/>
        <v>2</v>
      </c>
      <c r="X415" s="60"/>
      <c r="Y415" s="58"/>
      <c r="Z415" s="61">
        <f t="shared" si="1083"/>
        <v>2</v>
      </c>
      <c r="AA415" s="60"/>
      <c r="AB415" s="58"/>
      <c r="AC415" s="59">
        <f t="shared" si="1084"/>
        <v>2</v>
      </c>
      <c r="AD415" s="57"/>
      <c r="AE415" s="58">
        <v>1</v>
      </c>
      <c r="AF415" s="243">
        <f t="shared" si="1085"/>
        <v>1</v>
      </c>
      <c r="AG415" s="60"/>
      <c r="AH415" s="58"/>
      <c r="AI415" s="62">
        <f t="shared" si="1086"/>
        <v>1</v>
      </c>
      <c r="AJ415" s="60"/>
      <c r="AK415" s="58"/>
      <c r="AL415" s="62">
        <f t="shared" si="1087"/>
        <v>1</v>
      </c>
      <c r="AM415" s="60"/>
      <c r="AN415" s="58"/>
      <c r="AO415" s="62">
        <f t="shared" si="1088"/>
        <v>1</v>
      </c>
      <c r="AP415" s="60"/>
      <c r="AQ415" s="58"/>
      <c r="AR415" s="62">
        <f t="shared" si="1089"/>
        <v>1</v>
      </c>
      <c r="AS415" s="60"/>
      <c r="AT415" s="58"/>
      <c r="AU415" s="62">
        <f t="shared" si="1090"/>
        <v>1</v>
      </c>
      <c r="AV415" s="83">
        <f t="shared" si="1098"/>
        <v>0</v>
      </c>
      <c r="AW415" s="83">
        <f t="shared" si="1091"/>
        <v>1</v>
      </c>
      <c r="AX415" s="64">
        <f t="shared" si="1092"/>
        <v>1</v>
      </c>
      <c r="AY415" s="65">
        <f t="shared" si="1093"/>
        <v>1</v>
      </c>
      <c r="AZ415" s="66">
        <f t="shared" si="1094"/>
        <v>1</v>
      </c>
      <c r="BA415" s="67">
        <f>MAX(0, Table176252626[[#This Row],[Column6]])</f>
        <v>1</v>
      </c>
      <c r="BB415" s="68">
        <v>0</v>
      </c>
      <c r="BC415" s="84">
        <f t="shared" si="1006"/>
        <v>1</v>
      </c>
      <c r="BD415" s="83">
        <f t="shared" si="1004"/>
        <v>1</v>
      </c>
      <c r="BE415" s="85">
        <v>2</v>
      </c>
      <c r="BF415" s="86">
        <v>43041.589953703704</v>
      </c>
      <c r="BG415" s="72" t="e">
        <f t="shared" si="1023"/>
        <v>#REF!</v>
      </c>
      <c r="BH415" s="87" t="e">
        <f t="shared" si="1095"/>
        <v>#REF!</v>
      </c>
      <c r="BI415" s="80" t="e">
        <f t="shared" si="1005"/>
        <v>#REF!</v>
      </c>
      <c r="BJ415" s="238">
        <v>1430</v>
      </c>
    </row>
    <row r="416" spans="1:293" s="48" customFormat="1" ht="13">
      <c r="A416" s="49"/>
      <c r="B416" s="76"/>
      <c r="C416" s="51">
        <v>414</v>
      </c>
      <c r="D416" s="127" t="s">
        <v>1524</v>
      </c>
      <c r="E416" s="127">
        <v>3</v>
      </c>
      <c r="F416" s="54" t="s">
        <v>82</v>
      </c>
      <c r="G416" s="55" t="s">
        <v>83</v>
      </c>
      <c r="H416" s="81" t="s">
        <v>294</v>
      </c>
      <c r="I416" s="80" t="s">
        <v>458</v>
      </c>
      <c r="J416" s="82">
        <f t="shared" si="1078"/>
        <v>8</v>
      </c>
      <c r="K416" s="80">
        <v>8</v>
      </c>
      <c r="L416" s="57"/>
      <c r="M416" s="58"/>
      <c r="N416" s="59">
        <f t="shared" si="1079"/>
        <v>8</v>
      </c>
      <c r="O416" s="60"/>
      <c r="P416" s="58"/>
      <c r="Q416" s="59">
        <f t="shared" si="1080"/>
        <v>8</v>
      </c>
      <c r="R416" s="60"/>
      <c r="S416" s="58"/>
      <c r="T416" s="61">
        <f t="shared" si="1081"/>
        <v>8</v>
      </c>
      <c r="U416" s="60"/>
      <c r="V416" s="58"/>
      <c r="W416" s="59">
        <f t="shared" si="1082"/>
        <v>8</v>
      </c>
      <c r="X416" s="60"/>
      <c r="Y416" s="58"/>
      <c r="Z416" s="61">
        <f t="shared" si="1083"/>
        <v>8</v>
      </c>
      <c r="AA416" s="60"/>
      <c r="AB416" s="58"/>
      <c r="AC416" s="59">
        <f t="shared" si="1084"/>
        <v>8</v>
      </c>
      <c r="AD416" s="57"/>
      <c r="AE416" s="58"/>
      <c r="AF416" s="243">
        <f t="shared" si="1085"/>
        <v>8</v>
      </c>
      <c r="AG416" s="60"/>
      <c r="AH416" s="58"/>
      <c r="AI416" s="62">
        <f t="shared" si="1086"/>
        <v>8</v>
      </c>
      <c r="AJ416" s="60"/>
      <c r="AK416" s="58"/>
      <c r="AL416" s="62">
        <f t="shared" si="1087"/>
        <v>8</v>
      </c>
      <c r="AM416" s="60"/>
      <c r="AN416" s="58"/>
      <c r="AO416" s="62">
        <f t="shared" si="1088"/>
        <v>8</v>
      </c>
      <c r="AP416" s="60"/>
      <c r="AQ416" s="58"/>
      <c r="AR416" s="62">
        <f t="shared" si="1089"/>
        <v>8</v>
      </c>
      <c r="AS416" s="60"/>
      <c r="AT416" s="58"/>
      <c r="AU416" s="62">
        <f t="shared" si="1090"/>
        <v>8</v>
      </c>
      <c r="AV416" s="83">
        <f t="shared" si="1098"/>
        <v>0</v>
      </c>
      <c r="AW416" s="83">
        <f t="shared" si="1091"/>
        <v>0</v>
      </c>
      <c r="AX416" s="64">
        <f t="shared" si="1092"/>
        <v>0</v>
      </c>
      <c r="AY416" s="65" t="e">
        <f t="shared" si="1093"/>
        <v>#DIV/0!</v>
      </c>
      <c r="AZ416" s="66">
        <f t="shared" si="1094"/>
        <v>0</v>
      </c>
      <c r="BA416" s="67">
        <f>MAX(0, Table176252626[[#This Row],[Column6]])</f>
        <v>8</v>
      </c>
      <c r="BB416" s="68">
        <v>1</v>
      </c>
      <c r="BC416" s="84">
        <f t="shared" si="1006"/>
        <v>8</v>
      </c>
      <c r="BD416" s="83">
        <f t="shared" si="1004"/>
        <v>7</v>
      </c>
      <c r="BE416" s="85">
        <v>2</v>
      </c>
      <c r="BF416" s="86">
        <v>43003.485601851855</v>
      </c>
      <c r="BG416" s="72" t="e">
        <f t="shared" si="1023"/>
        <v>#REF!</v>
      </c>
      <c r="BH416" s="87" t="e">
        <f t="shared" si="1095"/>
        <v>#REF!</v>
      </c>
      <c r="BI416" s="80" t="e">
        <f t="shared" si="1005"/>
        <v>#REF!</v>
      </c>
      <c r="BJ416" s="238">
        <v>1025</v>
      </c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  <c r="FS416" s="30"/>
      <c r="FT416" s="30"/>
      <c r="FU416" s="30"/>
      <c r="FV416" s="30"/>
      <c r="FW416" s="30"/>
      <c r="FX416" s="30"/>
      <c r="FY416" s="30"/>
      <c r="FZ416" s="30"/>
      <c r="GA416" s="30"/>
      <c r="GB416" s="30"/>
      <c r="GC416" s="30"/>
      <c r="GD416" s="30"/>
      <c r="GE416" s="30"/>
      <c r="GF416" s="30"/>
      <c r="GG416" s="30"/>
      <c r="GH416" s="30"/>
      <c r="GI416" s="30"/>
      <c r="GJ416" s="30"/>
      <c r="GK416" s="30"/>
      <c r="GL416" s="30"/>
      <c r="GM416" s="30"/>
      <c r="GN416" s="30"/>
      <c r="GO416" s="30"/>
      <c r="GP416" s="30"/>
      <c r="GQ416" s="30"/>
      <c r="GR416" s="30"/>
      <c r="GS416" s="30"/>
      <c r="GT416" s="30"/>
      <c r="GU416" s="30"/>
      <c r="GV416" s="30"/>
      <c r="GW416" s="30"/>
      <c r="GX416" s="30"/>
      <c r="GY416" s="30"/>
      <c r="GZ416" s="30"/>
      <c r="HA416" s="30"/>
      <c r="HB416" s="30"/>
      <c r="HC416" s="30"/>
      <c r="HD416" s="30"/>
      <c r="HE416" s="30"/>
      <c r="HF416" s="30"/>
      <c r="HG416" s="30"/>
      <c r="HH416" s="30"/>
      <c r="HI416" s="30"/>
      <c r="HJ416" s="30"/>
      <c r="HK416" s="30"/>
      <c r="HL416" s="30"/>
      <c r="HM416" s="30"/>
      <c r="HN416" s="30"/>
      <c r="HO416" s="30"/>
      <c r="HP416" s="30"/>
      <c r="HQ416" s="30"/>
      <c r="HR416" s="30"/>
      <c r="HS416" s="30"/>
      <c r="HT416" s="30"/>
      <c r="HU416" s="30"/>
      <c r="HV416" s="30"/>
      <c r="HW416" s="30"/>
      <c r="HX416" s="30"/>
      <c r="HY416" s="30"/>
      <c r="HZ416" s="30"/>
      <c r="IA416" s="30"/>
      <c r="IB416" s="30"/>
      <c r="IC416" s="30"/>
      <c r="ID416" s="30"/>
      <c r="IE416" s="30"/>
      <c r="IF416" s="30"/>
      <c r="IG416" s="30"/>
      <c r="IH416" s="30"/>
      <c r="II416" s="30"/>
      <c r="IJ416" s="30"/>
      <c r="IK416" s="30"/>
      <c r="IL416" s="30"/>
      <c r="IM416" s="30"/>
      <c r="IN416" s="30"/>
      <c r="IO416" s="30"/>
      <c r="IP416" s="30"/>
      <c r="IQ416" s="30"/>
      <c r="IR416" s="30"/>
      <c r="IS416" s="30"/>
      <c r="IT416" s="30"/>
      <c r="IU416" s="30"/>
      <c r="IV416" s="30"/>
      <c r="IW416" s="30"/>
      <c r="IX416" s="30"/>
      <c r="IY416" s="30"/>
      <c r="IZ416" s="30"/>
      <c r="JA416" s="30"/>
      <c r="JB416" s="30"/>
      <c r="JC416" s="30"/>
      <c r="JD416" s="30"/>
      <c r="JE416" s="30"/>
      <c r="JF416" s="30"/>
      <c r="JG416" s="30"/>
      <c r="JH416" s="30"/>
      <c r="JI416" s="30"/>
      <c r="JJ416" s="30"/>
      <c r="JK416" s="30"/>
      <c r="JL416" s="30"/>
      <c r="JM416" s="30"/>
      <c r="JN416" s="30"/>
      <c r="JO416" s="30"/>
      <c r="JP416" s="30"/>
      <c r="JQ416" s="30"/>
      <c r="JR416" s="30"/>
      <c r="JS416" s="30"/>
      <c r="JT416" s="30"/>
      <c r="JU416" s="30"/>
      <c r="JV416" s="30"/>
      <c r="JW416" s="30"/>
      <c r="JX416" s="30"/>
      <c r="JY416" s="30"/>
      <c r="JZ416" s="30"/>
      <c r="KA416" s="30"/>
      <c r="KB416" s="30"/>
      <c r="KC416" s="30"/>
      <c r="KD416" s="30"/>
      <c r="KE416" s="30"/>
      <c r="KF416" s="30"/>
      <c r="KG416" s="30"/>
    </row>
    <row r="417" spans="1:293" ht="13">
      <c r="A417" s="49"/>
      <c r="B417" s="50"/>
      <c r="C417" s="51">
        <v>415</v>
      </c>
      <c r="D417" s="127" t="s">
        <v>1524</v>
      </c>
      <c r="E417" s="127">
        <v>4</v>
      </c>
      <c r="F417" s="80" t="s">
        <v>160</v>
      </c>
      <c r="G417" s="81" t="s">
        <v>161</v>
      </c>
      <c r="H417" s="81" t="s">
        <v>298</v>
      </c>
      <c r="I417" s="80" t="s">
        <v>458</v>
      </c>
      <c r="J417" s="82">
        <f t="shared" ref="J417:J424" si="1099">AU417</f>
        <v>2</v>
      </c>
      <c r="K417" s="80">
        <v>2</v>
      </c>
      <c r="L417" s="57"/>
      <c r="M417" s="58"/>
      <c r="N417" s="59">
        <f t="shared" ref="N417:N424" si="1100">SUM(K417+L417-M417)</f>
        <v>2</v>
      </c>
      <c r="O417" s="60"/>
      <c r="P417" s="58"/>
      <c r="Q417" s="59">
        <f t="shared" ref="Q417:Q424" si="1101">SUM(N417+O417-P417)</f>
        <v>2</v>
      </c>
      <c r="R417" s="60"/>
      <c r="S417" s="58"/>
      <c r="T417" s="61">
        <f t="shared" ref="T417:T424" si="1102">SUM(Q417+R417-S417)</f>
        <v>2</v>
      </c>
      <c r="U417" s="60"/>
      <c r="V417" s="58"/>
      <c r="W417" s="59">
        <f t="shared" ref="W417:W424" si="1103">SUM(T417+U417-V417)</f>
        <v>2</v>
      </c>
      <c r="X417" s="60"/>
      <c r="Y417" s="58"/>
      <c r="Z417" s="61">
        <f t="shared" ref="Z417:Z424" si="1104">SUM(W417+X417-Y417)</f>
        <v>2</v>
      </c>
      <c r="AA417" s="60"/>
      <c r="AB417" s="58"/>
      <c r="AC417" s="59">
        <f t="shared" ref="AC417:AC424" si="1105">SUM(Z417+AA417-AB417)</f>
        <v>2</v>
      </c>
      <c r="AD417" s="57"/>
      <c r="AE417" s="58"/>
      <c r="AF417" s="243">
        <f t="shared" ref="AF417:AF424" si="1106">SUM(AC417+AD417-AE417)</f>
        <v>2</v>
      </c>
      <c r="AG417" s="60"/>
      <c r="AH417" s="58"/>
      <c r="AI417" s="62">
        <f t="shared" ref="AI417:AI424" si="1107">SUM(AF417+AG417-AH417)</f>
        <v>2</v>
      </c>
      <c r="AJ417" s="60"/>
      <c r="AK417" s="58"/>
      <c r="AL417" s="62">
        <f t="shared" ref="AL417:AL424" si="1108">SUM(AI417+AJ417-AK417)</f>
        <v>2</v>
      </c>
      <c r="AM417" s="60"/>
      <c r="AN417" s="58"/>
      <c r="AO417" s="62">
        <f t="shared" ref="AO417:AO424" si="1109">SUM(AL417+AM417-AN417)</f>
        <v>2</v>
      </c>
      <c r="AP417" s="60"/>
      <c r="AQ417" s="58"/>
      <c r="AR417" s="62">
        <f t="shared" ref="AR417:AR424" si="1110">SUM(AO417+AP417-AQ417)</f>
        <v>2</v>
      </c>
      <c r="AS417" s="60"/>
      <c r="AT417" s="58"/>
      <c r="AU417" s="62">
        <f t="shared" ref="AU417:AU424" si="1111">SUM(AR417+AS417-AT417)</f>
        <v>2</v>
      </c>
      <c r="AV417" s="83">
        <f t="shared" ref="AV417:AV424" si="1112">SUM(L417+O417+R417+U417+X417+AA417+AD417+AG417+AJ417+AM417+AP417+AS417)</f>
        <v>0</v>
      </c>
      <c r="AW417" s="83">
        <f t="shared" si="1091"/>
        <v>0</v>
      </c>
      <c r="AX417" s="64">
        <f t="shared" ref="AX417:AX424" si="1113">SUM(M417,P417,S417,V417,Y417,AB417,AE417,AH417,AK417,AN417,AQ417,AT417)</f>
        <v>0</v>
      </c>
      <c r="AY417" s="65" t="e">
        <f t="shared" ref="AY417:AY424" si="1114">AVERAGE(M417,P417,S417,V417,Y417,AB417,AE417,AH417,AK417,AN417,AQ417,AT417)</f>
        <v>#DIV/0!</v>
      </c>
      <c r="AZ417" s="66">
        <f t="shared" ref="AZ417:AZ424" si="1115">COUNT(M417,P417,S417,V417,Y417,AB417,AE417,AH417,AK417,AN417,AQ417,AT417)</f>
        <v>0</v>
      </c>
      <c r="BA417" s="67">
        <f>MAX(0, Table176252626[[#This Row],[Column6]])</f>
        <v>2</v>
      </c>
      <c r="BB417" s="68">
        <v>1</v>
      </c>
      <c r="BC417" s="84">
        <f t="shared" si="1006"/>
        <v>2</v>
      </c>
      <c r="BD417" s="83">
        <f t="shared" si="1004"/>
        <v>1</v>
      </c>
      <c r="BE417" s="85">
        <v>2</v>
      </c>
      <c r="BF417" s="86">
        <v>43594.648275462961</v>
      </c>
      <c r="BG417" s="72" t="e">
        <f t="shared" si="1023"/>
        <v>#REF!</v>
      </c>
      <c r="BH417" s="87" t="e">
        <f t="shared" ref="BH417:BH424" si="1116">BG417-BF417</f>
        <v>#REF!</v>
      </c>
      <c r="BI417" s="80" t="e">
        <f t="shared" si="1005"/>
        <v>#REF!</v>
      </c>
      <c r="BJ417" s="238">
        <v>4000</v>
      </c>
    </row>
    <row r="418" spans="1:293" ht="13">
      <c r="A418" s="49"/>
      <c r="B418" s="50"/>
      <c r="C418" s="77">
        <v>416</v>
      </c>
      <c r="D418" s="127" t="s">
        <v>1524</v>
      </c>
      <c r="E418" s="127">
        <v>5</v>
      </c>
      <c r="F418" s="54" t="s">
        <v>1116</v>
      </c>
      <c r="G418" s="55" t="s">
        <v>1115</v>
      </c>
      <c r="H418" s="81" t="s">
        <v>298</v>
      </c>
      <c r="I418" s="88" t="s">
        <v>458</v>
      </c>
      <c r="J418" s="82">
        <f>AU418</f>
        <v>2</v>
      </c>
      <c r="K418" s="129">
        <v>2</v>
      </c>
      <c r="L418" s="124"/>
      <c r="M418" s="125"/>
      <c r="N418" s="59">
        <f>SUM(K418+L418-M418)</f>
        <v>2</v>
      </c>
      <c r="O418" s="126"/>
      <c r="P418" s="125"/>
      <c r="Q418" s="59">
        <f>SUM(N418+O418-P418)</f>
        <v>2</v>
      </c>
      <c r="R418" s="126"/>
      <c r="S418" s="125"/>
      <c r="T418" s="61">
        <f>SUM(Q418+R418-S418)</f>
        <v>2</v>
      </c>
      <c r="U418" s="126"/>
      <c r="V418" s="125"/>
      <c r="W418" s="59">
        <f>SUM(T418+U418-V418)</f>
        <v>2</v>
      </c>
      <c r="X418" s="126"/>
      <c r="Y418" s="125"/>
      <c r="Z418" s="61">
        <f>SUM(W418+X418-Y418)</f>
        <v>2</v>
      </c>
      <c r="AA418" s="126"/>
      <c r="AB418" s="125"/>
      <c r="AC418" s="59">
        <f>SUM(Z418+AA418-AB418)</f>
        <v>2</v>
      </c>
      <c r="AD418" s="124"/>
      <c r="AE418" s="125"/>
      <c r="AF418" s="243">
        <f>SUM(AC418+AD418-AE418)</f>
        <v>2</v>
      </c>
      <c r="AG418" s="126"/>
      <c r="AH418" s="125"/>
      <c r="AI418" s="62">
        <f>SUM(AF418+AG418-AH418)</f>
        <v>2</v>
      </c>
      <c r="AJ418" s="126"/>
      <c r="AK418" s="125"/>
      <c r="AL418" s="62">
        <f>SUM(AI418+AJ418-AK418)</f>
        <v>2</v>
      </c>
      <c r="AM418" s="126"/>
      <c r="AN418" s="125"/>
      <c r="AO418" s="59">
        <f>SUM(AL418+AM418-AN418)</f>
        <v>2</v>
      </c>
      <c r="AP418" s="126"/>
      <c r="AQ418" s="125"/>
      <c r="AR418" s="59">
        <f>SUM(AO418+AP418-AQ418)</f>
        <v>2</v>
      </c>
      <c r="AS418" s="126"/>
      <c r="AT418" s="125"/>
      <c r="AU418" s="59">
        <f t="shared" ref="AU418:AU423" si="1117">SUM(AR418+AS418-AT418)</f>
        <v>2</v>
      </c>
      <c r="AV418" s="83">
        <f t="shared" ref="AV418:AV421" si="1118">SUM(L418+O418+R418+U418+X418+AA418+AD418+AG418+AJ418+AM418+AP418+AS418)</f>
        <v>0</v>
      </c>
      <c r="AW418" s="83">
        <f t="shared" si="1091"/>
        <v>0</v>
      </c>
      <c r="AX418" s="64">
        <f t="shared" ref="AX418:AX423" si="1119">SUM(M418,P418,S418,V418,Y418,AB418,AE418,AH418,AK418,AN418,AQ418,AT418)</f>
        <v>0</v>
      </c>
      <c r="AY418" s="65" t="e">
        <f t="shared" ref="AY418:AY423" si="1120">AVERAGE(M418,P418,S418,V418,Y418,AB418,AE418,AH418,AK418,AN418,AQ418,AT418)</f>
        <v>#DIV/0!</v>
      </c>
      <c r="AZ418" s="66">
        <f t="shared" ref="AZ418:AZ423" si="1121">COUNT(M418,P418,S418,V418,Y418,AB418,AE418,AH418,AK418,AN418,AQ418,AT418)</f>
        <v>0</v>
      </c>
      <c r="BA418" s="67">
        <f>MAX(0, Table176252626[[#This Row],[Column6]])</f>
        <v>2</v>
      </c>
      <c r="BB418" s="68">
        <v>1</v>
      </c>
      <c r="BC418" s="84">
        <f t="shared" si="1006"/>
        <v>2</v>
      </c>
      <c r="BD418" s="83">
        <f t="shared" si="1004"/>
        <v>1</v>
      </c>
      <c r="BE418" s="85">
        <v>2</v>
      </c>
      <c r="BF418" s="86">
        <v>44845.651944444442</v>
      </c>
      <c r="BG418" s="72" t="e">
        <f t="shared" si="1023"/>
        <v>#REF!</v>
      </c>
      <c r="BH418" s="87" t="e">
        <f t="shared" ref="BH418:BH423" si="1122">BG418-BF418</f>
        <v>#REF!</v>
      </c>
      <c r="BI418" s="80" t="e">
        <f t="shared" si="1005"/>
        <v>#REF!</v>
      </c>
      <c r="BJ418" s="238">
        <v>5648</v>
      </c>
    </row>
    <row r="419" spans="1:293" ht="13">
      <c r="A419" s="75"/>
      <c r="B419" s="76"/>
      <c r="C419" s="77">
        <v>417</v>
      </c>
      <c r="D419" s="127" t="s">
        <v>1524</v>
      </c>
      <c r="E419" s="127">
        <v>6</v>
      </c>
      <c r="F419" s="80" t="s">
        <v>471</v>
      </c>
      <c r="G419" s="81" t="s">
        <v>472</v>
      </c>
      <c r="H419" s="81" t="s">
        <v>297</v>
      </c>
      <c r="I419" s="80" t="s">
        <v>458</v>
      </c>
      <c r="J419" s="82">
        <f>AU419</f>
        <v>1</v>
      </c>
      <c r="K419" s="80">
        <v>1</v>
      </c>
      <c r="L419" s="57"/>
      <c r="M419" s="58"/>
      <c r="N419" s="59">
        <f>SUM(K419+L419-M419)</f>
        <v>1</v>
      </c>
      <c r="O419" s="60"/>
      <c r="P419" s="58"/>
      <c r="Q419" s="59">
        <f>SUM(N419+O419-P419)</f>
        <v>1</v>
      </c>
      <c r="R419" s="60"/>
      <c r="S419" s="58"/>
      <c r="T419" s="61">
        <f>SUM(Q419+R419-S419)</f>
        <v>1</v>
      </c>
      <c r="U419" s="60"/>
      <c r="V419" s="58"/>
      <c r="W419" s="59">
        <f>SUM(T419+U419-V419)</f>
        <v>1</v>
      </c>
      <c r="X419" s="60"/>
      <c r="Y419" s="58"/>
      <c r="Z419" s="61">
        <f>SUM(W419+X419-Y419)</f>
        <v>1</v>
      </c>
      <c r="AA419" s="60"/>
      <c r="AB419" s="58"/>
      <c r="AC419" s="59">
        <f>SUM(Z419+AA419-AB419)</f>
        <v>1</v>
      </c>
      <c r="AD419" s="57"/>
      <c r="AE419" s="58"/>
      <c r="AF419" s="243">
        <f>SUM(AC419+AD419-AE419)</f>
        <v>1</v>
      </c>
      <c r="AG419" s="60"/>
      <c r="AH419" s="58"/>
      <c r="AI419" s="62">
        <f>SUM(AF419+AG419-AH419)</f>
        <v>1</v>
      </c>
      <c r="AJ419" s="60"/>
      <c r="AK419" s="58"/>
      <c r="AL419" s="62">
        <f>SUM(AI419+AJ419-AK419)</f>
        <v>1</v>
      </c>
      <c r="AM419" s="60"/>
      <c r="AN419" s="58"/>
      <c r="AO419" s="62">
        <f>SUM(AL419+AM419-AN419)</f>
        <v>1</v>
      </c>
      <c r="AP419" s="60"/>
      <c r="AQ419" s="58"/>
      <c r="AR419" s="62">
        <f>SUM(AO419+AP419-AQ419)</f>
        <v>1</v>
      </c>
      <c r="AS419" s="60"/>
      <c r="AT419" s="58"/>
      <c r="AU419" s="62">
        <f t="shared" si="1117"/>
        <v>1</v>
      </c>
      <c r="AV419" s="83">
        <f t="shared" si="1118"/>
        <v>0</v>
      </c>
      <c r="AW419" s="83">
        <f t="shared" si="1091"/>
        <v>0</v>
      </c>
      <c r="AX419" s="64">
        <f t="shared" si="1119"/>
        <v>0</v>
      </c>
      <c r="AY419" s="65" t="e">
        <f t="shared" si="1120"/>
        <v>#DIV/0!</v>
      </c>
      <c r="AZ419" s="66">
        <f t="shared" si="1121"/>
        <v>0</v>
      </c>
      <c r="BA419" s="67">
        <f>MAX(0, Table176252626[[#This Row],[Column6]])</f>
        <v>1</v>
      </c>
      <c r="BB419" s="68">
        <v>0</v>
      </c>
      <c r="BC419" s="84">
        <f t="shared" si="1006"/>
        <v>1</v>
      </c>
      <c r="BD419" s="83">
        <f t="shared" si="1004"/>
        <v>1</v>
      </c>
      <c r="BE419" s="85">
        <v>2</v>
      </c>
      <c r="BF419" s="86">
        <v>44414.596712962964</v>
      </c>
      <c r="BG419" s="72" t="e">
        <f t="shared" si="1023"/>
        <v>#REF!</v>
      </c>
      <c r="BH419" s="87" t="e">
        <f t="shared" si="1122"/>
        <v>#REF!</v>
      </c>
      <c r="BI419" s="80" t="e">
        <f t="shared" si="1005"/>
        <v>#REF!</v>
      </c>
      <c r="BJ419" s="238">
        <v>2930</v>
      </c>
    </row>
    <row r="420" spans="1:293" ht="13">
      <c r="A420" s="49"/>
      <c r="B420" s="50"/>
      <c r="C420" s="51">
        <v>418</v>
      </c>
      <c r="D420" s="127" t="s">
        <v>1524</v>
      </c>
      <c r="E420" s="127">
        <v>7</v>
      </c>
      <c r="F420" s="80" t="s">
        <v>1080</v>
      </c>
      <c r="G420" s="81" t="s">
        <v>1081</v>
      </c>
      <c r="H420" s="81" t="s">
        <v>294</v>
      </c>
      <c r="I420" s="80" t="s">
        <v>458</v>
      </c>
      <c r="J420" s="82">
        <f t="shared" ref="J420" si="1123">AU420</f>
        <v>1</v>
      </c>
      <c r="K420" s="80">
        <v>1</v>
      </c>
      <c r="L420" s="57"/>
      <c r="M420" s="58"/>
      <c r="N420" s="59">
        <f t="shared" ref="N420" si="1124">SUM(K420+L420-M420)</f>
        <v>1</v>
      </c>
      <c r="O420" s="60"/>
      <c r="P420" s="58"/>
      <c r="Q420" s="59">
        <f t="shared" ref="Q420" si="1125">SUM(N420+O420-P420)</f>
        <v>1</v>
      </c>
      <c r="R420" s="60"/>
      <c r="S420" s="58"/>
      <c r="T420" s="61">
        <f t="shared" ref="T420" si="1126">SUM(Q420+R420-S420)</f>
        <v>1</v>
      </c>
      <c r="U420" s="60"/>
      <c r="V420" s="58"/>
      <c r="W420" s="59">
        <f t="shared" ref="W420" si="1127">SUM(T420+U420-V420)</f>
        <v>1</v>
      </c>
      <c r="X420" s="60"/>
      <c r="Y420" s="58"/>
      <c r="Z420" s="61">
        <f t="shared" ref="Z420" si="1128">SUM(W420+X420-Y420)</f>
        <v>1</v>
      </c>
      <c r="AA420" s="60"/>
      <c r="AB420" s="58"/>
      <c r="AC420" s="59">
        <f t="shared" ref="AC420" si="1129">SUM(Z420+AA420-AB420)</f>
        <v>1</v>
      </c>
      <c r="AD420" s="57"/>
      <c r="AE420" s="58"/>
      <c r="AF420" s="243">
        <f t="shared" ref="AF420" si="1130">SUM(AC420+AD420-AE420)</f>
        <v>1</v>
      </c>
      <c r="AG420" s="60"/>
      <c r="AH420" s="58"/>
      <c r="AI420" s="62">
        <f t="shared" ref="AI420" si="1131">SUM(AF420+AG420-AH420)</f>
        <v>1</v>
      </c>
      <c r="AJ420" s="60"/>
      <c r="AK420" s="58"/>
      <c r="AL420" s="62">
        <f t="shared" ref="AL420" si="1132">SUM(AI420+AJ420-AK420)</f>
        <v>1</v>
      </c>
      <c r="AM420" s="60"/>
      <c r="AN420" s="58"/>
      <c r="AO420" s="62">
        <f t="shared" ref="AO420" si="1133">SUM(AL420+AM420-AN420)</f>
        <v>1</v>
      </c>
      <c r="AP420" s="60"/>
      <c r="AQ420" s="58"/>
      <c r="AR420" s="104">
        <f t="shared" ref="AR420" si="1134">SUM(AO420+AP420-AQ420)</f>
        <v>1</v>
      </c>
      <c r="AS420" s="57"/>
      <c r="AT420" s="58"/>
      <c r="AU420" s="62">
        <f t="shared" si="1117"/>
        <v>1</v>
      </c>
      <c r="AV420" s="84">
        <f t="shared" si="1118"/>
        <v>0</v>
      </c>
      <c r="AW420" s="83">
        <f t="shared" si="1091"/>
        <v>0</v>
      </c>
      <c r="AX420" s="64">
        <f t="shared" si="1119"/>
        <v>0</v>
      </c>
      <c r="AY420" s="65" t="e">
        <f t="shared" si="1120"/>
        <v>#DIV/0!</v>
      </c>
      <c r="AZ420" s="66">
        <f t="shared" si="1121"/>
        <v>0</v>
      </c>
      <c r="BA420" s="67">
        <f>MAX(0, Table176252626[[#This Row],[Column6]])</f>
        <v>1</v>
      </c>
      <c r="BB420" s="68">
        <v>0</v>
      </c>
      <c r="BC420" s="84">
        <f t="shared" si="1006"/>
        <v>1</v>
      </c>
      <c r="BD420" s="83">
        <f t="shared" si="1004"/>
        <v>1</v>
      </c>
      <c r="BE420" s="85">
        <v>2</v>
      </c>
      <c r="BF420" s="86">
        <v>45636.654305555552</v>
      </c>
      <c r="BG420" s="72" t="e">
        <f t="shared" si="1023"/>
        <v>#REF!</v>
      </c>
      <c r="BH420" s="87" t="e">
        <f t="shared" si="1122"/>
        <v>#REF!</v>
      </c>
      <c r="BI420" s="80" t="e">
        <f t="shared" si="1005"/>
        <v>#REF!</v>
      </c>
      <c r="BJ420" s="238">
        <v>15000</v>
      </c>
    </row>
    <row r="421" spans="1:293" s="48" customFormat="1" ht="13">
      <c r="A421" s="90"/>
      <c r="B421" s="91"/>
      <c r="C421" s="51">
        <v>419</v>
      </c>
      <c r="D421" s="127" t="s">
        <v>1524</v>
      </c>
      <c r="E421" s="127">
        <v>8</v>
      </c>
      <c r="F421" s="88" t="s">
        <v>555</v>
      </c>
      <c r="G421" s="89" t="s">
        <v>556</v>
      </c>
      <c r="H421" s="81" t="s">
        <v>290</v>
      </c>
      <c r="I421" s="80" t="s">
        <v>458</v>
      </c>
      <c r="J421" s="82">
        <f>AU421</f>
        <v>2</v>
      </c>
      <c r="K421" s="80">
        <v>0</v>
      </c>
      <c r="L421" s="57"/>
      <c r="M421" s="58"/>
      <c r="N421" s="59">
        <f>SUM(K421+L421-M421)</f>
        <v>0</v>
      </c>
      <c r="O421" s="60"/>
      <c r="P421" s="58"/>
      <c r="Q421" s="59">
        <f>SUM(N421+O421-P421)</f>
        <v>0</v>
      </c>
      <c r="R421" s="60"/>
      <c r="S421" s="58"/>
      <c r="T421" s="61">
        <f>SUM(Q421+R421-S421)</f>
        <v>0</v>
      </c>
      <c r="U421" s="60"/>
      <c r="V421" s="58"/>
      <c r="W421" s="59">
        <f>SUM(T421+U421-V421)</f>
        <v>0</v>
      </c>
      <c r="X421" s="60">
        <v>2</v>
      </c>
      <c r="Y421" s="58"/>
      <c r="Z421" s="61">
        <f>SUM(W421+X421-Y421)</f>
        <v>2</v>
      </c>
      <c r="AA421" s="60"/>
      <c r="AB421" s="58"/>
      <c r="AC421" s="59">
        <f>SUM(Z421+AA421-AB421)</f>
        <v>2</v>
      </c>
      <c r="AD421" s="57"/>
      <c r="AE421" s="58"/>
      <c r="AF421" s="243">
        <f>SUM(AC421+AD421-AE421)</f>
        <v>2</v>
      </c>
      <c r="AG421" s="60"/>
      <c r="AH421" s="58"/>
      <c r="AI421" s="62">
        <f>SUM(AF421+AG421-AH421)</f>
        <v>2</v>
      </c>
      <c r="AJ421" s="60"/>
      <c r="AK421" s="58"/>
      <c r="AL421" s="62">
        <f>SUM(AI421+AJ421-AK421)</f>
        <v>2</v>
      </c>
      <c r="AM421" s="60"/>
      <c r="AN421" s="58"/>
      <c r="AO421" s="62">
        <f>SUM(AL421+AM421-AN421)</f>
        <v>2</v>
      </c>
      <c r="AP421" s="60"/>
      <c r="AQ421" s="58"/>
      <c r="AR421" s="62">
        <f>SUM(AO421+AP421-AQ421)</f>
        <v>2</v>
      </c>
      <c r="AS421" s="60"/>
      <c r="AT421" s="58"/>
      <c r="AU421" s="62">
        <f t="shared" si="1117"/>
        <v>2</v>
      </c>
      <c r="AV421" s="83">
        <f t="shared" si="1118"/>
        <v>2</v>
      </c>
      <c r="AW421" s="83">
        <f t="shared" si="1091"/>
        <v>0</v>
      </c>
      <c r="AX421" s="64">
        <f t="shared" si="1119"/>
        <v>0</v>
      </c>
      <c r="AY421" s="65" t="e">
        <f t="shared" si="1120"/>
        <v>#DIV/0!</v>
      </c>
      <c r="AZ421" s="66">
        <f t="shared" si="1121"/>
        <v>0</v>
      </c>
      <c r="BA421" s="67">
        <f>MAX(0, Table176252626[[#This Row],[Column6]])</f>
        <v>2</v>
      </c>
      <c r="BB421" s="68">
        <v>1</v>
      </c>
      <c r="BC421" s="84">
        <f t="shared" si="1006"/>
        <v>2</v>
      </c>
      <c r="BD421" s="83">
        <f t="shared" si="1004"/>
        <v>1</v>
      </c>
      <c r="BE421" s="85">
        <v>2</v>
      </c>
      <c r="BF421" s="86">
        <v>46161</v>
      </c>
      <c r="BG421" s="72" t="e">
        <f t="shared" si="1023"/>
        <v>#REF!</v>
      </c>
      <c r="BH421" s="107" t="e">
        <f t="shared" si="1122"/>
        <v>#REF!</v>
      </c>
      <c r="BI421" s="80" t="e">
        <f t="shared" si="1005"/>
        <v>#REF!</v>
      </c>
      <c r="BJ421" s="238">
        <v>3120</v>
      </c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  <c r="FS421" s="30"/>
      <c r="FT421" s="30"/>
      <c r="FU421" s="30"/>
      <c r="FV421" s="30"/>
      <c r="FW421" s="30"/>
      <c r="FX421" s="30"/>
      <c r="FY421" s="30"/>
      <c r="FZ421" s="30"/>
      <c r="GA421" s="30"/>
      <c r="GB421" s="30"/>
      <c r="GC421" s="30"/>
      <c r="GD421" s="30"/>
      <c r="GE421" s="30"/>
      <c r="GF421" s="30"/>
      <c r="GG421" s="30"/>
      <c r="GH421" s="30"/>
      <c r="GI421" s="30"/>
      <c r="GJ421" s="30"/>
      <c r="GK421" s="30"/>
      <c r="GL421" s="30"/>
      <c r="GM421" s="30"/>
      <c r="GN421" s="30"/>
      <c r="GO421" s="30"/>
      <c r="GP421" s="30"/>
      <c r="GQ421" s="30"/>
      <c r="GR421" s="30"/>
      <c r="GS421" s="30"/>
      <c r="GT421" s="30"/>
      <c r="GU421" s="30"/>
      <c r="GV421" s="30"/>
      <c r="GW421" s="30"/>
      <c r="GX421" s="30"/>
      <c r="GY421" s="30"/>
      <c r="GZ421" s="30"/>
      <c r="HA421" s="30"/>
      <c r="HB421" s="30"/>
      <c r="HC421" s="30"/>
      <c r="HD421" s="30"/>
      <c r="HE421" s="30"/>
      <c r="HF421" s="30"/>
      <c r="HG421" s="30"/>
      <c r="HH421" s="30"/>
      <c r="HI421" s="30"/>
      <c r="HJ421" s="30"/>
      <c r="HK421" s="30"/>
      <c r="HL421" s="30"/>
      <c r="HM421" s="30"/>
      <c r="HN421" s="30"/>
      <c r="HO421" s="30"/>
      <c r="HP421" s="30"/>
      <c r="HQ421" s="30"/>
      <c r="HR421" s="30"/>
      <c r="HS421" s="30"/>
      <c r="HT421" s="30"/>
      <c r="HU421" s="30"/>
      <c r="HV421" s="30"/>
      <c r="HW421" s="30"/>
      <c r="HX421" s="30"/>
      <c r="HY421" s="30"/>
      <c r="HZ421" s="30"/>
      <c r="IA421" s="30"/>
      <c r="IB421" s="30"/>
      <c r="IC421" s="30"/>
      <c r="ID421" s="30"/>
      <c r="IE421" s="30"/>
      <c r="IF421" s="30"/>
      <c r="IG421" s="30"/>
      <c r="IH421" s="30"/>
      <c r="II421" s="30"/>
      <c r="IJ421" s="30"/>
      <c r="IK421" s="30"/>
      <c r="IL421" s="30"/>
      <c r="IM421" s="30"/>
      <c r="IN421" s="30"/>
      <c r="IO421" s="30"/>
      <c r="IP421" s="30"/>
      <c r="IQ421" s="30"/>
      <c r="IR421" s="30"/>
      <c r="IS421" s="30"/>
      <c r="IT421" s="30"/>
      <c r="IU421" s="30"/>
      <c r="IV421" s="30"/>
      <c r="IW421" s="30"/>
      <c r="IX421" s="30"/>
      <c r="IY421" s="30"/>
      <c r="IZ421" s="30"/>
      <c r="JA421" s="30"/>
      <c r="JB421" s="30"/>
      <c r="JC421" s="30"/>
      <c r="JD421" s="30"/>
      <c r="JE421" s="30"/>
      <c r="JF421" s="30"/>
      <c r="JG421" s="30"/>
      <c r="JH421" s="30"/>
      <c r="JI421" s="30"/>
      <c r="JJ421" s="30"/>
      <c r="JK421" s="30"/>
      <c r="JL421" s="30"/>
      <c r="JM421" s="30"/>
      <c r="JN421" s="30"/>
      <c r="JO421" s="30"/>
      <c r="JP421" s="30"/>
      <c r="JQ421" s="30"/>
      <c r="JR421" s="30"/>
      <c r="JS421" s="30"/>
      <c r="JT421" s="30"/>
      <c r="JU421" s="30"/>
      <c r="JV421" s="30"/>
      <c r="JW421" s="30"/>
      <c r="JX421" s="30"/>
      <c r="JY421" s="30"/>
      <c r="JZ421" s="30"/>
      <c r="KA421" s="30"/>
      <c r="KB421" s="30"/>
      <c r="KC421" s="30"/>
      <c r="KD421" s="30"/>
      <c r="KE421" s="30"/>
      <c r="KF421" s="30"/>
      <c r="KG421" s="30"/>
    </row>
    <row r="422" spans="1:293" s="48" customFormat="1" ht="13">
      <c r="A422" s="49"/>
      <c r="B422" s="76"/>
      <c r="C422" s="51">
        <v>420</v>
      </c>
      <c r="D422" s="127" t="s">
        <v>1524</v>
      </c>
      <c r="E422" s="127">
        <v>9</v>
      </c>
      <c r="F422" s="80" t="s">
        <v>1097</v>
      </c>
      <c r="G422" s="106" t="s">
        <v>1098</v>
      </c>
      <c r="H422" s="81" t="s">
        <v>1324</v>
      </c>
      <c r="I422" s="80" t="s">
        <v>458</v>
      </c>
      <c r="J422" s="82">
        <f>AU422</f>
        <v>4</v>
      </c>
      <c r="K422" s="80">
        <v>4</v>
      </c>
      <c r="L422" s="57"/>
      <c r="M422" s="58"/>
      <c r="N422" s="59">
        <f>SUM(K422+L422-M422)</f>
        <v>4</v>
      </c>
      <c r="O422" s="60"/>
      <c r="P422" s="58"/>
      <c r="Q422" s="59">
        <f>SUM(N422+O422-P422)</f>
        <v>4</v>
      </c>
      <c r="R422" s="60"/>
      <c r="S422" s="58"/>
      <c r="T422" s="61">
        <f>SUM(Q422+R422-S422)</f>
        <v>4</v>
      </c>
      <c r="U422" s="60"/>
      <c r="V422" s="58"/>
      <c r="W422" s="59">
        <f>SUM(T422+U422-V422)</f>
        <v>4</v>
      </c>
      <c r="X422" s="60"/>
      <c r="Y422" s="58"/>
      <c r="Z422" s="61">
        <f>SUM(W422+X422-Y422)</f>
        <v>4</v>
      </c>
      <c r="AA422" s="60"/>
      <c r="AB422" s="58"/>
      <c r="AC422" s="59">
        <f>SUM(Z422+AA422-AB422)</f>
        <v>4</v>
      </c>
      <c r="AD422" s="57"/>
      <c r="AE422" s="58"/>
      <c r="AF422" s="243">
        <f>SUM(AC422+AD422-AE422)</f>
        <v>4</v>
      </c>
      <c r="AG422" s="60"/>
      <c r="AH422" s="58"/>
      <c r="AI422" s="62">
        <f>SUM(AF422+AG422-AH422)</f>
        <v>4</v>
      </c>
      <c r="AJ422" s="60"/>
      <c r="AK422" s="58"/>
      <c r="AL422" s="62">
        <f>SUM(AI422+AJ422-AK422)</f>
        <v>4</v>
      </c>
      <c r="AM422" s="60"/>
      <c r="AN422" s="58"/>
      <c r="AO422" s="62">
        <f>SUM(AL422+AM422-AN422)</f>
        <v>4</v>
      </c>
      <c r="AP422" s="60"/>
      <c r="AQ422" s="58"/>
      <c r="AR422" s="62">
        <f>SUM(AO422+AP422-AQ422)</f>
        <v>4</v>
      </c>
      <c r="AS422" s="60"/>
      <c r="AT422" s="58"/>
      <c r="AU422" s="62">
        <f t="shared" si="1117"/>
        <v>4</v>
      </c>
      <c r="AV422" s="83">
        <f t="shared" ref="AV422" si="1135">SUM(L422+O422+R422+U422+X422+AA422+AD422+AG422+AJ422+AM422+AP422+AS422)</f>
        <v>0</v>
      </c>
      <c r="AW422" s="83">
        <f t="shared" si="1091"/>
        <v>0</v>
      </c>
      <c r="AX422" s="64">
        <f t="shared" si="1119"/>
        <v>0</v>
      </c>
      <c r="AY422" s="65" t="e">
        <f t="shared" si="1120"/>
        <v>#DIV/0!</v>
      </c>
      <c r="AZ422" s="66">
        <f t="shared" si="1121"/>
        <v>0</v>
      </c>
      <c r="BA422" s="67">
        <f>MAX(0, Table176252626[[#This Row],[Column6]])</f>
        <v>4</v>
      </c>
      <c r="BB422" s="68">
        <v>1</v>
      </c>
      <c r="BC422" s="84">
        <f t="shared" si="1006"/>
        <v>4</v>
      </c>
      <c r="BD422" s="83">
        <f t="shared" si="1004"/>
        <v>3</v>
      </c>
      <c r="BE422" s="85">
        <v>2</v>
      </c>
      <c r="BF422" s="86">
        <v>44795.663969907408</v>
      </c>
      <c r="BG422" s="72" t="e">
        <f t="shared" si="1023"/>
        <v>#REF!</v>
      </c>
      <c r="BH422" s="107" t="e">
        <f t="shared" si="1122"/>
        <v>#REF!</v>
      </c>
      <c r="BI422" s="80" t="e">
        <f t="shared" si="1005"/>
        <v>#REF!</v>
      </c>
      <c r="BJ422" s="238">
        <v>844</v>
      </c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  <c r="FS422" s="30"/>
      <c r="FT422" s="30"/>
      <c r="FU422" s="30"/>
      <c r="FV422" s="30"/>
      <c r="FW422" s="30"/>
      <c r="FX422" s="30"/>
      <c r="FY422" s="30"/>
      <c r="FZ422" s="30"/>
      <c r="GA422" s="30"/>
      <c r="GB422" s="30"/>
      <c r="GC422" s="30"/>
      <c r="GD422" s="30"/>
      <c r="GE422" s="30"/>
      <c r="GF422" s="30"/>
      <c r="GG422" s="30"/>
      <c r="GH422" s="30"/>
      <c r="GI422" s="30"/>
      <c r="GJ422" s="30"/>
      <c r="GK422" s="30"/>
      <c r="GL422" s="30"/>
      <c r="GM422" s="30"/>
      <c r="GN422" s="30"/>
      <c r="GO422" s="30"/>
      <c r="GP422" s="30"/>
      <c r="GQ422" s="30"/>
      <c r="GR422" s="30"/>
      <c r="GS422" s="30"/>
      <c r="GT422" s="30"/>
      <c r="GU422" s="30"/>
      <c r="GV422" s="30"/>
      <c r="GW422" s="30"/>
      <c r="GX422" s="30"/>
      <c r="GY422" s="30"/>
      <c r="GZ422" s="30"/>
      <c r="HA422" s="30"/>
      <c r="HB422" s="30"/>
      <c r="HC422" s="30"/>
      <c r="HD422" s="30"/>
      <c r="HE422" s="30"/>
      <c r="HF422" s="30"/>
      <c r="HG422" s="30"/>
      <c r="HH422" s="30"/>
      <c r="HI422" s="30"/>
      <c r="HJ422" s="30"/>
      <c r="HK422" s="30"/>
      <c r="HL422" s="30"/>
      <c r="HM422" s="30"/>
      <c r="HN422" s="30"/>
      <c r="HO422" s="30"/>
      <c r="HP422" s="30"/>
      <c r="HQ422" s="30"/>
      <c r="HR422" s="30"/>
      <c r="HS422" s="30"/>
      <c r="HT422" s="30"/>
      <c r="HU422" s="30"/>
      <c r="HV422" s="30"/>
      <c r="HW422" s="30"/>
      <c r="HX422" s="30"/>
      <c r="HY422" s="30"/>
      <c r="HZ422" s="30"/>
      <c r="IA422" s="30"/>
      <c r="IB422" s="30"/>
      <c r="IC422" s="30"/>
      <c r="ID422" s="30"/>
      <c r="IE422" s="30"/>
      <c r="IF422" s="30"/>
      <c r="IG422" s="30"/>
      <c r="IH422" s="30"/>
      <c r="II422" s="30"/>
      <c r="IJ422" s="30"/>
      <c r="IK422" s="30"/>
      <c r="IL422" s="30"/>
      <c r="IM422" s="30"/>
      <c r="IN422" s="30"/>
      <c r="IO422" s="30"/>
      <c r="IP422" s="30"/>
      <c r="IQ422" s="30"/>
      <c r="IR422" s="30"/>
      <c r="IS422" s="30"/>
      <c r="IT422" s="30"/>
      <c r="IU422" s="30"/>
      <c r="IV422" s="30"/>
      <c r="IW422" s="30"/>
      <c r="IX422" s="30"/>
      <c r="IY422" s="30"/>
      <c r="IZ422" s="30"/>
      <c r="JA422" s="30"/>
      <c r="JB422" s="30"/>
      <c r="JC422" s="30"/>
      <c r="JD422" s="30"/>
      <c r="JE422" s="30"/>
      <c r="JF422" s="30"/>
      <c r="JG422" s="30"/>
      <c r="JH422" s="30"/>
      <c r="JI422" s="30"/>
      <c r="JJ422" s="30"/>
      <c r="JK422" s="30"/>
      <c r="JL422" s="30"/>
      <c r="JM422" s="30"/>
      <c r="JN422" s="30"/>
      <c r="JO422" s="30"/>
      <c r="JP422" s="30"/>
      <c r="JQ422" s="30"/>
      <c r="JR422" s="30"/>
      <c r="JS422" s="30"/>
      <c r="JT422" s="30"/>
      <c r="JU422" s="30"/>
      <c r="JV422" s="30"/>
      <c r="JW422" s="30"/>
      <c r="JX422" s="30"/>
      <c r="JY422" s="30"/>
      <c r="JZ422" s="30"/>
      <c r="KA422" s="30"/>
      <c r="KB422" s="30"/>
      <c r="KC422" s="30"/>
      <c r="KD422" s="30"/>
      <c r="KE422" s="30"/>
      <c r="KF422" s="30"/>
      <c r="KG422" s="30"/>
    </row>
    <row r="423" spans="1:293" ht="12.5" customHeight="1">
      <c r="A423" s="90"/>
      <c r="B423" s="91"/>
      <c r="C423" s="51">
        <v>421</v>
      </c>
      <c r="D423" s="127" t="s">
        <v>1524</v>
      </c>
      <c r="E423" s="127">
        <v>10</v>
      </c>
      <c r="F423" s="88" t="s">
        <v>1839</v>
      </c>
      <c r="G423" s="89" t="s">
        <v>1840</v>
      </c>
      <c r="H423" s="89" t="s">
        <v>1733</v>
      </c>
      <c r="I423" s="88" t="s">
        <v>458</v>
      </c>
      <c r="J423" s="93">
        <f>AU423</f>
        <v>1</v>
      </c>
      <c r="K423" s="80">
        <v>1</v>
      </c>
      <c r="L423" s="58"/>
      <c r="M423" s="58"/>
      <c r="N423" s="62">
        <f>SUM(K423+L423-M423)</f>
        <v>1</v>
      </c>
      <c r="O423" s="60"/>
      <c r="P423" s="58"/>
      <c r="Q423" s="62">
        <f>SUM(N423+O423-P423)</f>
        <v>1</v>
      </c>
      <c r="R423" s="60"/>
      <c r="S423" s="58"/>
      <c r="T423" s="94">
        <f>SUM(Q423+R423-S423)</f>
        <v>1</v>
      </c>
      <c r="U423" s="60"/>
      <c r="V423" s="58"/>
      <c r="W423" s="62">
        <f>SUM(T423+U423-V423)</f>
        <v>1</v>
      </c>
      <c r="X423" s="60"/>
      <c r="Y423" s="58"/>
      <c r="Z423" s="94">
        <f>SUM(W423+X423-Y423)</f>
        <v>1</v>
      </c>
      <c r="AA423" s="60"/>
      <c r="AB423" s="58"/>
      <c r="AC423" s="62">
        <f>SUM(Z423+AA423-AB423)</f>
        <v>1</v>
      </c>
      <c r="AD423" s="57"/>
      <c r="AE423" s="58"/>
      <c r="AF423" s="165">
        <f>SUM(AC423+AD423-AE423)</f>
        <v>1</v>
      </c>
      <c r="AG423" s="60"/>
      <c r="AH423" s="58"/>
      <c r="AI423" s="62">
        <f>SUM(AF423+AG423-AH423)</f>
        <v>1</v>
      </c>
      <c r="AJ423" s="60"/>
      <c r="AK423" s="58"/>
      <c r="AL423" s="62">
        <f>SUM(AI423+AJ423-AK423)</f>
        <v>1</v>
      </c>
      <c r="AM423" s="60"/>
      <c r="AN423" s="58"/>
      <c r="AO423" s="62">
        <f>SUM(AL423+AM423-AN423)</f>
        <v>1</v>
      </c>
      <c r="AP423" s="60"/>
      <c r="AQ423" s="58"/>
      <c r="AR423" s="62">
        <f>SUM(AO423+AP423-AQ423)</f>
        <v>1</v>
      </c>
      <c r="AS423" s="60"/>
      <c r="AT423" s="58"/>
      <c r="AU423" s="62">
        <f t="shared" si="1117"/>
        <v>1</v>
      </c>
      <c r="AV423" s="96">
        <f>SUM(L423+O423+R423+U423+X423+AA423+AD423+AG423+AJ423+AM423+AP423+AS423)</f>
        <v>0</v>
      </c>
      <c r="AW423" s="83">
        <f t="shared" si="1091"/>
        <v>0</v>
      </c>
      <c r="AX423" s="98">
        <f t="shared" si="1119"/>
        <v>0</v>
      </c>
      <c r="AY423" s="99" t="e">
        <f t="shared" si="1120"/>
        <v>#DIV/0!</v>
      </c>
      <c r="AZ423" s="100">
        <f t="shared" si="1121"/>
        <v>0</v>
      </c>
      <c r="BA423" s="101">
        <v>1</v>
      </c>
      <c r="BB423" s="102">
        <v>0</v>
      </c>
      <c r="BC423" s="84">
        <f t="shared" si="1006"/>
        <v>1</v>
      </c>
      <c r="BD423" s="83">
        <f t="shared" si="1004"/>
        <v>1</v>
      </c>
      <c r="BE423" s="85">
        <v>2</v>
      </c>
      <c r="BF423" s="86">
        <v>45964</v>
      </c>
      <c r="BG423" s="72" t="e">
        <f t="shared" si="1023"/>
        <v>#REF!</v>
      </c>
      <c r="BH423" s="103" t="e">
        <f t="shared" si="1122"/>
        <v>#REF!</v>
      </c>
      <c r="BI423" s="80" t="e">
        <f t="shared" si="1005"/>
        <v>#REF!</v>
      </c>
      <c r="BJ423" s="238">
        <v>14000</v>
      </c>
    </row>
    <row r="424" spans="1:293" ht="13">
      <c r="A424" s="49"/>
      <c r="B424" s="50"/>
      <c r="C424" s="77">
        <v>422</v>
      </c>
      <c r="D424" s="127" t="s">
        <v>1524</v>
      </c>
      <c r="E424" s="127">
        <v>11</v>
      </c>
      <c r="F424" s="80" t="s">
        <v>993</v>
      </c>
      <c r="G424" s="81" t="s">
        <v>1289</v>
      </c>
      <c r="H424" s="81" t="s">
        <v>295</v>
      </c>
      <c r="I424" s="80" t="s">
        <v>458</v>
      </c>
      <c r="J424" s="82">
        <f t="shared" si="1099"/>
        <v>1</v>
      </c>
      <c r="K424" s="80">
        <v>2</v>
      </c>
      <c r="L424" s="57"/>
      <c r="M424" s="58"/>
      <c r="N424" s="59">
        <f t="shared" si="1100"/>
        <v>2</v>
      </c>
      <c r="O424" s="60"/>
      <c r="P424" s="58"/>
      <c r="Q424" s="59">
        <f t="shared" si="1101"/>
        <v>2</v>
      </c>
      <c r="R424" s="60"/>
      <c r="S424" s="58">
        <v>1</v>
      </c>
      <c r="T424" s="61">
        <f t="shared" si="1102"/>
        <v>1</v>
      </c>
      <c r="U424" s="60"/>
      <c r="V424" s="58"/>
      <c r="W424" s="59">
        <f t="shared" si="1103"/>
        <v>1</v>
      </c>
      <c r="X424" s="60"/>
      <c r="Y424" s="58"/>
      <c r="Z424" s="61">
        <f t="shared" si="1104"/>
        <v>1</v>
      </c>
      <c r="AA424" s="60"/>
      <c r="AB424" s="58"/>
      <c r="AC424" s="59">
        <f t="shared" si="1105"/>
        <v>1</v>
      </c>
      <c r="AD424" s="57"/>
      <c r="AE424" s="58"/>
      <c r="AF424" s="243">
        <f t="shared" si="1106"/>
        <v>1</v>
      </c>
      <c r="AG424" s="60"/>
      <c r="AH424" s="58"/>
      <c r="AI424" s="62">
        <f t="shared" si="1107"/>
        <v>1</v>
      </c>
      <c r="AJ424" s="60"/>
      <c r="AK424" s="58"/>
      <c r="AL424" s="62">
        <f t="shared" si="1108"/>
        <v>1</v>
      </c>
      <c r="AM424" s="60"/>
      <c r="AN424" s="58"/>
      <c r="AO424" s="62">
        <f t="shared" si="1109"/>
        <v>1</v>
      </c>
      <c r="AP424" s="60"/>
      <c r="AQ424" s="58"/>
      <c r="AR424" s="62">
        <f t="shared" si="1110"/>
        <v>1</v>
      </c>
      <c r="AS424" s="60"/>
      <c r="AT424" s="58"/>
      <c r="AU424" s="62">
        <f t="shared" si="1111"/>
        <v>1</v>
      </c>
      <c r="AV424" s="83">
        <f t="shared" si="1112"/>
        <v>0</v>
      </c>
      <c r="AW424" s="83">
        <f t="shared" si="1091"/>
        <v>1</v>
      </c>
      <c r="AX424" s="64">
        <f t="shared" si="1113"/>
        <v>1</v>
      </c>
      <c r="AY424" s="65">
        <f t="shared" si="1114"/>
        <v>1</v>
      </c>
      <c r="AZ424" s="66">
        <f t="shared" si="1115"/>
        <v>1</v>
      </c>
      <c r="BA424" s="67">
        <f>MAX(0, Table176252626[[#This Row],[Column6]])</f>
        <v>1</v>
      </c>
      <c r="BB424" s="68">
        <v>0</v>
      </c>
      <c r="BC424" s="84">
        <f t="shared" si="1006"/>
        <v>1</v>
      </c>
      <c r="BD424" s="83">
        <f t="shared" si="1004"/>
        <v>1</v>
      </c>
      <c r="BE424" s="85">
        <v>2</v>
      </c>
      <c r="BF424" s="86">
        <v>44943.555104166669</v>
      </c>
      <c r="BG424" s="72" t="e">
        <f t="shared" si="1023"/>
        <v>#REF!</v>
      </c>
      <c r="BH424" s="107" t="e">
        <f t="shared" si="1116"/>
        <v>#REF!</v>
      </c>
      <c r="BI424" s="80" t="e">
        <f t="shared" si="1005"/>
        <v>#REF!</v>
      </c>
      <c r="BJ424" s="238">
        <v>845</v>
      </c>
    </row>
    <row r="425" spans="1:293" ht="13">
      <c r="A425" s="75"/>
      <c r="B425" s="76"/>
      <c r="C425" s="77">
        <v>423</v>
      </c>
      <c r="D425" s="127" t="s">
        <v>1524</v>
      </c>
      <c r="E425" s="127">
        <v>12</v>
      </c>
      <c r="F425" s="54" t="s">
        <v>95</v>
      </c>
      <c r="G425" s="55" t="s">
        <v>96</v>
      </c>
      <c r="H425" s="81" t="s">
        <v>297</v>
      </c>
      <c r="I425" s="80" t="s">
        <v>458</v>
      </c>
      <c r="J425" s="82">
        <f t="shared" ref="J425:J444" si="1136">AU425</f>
        <v>2</v>
      </c>
      <c r="K425" s="80">
        <v>2</v>
      </c>
      <c r="L425" s="57"/>
      <c r="M425" s="58"/>
      <c r="N425" s="59">
        <f t="shared" ref="N425:N444" si="1137">SUM(K425+L425-M425)</f>
        <v>2</v>
      </c>
      <c r="O425" s="60"/>
      <c r="P425" s="58"/>
      <c r="Q425" s="59">
        <f t="shared" ref="Q425:Q444" si="1138">SUM(N425+O425-P425)</f>
        <v>2</v>
      </c>
      <c r="R425" s="60"/>
      <c r="S425" s="58"/>
      <c r="T425" s="61">
        <f t="shared" ref="T425:T444" si="1139">SUM(Q425+R425-S425)</f>
        <v>2</v>
      </c>
      <c r="U425" s="60"/>
      <c r="V425" s="58"/>
      <c r="W425" s="59">
        <f t="shared" ref="W425:W444" si="1140">SUM(T425+U425-V425)</f>
        <v>2</v>
      </c>
      <c r="X425" s="60"/>
      <c r="Y425" s="58"/>
      <c r="Z425" s="61">
        <f t="shared" ref="Z425:Z444" si="1141">SUM(W425+X425-Y425)</f>
        <v>2</v>
      </c>
      <c r="AA425" s="60"/>
      <c r="AB425" s="58"/>
      <c r="AC425" s="59">
        <f t="shared" ref="AC425:AC444" si="1142">SUM(Z425+AA425-AB425)</f>
        <v>2</v>
      </c>
      <c r="AD425" s="57"/>
      <c r="AE425" s="58"/>
      <c r="AF425" s="243">
        <f t="shared" ref="AF425:AF444" si="1143">SUM(AC425+AD425-AE425)</f>
        <v>2</v>
      </c>
      <c r="AG425" s="60"/>
      <c r="AH425" s="58"/>
      <c r="AI425" s="62">
        <f t="shared" ref="AI425:AI444" si="1144">SUM(AF425+AG425-AH425)</f>
        <v>2</v>
      </c>
      <c r="AJ425" s="60"/>
      <c r="AK425" s="58"/>
      <c r="AL425" s="62">
        <f t="shared" ref="AL425:AL444" si="1145">SUM(AI425+AJ425-AK425)</f>
        <v>2</v>
      </c>
      <c r="AM425" s="60"/>
      <c r="AN425" s="58"/>
      <c r="AO425" s="62">
        <f t="shared" ref="AO425:AO444" si="1146">SUM(AL425+AM425-AN425)</f>
        <v>2</v>
      </c>
      <c r="AP425" s="60"/>
      <c r="AQ425" s="58"/>
      <c r="AR425" s="62">
        <f t="shared" ref="AR425:AR444" si="1147">SUM(AO425+AP425-AQ425)</f>
        <v>2</v>
      </c>
      <c r="AS425" s="60"/>
      <c r="AT425" s="58"/>
      <c r="AU425" s="62">
        <f t="shared" ref="AU425:AU431" si="1148">SUM(AR425+AS425-AT425)</f>
        <v>2</v>
      </c>
      <c r="AV425" s="83">
        <f t="shared" ref="AV425" si="1149">SUM(L425+O425+R425+U425+X425+AA425+AD425+AG425+AJ425+AM425+AP425+AS425)</f>
        <v>0</v>
      </c>
      <c r="AW425" s="83">
        <f t="shared" si="1091"/>
        <v>0</v>
      </c>
      <c r="AX425" s="64">
        <f t="shared" ref="AX425:AX431" si="1150">SUM(M425,P425,S425,V425,Y425,AB425,AE425,AH425,AK425,AN425,AQ425,AT425)</f>
        <v>0</v>
      </c>
      <c r="AY425" s="65" t="e">
        <f t="shared" ref="AY425:AY444" si="1151">AVERAGE(M425,P425,S425,V425,Y425,AB425,AE425,AH425,AK425,AN425,AQ425,AT425)</f>
        <v>#DIV/0!</v>
      </c>
      <c r="AZ425" s="66">
        <f t="shared" ref="AZ425:AZ444" si="1152">COUNT(M425,P425,S425,V425,Y425,AB425,AE425,AH425,AK425,AN425,AQ425,AT425)</f>
        <v>0</v>
      </c>
      <c r="BA425" s="67">
        <f>MAX(0, Table176252626[[#This Row],[Column6]])</f>
        <v>2</v>
      </c>
      <c r="BB425" s="68">
        <v>1</v>
      </c>
      <c r="BC425" s="84">
        <f t="shared" si="1006"/>
        <v>2</v>
      </c>
      <c r="BD425" s="83">
        <f t="shared" si="1004"/>
        <v>1</v>
      </c>
      <c r="BE425" s="85">
        <v>2</v>
      </c>
      <c r="BF425" s="86">
        <v>45467.579745370371</v>
      </c>
      <c r="BG425" s="72" t="e">
        <f t="shared" si="1023"/>
        <v>#REF!</v>
      </c>
      <c r="BH425" s="87" t="e">
        <f t="shared" ref="BH425:BH444" si="1153">BG425-BF425</f>
        <v>#REF!</v>
      </c>
      <c r="BI425" s="80" t="e">
        <f t="shared" si="1005"/>
        <v>#REF!</v>
      </c>
      <c r="BJ425" s="238">
        <v>1420</v>
      </c>
    </row>
    <row r="426" spans="1:293" ht="13">
      <c r="A426" s="49"/>
      <c r="B426" s="76"/>
      <c r="C426" s="51">
        <v>424</v>
      </c>
      <c r="D426" s="127" t="s">
        <v>1524</v>
      </c>
      <c r="E426" s="127">
        <v>13</v>
      </c>
      <c r="F426" s="88" t="s">
        <v>1495</v>
      </c>
      <c r="G426" s="89" t="s">
        <v>1496</v>
      </c>
      <c r="H426" s="89" t="s">
        <v>463</v>
      </c>
      <c r="I426" s="88" t="s">
        <v>458</v>
      </c>
      <c r="J426" s="93">
        <f t="shared" si="1136"/>
        <v>2</v>
      </c>
      <c r="K426" s="80">
        <v>2</v>
      </c>
      <c r="L426" s="58"/>
      <c r="M426" s="58"/>
      <c r="N426" s="62">
        <f t="shared" si="1137"/>
        <v>2</v>
      </c>
      <c r="O426" s="60"/>
      <c r="P426" s="58"/>
      <c r="Q426" s="62">
        <f t="shared" si="1138"/>
        <v>2</v>
      </c>
      <c r="R426" s="60"/>
      <c r="S426" s="58"/>
      <c r="T426" s="94">
        <f t="shared" si="1139"/>
        <v>2</v>
      </c>
      <c r="U426" s="60"/>
      <c r="V426" s="58"/>
      <c r="W426" s="62">
        <f t="shared" si="1140"/>
        <v>2</v>
      </c>
      <c r="X426" s="60"/>
      <c r="Y426" s="58"/>
      <c r="Z426" s="94">
        <f t="shared" si="1141"/>
        <v>2</v>
      </c>
      <c r="AA426" s="60"/>
      <c r="AB426" s="58"/>
      <c r="AC426" s="62">
        <f t="shared" si="1142"/>
        <v>2</v>
      </c>
      <c r="AD426" s="57"/>
      <c r="AE426" s="58"/>
      <c r="AF426" s="165">
        <f t="shared" si="1143"/>
        <v>2</v>
      </c>
      <c r="AG426" s="60"/>
      <c r="AH426" s="58"/>
      <c r="AI426" s="62">
        <f t="shared" si="1144"/>
        <v>2</v>
      </c>
      <c r="AJ426" s="60"/>
      <c r="AK426" s="58"/>
      <c r="AL426" s="62">
        <f t="shared" si="1145"/>
        <v>2</v>
      </c>
      <c r="AM426" s="60"/>
      <c r="AN426" s="58"/>
      <c r="AO426" s="62">
        <f t="shared" si="1146"/>
        <v>2</v>
      </c>
      <c r="AP426" s="60"/>
      <c r="AQ426" s="58"/>
      <c r="AR426" s="62">
        <f t="shared" si="1147"/>
        <v>2</v>
      </c>
      <c r="AS426" s="60"/>
      <c r="AT426" s="58"/>
      <c r="AU426" s="62">
        <f t="shared" si="1148"/>
        <v>2</v>
      </c>
      <c r="AV426" s="96">
        <f t="shared" ref="AV426:AV431" si="1154">SUM(L426+O426+R426+U426+X426+AA426+AD426+AG426+AJ426+AM426+AP426+AS426)</f>
        <v>0</v>
      </c>
      <c r="AW426" s="83">
        <f t="shared" ref="AW426:AW529" si="1155">SUM(M426+P426+S426+V426+Y426+AB426+AE426+AH426+AK426+AN426+AQ426+AT426)</f>
        <v>0</v>
      </c>
      <c r="AX426" s="98">
        <f t="shared" si="1150"/>
        <v>0</v>
      </c>
      <c r="AY426" s="99" t="e">
        <f t="shared" si="1151"/>
        <v>#DIV/0!</v>
      </c>
      <c r="AZ426" s="100">
        <f t="shared" si="1152"/>
        <v>0</v>
      </c>
      <c r="BA426" s="101">
        <v>2</v>
      </c>
      <c r="BB426" s="102">
        <v>1</v>
      </c>
      <c r="BC426" s="84">
        <f t="shared" si="1006"/>
        <v>2</v>
      </c>
      <c r="BD426" s="83">
        <f t="shared" si="1004"/>
        <v>1</v>
      </c>
      <c r="BE426" s="85">
        <v>2</v>
      </c>
      <c r="BF426" s="86">
        <v>45505.563449074078</v>
      </c>
      <c r="BG426" s="72" t="e">
        <f t="shared" si="1023"/>
        <v>#REF!</v>
      </c>
      <c r="BH426" s="103" t="e">
        <f t="shared" si="1153"/>
        <v>#REF!</v>
      </c>
      <c r="BI426" s="80" t="e">
        <f t="shared" si="1005"/>
        <v>#REF!</v>
      </c>
      <c r="BJ426" s="238">
        <v>4575</v>
      </c>
    </row>
    <row r="427" spans="1:293" ht="13">
      <c r="A427" s="49"/>
      <c r="B427" s="76"/>
      <c r="C427" s="51">
        <v>425</v>
      </c>
      <c r="D427" s="127" t="s">
        <v>1524</v>
      </c>
      <c r="E427" s="127">
        <v>14</v>
      </c>
      <c r="F427" s="88" t="s">
        <v>1789</v>
      </c>
      <c r="G427" s="89" t="s">
        <v>1790</v>
      </c>
      <c r="H427" s="81" t="s">
        <v>1749</v>
      </c>
      <c r="I427" s="80" t="s">
        <v>458</v>
      </c>
      <c r="J427" s="93">
        <f t="shared" si="1136"/>
        <v>1</v>
      </c>
      <c r="K427" s="80">
        <v>1</v>
      </c>
      <c r="L427" s="58"/>
      <c r="M427" s="58"/>
      <c r="N427" s="62">
        <f t="shared" si="1137"/>
        <v>1</v>
      </c>
      <c r="O427" s="60"/>
      <c r="P427" s="58"/>
      <c r="Q427" s="62">
        <f t="shared" si="1138"/>
        <v>1</v>
      </c>
      <c r="R427" s="60"/>
      <c r="S427" s="58"/>
      <c r="T427" s="94">
        <f t="shared" si="1139"/>
        <v>1</v>
      </c>
      <c r="U427" s="60"/>
      <c r="V427" s="58"/>
      <c r="W427" s="62">
        <f t="shared" si="1140"/>
        <v>1</v>
      </c>
      <c r="X427" s="60"/>
      <c r="Y427" s="58"/>
      <c r="Z427" s="94">
        <f t="shared" si="1141"/>
        <v>1</v>
      </c>
      <c r="AA427" s="60"/>
      <c r="AB427" s="58"/>
      <c r="AC427" s="62">
        <f t="shared" si="1142"/>
        <v>1</v>
      </c>
      <c r="AD427" s="57"/>
      <c r="AE427" s="58"/>
      <c r="AF427" s="165">
        <f t="shared" si="1143"/>
        <v>1</v>
      </c>
      <c r="AG427" s="60"/>
      <c r="AH427" s="58"/>
      <c r="AI427" s="62">
        <f t="shared" si="1144"/>
        <v>1</v>
      </c>
      <c r="AJ427" s="60"/>
      <c r="AK427" s="58"/>
      <c r="AL427" s="62">
        <f t="shared" si="1145"/>
        <v>1</v>
      </c>
      <c r="AM427" s="60"/>
      <c r="AN427" s="58"/>
      <c r="AO427" s="62">
        <f t="shared" si="1146"/>
        <v>1</v>
      </c>
      <c r="AP427" s="60"/>
      <c r="AQ427" s="58"/>
      <c r="AR427" s="62">
        <f t="shared" si="1147"/>
        <v>1</v>
      </c>
      <c r="AS427" s="60"/>
      <c r="AT427" s="58"/>
      <c r="AU427" s="62">
        <f t="shared" si="1148"/>
        <v>1</v>
      </c>
      <c r="AV427" s="96">
        <f t="shared" si="1154"/>
        <v>0</v>
      </c>
      <c r="AW427" s="83">
        <f t="shared" si="1155"/>
        <v>0</v>
      </c>
      <c r="AX427" s="98">
        <f t="shared" si="1150"/>
        <v>0</v>
      </c>
      <c r="AY427" s="99" t="e">
        <f t="shared" si="1151"/>
        <v>#DIV/0!</v>
      </c>
      <c r="AZ427" s="100">
        <f t="shared" si="1152"/>
        <v>0</v>
      </c>
      <c r="BA427" s="101">
        <v>1</v>
      </c>
      <c r="BB427" s="102">
        <v>0</v>
      </c>
      <c r="BC427" s="84">
        <f t="shared" si="1006"/>
        <v>1</v>
      </c>
      <c r="BD427" s="83">
        <f t="shared" si="1004"/>
        <v>1</v>
      </c>
      <c r="BE427" s="85">
        <v>2</v>
      </c>
      <c r="BF427" s="86">
        <v>45884</v>
      </c>
      <c r="BG427" s="72" t="e">
        <f t="shared" si="1023"/>
        <v>#REF!</v>
      </c>
      <c r="BH427" s="103" t="e">
        <f t="shared" si="1153"/>
        <v>#REF!</v>
      </c>
      <c r="BI427" s="80" t="e">
        <f t="shared" si="1005"/>
        <v>#REF!</v>
      </c>
      <c r="BJ427" s="238">
        <v>1690</v>
      </c>
    </row>
    <row r="428" spans="1:293" ht="13">
      <c r="A428" s="90"/>
      <c r="B428" s="91"/>
      <c r="C428" s="51">
        <v>426</v>
      </c>
      <c r="D428" s="127" t="s">
        <v>1524</v>
      </c>
      <c r="E428" s="127">
        <v>15</v>
      </c>
      <c r="F428" s="88" t="s">
        <v>2009</v>
      </c>
      <c r="G428" s="216" t="s">
        <v>2010</v>
      </c>
      <c r="H428" s="89" t="s">
        <v>1999</v>
      </c>
      <c r="I428" s="88" t="s">
        <v>458</v>
      </c>
      <c r="J428" s="93">
        <f>AU428</f>
        <v>1</v>
      </c>
      <c r="K428" s="88">
        <v>0</v>
      </c>
      <c r="L428" s="58"/>
      <c r="M428" s="58"/>
      <c r="N428" s="62">
        <f t="shared" ref="N428" si="1156">SUM(K428+L428-M428)</f>
        <v>0</v>
      </c>
      <c r="O428" s="60"/>
      <c r="P428" s="58"/>
      <c r="Q428" s="62">
        <f>SUM(N428+O428-P428)</f>
        <v>0</v>
      </c>
      <c r="R428" s="60"/>
      <c r="S428" s="58"/>
      <c r="T428" s="94">
        <f>SUM(Q428+R428-S428)</f>
        <v>0</v>
      </c>
      <c r="U428" s="60"/>
      <c r="V428" s="58"/>
      <c r="W428" s="62">
        <f>SUM(T428+U428-V428)</f>
        <v>0</v>
      </c>
      <c r="X428" s="60"/>
      <c r="Y428" s="58"/>
      <c r="Z428" s="94">
        <f>SUM(W428+X428-Y428)</f>
        <v>0</v>
      </c>
      <c r="AA428" s="60"/>
      <c r="AB428" s="58"/>
      <c r="AC428" s="62">
        <f>SUM(Z428+AA428-AB428)</f>
        <v>0</v>
      </c>
      <c r="AD428" s="57"/>
      <c r="AE428" s="58"/>
      <c r="AF428" s="165">
        <f>SUM(AC428+AD428-AE428)</f>
        <v>0</v>
      </c>
      <c r="AG428" s="60">
        <v>1</v>
      </c>
      <c r="AH428" s="58"/>
      <c r="AI428" s="62">
        <f>SUM(AF428+AG428-AH428)</f>
        <v>1</v>
      </c>
      <c r="AJ428" s="60"/>
      <c r="AK428" s="58"/>
      <c r="AL428" s="62">
        <f>SUM(AI428+AJ428-AK428)</f>
        <v>1</v>
      </c>
      <c r="AM428" s="60"/>
      <c r="AN428" s="58"/>
      <c r="AO428" s="62">
        <f>SUM(AL428+AM428-AN428)</f>
        <v>1</v>
      </c>
      <c r="AP428" s="60"/>
      <c r="AQ428" s="58"/>
      <c r="AR428" s="62">
        <f>SUM(AO428+AP428-AQ428)</f>
        <v>1</v>
      </c>
      <c r="AS428" s="60"/>
      <c r="AT428" s="58"/>
      <c r="AU428" s="165">
        <f t="shared" ref="AU428" si="1157">SUM(AR428+AS428-AT428)</f>
        <v>1</v>
      </c>
      <c r="AV428" s="151">
        <f t="shared" ref="AV428" si="1158">SUM(L428+O428+R428+U428+X428+AA428+AD428+AG428+AJ428+AM428+AP428+AS428)</f>
        <v>1</v>
      </c>
      <c r="AW428" s="83">
        <f>SUM(M428+P428+S428+V428+Y428+AB428+AE428+AH428+AK428+AN428+AQ428+AT428)</f>
        <v>0</v>
      </c>
      <c r="AX428" s="98">
        <f t="shared" ref="AX428" si="1159">SUM(M428,P428,S428,V428,Y428,AB428,AE428,AH428,AK428,AN428,AQ428,AT428)</f>
        <v>0</v>
      </c>
      <c r="AY428" s="99" t="e">
        <f t="shared" ref="AY428" si="1160">AVERAGE(M428,P428,S428,V428,Y428,AB428,AE428,AH428,AK428,AN428,AQ428,AT428)</f>
        <v>#DIV/0!</v>
      </c>
      <c r="AZ428" s="100">
        <f t="shared" ref="AZ428" si="1161">COUNT(M428,P428,S428,V428,Y428,AB428,AE428,AH428,AK428,AN428,AQ428,AT428)</f>
        <v>0</v>
      </c>
      <c r="BA428" s="101">
        <v>1</v>
      </c>
      <c r="BB428" s="102">
        <f>MIN(M428,P428,S428,V428,Y428,AB428,AE428,AH428,AK428,AN428,AQ428,AT428)</f>
        <v>0</v>
      </c>
      <c r="BC428" s="84">
        <f>J428</f>
        <v>1</v>
      </c>
      <c r="BD428" s="83">
        <f>SUM(BC428-BB428)</f>
        <v>1</v>
      </c>
      <c r="BE428" s="85">
        <v>2</v>
      </c>
      <c r="BF428" s="86">
        <v>46252</v>
      </c>
      <c r="BG428" s="72" t="e">
        <f t="shared" si="1023"/>
        <v>#REF!</v>
      </c>
      <c r="BH428" s="103" t="e">
        <f t="shared" ref="BH428" si="1162">BG428-BF428</f>
        <v>#REF!</v>
      </c>
      <c r="BI428" s="80" t="e">
        <f>IF(AND(J428&gt;0,BH428&gt;365),"Dead Stock","")</f>
        <v>#REF!</v>
      </c>
      <c r="BJ428" s="238">
        <v>3000</v>
      </c>
    </row>
    <row r="429" spans="1:293" ht="13">
      <c r="A429" s="90"/>
      <c r="B429" s="91"/>
      <c r="C429" s="51">
        <v>427</v>
      </c>
      <c r="D429" s="127" t="s">
        <v>1524</v>
      </c>
      <c r="E429" s="127">
        <v>17</v>
      </c>
      <c r="F429" s="88" t="s">
        <v>1792</v>
      </c>
      <c r="G429" s="89" t="s">
        <v>1793</v>
      </c>
      <c r="H429" s="89" t="s">
        <v>295</v>
      </c>
      <c r="I429" s="88" t="s">
        <v>458</v>
      </c>
      <c r="J429" s="93">
        <f t="shared" si="1136"/>
        <v>1</v>
      </c>
      <c r="K429" s="80">
        <v>1</v>
      </c>
      <c r="L429" s="58"/>
      <c r="M429" s="58"/>
      <c r="N429" s="62">
        <f t="shared" si="1137"/>
        <v>1</v>
      </c>
      <c r="O429" s="60"/>
      <c r="P429" s="58"/>
      <c r="Q429" s="62">
        <f t="shared" si="1138"/>
        <v>1</v>
      </c>
      <c r="R429" s="60"/>
      <c r="S429" s="58"/>
      <c r="T429" s="94">
        <f t="shared" si="1139"/>
        <v>1</v>
      </c>
      <c r="U429" s="60"/>
      <c r="V429" s="58"/>
      <c r="W429" s="62">
        <f t="shared" si="1140"/>
        <v>1</v>
      </c>
      <c r="X429" s="60"/>
      <c r="Y429" s="58"/>
      <c r="Z429" s="94">
        <f t="shared" si="1141"/>
        <v>1</v>
      </c>
      <c r="AA429" s="60"/>
      <c r="AB429" s="58"/>
      <c r="AC429" s="62">
        <f t="shared" si="1142"/>
        <v>1</v>
      </c>
      <c r="AD429" s="57"/>
      <c r="AE429" s="58"/>
      <c r="AF429" s="165">
        <f t="shared" si="1143"/>
        <v>1</v>
      </c>
      <c r="AG429" s="60"/>
      <c r="AH429" s="58"/>
      <c r="AI429" s="62">
        <f t="shared" si="1144"/>
        <v>1</v>
      </c>
      <c r="AJ429" s="60"/>
      <c r="AK429" s="58"/>
      <c r="AL429" s="62">
        <f t="shared" si="1145"/>
        <v>1</v>
      </c>
      <c r="AM429" s="60"/>
      <c r="AN429" s="58"/>
      <c r="AO429" s="62">
        <f t="shared" si="1146"/>
        <v>1</v>
      </c>
      <c r="AP429" s="60"/>
      <c r="AQ429" s="58"/>
      <c r="AR429" s="62">
        <f t="shared" si="1147"/>
        <v>1</v>
      </c>
      <c r="AS429" s="60"/>
      <c r="AT429" s="58"/>
      <c r="AU429" s="62">
        <f t="shared" si="1148"/>
        <v>1</v>
      </c>
      <c r="AV429" s="96">
        <f t="shared" si="1154"/>
        <v>0</v>
      </c>
      <c r="AW429" s="83">
        <f t="shared" si="1155"/>
        <v>0</v>
      </c>
      <c r="AX429" s="98">
        <f t="shared" si="1150"/>
        <v>0</v>
      </c>
      <c r="AY429" s="99" t="e">
        <f t="shared" si="1151"/>
        <v>#DIV/0!</v>
      </c>
      <c r="AZ429" s="100">
        <f t="shared" si="1152"/>
        <v>0</v>
      </c>
      <c r="BA429" s="101">
        <v>1</v>
      </c>
      <c r="BB429" s="102">
        <v>0</v>
      </c>
      <c r="BC429" s="84">
        <f t="shared" si="1006"/>
        <v>1</v>
      </c>
      <c r="BD429" s="83">
        <f t="shared" si="1004"/>
        <v>1</v>
      </c>
      <c r="BE429" s="85">
        <v>2</v>
      </c>
      <c r="BF429" s="86">
        <v>44273.432083333333</v>
      </c>
      <c r="BG429" s="72" t="e">
        <f t="shared" si="1023"/>
        <v>#REF!</v>
      </c>
      <c r="BH429" s="103" t="e">
        <f t="shared" si="1153"/>
        <v>#REF!</v>
      </c>
      <c r="BI429" s="80" t="e">
        <f t="shared" si="1005"/>
        <v>#REF!</v>
      </c>
      <c r="BJ429" s="238">
        <v>1610</v>
      </c>
    </row>
    <row r="430" spans="1:293" ht="13">
      <c r="A430" s="49"/>
      <c r="B430" s="76"/>
      <c r="C430" s="77">
        <v>428</v>
      </c>
      <c r="D430" s="139" t="s">
        <v>1525</v>
      </c>
      <c r="E430" s="140">
        <v>1</v>
      </c>
      <c r="F430" s="80" t="s">
        <v>428</v>
      </c>
      <c r="G430" s="81" t="s">
        <v>855</v>
      </c>
      <c r="H430" s="81" t="s">
        <v>292</v>
      </c>
      <c r="I430" s="80" t="s">
        <v>458</v>
      </c>
      <c r="J430" s="82">
        <f t="shared" si="1136"/>
        <v>13</v>
      </c>
      <c r="K430" s="80">
        <v>7</v>
      </c>
      <c r="L430" s="57"/>
      <c r="M430" s="58"/>
      <c r="N430" s="59">
        <f t="shared" si="1137"/>
        <v>7</v>
      </c>
      <c r="O430" s="60"/>
      <c r="P430" s="58"/>
      <c r="Q430" s="59">
        <f t="shared" si="1138"/>
        <v>7</v>
      </c>
      <c r="R430" s="60"/>
      <c r="S430" s="58"/>
      <c r="T430" s="61">
        <f t="shared" si="1139"/>
        <v>7</v>
      </c>
      <c r="U430" s="60"/>
      <c r="V430" s="58"/>
      <c r="W430" s="59">
        <f t="shared" si="1140"/>
        <v>7</v>
      </c>
      <c r="X430" s="60"/>
      <c r="Y430" s="58"/>
      <c r="Z430" s="61">
        <f t="shared" si="1141"/>
        <v>7</v>
      </c>
      <c r="AA430" s="60"/>
      <c r="AB430" s="58"/>
      <c r="AC430" s="59">
        <f t="shared" si="1142"/>
        <v>7</v>
      </c>
      <c r="AD430" s="57"/>
      <c r="AE430" s="58">
        <v>4</v>
      </c>
      <c r="AF430" s="243">
        <f t="shared" si="1143"/>
        <v>3</v>
      </c>
      <c r="AG430" s="60">
        <v>10</v>
      </c>
      <c r="AH430" s="58"/>
      <c r="AI430" s="62">
        <f t="shared" si="1144"/>
        <v>13</v>
      </c>
      <c r="AJ430" s="60"/>
      <c r="AK430" s="58"/>
      <c r="AL430" s="62">
        <f t="shared" si="1145"/>
        <v>13</v>
      </c>
      <c r="AM430" s="60"/>
      <c r="AN430" s="58"/>
      <c r="AO430" s="62">
        <f t="shared" si="1146"/>
        <v>13</v>
      </c>
      <c r="AP430" s="60"/>
      <c r="AQ430" s="58"/>
      <c r="AR430" s="62">
        <f t="shared" si="1147"/>
        <v>13</v>
      </c>
      <c r="AS430" s="60"/>
      <c r="AT430" s="58"/>
      <c r="AU430" s="62">
        <f t="shared" si="1148"/>
        <v>13</v>
      </c>
      <c r="AV430" s="83">
        <f t="shared" si="1154"/>
        <v>10</v>
      </c>
      <c r="AW430" s="83">
        <f t="shared" si="1155"/>
        <v>4</v>
      </c>
      <c r="AX430" s="64">
        <f t="shared" si="1150"/>
        <v>4</v>
      </c>
      <c r="AY430" s="65">
        <f t="shared" si="1151"/>
        <v>4</v>
      </c>
      <c r="AZ430" s="66">
        <f t="shared" si="1152"/>
        <v>1</v>
      </c>
      <c r="BA430" s="67">
        <f>MAX(0, Table176252626[[#This Row],[Column6]])</f>
        <v>13</v>
      </c>
      <c r="BB430" s="68">
        <v>1</v>
      </c>
      <c r="BC430" s="84">
        <f t="shared" si="1006"/>
        <v>13</v>
      </c>
      <c r="BD430" s="83">
        <f t="shared" si="1004"/>
        <v>12</v>
      </c>
      <c r="BE430" s="85">
        <v>2</v>
      </c>
      <c r="BF430" s="86">
        <v>46242</v>
      </c>
      <c r="BG430" s="72" t="e">
        <f t="shared" si="1023"/>
        <v>#REF!</v>
      </c>
      <c r="BH430" s="87" t="e">
        <f t="shared" si="1153"/>
        <v>#REF!</v>
      </c>
      <c r="BI430" s="80" t="e">
        <f t="shared" si="1005"/>
        <v>#REF!</v>
      </c>
      <c r="BJ430" s="238">
        <v>85</v>
      </c>
    </row>
    <row r="431" spans="1:293" ht="13">
      <c r="A431" s="49"/>
      <c r="B431" s="76"/>
      <c r="C431" s="77">
        <v>429</v>
      </c>
      <c r="D431" s="139" t="s">
        <v>1525</v>
      </c>
      <c r="E431" s="140">
        <v>2</v>
      </c>
      <c r="F431" s="80" t="s">
        <v>667</v>
      </c>
      <c r="G431" s="81" t="s">
        <v>668</v>
      </c>
      <c r="H431" s="89" t="s">
        <v>292</v>
      </c>
      <c r="I431" s="80" t="s">
        <v>458</v>
      </c>
      <c r="J431" s="82">
        <f t="shared" si="1136"/>
        <v>1</v>
      </c>
      <c r="K431" s="80">
        <v>1</v>
      </c>
      <c r="L431" s="57"/>
      <c r="M431" s="58"/>
      <c r="N431" s="59">
        <f t="shared" si="1137"/>
        <v>1</v>
      </c>
      <c r="O431" s="60"/>
      <c r="P431" s="58"/>
      <c r="Q431" s="59">
        <f t="shared" si="1138"/>
        <v>1</v>
      </c>
      <c r="R431" s="60"/>
      <c r="S431" s="58"/>
      <c r="T431" s="61">
        <f t="shared" si="1139"/>
        <v>1</v>
      </c>
      <c r="U431" s="60"/>
      <c r="V431" s="58"/>
      <c r="W431" s="59">
        <f t="shared" si="1140"/>
        <v>1</v>
      </c>
      <c r="X431" s="60"/>
      <c r="Y431" s="58"/>
      <c r="Z431" s="61">
        <f t="shared" si="1141"/>
        <v>1</v>
      </c>
      <c r="AA431" s="60"/>
      <c r="AB431" s="58"/>
      <c r="AC431" s="59">
        <f t="shared" si="1142"/>
        <v>1</v>
      </c>
      <c r="AD431" s="57"/>
      <c r="AE431" s="58"/>
      <c r="AF431" s="243">
        <f t="shared" si="1143"/>
        <v>1</v>
      </c>
      <c r="AG431" s="60"/>
      <c r="AH431" s="58"/>
      <c r="AI431" s="62">
        <f t="shared" si="1144"/>
        <v>1</v>
      </c>
      <c r="AJ431" s="60"/>
      <c r="AK431" s="58"/>
      <c r="AL431" s="62">
        <f t="shared" si="1145"/>
        <v>1</v>
      </c>
      <c r="AM431" s="60"/>
      <c r="AN431" s="58"/>
      <c r="AO431" s="62">
        <f t="shared" si="1146"/>
        <v>1</v>
      </c>
      <c r="AP431" s="60"/>
      <c r="AQ431" s="58"/>
      <c r="AR431" s="62">
        <f t="shared" si="1147"/>
        <v>1</v>
      </c>
      <c r="AS431" s="60"/>
      <c r="AT431" s="58"/>
      <c r="AU431" s="62">
        <f t="shared" si="1148"/>
        <v>1</v>
      </c>
      <c r="AV431" s="83">
        <f t="shared" si="1154"/>
        <v>0</v>
      </c>
      <c r="AW431" s="83">
        <f t="shared" si="1155"/>
        <v>0</v>
      </c>
      <c r="AX431" s="64">
        <f t="shared" si="1150"/>
        <v>0</v>
      </c>
      <c r="AY431" s="65" t="e">
        <f t="shared" si="1151"/>
        <v>#DIV/0!</v>
      </c>
      <c r="AZ431" s="66">
        <f t="shared" si="1152"/>
        <v>0</v>
      </c>
      <c r="BA431" s="67">
        <f>MAX(0, Table176252626[[#This Row],[Column6]])</f>
        <v>1</v>
      </c>
      <c r="BB431" s="68">
        <v>0</v>
      </c>
      <c r="BC431" s="84">
        <f t="shared" si="1006"/>
        <v>1</v>
      </c>
      <c r="BD431" s="83">
        <f t="shared" si="1004"/>
        <v>1</v>
      </c>
      <c r="BE431" s="85">
        <v>2</v>
      </c>
      <c r="BF431" s="86">
        <v>44452.413819444446</v>
      </c>
      <c r="BG431" s="72" t="e">
        <f t="shared" si="1023"/>
        <v>#REF!</v>
      </c>
      <c r="BH431" s="107" t="e">
        <f t="shared" si="1153"/>
        <v>#REF!</v>
      </c>
      <c r="BI431" s="80" t="e">
        <f t="shared" si="1005"/>
        <v>#REF!</v>
      </c>
      <c r="BJ431" s="238">
        <v>1750</v>
      </c>
    </row>
    <row r="432" spans="1:293" ht="13">
      <c r="A432" s="49"/>
      <c r="B432" s="50"/>
      <c r="C432" s="51">
        <v>430</v>
      </c>
      <c r="D432" s="139" t="s">
        <v>1525</v>
      </c>
      <c r="E432" s="140">
        <v>3</v>
      </c>
      <c r="F432" s="80" t="s">
        <v>934</v>
      </c>
      <c r="G432" s="81" t="s">
        <v>1262</v>
      </c>
      <c r="H432" s="81" t="s">
        <v>292</v>
      </c>
      <c r="I432" s="80" t="s">
        <v>458</v>
      </c>
      <c r="J432" s="82">
        <f t="shared" si="1136"/>
        <v>2</v>
      </c>
      <c r="K432" s="80">
        <v>2</v>
      </c>
      <c r="L432" s="57"/>
      <c r="M432" s="58"/>
      <c r="N432" s="59">
        <f t="shared" si="1137"/>
        <v>2</v>
      </c>
      <c r="O432" s="60"/>
      <c r="P432" s="58"/>
      <c r="Q432" s="59">
        <f t="shared" si="1138"/>
        <v>2</v>
      </c>
      <c r="R432" s="60"/>
      <c r="S432" s="58"/>
      <c r="T432" s="61">
        <f t="shared" si="1139"/>
        <v>2</v>
      </c>
      <c r="U432" s="60"/>
      <c r="V432" s="58"/>
      <c r="W432" s="59">
        <f t="shared" si="1140"/>
        <v>2</v>
      </c>
      <c r="X432" s="60"/>
      <c r="Y432" s="58"/>
      <c r="Z432" s="61">
        <f t="shared" si="1141"/>
        <v>2</v>
      </c>
      <c r="AA432" s="60"/>
      <c r="AB432" s="58"/>
      <c r="AC432" s="59">
        <f t="shared" si="1142"/>
        <v>2</v>
      </c>
      <c r="AD432" s="57"/>
      <c r="AE432" s="58"/>
      <c r="AF432" s="243">
        <f t="shared" si="1143"/>
        <v>2</v>
      </c>
      <c r="AG432" s="60"/>
      <c r="AH432" s="58"/>
      <c r="AI432" s="62">
        <f t="shared" si="1144"/>
        <v>2</v>
      </c>
      <c r="AJ432" s="60"/>
      <c r="AK432" s="58"/>
      <c r="AL432" s="62">
        <f t="shared" si="1145"/>
        <v>2</v>
      </c>
      <c r="AM432" s="60"/>
      <c r="AN432" s="58"/>
      <c r="AO432" s="62">
        <f t="shared" si="1146"/>
        <v>2</v>
      </c>
      <c r="AP432" s="60"/>
      <c r="AQ432" s="58"/>
      <c r="AR432" s="62">
        <f t="shared" si="1147"/>
        <v>2</v>
      </c>
      <c r="AS432" s="60"/>
      <c r="AT432" s="58"/>
      <c r="AU432" s="62">
        <f t="shared" ref="AU432" si="1163">SUM(AR432+AS432-AT432)</f>
        <v>2</v>
      </c>
      <c r="AV432" s="83">
        <f t="shared" ref="AV432" si="1164">SUM(L432+O432+R432+U432+X432+AA432+AD432+AG432+AJ432+AM432+AP432+AS432)</f>
        <v>0</v>
      </c>
      <c r="AW432" s="83">
        <f t="shared" si="1155"/>
        <v>0</v>
      </c>
      <c r="AX432" s="64">
        <f t="shared" ref="AX432" si="1165">SUM(M432,P432,S432,V432,Y432,AB432,AE432,AH432,AK432,AN432,AQ432,AT432)</f>
        <v>0</v>
      </c>
      <c r="AY432" s="65" t="e">
        <f t="shared" si="1151"/>
        <v>#DIV/0!</v>
      </c>
      <c r="AZ432" s="66">
        <f t="shared" si="1152"/>
        <v>0</v>
      </c>
      <c r="BA432" s="67">
        <f>MAX(0, Table176252626[[#This Row],[Column6]])</f>
        <v>2</v>
      </c>
      <c r="BB432" s="68">
        <v>1</v>
      </c>
      <c r="BC432" s="84">
        <f t="shared" si="1006"/>
        <v>2</v>
      </c>
      <c r="BD432" s="83">
        <f t="shared" si="1004"/>
        <v>1</v>
      </c>
      <c r="BE432" s="85">
        <v>2</v>
      </c>
      <c r="BF432" s="86">
        <v>44904.541006944448</v>
      </c>
      <c r="BG432" s="72" t="e">
        <f t="shared" si="1023"/>
        <v>#REF!</v>
      </c>
      <c r="BH432" s="87" t="e">
        <f t="shared" si="1153"/>
        <v>#REF!</v>
      </c>
      <c r="BI432" s="80" t="e">
        <f t="shared" si="1005"/>
        <v>#REF!</v>
      </c>
      <c r="BJ432" s="238">
        <v>3692.5</v>
      </c>
    </row>
    <row r="433" spans="1:62" ht="13">
      <c r="A433" s="75"/>
      <c r="B433" s="76"/>
      <c r="C433" s="51">
        <v>431</v>
      </c>
      <c r="D433" s="139" t="s">
        <v>1525</v>
      </c>
      <c r="E433" s="140">
        <v>4</v>
      </c>
      <c r="F433" s="80" t="s">
        <v>1135</v>
      </c>
      <c r="G433" s="81" t="s">
        <v>1134</v>
      </c>
      <c r="H433" s="81" t="s">
        <v>292</v>
      </c>
      <c r="I433" s="80" t="s">
        <v>458</v>
      </c>
      <c r="J433" s="82">
        <f t="shared" si="1136"/>
        <v>6</v>
      </c>
      <c r="K433" s="80">
        <v>6</v>
      </c>
      <c r="L433" s="57"/>
      <c r="M433" s="58"/>
      <c r="N433" s="59">
        <f t="shared" si="1137"/>
        <v>6</v>
      </c>
      <c r="O433" s="60"/>
      <c r="P433" s="58"/>
      <c r="Q433" s="59">
        <f t="shared" si="1138"/>
        <v>6</v>
      </c>
      <c r="R433" s="60"/>
      <c r="S433" s="58"/>
      <c r="T433" s="61">
        <f t="shared" si="1139"/>
        <v>6</v>
      </c>
      <c r="U433" s="60"/>
      <c r="V433" s="58"/>
      <c r="W433" s="59">
        <f t="shared" si="1140"/>
        <v>6</v>
      </c>
      <c r="X433" s="60"/>
      <c r="Y433" s="58"/>
      <c r="Z433" s="61">
        <f t="shared" si="1141"/>
        <v>6</v>
      </c>
      <c r="AA433" s="60"/>
      <c r="AB433" s="58"/>
      <c r="AC433" s="59">
        <f t="shared" si="1142"/>
        <v>6</v>
      </c>
      <c r="AD433" s="57"/>
      <c r="AE433" s="58"/>
      <c r="AF433" s="243">
        <f t="shared" si="1143"/>
        <v>6</v>
      </c>
      <c r="AG433" s="60"/>
      <c r="AH433" s="58"/>
      <c r="AI433" s="62">
        <f t="shared" si="1144"/>
        <v>6</v>
      </c>
      <c r="AJ433" s="60"/>
      <c r="AK433" s="58"/>
      <c r="AL433" s="62">
        <f t="shared" si="1145"/>
        <v>6</v>
      </c>
      <c r="AM433" s="60"/>
      <c r="AN433" s="58"/>
      <c r="AO433" s="62">
        <f t="shared" si="1146"/>
        <v>6</v>
      </c>
      <c r="AP433" s="60"/>
      <c r="AQ433" s="58"/>
      <c r="AR433" s="104">
        <f t="shared" si="1147"/>
        <v>6</v>
      </c>
      <c r="AS433" s="57"/>
      <c r="AT433" s="58"/>
      <c r="AU433" s="62">
        <f t="shared" ref="AU433:AU444" si="1166">SUM(AR433+AS433-AT433)</f>
        <v>6</v>
      </c>
      <c r="AV433" s="84">
        <f>SUM(L433+O433+R433+U433+X433+AA433+AD433+AG433+AJ433+AM433+AP433+AS433)</f>
        <v>0</v>
      </c>
      <c r="AW433" s="83">
        <f t="shared" si="1155"/>
        <v>0</v>
      </c>
      <c r="AX433" s="64">
        <f t="shared" ref="AX433:AX444" si="1167">SUM(M433,P433,S433,V433,Y433,AB433,AE433,AH433,AK433,AN433,AQ433,AT433)</f>
        <v>0</v>
      </c>
      <c r="AY433" s="65" t="e">
        <f t="shared" si="1151"/>
        <v>#DIV/0!</v>
      </c>
      <c r="AZ433" s="66">
        <f t="shared" si="1152"/>
        <v>0</v>
      </c>
      <c r="BA433" s="67">
        <f>MAX(0, Table176252626[[#This Row],[Column6]])</f>
        <v>6</v>
      </c>
      <c r="BB433" s="68">
        <v>1</v>
      </c>
      <c r="BC433" s="84">
        <f t="shared" si="1006"/>
        <v>6</v>
      </c>
      <c r="BD433" s="83">
        <f t="shared" si="1004"/>
        <v>5</v>
      </c>
      <c r="BE433" s="85">
        <v>2</v>
      </c>
      <c r="BF433" s="86">
        <v>44791.727256944447</v>
      </c>
      <c r="BG433" s="72" t="e">
        <f t="shared" si="1023"/>
        <v>#REF!</v>
      </c>
      <c r="BH433" s="87" t="e">
        <f t="shared" si="1153"/>
        <v>#REF!</v>
      </c>
      <c r="BI433" s="80" t="e">
        <f t="shared" si="1005"/>
        <v>#REF!</v>
      </c>
      <c r="BJ433" s="238">
        <v>330.06</v>
      </c>
    </row>
    <row r="434" spans="1:62" ht="13">
      <c r="A434" s="90"/>
      <c r="B434" s="91"/>
      <c r="C434" s="51">
        <v>432</v>
      </c>
      <c r="D434" s="139" t="s">
        <v>1525</v>
      </c>
      <c r="E434" s="140">
        <v>4</v>
      </c>
      <c r="F434" s="80" t="s">
        <v>1137</v>
      </c>
      <c r="G434" s="81" t="s">
        <v>1136</v>
      </c>
      <c r="H434" s="81" t="s">
        <v>292</v>
      </c>
      <c r="I434" s="80" t="s">
        <v>458</v>
      </c>
      <c r="J434" s="82">
        <f t="shared" si="1136"/>
        <v>4</v>
      </c>
      <c r="K434" s="80">
        <v>4</v>
      </c>
      <c r="L434" s="57"/>
      <c r="M434" s="58"/>
      <c r="N434" s="59">
        <f t="shared" si="1137"/>
        <v>4</v>
      </c>
      <c r="O434" s="60"/>
      <c r="P434" s="58"/>
      <c r="Q434" s="59">
        <f t="shared" si="1138"/>
        <v>4</v>
      </c>
      <c r="R434" s="60"/>
      <c r="S434" s="58"/>
      <c r="T434" s="61">
        <f t="shared" si="1139"/>
        <v>4</v>
      </c>
      <c r="U434" s="60"/>
      <c r="V434" s="58"/>
      <c r="W434" s="59">
        <f t="shared" si="1140"/>
        <v>4</v>
      </c>
      <c r="X434" s="60"/>
      <c r="Y434" s="58"/>
      <c r="Z434" s="61">
        <f t="shared" si="1141"/>
        <v>4</v>
      </c>
      <c r="AA434" s="60"/>
      <c r="AB434" s="58"/>
      <c r="AC434" s="59">
        <f t="shared" si="1142"/>
        <v>4</v>
      </c>
      <c r="AD434" s="57"/>
      <c r="AE434" s="58"/>
      <c r="AF434" s="243">
        <f t="shared" si="1143"/>
        <v>4</v>
      </c>
      <c r="AG434" s="60"/>
      <c r="AH434" s="58"/>
      <c r="AI434" s="62">
        <f t="shared" si="1144"/>
        <v>4</v>
      </c>
      <c r="AJ434" s="60"/>
      <c r="AK434" s="58"/>
      <c r="AL434" s="62">
        <f t="shared" si="1145"/>
        <v>4</v>
      </c>
      <c r="AM434" s="60"/>
      <c r="AN434" s="58"/>
      <c r="AO434" s="62">
        <f t="shared" si="1146"/>
        <v>4</v>
      </c>
      <c r="AP434" s="60"/>
      <c r="AQ434" s="58"/>
      <c r="AR434" s="104">
        <f t="shared" si="1147"/>
        <v>4</v>
      </c>
      <c r="AS434" s="57"/>
      <c r="AT434" s="58"/>
      <c r="AU434" s="62">
        <f t="shared" si="1166"/>
        <v>4</v>
      </c>
      <c r="AV434" s="84">
        <f>SUM(L434+O434+R434+U434+X434+AA434+AD434+AG434+AJ434+AM434+AP434+AS434)</f>
        <v>0</v>
      </c>
      <c r="AW434" s="83">
        <f t="shared" si="1155"/>
        <v>0</v>
      </c>
      <c r="AX434" s="64">
        <f t="shared" si="1167"/>
        <v>0</v>
      </c>
      <c r="AY434" s="65" t="e">
        <f t="shared" si="1151"/>
        <v>#DIV/0!</v>
      </c>
      <c r="AZ434" s="66">
        <f t="shared" si="1152"/>
        <v>0</v>
      </c>
      <c r="BA434" s="67">
        <f>MAX(0, Table176252626[[#This Row],[Column6]])</f>
        <v>4</v>
      </c>
      <c r="BB434" s="68">
        <v>1</v>
      </c>
      <c r="BC434" s="84">
        <f t="shared" si="1006"/>
        <v>4</v>
      </c>
      <c r="BD434" s="83">
        <f t="shared" si="1004"/>
        <v>3</v>
      </c>
      <c r="BE434" s="85">
        <v>2</v>
      </c>
      <c r="BF434" s="86">
        <v>44791.727256944447</v>
      </c>
      <c r="BG434" s="72" t="e">
        <f t="shared" si="1023"/>
        <v>#REF!</v>
      </c>
      <c r="BH434" s="87" t="e">
        <f t="shared" si="1153"/>
        <v>#REF!</v>
      </c>
      <c r="BI434" s="80" t="e">
        <f t="shared" si="1005"/>
        <v>#REF!</v>
      </c>
      <c r="BJ434" s="238">
        <v>258.12</v>
      </c>
    </row>
    <row r="435" spans="1:62" ht="13">
      <c r="A435" s="49"/>
      <c r="B435" s="76"/>
      <c r="C435" s="51">
        <v>433</v>
      </c>
      <c r="D435" s="139" t="s">
        <v>1525</v>
      </c>
      <c r="E435" s="140">
        <v>4</v>
      </c>
      <c r="F435" s="88" t="s">
        <v>243</v>
      </c>
      <c r="G435" s="89" t="s">
        <v>244</v>
      </c>
      <c r="H435" s="81" t="s">
        <v>292</v>
      </c>
      <c r="I435" s="80" t="s">
        <v>458</v>
      </c>
      <c r="J435" s="82">
        <f t="shared" si="1136"/>
        <v>1</v>
      </c>
      <c r="K435" s="88">
        <v>1</v>
      </c>
      <c r="L435" s="57"/>
      <c r="M435" s="58"/>
      <c r="N435" s="59">
        <f t="shared" si="1137"/>
        <v>1</v>
      </c>
      <c r="O435" s="60"/>
      <c r="P435" s="58"/>
      <c r="Q435" s="59">
        <f t="shared" si="1138"/>
        <v>1</v>
      </c>
      <c r="R435" s="60"/>
      <c r="S435" s="58"/>
      <c r="T435" s="61">
        <f t="shared" si="1139"/>
        <v>1</v>
      </c>
      <c r="U435" s="60"/>
      <c r="V435" s="58"/>
      <c r="W435" s="59">
        <f t="shared" si="1140"/>
        <v>1</v>
      </c>
      <c r="X435" s="60"/>
      <c r="Y435" s="58"/>
      <c r="Z435" s="61">
        <f t="shared" si="1141"/>
        <v>1</v>
      </c>
      <c r="AA435" s="60"/>
      <c r="AB435" s="58"/>
      <c r="AC435" s="59">
        <f t="shared" si="1142"/>
        <v>1</v>
      </c>
      <c r="AD435" s="57"/>
      <c r="AE435" s="58"/>
      <c r="AF435" s="243">
        <f t="shared" si="1143"/>
        <v>1</v>
      </c>
      <c r="AG435" s="60"/>
      <c r="AH435" s="58"/>
      <c r="AI435" s="62">
        <f t="shared" si="1144"/>
        <v>1</v>
      </c>
      <c r="AJ435" s="60"/>
      <c r="AK435" s="58"/>
      <c r="AL435" s="62">
        <f t="shared" si="1145"/>
        <v>1</v>
      </c>
      <c r="AM435" s="60"/>
      <c r="AN435" s="58"/>
      <c r="AO435" s="62">
        <f t="shared" si="1146"/>
        <v>1</v>
      </c>
      <c r="AP435" s="60"/>
      <c r="AQ435" s="58"/>
      <c r="AR435" s="62">
        <f t="shared" si="1147"/>
        <v>1</v>
      </c>
      <c r="AS435" s="60"/>
      <c r="AT435" s="58"/>
      <c r="AU435" s="62">
        <f t="shared" si="1166"/>
        <v>1</v>
      </c>
      <c r="AV435" s="83">
        <f t="shared" ref="AV435" si="1168">SUM(L435+O435+R435+U435+X435+AA435+AD435+AG435+AJ435+AM435+AP435+AS435)</f>
        <v>0</v>
      </c>
      <c r="AW435" s="83">
        <f t="shared" si="1155"/>
        <v>0</v>
      </c>
      <c r="AX435" s="64">
        <f t="shared" si="1167"/>
        <v>0</v>
      </c>
      <c r="AY435" s="65" t="e">
        <f t="shared" si="1151"/>
        <v>#DIV/0!</v>
      </c>
      <c r="AZ435" s="66">
        <f t="shared" si="1152"/>
        <v>0</v>
      </c>
      <c r="BA435" s="67">
        <f>MAX(0, Table176252626[[#This Row],[Column6]])</f>
        <v>1</v>
      </c>
      <c r="BB435" s="68">
        <v>0</v>
      </c>
      <c r="BC435" s="84">
        <f t="shared" si="1006"/>
        <v>1</v>
      </c>
      <c r="BD435" s="83">
        <f t="shared" si="1004"/>
        <v>1</v>
      </c>
      <c r="BE435" s="85">
        <v>2</v>
      </c>
      <c r="BF435" s="86">
        <v>44225.657824074071</v>
      </c>
      <c r="BG435" s="72" t="e">
        <f t="shared" si="1023"/>
        <v>#REF!</v>
      </c>
      <c r="BH435" s="87" t="e">
        <f t="shared" si="1153"/>
        <v>#REF!</v>
      </c>
      <c r="BI435" s="80" t="e">
        <f t="shared" si="1005"/>
        <v>#REF!</v>
      </c>
      <c r="BJ435" s="238">
        <v>8300</v>
      </c>
    </row>
    <row r="436" spans="1:62" ht="13">
      <c r="A436" s="49"/>
      <c r="B436" s="50"/>
      <c r="C436" s="77">
        <v>434</v>
      </c>
      <c r="D436" s="139" t="s">
        <v>1525</v>
      </c>
      <c r="E436" s="140">
        <v>5</v>
      </c>
      <c r="F436" s="121" t="s">
        <v>819</v>
      </c>
      <c r="G436" s="122" t="s">
        <v>844</v>
      </c>
      <c r="H436" s="55" t="s">
        <v>295</v>
      </c>
      <c r="I436" s="80" t="s">
        <v>458</v>
      </c>
      <c r="J436" s="82">
        <f t="shared" si="1136"/>
        <v>2</v>
      </c>
      <c r="K436" s="80">
        <v>2</v>
      </c>
      <c r="L436" s="57"/>
      <c r="M436" s="58"/>
      <c r="N436" s="59">
        <f t="shared" si="1137"/>
        <v>2</v>
      </c>
      <c r="O436" s="60"/>
      <c r="P436" s="58"/>
      <c r="Q436" s="59">
        <f t="shared" si="1138"/>
        <v>2</v>
      </c>
      <c r="R436" s="60"/>
      <c r="S436" s="58"/>
      <c r="T436" s="61">
        <f t="shared" si="1139"/>
        <v>2</v>
      </c>
      <c r="U436" s="60"/>
      <c r="V436" s="58"/>
      <c r="W436" s="59">
        <f t="shared" si="1140"/>
        <v>2</v>
      </c>
      <c r="X436" s="60"/>
      <c r="Y436" s="58"/>
      <c r="Z436" s="61">
        <f t="shared" si="1141"/>
        <v>2</v>
      </c>
      <c r="AA436" s="60"/>
      <c r="AB436" s="58"/>
      <c r="AC436" s="59">
        <f t="shared" si="1142"/>
        <v>2</v>
      </c>
      <c r="AD436" s="57"/>
      <c r="AE436" s="58"/>
      <c r="AF436" s="243">
        <f t="shared" si="1143"/>
        <v>2</v>
      </c>
      <c r="AG436" s="60"/>
      <c r="AH436" s="58"/>
      <c r="AI436" s="62">
        <f t="shared" si="1144"/>
        <v>2</v>
      </c>
      <c r="AJ436" s="60"/>
      <c r="AK436" s="58"/>
      <c r="AL436" s="62">
        <f t="shared" si="1145"/>
        <v>2</v>
      </c>
      <c r="AM436" s="60"/>
      <c r="AN436" s="58"/>
      <c r="AO436" s="62">
        <f t="shared" si="1146"/>
        <v>2</v>
      </c>
      <c r="AP436" s="60"/>
      <c r="AQ436" s="58"/>
      <c r="AR436" s="62">
        <f t="shared" si="1147"/>
        <v>2</v>
      </c>
      <c r="AS436" s="60"/>
      <c r="AT436" s="58"/>
      <c r="AU436" s="62">
        <f t="shared" si="1166"/>
        <v>2</v>
      </c>
      <c r="AV436" s="83">
        <f t="shared" ref="AV436:AV437" si="1169">SUM(L436+O436+R436+U436+X436+AA436+AD436+AG436+AJ436+AM436+AP436+AS436)</f>
        <v>0</v>
      </c>
      <c r="AW436" s="83">
        <f t="shared" si="1155"/>
        <v>0</v>
      </c>
      <c r="AX436" s="64">
        <f t="shared" si="1167"/>
        <v>0</v>
      </c>
      <c r="AY436" s="65" t="e">
        <f t="shared" si="1151"/>
        <v>#DIV/0!</v>
      </c>
      <c r="AZ436" s="66">
        <f t="shared" si="1152"/>
        <v>0</v>
      </c>
      <c r="BA436" s="67">
        <f>MAX(0, Table176252626[[#This Row],[Column6]])</f>
        <v>2</v>
      </c>
      <c r="BB436" s="68">
        <v>1</v>
      </c>
      <c r="BC436" s="84">
        <f t="shared" si="1006"/>
        <v>2</v>
      </c>
      <c r="BD436" s="83">
        <f t="shared" si="1004"/>
        <v>1</v>
      </c>
      <c r="BE436" s="85">
        <v>2</v>
      </c>
      <c r="BF436" s="86">
        <v>43914.388275462959</v>
      </c>
      <c r="BG436" s="72" t="e">
        <f t="shared" si="1023"/>
        <v>#REF!</v>
      </c>
      <c r="BH436" s="87" t="e">
        <f t="shared" si="1153"/>
        <v>#REF!</v>
      </c>
      <c r="BI436" s="80" t="e">
        <f t="shared" si="1005"/>
        <v>#REF!</v>
      </c>
      <c r="BJ436" s="238">
        <v>5710</v>
      </c>
    </row>
    <row r="437" spans="1:62" ht="13">
      <c r="A437" s="90"/>
      <c r="B437" s="91"/>
      <c r="C437" s="77">
        <v>435</v>
      </c>
      <c r="D437" s="139" t="s">
        <v>1525</v>
      </c>
      <c r="E437" s="140">
        <v>6</v>
      </c>
      <c r="F437" s="121" t="s">
        <v>818</v>
      </c>
      <c r="G437" s="122" t="s">
        <v>843</v>
      </c>
      <c r="H437" s="55" t="s">
        <v>295</v>
      </c>
      <c r="I437" s="80" t="s">
        <v>458</v>
      </c>
      <c r="J437" s="82">
        <f t="shared" si="1136"/>
        <v>1</v>
      </c>
      <c r="K437" s="80">
        <v>1</v>
      </c>
      <c r="L437" s="57"/>
      <c r="M437" s="58"/>
      <c r="N437" s="59">
        <f t="shared" si="1137"/>
        <v>1</v>
      </c>
      <c r="O437" s="60"/>
      <c r="P437" s="58"/>
      <c r="Q437" s="59">
        <f t="shared" si="1138"/>
        <v>1</v>
      </c>
      <c r="R437" s="60"/>
      <c r="S437" s="58"/>
      <c r="T437" s="61">
        <f t="shared" si="1139"/>
        <v>1</v>
      </c>
      <c r="U437" s="60"/>
      <c r="V437" s="58"/>
      <c r="W437" s="59">
        <f t="shared" si="1140"/>
        <v>1</v>
      </c>
      <c r="X437" s="60"/>
      <c r="Y437" s="58"/>
      <c r="Z437" s="61">
        <f t="shared" si="1141"/>
        <v>1</v>
      </c>
      <c r="AA437" s="60"/>
      <c r="AB437" s="58"/>
      <c r="AC437" s="59">
        <f t="shared" si="1142"/>
        <v>1</v>
      </c>
      <c r="AD437" s="57"/>
      <c r="AE437" s="58"/>
      <c r="AF437" s="243">
        <f t="shared" si="1143"/>
        <v>1</v>
      </c>
      <c r="AG437" s="60"/>
      <c r="AH437" s="58"/>
      <c r="AI437" s="62">
        <f t="shared" si="1144"/>
        <v>1</v>
      </c>
      <c r="AJ437" s="60"/>
      <c r="AK437" s="58"/>
      <c r="AL437" s="62">
        <f t="shared" si="1145"/>
        <v>1</v>
      </c>
      <c r="AM437" s="60"/>
      <c r="AN437" s="58"/>
      <c r="AO437" s="62">
        <f t="shared" si="1146"/>
        <v>1</v>
      </c>
      <c r="AP437" s="60"/>
      <c r="AQ437" s="58"/>
      <c r="AR437" s="62">
        <f t="shared" si="1147"/>
        <v>1</v>
      </c>
      <c r="AS437" s="60"/>
      <c r="AT437" s="58"/>
      <c r="AU437" s="62">
        <f t="shared" si="1166"/>
        <v>1</v>
      </c>
      <c r="AV437" s="83">
        <f t="shared" si="1169"/>
        <v>0</v>
      </c>
      <c r="AW437" s="83">
        <f t="shared" si="1155"/>
        <v>0</v>
      </c>
      <c r="AX437" s="64">
        <f t="shared" si="1167"/>
        <v>0</v>
      </c>
      <c r="AY437" s="65" t="e">
        <f t="shared" si="1151"/>
        <v>#DIV/0!</v>
      </c>
      <c r="AZ437" s="66">
        <f t="shared" si="1152"/>
        <v>0</v>
      </c>
      <c r="BA437" s="67">
        <f>MAX(0, Table176252626[[#This Row],[Column6]])</f>
        <v>1</v>
      </c>
      <c r="BB437" s="68">
        <v>0</v>
      </c>
      <c r="BC437" s="84">
        <f t="shared" si="1006"/>
        <v>1</v>
      </c>
      <c r="BD437" s="83">
        <f t="shared" si="1004"/>
        <v>1</v>
      </c>
      <c r="BE437" s="85">
        <v>2</v>
      </c>
      <c r="BF437" s="86">
        <v>43914.388275462959</v>
      </c>
      <c r="BG437" s="72" t="e">
        <f t="shared" si="1023"/>
        <v>#REF!</v>
      </c>
      <c r="BH437" s="87" t="e">
        <f t="shared" si="1153"/>
        <v>#REF!</v>
      </c>
      <c r="BI437" s="80" t="e">
        <f t="shared" si="1005"/>
        <v>#REF!</v>
      </c>
      <c r="BJ437" s="238">
        <v>5710</v>
      </c>
    </row>
    <row r="438" spans="1:62" ht="13">
      <c r="A438" s="49"/>
      <c r="B438" s="50"/>
      <c r="C438" s="51">
        <v>436</v>
      </c>
      <c r="D438" s="139" t="s">
        <v>1525</v>
      </c>
      <c r="E438" s="140">
        <v>7</v>
      </c>
      <c r="F438" s="88" t="s">
        <v>1493</v>
      </c>
      <c r="G438" s="89" t="s">
        <v>1494</v>
      </c>
      <c r="H438" s="89" t="s">
        <v>292</v>
      </c>
      <c r="I438" s="88" t="s">
        <v>458</v>
      </c>
      <c r="J438" s="93">
        <f t="shared" si="1136"/>
        <v>2</v>
      </c>
      <c r="K438" s="88">
        <v>2</v>
      </c>
      <c r="L438" s="58"/>
      <c r="M438" s="58"/>
      <c r="N438" s="62">
        <f t="shared" si="1137"/>
        <v>2</v>
      </c>
      <c r="O438" s="60"/>
      <c r="P438" s="58"/>
      <c r="Q438" s="62">
        <f t="shared" si="1138"/>
        <v>2</v>
      </c>
      <c r="R438" s="60"/>
      <c r="S438" s="58"/>
      <c r="T438" s="94">
        <f t="shared" si="1139"/>
        <v>2</v>
      </c>
      <c r="U438" s="60"/>
      <c r="V438" s="58">
        <v>1</v>
      </c>
      <c r="W438" s="62">
        <f t="shared" si="1140"/>
        <v>1</v>
      </c>
      <c r="X438" s="60"/>
      <c r="Y438" s="58"/>
      <c r="Z438" s="94">
        <f t="shared" si="1141"/>
        <v>1</v>
      </c>
      <c r="AA438" s="60"/>
      <c r="AB438" s="58"/>
      <c r="AC438" s="62">
        <f t="shared" si="1142"/>
        <v>1</v>
      </c>
      <c r="AD438" s="57"/>
      <c r="AE438" s="58"/>
      <c r="AF438" s="165">
        <f t="shared" si="1143"/>
        <v>1</v>
      </c>
      <c r="AG438" s="60">
        <v>1</v>
      </c>
      <c r="AH438" s="58"/>
      <c r="AI438" s="62">
        <f t="shared" si="1144"/>
        <v>2</v>
      </c>
      <c r="AJ438" s="60"/>
      <c r="AK438" s="58"/>
      <c r="AL438" s="62">
        <f t="shared" si="1145"/>
        <v>2</v>
      </c>
      <c r="AM438" s="60"/>
      <c r="AN438" s="58"/>
      <c r="AO438" s="62">
        <f t="shared" si="1146"/>
        <v>2</v>
      </c>
      <c r="AP438" s="60"/>
      <c r="AQ438" s="58"/>
      <c r="AR438" s="62">
        <f t="shared" si="1147"/>
        <v>2</v>
      </c>
      <c r="AS438" s="60"/>
      <c r="AT438" s="58"/>
      <c r="AU438" s="62">
        <f t="shared" si="1166"/>
        <v>2</v>
      </c>
      <c r="AV438" s="96">
        <f>SUM(L438+O438+R438+U438+X438+AA438+AD438+AG438+AJ438+AM438+AP438+AS438)</f>
        <v>1</v>
      </c>
      <c r="AW438" s="83">
        <f t="shared" si="1155"/>
        <v>1</v>
      </c>
      <c r="AX438" s="98">
        <f t="shared" si="1167"/>
        <v>1</v>
      </c>
      <c r="AY438" s="99">
        <f t="shared" si="1151"/>
        <v>1</v>
      </c>
      <c r="AZ438" s="100">
        <f t="shared" si="1152"/>
        <v>1</v>
      </c>
      <c r="BA438" s="101">
        <f>MAX(M438,P438,S438,V438,Y438,AB438,AE438,AH438,AK438,AN438,AQ438,AT438)</f>
        <v>1</v>
      </c>
      <c r="BB438" s="102">
        <v>0</v>
      </c>
      <c r="BC438" s="84">
        <f t="shared" si="1006"/>
        <v>2</v>
      </c>
      <c r="BD438" s="83">
        <f t="shared" si="1004"/>
        <v>2</v>
      </c>
      <c r="BE438" s="85">
        <v>2</v>
      </c>
      <c r="BF438" s="86">
        <v>45253.765717592592</v>
      </c>
      <c r="BG438" s="72" t="e">
        <f t="shared" si="1023"/>
        <v>#REF!</v>
      </c>
      <c r="BH438" s="103" t="e">
        <f t="shared" si="1153"/>
        <v>#REF!</v>
      </c>
      <c r="BI438" s="80" t="e">
        <f t="shared" si="1005"/>
        <v>#REF!</v>
      </c>
      <c r="BJ438" s="238">
        <v>1088.08</v>
      </c>
    </row>
    <row r="439" spans="1:62" ht="13">
      <c r="A439" s="49"/>
      <c r="B439" s="50"/>
      <c r="C439" s="51">
        <v>437</v>
      </c>
      <c r="D439" s="139" t="s">
        <v>1525</v>
      </c>
      <c r="E439" s="140">
        <v>8</v>
      </c>
      <c r="F439" s="54" t="s">
        <v>770</v>
      </c>
      <c r="G439" s="55" t="s">
        <v>771</v>
      </c>
      <c r="H439" s="81" t="s">
        <v>292</v>
      </c>
      <c r="I439" s="80" t="s">
        <v>458</v>
      </c>
      <c r="J439" s="82">
        <f t="shared" si="1136"/>
        <v>2</v>
      </c>
      <c r="K439" s="80">
        <v>2</v>
      </c>
      <c r="L439" s="57"/>
      <c r="M439" s="58"/>
      <c r="N439" s="59">
        <f t="shared" si="1137"/>
        <v>2</v>
      </c>
      <c r="O439" s="60"/>
      <c r="P439" s="58"/>
      <c r="Q439" s="59">
        <f t="shared" si="1138"/>
        <v>2</v>
      </c>
      <c r="R439" s="60"/>
      <c r="S439" s="58"/>
      <c r="T439" s="61">
        <f t="shared" si="1139"/>
        <v>2</v>
      </c>
      <c r="U439" s="60"/>
      <c r="V439" s="58"/>
      <c r="W439" s="59">
        <f t="shared" si="1140"/>
        <v>2</v>
      </c>
      <c r="X439" s="60"/>
      <c r="Y439" s="58"/>
      <c r="Z439" s="61">
        <f t="shared" si="1141"/>
        <v>2</v>
      </c>
      <c r="AA439" s="60"/>
      <c r="AB439" s="58">
        <v>1</v>
      </c>
      <c r="AC439" s="59">
        <f t="shared" si="1142"/>
        <v>1</v>
      </c>
      <c r="AD439" s="57"/>
      <c r="AE439" s="58"/>
      <c r="AF439" s="243">
        <f t="shared" si="1143"/>
        <v>1</v>
      </c>
      <c r="AG439" s="60">
        <v>2</v>
      </c>
      <c r="AH439" s="58">
        <v>1</v>
      </c>
      <c r="AI439" s="62">
        <f t="shared" si="1144"/>
        <v>2</v>
      </c>
      <c r="AJ439" s="60"/>
      <c r="AK439" s="58"/>
      <c r="AL439" s="62">
        <f t="shared" si="1145"/>
        <v>2</v>
      </c>
      <c r="AM439" s="60"/>
      <c r="AN439" s="58"/>
      <c r="AO439" s="62">
        <f t="shared" si="1146"/>
        <v>2</v>
      </c>
      <c r="AP439" s="60"/>
      <c r="AQ439" s="58"/>
      <c r="AR439" s="62">
        <f t="shared" si="1147"/>
        <v>2</v>
      </c>
      <c r="AS439" s="60"/>
      <c r="AT439" s="58"/>
      <c r="AU439" s="62">
        <f t="shared" si="1166"/>
        <v>2</v>
      </c>
      <c r="AV439" s="83">
        <f>SUM(L439+O439+R439+U439+X439+AA439+AD439+AG439+AJ439+AM439+AP439+AS439)</f>
        <v>2</v>
      </c>
      <c r="AW439" s="83">
        <f t="shared" si="1155"/>
        <v>2</v>
      </c>
      <c r="AX439" s="64">
        <f t="shared" si="1167"/>
        <v>2</v>
      </c>
      <c r="AY439" s="65">
        <f t="shared" si="1151"/>
        <v>1</v>
      </c>
      <c r="AZ439" s="66">
        <f t="shared" si="1152"/>
        <v>2</v>
      </c>
      <c r="BA439" s="67">
        <f>MAX(M439,P439,S439,V439,Y439,AB439,AE439,AH439,AK439,AN439,AQ439,AT439)</f>
        <v>1</v>
      </c>
      <c r="BB439" s="68">
        <v>0</v>
      </c>
      <c r="BC439" s="84">
        <f t="shared" si="1006"/>
        <v>2</v>
      </c>
      <c r="BD439" s="83">
        <f t="shared" si="1004"/>
        <v>2</v>
      </c>
      <c r="BE439" s="85">
        <v>2</v>
      </c>
      <c r="BF439" s="86">
        <v>46258</v>
      </c>
      <c r="BG439" s="72" t="e">
        <f t="shared" si="1023"/>
        <v>#REF!</v>
      </c>
      <c r="BH439" s="87" t="e">
        <f t="shared" si="1153"/>
        <v>#REF!</v>
      </c>
      <c r="BI439" s="80" t="e">
        <f t="shared" si="1005"/>
        <v>#REF!</v>
      </c>
      <c r="BJ439" s="238">
        <v>1226.0999999999999</v>
      </c>
    </row>
    <row r="440" spans="1:62" ht="13">
      <c r="A440" s="49"/>
      <c r="B440" s="76"/>
      <c r="C440" s="51">
        <v>438</v>
      </c>
      <c r="D440" s="139" t="s">
        <v>1525</v>
      </c>
      <c r="E440" s="140">
        <v>9</v>
      </c>
      <c r="F440" s="54" t="s">
        <v>768</v>
      </c>
      <c r="G440" s="55" t="s">
        <v>769</v>
      </c>
      <c r="H440" s="81" t="s">
        <v>292</v>
      </c>
      <c r="I440" s="80" t="s">
        <v>458</v>
      </c>
      <c r="J440" s="82">
        <f t="shared" si="1136"/>
        <v>2</v>
      </c>
      <c r="K440" s="80">
        <v>1</v>
      </c>
      <c r="L440" s="57"/>
      <c r="M440" s="58"/>
      <c r="N440" s="59">
        <f t="shared" si="1137"/>
        <v>1</v>
      </c>
      <c r="O440" s="60"/>
      <c r="P440" s="58"/>
      <c r="Q440" s="59">
        <f t="shared" si="1138"/>
        <v>1</v>
      </c>
      <c r="R440" s="60"/>
      <c r="S440" s="58"/>
      <c r="T440" s="61">
        <f t="shared" si="1139"/>
        <v>1</v>
      </c>
      <c r="U440" s="60"/>
      <c r="V440" s="58"/>
      <c r="W440" s="59">
        <f t="shared" si="1140"/>
        <v>1</v>
      </c>
      <c r="X440" s="60"/>
      <c r="Y440" s="58">
        <v>1</v>
      </c>
      <c r="Z440" s="61">
        <f t="shared" si="1141"/>
        <v>0</v>
      </c>
      <c r="AA440" s="60"/>
      <c r="AB440" s="58"/>
      <c r="AC440" s="59">
        <f t="shared" si="1142"/>
        <v>0</v>
      </c>
      <c r="AD440" s="57"/>
      <c r="AE440" s="58"/>
      <c r="AF440" s="243">
        <f t="shared" si="1143"/>
        <v>0</v>
      </c>
      <c r="AG440" s="60">
        <v>2</v>
      </c>
      <c r="AH440" s="58"/>
      <c r="AI440" s="62">
        <f t="shared" si="1144"/>
        <v>2</v>
      </c>
      <c r="AJ440" s="60"/>
      <c r="AK440" s="58"/>
      <c r="AL440" s="62">
        <f t="shared" si="1145"/>
        <v>2</v>
      </c>
      <c r="AM440" s="60"/>
      <c r="AN440" s="58"/>
      <c r="AO440" s="62">
        <f t="shared" si="1146"/>
        <v>2</v>
      </c>
      <c r="AP440" s="60"/>
      <c r="AQ440" s="58"/>
      <c r="AR440" s="62">
        <f t="shared" si="1147"/>
        <v>2</v>
      </c>
      <c r="AS440" s="60"/>
      <c r="AT440" s="58"/>
      <c r="AU440" s="62">
        <f t="shared" si="1166"/>
        <v>2</v>
      </c>
      <c r="AV440" s="83">
        <f>SUM(L440+O440+R440+U440+X440+AA440+AD440+AG440+AJ440+AM440+AP440+AS440)</f>
        <v>2</v>
      </c>
      <c r="AW440" s="83">
        <f t="shared" si="1155"/>
        <v>1</v>
      </c>
      <c r="AX440" s="64">
        <f t="shared" si="1167"/>
        <v>1</v>
      </c>
      <c r="AY440" s="65">
        <f t="shared" si="1151"/>
        <v>1</v>
      </c>
      <c r="AZ440" s="66">
        <f t="shared" si="1152"/>
        <v>1</v>
      </c>
      <c r="BA440" s="67">
        <v>1</v>
      </c>
      <c r="BB440" s="68">
        <v>0</v>
      </c>
      <c r="BC440" s="84">
        <f t="shared" si="1006"/>
        <v>2</v>
      </c>
      <c r="BD440" s="83">
        <f t="shared" si="1004"/>
        <v>2</v>
      </c>
      <c r="BE440" s="85">
        <v>2</v>
      </c>
      <c r="BF440" s="86">
        <v>46258</v>
      </c>
      <c r="BG440" s="72" t="e">
        <f t="shared" si="1023"/>
        <v>#REF!</v>
      </c>
      <c r="BH440" s="87" t="e">
        <f t="shared" si="1153"/>
        <v>#REF!</v>
      </c>
      <c r="BI440" s="80" t="e">
        <f t="shared" si="1005"/>
        <v>#REF!</v>
      </c>
      <c r="BJ440" s="238">
        <v>1179.8699999999999</v>
      </c>
    </row>
    <row r="441" spans="1:62" ht="13">
      <c r="A441" s="49"/>
      <c r="B441" s="76"/>
      <c r="C441" s="51">
        <v>439</v>
      </c>
      <c r="D441" s="139" t="s">
        <v>1525</v>
      </c>
      <c r="E441" s="140">
        <v>11</v>
      </c>
      <c r="F441" s="88" t="s">
        <v>1568</v>
      </c>
      <c r="G441" s="89" t="s">
        <v>1567</v>
      </c>
      <c r="H441" s="81" t="s">
        <v>1700</v>
      </c>
      <c r="I441" s="80" t="s">
        <v>458</v>
      </c>
      <c r="J441" s="93">
        <f t="shared" si="1136"/>
        <v>11</v>
      </c>
      <c r="K441" s="88">
        <v>1</v>
      </c>
      <c r="L441" s="58"/>
      <c r="M441" s="58"/>
      <c r="N441" s="62">
        <f t="shared" si="1137"/>
        <v>1</v>
      </c>
      <c r="O441" s="60"/>
      <c r="P441" s="58"/>
      <c r="Q441" s="62">
        <f t="shared" si="1138"/>
        <v>1</v>
      </c>
      <c r="R441" s="60"/>
      <c r="S441" s="58"/>
      <c r="T441" s="94">
        <f t="shared" si="1139"/>
        <v>1</v>
      </c>
      <c r="U441" s="60"/>
      <c r="V441" s="58"/>
      <c r="W441" s="62">
        <f t="shared" si="1140"/>
        <v>1</v>
      </c>
      <c r="X441" s="60">
        <v>15</v>
      </c>
      <c r="Y441" s="58">
        <v>4</v>
      </c>
      <c r="Z441" s="94">
        <f t="shared" si="1141"/>
        <v>12</v>
      </c>
      <c r="AA441" s="60"/>
      <c r="AB441" s="58"/>
      <c r="AC441" s="62">
        <f t="shared" si="1142"/>
        <v>12</v>
      </c>
      <c r="AD441" s="57"/>
      <c r="AE441" s="58"/>
      <c r="AF441" s="165">
        <f t="shared" si="1143"/>
        <v>12</v>
      </c>
      <c r="AG441" s="60"/>
      <c r="AH441" s="58">
        <v>1</v>
      </c>
      <c r="AI441" s="62">
        <f t="shared" si="1144"/>
        <v>11</v>
      </c>
      <c r="AJ441" s="60"/>
      <c r="AK441" s="58"/>
      <c r="AL441" s="62">
        <f t="shared" si="1145"/>
        <v>11</v>
      </c>
      <c r="AM441" s="60"/>
      <c r="AN441" s="58"/>
      <c r="AO441" s="62">
        <f t="shared" si="1146"/>
        <v>11</v>
      </c>
      <c r="AP441" s="60"/>
      <c r="AQ441" s="58"/>
      <c r="AR441" s="62">
        <f t="shared" si="1147"/>
        <v>11</v>
      </c>
      <c r="AS441" s="60"/>
      <c r="AT441" s="58"/>
      <c r="AU441" s="62">
        <f t="shared" si="1166"/>
        <v>11</v>
      </c>
      <c r="AV441" s="96">
        <f t="shared" ref="AV441" si="1170">SUM(L441+O441+R441+U441+X441+AA441+AD441+AG441+AJ441+AM441+AP441+AS441)</f>
        <v>15</v>
      </c>
      <c r="AW441" s="83">
        <f t="shared" si="1155"/>
        <v>5</v>
      </c>
      <c r="AX441" s="98">
        <f t="shared" si="1167"/>
        <v>5</v>
      </c>
      <c r="AY441" s="99">
        <f t="shared" si="1151"/>
        <v>2.5</v>
      </c>
      <c r="AZ441" s="100">
        <f t="shared" si="1152"/>
        <v>2</v>
      </c>
      <c r="BA441" s="101">
        <v>11</v>
      </c>
      <c r="BB441" s="102">
        <f>MIN(M441,P441,S441,V441,Y441,AB441,AE441,AH441,AK441,AN441,AQ441,AT441)</f>
        <v>1</v>
      </c>
      <c r="BC441" s="84">
        <f t="shared" si="1006"/>
        <v>11</v>
      </c>
      <c r="BD441" s="83">
        <f t="shared" si="1004"/>
        <v>10</v>
      </c>
      <c r="BE441" s="85">
        <v>2</v>
      </c>
      <c r="BF441" s="86">
        <v>46160</v>
      </c>
      <c r="BG441" s="72" t="e">
        <f t="shared" si="1023"/>
        <v>#REF!</v>
      </c>
      <c r="BH441" s="103" t="e">
        <f t="shared" si="1153"/>
        <v>#REF!</v>
      </c>
      <c r="BI441" s="80" t="e">
        <f t="shared" si="1005"/>
        <v>#REF!</v>
      </c>
      <c r="BJ441" s="238">
        <v>1210.69</v>
      </c>
    </row>
    <row r="442" spans="1:62" ht="13">
      <c r="A442" s="75"/>
      <c r="B442" s="76"/>
      <c r="C442" s="77">
        <v>440</v>
      </c>
      <c r="D442" s="139" t="s">
        <v>1525</v>
      </c>
      <c r="E442" s="140">
        <v>12</v>
      </c>
      <c r="F442" s="88" t="s">
        <v>1596</v>
      </c>
      <c r="G442" s="89" t="s">
        <v>1597</v>
      </c>
      <c r="H442" s="89" t="s">
        <v>292</v>
      </c>
      <c r="I442" s="80" t="s">
        <v>458</v>
      </c>
      <c r="J442" s="93">
        <f t="shared" si="1136"/>
        <v>2</v>
      </c>
      <c r="K442" s="80">
        <v>0</v>
      </c>
      <c r="L442" s="58"/>
      <c r="M442" s="58"/>
      <c r="N442" s="62">
        <f t="shared" si="1137"/>
        <v>0</v>
      </c>
      <c r="O442" s="60">
        <v>2</v>
      </c>
      <c r="P442" s="58"/>
      <c r="Q442" s="62">
        <f t="shared" si="1138"/>
        <v>2</v>
      </c>
      <c r="R442" s="60"/>
      <c r="S442" s="58"/>
      <c r="T442" s="94">
        <f t="shared" si="1139"/>
        <v>2</v>
      </c>
      <c r="U442" s="60"/>
      <c r="V442" s="58"/>
      <c r="W442" s="62">
        <f t="shared" si="1140"/>
        <v>2</v>
      </c>
      <c r="X442" s="60"/>
      <c r="Y442" s="58"/>
      <c r="Z442" s="94">
        <f t="shared" si="1141"/>
        <v>2</v>
      </c>
      <c r="AA442" s="60"/>
      <c r="AB442" s="58"/>
      <c r="AC442" s="62">
        <f t="shared" si="1142"/>
        <v>2</v>
      </c>
      <c r="AD442" s="57"/>
      <c r="AE442" s="58"/>
      <c r="AF442" s="165">
        <f t="shared" si="1143"/>
        <v>2</v>
      </c>
      <c r="AG442" s="60"/>
      <c r="AH442" s="58"/>
      <c r="AI442" s="62">
        <f t="shared" si="1144"/>
        <v>2</v>
      </c>
      <c r="AJ442" s="60"/>
      <c r="AK442" s="58"/>
      <c r="AL442" s="62">
        <f t="shared" si="1145"/>
        <v>2</v>
      </c>
      <c r="AM442" s="60"/>
      <c r="AN442" s="58"/>
      <c r="AO442" s="62">
        <f t="shared" si="1146"/>
        <v>2</v>
      </c>
      <c r="AP442" s="60"/>
      <c r="AQ442" s="58"/>
      <c r="AR442" s="62">
        <f t="shared" si="1147"/>
        <v>2</v>
      </c>
      <c r="AS442" s="60"/>
      <c r="AT442" s="58"/>
      <c r="AU442" s="62">
        <f t="shared" si="1166"/>
        <v>2</v>
      </c>
      <c r="AV442" s="96">
        <f t="shared" ref="AV442:AV444" si="1171">SUM(L442+O442+R442+U442+X442+AA442+AD442+AG442+AJ442+AM442+AP442+AS442)</f>
        <v>2</v>
      </c>
      <c r="AW442" s="83">
        <f t="shared" si="1155"/>
        <v>0</v>
      </c>
      <c r="AX442" s="98">
        <f t="shared" si="1167"/>
        <v>0</v>
      </c>
      <c r="AY442" s="99" t="e">
        <f t="shared" si="1151"/>
        <v>#DIV/0!</v>
      </c>
      <c r="AZ442" s="100">
        <f t="shared" si="1152"/>
        <v>0</v>
      </c>
      <c r="BA442" s="101">
        <v>2</v>
      </c>
      <c r="BB442" s="102">
        <v>1</v>
      </c>
      <c r="BC442" s="84">
        <f t="shared" si="1006"/>
        <v>2</v>
      </c>
      <c r="BD442" s="83">
        <f t="shared" si="1004"/>
        <v>1</v>
      </c>
      <c r="BE442" s="85">
        <v>2</v>
      </c>
      <c r="BF442" s="86">
        <v>46076</v>
      </c>
      <c r="BG442" s="72" t="e">
        <f t="shared" si="1023"/>
        <v>#REF!</v>
      </c>
      <c r="BH442" s="103" t="e">
        <f t="shared" si="1153"/>
        <v>#REF!</v>
      </c>
      <c r="BI442" s="80" t="e">
        <f t="shared" si="1005"/>
        <v>#REF!</v>
      </c>
      <c r="BJ442" s="238">
        <v>1407</v>
      </c>
    </row>
    <row r="443" spans="1:62" ht="13">
      <c r="A443" s="49"/>
      <c r="B443" s="76"/>
      <c r="C443" s="77">
        <v>441</v>
      </c>
      <c r="D443" s="139" t="s">
        <v>1525</v>
      </c>
      <c r="E443" s="140">
        <v>13</v>
      </c>
      <c r="F443" s="80" t="s">
        <v>1112</v>
      </c>
      <c r="G443" s="81" t="s">
        <v>1111</v>
      </c>
      <c r="H443" s="81" t="s">
        <v>292</v>
      </c>
      <c r="I443" s="80" t="s">
        <v>458</v>
      </c>
      <c r="J443" s="82">
        <f t="shared" si="1136"/>
        <v>2</v>
      </c>
      <c r="K443" s="80">
        <v>1</v>
      </c>
      <c r="L443" s="57"/>
      <c r="M443" s="58"/>
      <c r="N443" s="59">
        <f t="shared" si="1137"/>
        <v>1</v>
      </c>
      <c r="O443" s="60"/>
      <c r="P443" s="58"/>
      <c r="Q443" s="59">
        <f t="shared" si="1138"/>
        <v>1</v>
      </c>
      <c r="R443" s="60">
        <v>1</v>
      </c>
      <c r="S443" s="58"/>
      <c r="T443" s="61">
        <f t="shared" si="1139"/>
        <v>2</v>
      </c>
      <c r="U443" s="60"/>
      <c r="V443" s="58"/>
      <c r="W443" s="59">
        <f t="shared" si="1140"/>
        <v>2</v>
      </c>
      <c r="X443" s="60"/>
      <c r="Y443" s="58"/>
      <c r="Z443" s="61">
        <f t="shared" si="1141"/>
        <v>2</v>
      </c>
      <c r="AA443" s="60"/>
      <c r="AB443" s="58">
        <v>1</v>
      </c>
      <c r="AC443" s="59">
        <f t="shared" si="1142"/>
        <v>1</v>
      </c>
      <c r="AD443" s="57"/>
      <c r="AE443" s="58"/>
      <c r="AF443" s="243">
        <f t="shared" si="1143"/>
        <v>1</v>
      </c>
      <c r="AG443" s="60">
        <v>1</v>
      </c>
      <c r="AH443" s="58"/>
      <c r="AI443" s="62">
        <f t="shared" si="1144"/>
        <v>2</v>
      </c>
      <c r="AJ443" s="60"/>
      <c r="AK443" s="58"/>
      <c r="AL443" s="62">
        <f t="shared" si="1145"/>
        <v>2</v>
      </c>
      <c r="AM443" s="60"/>
      <c r="AN443" s="58"/>
      <c r="AO443" s="62">
        <f t="shared" si="1146"/>
        <v>2</v>
      </c>
      <c r="AP443" s="60"/>
      <c r="AQ443" s="58"/>
      <c r="AR443" s="104">
        <f t="shared" si="1147"/>
        <v>2</v>
      </c>
      <c r="AS443" s="57"/>
      <c r="AT443" s="58"/>
      <c r="AU443" s="62">
        <f t="shared" si="1166"/>
        <v>2</v>
      </c>
      <c r="AV443" s="84">
        <f t="shared" si="1171"/>
        <v>2</v>
      </c>
      <c r="AW443" s="83">
        <f t="shared" si="1155"/>
        <v>1</v>
      </c>
      <c r="AX443" s="64">
        <f t="shared" si="1167"/>
        <v>1</v>
      </c>
      <c r="AY443" s="65">
        <f t="shared" si="1151"/>
        <v>1</v>
      </c>
      <c r="AZ443" s="66">
        <f t="shared" si="1152"/>
        <v>1</v>
      </c>
      <c r="BA443" s="67">
        <f>MAX(0, Table176252626[[#This Row],[Column6]])</f>
        <v>2</v>
      </c>
      <c r="BB443" s="68">
        <v>1</v>
      </c>
      <c r="BC443" s="84">
        <f t="shared" si="1006"/>
        <v>2</v>
      </c>
      <c r="BD443" s="83">
        <f t="shared" si="1004"/>
        <v>1</v>
      </c>
      <c r="BE443" s="85">
        <v>2</v>
      </c>
      <c r="BF443" s="86">
        <v>46065</v>
      </c>
      <c r="BG443" s="72" t="e">
        <f t="shared" si="1023"/>
        <v>#REF!</v>
      </c>
      <c r="BH443" s="87" t="e">
        <f t="shared" si="1153"/>
        <v>#REF!</v>
      </c>
      <c r="BI443" s="80" t="e">
        <f t="shared" si="1005"/>
        <v>#REF!</v>
      </c>
      <c r="BJ443" s="238">
        <v>1750</v>
      </c>
    </row>
    <row r="444" spans="1:62" ht="13">
      <c r="A444" s="49"/>
      <c r="B444" s="50"/>
      <c r="C444" s="51">
        <v>442</v>
      </c>
      <c r="D444" s="139" t="s">
        <v>1525</v>
      </c>
      <c r="E444" s="140">
        <v>14</v>
      </c>
      <c r="F444" s="105" t="s">
        <v>949</v>
      </c>
      <c r="G444" s="116" t="s">
        <v>950</v>
      </c>
      <c r="H444" s="89" t="s">
        <v>292</v>
      </c>
      <c r="I444" s="80" t="s">
        <v>458</v>
      </c>
      <c r="J444" s="82">
        <f t="shared" si="1136"/>
        <v>2</v>
      </c>
      <c r="K444" s="80">
        <v>2</v>
      </c>
      <c r="L444" s="57"/>
      <c r="M444" s="58"/>
      <c r="N444" s="59">
        <f t="shared" si="1137"/>
        <v>2</v>
      </c>
      <c r="O444" s="60"/>
      <c r="P444" s="58"/>
      <c r="Q444" s="59">
        <f t="shared" si="1138"/>
        <v>2</v>
      </c>
      <c r="R444" s="60"/>
      <c r="S444" s="58"/>
      <c r="T444" s="61">
        <f t="shared" si="1139"/>
        <v>2</v>
      </c>
      <c r="U444" s="60"/>
      <c r="V444" s="58"/>
      <c r="W444" s="59">
        <f t="shared" si="1140"/>
        <v>2</v>
      </c>
      <c r="X444" s="60"/>
      <c r="Y444" s="58"/>
      <c r="Z444" s="61">
        <f t="shared" si="1141"/>
        <v>2</v>
      </c>
      <c r="AA444" s="60"/>
      <c r="AB444" s="58"/>
      <c r="AC444" s="59">
        <f t="shared" si="1142"/>
        <v>2</v>
      </c>
      <c r="AD444" s="57"/>
      <c r="AE444" s="58"/>
      <c r="AF444" s="243">
        <f t="shared" si="1143"/>
        <v>2</v>
      </c>
      <c r="AG444" s="60"/>
      <c r="AH444" s="58"/>
      <c r="AI444" s="62">
        <f t="shared" si="1144"/>
        <v>2</v>
      </c>
      <c r="AJ444" s="60"/>
      <c r="AK444" s="58"/>
      <c r="AL444" s="62">
        <f t="shared" si="1145"/>
        <v>2</v>
      </c>
      <c r="AM444" s="60"/>
      <c r="AN444" s="58"/>
      <c r="AO444" s="62">
        <f t="shared" si="1146"/>
        <v>2</v>
      </c>
      <c r="AP444" s="60"/>
      <c r="AQ444" s="58"/>
      <c r="AR444" s="62">
        <f t="shared" si="1147"/>
        <v>2</v>
      </c>
      <c r="AS444" s="60"/>
      <c r="AT444" s="58"/>
      <c r="AU444" s="62">
        <f t="shared" si="1166"/>
        <v>2</v>
      </c>
      <c r="AV444" s="83">
        <f t="shared" si="1171"/>
        <v>0</v>
      </c>
      <c r="AW444" s="83">
        <f t="shared" si="1155"/>
        <v>0</v>
      </c>
      <c r="AX444" s="64">
        <f t="shared" si="1167"/>
        <v>0</v>
      </c>
      <c r="AY444" s="65" t="e">
        <f t="shared" si="1151"/>
        <v>#DIV/0!</v>
      </c>
      <c r="AZ444" s="66">
        <f t="shared" si="1152"/>
        <v>0</v>
      </c>
      <c r="BA444" s="67">
        <f>MAX(0, Table176252626[[#This Row],[Column6]])</f>
        <v>2</v>
      </c>
      <c r="BB444" s="68">
        <v>1</v>
      </c>
      <c r="BC444" s="84">
        <f t="shared" si="1006"/>
        <v>2</v>
      </c>
      <c r="BD444" s="83">
        <f t="shared" si="1004"/>
        <v>1</v>
      </c>
      <c r="BE444" s="85">
        <v>2</v>
      </c>
      <c r="BF444" s="86">
        <v>45559.478472222225</v>
      </c>
      <c r="BG444" s="72" t="e">
        <f t="shared" si="1023"/>
        <v>#REF!</v>
      </c>
      <c r="BH444" s="87" t="e">
        <f t="shared" si="1153"/>
        <v>#REF!</v>
      </c>
      <c r="BI444" s="80" t="e">
        <f t="shared" si="1005"/>
        <v>#REF!</v>
      </c>
      <c r="BJ444" s="238">
        <v>1739.61</v>
      </c>
    </row>
    <row r="445" spans="1:62" ht="13">
      <c r="A445" s="49"/>
      <c r="B445" s="50"/>
      <c r="C445" s="51">
        <v>443</v>
      </c>
      <c r="D445" s="139" t="s">
        <v>1525</v>
      </c>
      <c r="E445" s="140">
        <v>15</v>
      </c>
      <c r="F445" s="80" t="s">
        <v>1110</v>
      </c>
      <c r="G445" s="81" t="s">
        <v>1109</v>
      </c>
      <c r="H445" s="81" t="s">
        <v>292</v>
      </c>
      <c r="I445" s="80" t="s">
        <v>458</v>
      </c>
      <c r="J445" s="82">
        <f t="shared" ref="J445" si="1172">AU445</f>
        <v>1</v>
      </c>
      <c r="K445" s="80">
        <v>1</v>
      </c>
      <c r="L445" s="57"/>
      <c r="M445" s="58"/>
      <c r="N445" s="59">
        <f t="shared" ref="N445" si="1173">SUM(K445+L445-M445)</f>
        <v>1</v>
      </c>
      <c r="O445" s="60"/>
      <c r="P445" s="58"/>
      <c r="Q445" s="59">
        <f t="shared" ref="Q445" si="1174">SUM(N445+O445-P445)</f>
        <v>1</v>
      </c>
      <c r="R445" s="60"/>
      <c r="S445" s="58"/>
      <c r="T445" s="61">
        <f t="shared" ref="T445" si="1175">SUM(Q445+R445-S445)</f>
        <v>1</v>
      </c>
      <c r="U445" s="60"/>
      <c r="V445" s="58"/>
      <c r="W445" s="59">
        <f t="shared" ref="W445" si="1176">SUM(T445+U445-V445)</f>
        <v>1</v>
      </c>
      <c r="X445" s="60"/>
      <c r="Y445" s="58">
        <v>1</v>
      </c>
      <c r="Z445" s="61">
        <f t="shared" ref="Z445" si="1177">SUM(W445+X445-Y445)</f>
        <v>0</v>
      </c>
      <c r="AA445" s="60">
        <v>2</v>
      </c>
      <c r="AB445" s="58"/>
      <c r="AC445" s="59">
        <f t="shared" ref="AC445" si="1178">SUM(Z445+AA445-AB445)</f>
        <v>2</v>
      </c>
      <c r="AD445" s="57"/>
      <c r="AE445" s="58"/>
      <c r="AF445" s="243">
        <f t="shared" ref="AF445" si="1179">SUM(AC445+AD445-AE445)</f>
        <v>2</v>
      </c>
      <c r="AG445" s="60"/>
      <c r="AH445" s="58">
        <v>1</v>
      </c>
      <c r="AI445" s="62">
        <f t="shared" ref="AI445" si="1180">SUM(AF445+AG445-AH445)</f>
        <v>1</v>
      </c>
      <c r="AJ445" s="60"/>
      <c r="AK445" s="58"/>
      <c r="AL445" s="62">
        <f t="shared" ref="AL445" si="1181">SUM(AI445+AJ445-AK445)</f>
        <v>1</v>
      </c>
      <c r="AM445" s="60"/>
      <c r="AN445" s="58"/>
      <c r="AO445" s="62">
        <f t="shared" ref="AO445" si="1182">SUM(AL445+AM445-AN445)</f>
        <v>1</v>
      </c>
      <c r="AP445" s="60"/>
      <c r="AQ445" s="58"/>
      <c r="AR445" s="104">
        <f t="shared" ref="AR445" si="1183">SUM(AO445+AP445-AQ445)</f>
        <v>1</v>
      </c>
      <c r="AS445" s="57"/>
      <c r="AT445" s="58"/>
      <c r="AU445" s="62">
        <f t="shared" ref="AU445" si="1184">SUM(AR445+AS445-AT445)</f>
        <v>1</v>
      </c>
      <c r="AV445" s="84">
        <f t="shared" ref="AV445" si="1185">SUM(L445+O445+R445+U445+X445+AA445+AD445+AG445+AJ445+AM445+AP445+AS445)</f>
        <v>2</v>
      </c>
      <c r="AW445" s="83">
        <f t="shared" si="1155"/>
        <v>2</v>
      </c>
      <c r="AX445" s="64">
        <f t="shared" ref="AX445" si="1186">SUM(M445,P445,S445,V445,Y445,AB445,AE445,AH445,AK445,AN445,AQ445,AT445)</f>
        <v>2</v>
      </c>
      <c r="AY445" s="65">
        <f t="shared" ref="AY445" si="1187">AVERAGE(M445,P445,S445,V445,Y445,AB445,AE445,AH445,AK445,AN445,AQ445,AT445)</f>
        <v>1</v>
      </c>
      <c r="AZ445" s="66">
        <f t="shared" ref="AZ445" si="1188">COUNT(M445,P445,S445,V445,Y445,AB445,AE445,AH445,AK445,AN445,AQ445,AT445)</f>
        <v>2</v>
      </c>
      <c r="BA445" s="67">
        <f>MAX(0, Table176252626[[#This Row],[Column6]])</f>
        <v>1</v>
      </c>
      <c r="BB445" s="68">
        <v>0</v>
      </c>
      <c r="BC445" s="84">
        <f t="shared" si="1006"/>
        <v>1</v>
      </c>
      <c r="BD445" s="83">
        <f t="shared" si="1004"/>
        <v>1</v>
      </c>
      <c r="BE445" s="85">
        <v>2</v>
      </c>
      <c r="BF445" s="86">
        <v>46182</v>
      </c>
      <c r="BG445" s="72" t="e">
        <f t="shared" si="1023"/>
        <v>#REF!</v>
      </c>
      <c r="BH445" s="107" t="e">
        <f t="shared" ref="BH445" si="1189">BG445-BF445</f>
        <v>#REF!</v>
      </c>
      <c r="BI445" s="80" t="e">
        <f t="shared" si="1005"/>
        <v>#REF!</v>
      </c>
      <c r="BJ445" s="238">
        <v>2000</v>
      </c>
    </row>
    <row r="446" spans="1:62" ht="13">
      <c r="A446" s="49"/>
      <c r="B446" s="50"/>
      <c r="C446" s="51">
        <v>444</v>
      </c>
      <c r="D446" s="139" t="s">
        <v>1525</v>
      </c>
      <c r="E446" s="140">
        <v>16</v>
      </c>
      <c r="F446" s="54" t="s">
        <v>1007</v>
      </c>
      <c r="G446" s="55" t="s">
        <v>1008</v>
      </c>
      <c r="H446" s="81" t="s">
        <v>292</v>
      </c>
      <c r="I446" s="80" t="s">
        <v>458</v>
      </c>
      <c r="J446" s="82">
        <f>AU446</f>
        <v>9</v>
      </c>
      <c r="K446" s="80">
        <v>9</v>
      </c>
      <c r="L446" s="57"/>
      <c r="M446" s="58">
        <f>4+2+1+1</f>
        <v>8</v>
      </c>
      <c r="N446" s="59">
        <f>SUM(K446+L446-M446)</f>
        <v>1</v>
      </c>
      <c r="O446" s="60">
        <v>10</v>
      </c>
      <c r="P446" s="58">
        <f>1+5+1</f>
        <v>7</v>
      </c>
      <c r="Q446" s="59">
        <f>SUM(N446+O446-P446)</f>
        <v>4</v>
      </c>
      <c r="R446" s="60">
        <v>10</v>
      </c>
      <c r="S446" s="58">
        <f>1+2+1</f>
        <v>4</v>
      </c>
      <c r="T446" s="61">
        <f>SUM(Q446+R446-S446)</f>
        <v>10</v>
      </c>
      <c r="U446" s="60"/>
      <c r="V446" s="58">
        <f>1+1+1</f>
        <v>3</v>
      </c>
      <c r="W446" s="59">
        <f>SUM(T446+U446-V446)</f>
        <v>7</v>
      </c>
      <c r="X446" s="60"/>
      <c r="Y446" s="58">
        <f>3+2+1</f>
        <v>6</v>
      </c>
      <c r="Z446" s="61">
        <f>SUM(W446+X446-Y446)</f>
        <v>1</v>
      </c>
      <c r="AA446" s="60">
        <v>10</v>
      </c>
      <c r="AB446" s="58">
        <v>1</v>
      </c>
      <c r="AC446" s="59">
        <f>SUM(Z446+AA446-AB446)</f>
        <v>10</v>
      </c>
      <c r="AD446" s="57"/>
      <c r="AE446" s="58">
        <f>1+5+4</f>
        <v>10</v>
      </c>
      <c r="AF446" s="243">
        <f>SUM(AC446+AD446-AE446)</f>
        <v>0</v>
      </c>
      <c r="AG446" s="60">
        <v>10</v>
      </c>
      <c r="AH446" s="58">
        <v>1</v>
      </c>
      <c r="AI446" s="62">
        <f>SUM(AF446+AG446-AH446)</f>
        <v>9</v>
      </c>
      <c r="AJ446" s="60"/>
      <c r="AK446" s="58"/>
      <c r="AL446" s="62">
        <f>SUM(AI446+AJ446-AK446)</f>
        <v>9</v>
      </c>
      <c r="AM446" s="60"/>
      <c r="AN446" s="58"/>
      <c r="AO446" s="62">
        <f>SUM(AL446+AM446-AN446)</f>
        <v>9</v>
      </c>
      <c r="AP446" s="60"/>
      <c r="AQ446" s="58"/>
      <c r="AR446" s="62">
        <f>SUM(AO446+AP446-AQ446)</f>
        <v>9</v>
      </c>
      <c r="AS446" s="60"/>
      <c r="AT446" s="58"/>
      <c r="AU446" s="62">
        <f t="shared" ref="AU446:AU450" si="1190">SUM(AR446+AS446-AT446)</f>
        <v>9</v>
      </c>
      <c r="AV446" s="83">
        <f t="shared" ref="AV446:AV450" si="1191">SUM(L446+O446+R446+U446+X446+AA446+AD446+AG446+AJ446+AM446+AP446+AS446)</f>
        <v>40</v>
      </c>
      <c r="AW446" s="83">
        <f t="shared" si="1155"/>
        <v>40</v>
      </c>
      <c r="AX446" s="64">
        <f t="shared" ref="AX446:AX450" si="1192">SUM(M446,P446,S446,V446,Y446,AB446,AE446,AH446,AK446,AN446,AQ446,AT446)</f>
        <v>40</v>
      </c>
      <c r="AY446" s="65">
        <f t="shared" ref="AY446:AY450" si="1193">AVERAGE(M446,P446,S446,V446,Y446,AB446,AE446,AH446,AK446,AN446,AQ446,AT446)</f>
        <v>5</v>
      </c>
      <c r="AZ446" s="66">
        <f t="shared" ref="AZ446:AZ450" si="1194">COUNT(M446,P446,S446,V446,Y446,AB446,AE446,AH446,AK446,AN446,AQ446,AT446)</f>
        <v>8</v>
      </c>
      <c r="BA446" s="67">
        <f>MAX(M446,P446,S446,V446,Y446,AB446,AE446,AH446,AK446,AN446,AQ446,AT446)</f>
        <v>10</v>
      </c>
      <c r="BB446" s="68">
        <f>MIN(M446,P446,S446,V446,Y446,AB446,AE446,AH446,AK446,AN446,AQ446,AT446)</f>
        <v>1</v>
      </c>
      <c r="BC446" s="84">
        <f t="shared" si="1006"/>
        <v>9</v>
      </c>
      <c r="BD446" s="83">
        <f t="shared" ref="BD446:BD509" si="1195">SUM(BC446-BB446)</f>
        <v>8</v>
      </c>
      <c r="BE446" s="85">
        <v>2</v>
      </c>
      <c r="BF446" s="86">
        <v>46242</v>
      </c>
      <c r="BG446" s="72" t="e">
        <f t="shared" si="1023"/>
        <v>#REF!</v>
      </c>
      <c r="BH446" s="87" t="e">
        <f t="shared" ref="BH446:BH450" si="1196">BG446-BF446</f>
        <v>#REF!</v>
      </c>
      <c r="BI446" s="80" t="e">
        <f t="shared" ref="BI446:BI509" si="1197">IF(AND(J446&gt;0,BH446&gt;365),"Dead Stock","")</f>
        <v>#REF!</v>
      </c>
      <c r="BJ446" s="238">
        <v>422.25</v>
      </c>
    </row>
    <row r="447" spans="1:62" ht="13">
      <c r="A447" s="75"/>
      <c r="B447" s="76"/>
      <c r="C447" s="51">
        <v>445</v>
      </c>
      <c r="D447" s="139" t="s">
        <v>1525</v>
      </c>
      <c r="E447" s="140">
        <v>17</v>
      </c>
      <c r="F447" s="54" t="s">
        <v>146</v>
      </c>
      <c r="G447" s="55" t="s">
        <v>1910</v>
      </c>
      <c r="H447" s="81" t="s">
        <v>292</v>
      </c>
      <c r="I447" s="80" t="s">
        <v>458</v>
      </c>
      <c r="J447" s="82">
        <f t="shared" ref="J447" si="1198">AU447</f>
        <v>4</v>
      </c>
      <c r="K447" s="80">
        <v>4</v>
      </c>
      <c r="L447" s="57"/>
      <c r="M447" s="58"/>
      <c r="N447" s="59">
        <f t="shared" ref="N447" si="1199">SUM(K447+L447-M447)</f>
        <v>4</v>
      </c>
      <c r="O447" s="60"/>
      <c r="P447" s="58"/>
      <c r="Q447" s="59">
        <f t="shared" ref="Q447" si="1200">SUM(N447+O447-P447)</f>
        <v>4</v>
      </c>
      <c r="R447" s="60"/>
      <c r="S447" s="58"/>
      <c r="T447" s="61">
        <f t="shared" ref="T447" si="1201">SUM(Q447+R447-S447)</f>
        <v>4</v>
      </c>
      <c r="U447" s="60"/>
      <c r="V447" s="58"/>
      <c r="W447" s="59">
        <f t="shared" ref="W447" si="1202">SUM(T447+U447-V447)</f>
        <v>4</v>
      </c>
      <c r="X447" s="60"/>
      <c r="Y447" s="58"/>
      <c r="Z447" s="61">
        <f t="shared" ref="Z447" si="1203">SUM(W447+X447-Y447)</f>
        <v>4</v>
      </c>
      <c r="AA447" s="60"/>
      <c r="AB447" s="58"/>
      <c r="AC447" s="59">
        <f t="shared" ref="AC447" si="1204">SUM(Z447+AA447-AB447)</f>
        <v>4</v>
      </c>
      <c r="AD447" s="57"/>
      <c r="AE447" s="58"/>
      <c r="AF447" s="243">
        <f t="shared" ref="AF447" si="1205">SUM(AC447+AD447-AE447)</f>
        <v>4</v>
      </c>
      <c r="AG447" s="60"/>
      <c r="AH447" s="58"/>
      <c r="AI447" s="62">
        <f t="shared" ref="AI447" si="1206">SUM(AF447+AG447-AH447)</f>
        <v>4</v>
      </c>
      <c r="AJ447" s="60"/>
      <c r="AK447" s="58"/>
      <c r="AL447" s="62">
        <f t="shared" ref="AL447" si="1207">SUM(AI447+AJ447-AK447)</f>
        <v>4</v>
      </c>
      <c r="AM447" s="60"/>
      <c r="AN447" s="58"/>
      <c r="AO447" s="62">
        <f t="shared" ref="AO447" si="1208">SUM(AL447+AM447-AN447)</f>
        <v>4</v>
      </c>
      <c r="AP447" s="60"/>
      <c r="AQ447" s="58"/>
      <c r="AR447" s="62">
        <f t="shared" ref="AR447" si="1209">SUM(AO447+AP447-AQ447)</f>
        <v>4</v>
      </c>
      <c r="AS447" s="60"/>
      <c r="AT447" s="58"/>
      <c r="AU447" s="62">
        <f t="shared" si="1190"/>
        <v>4</v>
      </c>
      <c r="AV447" s="83">
        <f t="shared" si="1191"/>
        <v>0</v>
      </c>
      <c r="AW447" s="83">
        <f t="shared" si="1155"/>
        <v>0</v>
      </c>
      <c r="AX447" s="64">
        <f t="shared" si="1192"/>
        <v>0</v>
      </c>
      <c r="AY447" s="65" t="e">
        <f t="shared" si="1193"/>
        <v>#DIV/0!</v>
      </c>
      <c r="AZ447" s="66">
        <f t="shared" si="1194"/>
        <v>0</v>
      </c>
      <c r="BA447" s="67">
        <f>MAX(0, Table176252626[[#This Row],[Column6]])</f>
        <v>4</v>
      </c>
      <c r="BB447" s="68">
        <v>1</v>
      </c>
      <c r="BC447" s="84">
        <f t="shared" ref="BC447:BC509" si="1210">J447</f>
        <v>4</v>
      </c>
      <c r="BD447" s="83">
        <f t="shared" si="1195"/>
        <v>3</v>
      </c>
      <c r="BE447" s="85">
        <v>2</v>
      </c>
      <c r="BF447" s="86">
        <v>45524.498171296298</v>
      </c>
      <c r="BG447" s="72" t="e">
        <f t="shared" si="1023"/>
        <v>#REF!</v>
      </c>
      <c r="BH447" s="87" t="e">
        <f t="shared" si="1196"/>
        <v>#REF!</v>
      </c>
      <c r="BI447" s="80" t="e">
        <f t="shared" si="1197"/>
        <v>#REF!</v>
      </c>
      <c r="BJ447" s="238">
        <v>1477.5</v>
      </c>
    </row>
    <row r="448" spans="1:62" ht="13">
      <c r="A448" s="75"/>
      <c r="B448" s="76"/>
      <c r="C448" s="77">
        <v>446</v>
      </c>
      <c r="D448" s="139" t="s">
        <v>1525</v>
      </c>
      <c r="E448" s="140">
        <v>19</v>
      </c>
      <c r="F448" s="80" t="s">
        <v>1107</v>
      </c>
      <c r="G448" s="81" t="s">
        <v>1108</v>
      </c>
      <c r="H448" s="81" t="s">
        <v>292</v>
      </c>
      <c r="I448" s="80" t="s">
        <v>458</v>
      </c>
      <c r="J448" s="82">
        <f>AU448</f>
        <v>3</v>
      </c>
      <c r="K448" s="80">
        <v>3</v>
      </c>
      <c r="L448" s="57"/>
      <c r="M448" s="58"/>
      <c r="N448" s="59">
        <f>SUM(K448+L448-M448)</f>
        <v>3</v>
      </c>
      <c r="O448" s="60"/>
      <c r="P448" s="58"/>
      <c r="Q448" s="59">
        <f>SUM(N448+O448-P448)</f>
        <v>3</v>
      </c>
      <c r="R448" s="60"/>
      <c r="S448" s="58"/>
      <c r="T448" s="61">
        <f>SUM(Q448+R448-S448)</f>
        <v>3</v>
      </c>
      <c r="U448" s="60"/>
      <c r="V448" s="58"/>
      <c r="W448" s="59">
        <f>SUM(T448+U448-V448)</f>
        <v>3</v>
      </c>
      <c r="X448" s="60"/>
      <c r="Y448" s="58"/>
      <c r="Z448" s="61">
        <f>SUM(W448+X448-Y448)</f>
        <v>3</v>
      </c>
      <c r="AA448" s="60"/>
      <c r="AB448" s="58"/>
      <c r="AC448" s="59">
        <f>SUM(Z448+AA448-AB448)</f>
        <v>3</v>
      </c>
      <c r="AD448" s="57"/>
      <c r="AE448" s="58"/>
      <c r="AF448" s="243">
        <f>SUM(AC448+AD448-AE448)</f>
        <v>3</v>
      </c>
      <c r="AG448" s="60"/>
      <c r="AH448" s="58"/>
      <c r="AI448" s="62">
        <f>SUM(AF448+AG448-AH448)</f>
        <v>3</v>
      </c>
      <c r="AJ448" s="60"/>
      <c r="AK448" s="58"/>
      <c r="AL448" s="62">
        <f>SUM(AI448+AJ448-AK448)</f>
        <v>3</v>
      </c>
      <c r="AM448" s="60"/>
      <c r="AN448" s="58"/>
      <c r="AO448" s="62">
        <f>SUM(AL448+AM448-AN448)</f>
        <v>3</v>
      </c>
      <c r="AP448" s="60"/>
      <c r="AQ448" s="58"/>
      <c r="AR448" s="104">
        <f>SUM(AO448+AP448-AQ448)</f>
        <v>3</v>
      </c>
      <c r="AS448" s="57"/>
      <c r="AT448" s="58"/>
      <c r="AU448" s="62">
        <f t="shared" si="1190"/>
        <v>3</v>
      </c>
      <c r="AV448" s="84">
        <f t="shared" si="1191"/>
        <v>0</v>
      </c>
      <c r="AW448" s="83">
        <f t="shared" si="1155"/>
        <v>0</v>
      </c>
      <c r="AX448" s="64">
        <f t="shared" si="1192"/>
        <v>0</v>
      </c>
      <c r="AY448" s="65" t="e">
        <f t="shared" si="1193"/>
        <v>#DIV/0!</v>
      </c>
      <c r="AZ448" s="66">
        <f t="shared" si="1194"/>
        <v>0</v>
      </c>
      <c r="BA448" s="67">
        <v>3</v>
      </c>
      <c r="BB448" s="68">
        <v>1</v>
      </c>
      <c r="BC448" s="84">
        <f t="shared" si="1210"/>
        <v>3</v>
      </c>
      <c r="BD448" s="83">
        <f t="shared" si="1195"/>
        <v>2</v>
      </c>
      <c r="BE448" s="85">
        <v>2</v>
      </c>
      <c r="BF448" s="86">
        <v>45477.45585648148</v>
      </c>
      <c r="BG448" s="72" t="e">
        <f t="shared" si="1023"/>
        <v>#REF!</v>
      </c>
      <c r="BH448" s="87" t="e">
        <f t="shared" si="1196"/>
        <v>#REF!</v>
      </c>
      <c r="BI448" s="80" t="e">
        <f t="shared" si="1197"/>
        <v>#REF!</v>
      </c>
      <c r="BJ448" s="238">
        <v>2170</v>
      </c>
    </row>
    <row r="449" spans="1:62" ht="13">
      <c r="A449" s="49"/>
      <c r="B449" s="50"/>
      <c r="C449" s="77">
        <v>447</v>
      </c>
      <c r="D449" s="139" t="s">
        <v>1525</v>
      </c>
      <c r="E449" s="140">
        <v>20</v>
      </c>
      <c r="F449" s="80" t="s">
        <v>1114</v>
      </c>
      <c r="G449" s="81" t="s">
        <v>1113</v>
      </c>
      <c r="H449" s="81" t="s">
        <v>292</v>
      </c>
      <c r="I449" s="80" t="s">
        <v>458</v>
      </c>
      <c r="J449" s="82">
        <f>AU449</f>
        <v>5</v>
      </c>
      <c r="K449" s="80">
        <v>5</v>
      </c>
      <c r="L449" s="57"/>
      <c r="M449" s="58"/>
      <c r="N449" s="59">
        <f>SUM(K449+L449-M449)</f>
        <v>5</v>
      </c>
      <c r="O449" s="60"/>
      <c r="P449" s="58"/>
      <c r="Q449" s="59">
        <f>SUM(N449+O449-P449)</f>
        <v>5</v>
      </c>
      <c r="R449" s="60"/>
      <c r="S449" s="58">
        <v>1</v>
      </c>
      <c r="T449" s="61">
        <f>SUM(Q449+R449-S449)</f>
        <v>4</v>
      </c>
      <c r="U449" s="60"/>
      <c r="V449" s="58"/>
      <c r="W449" s="59">
        <f>SUM(T449+U449-V449)</f>
        <v>4</v>
      </c>
      <c r="X449" s="60"/>
      <c r="Y449" s="58">
        <f>1+1+1+1</f>
        <v>4</v>
      </c>
      <c r="Z449" s="61">
        <f>SUM(W449+X449-Y449)</f>
        <v>0</v>
      </c>
      <c r="AA449" s="60"/>
      <c r="AB449" s="58"/>
      <c r="AC449" s="59">
        <f>SUM(Z449+AA449-AB449)</f>
        <v>0</v>
      </c>
      <c r="AD449" s="57">
        <v>2</v>
      </c>
      <c r="AE449" s="58"/>
      <c r="AF449" s="243">
        <f>SUM(AC449+AD449-AE449)</f>
        <v>2</v>
      </c>
      <c r="AG449" s="60">
        <v>5</v>
      </c>
      <c r="AH449" s="58">
        <f>1+1</f>
        <v>2</v>
      </c>
      <c r="AI449" s="62">
        <f>SUM(AF449+AG449-AH449)</f>
        <v>5</v>
      </c>
      <c r="AJ449" s="60"/>
      <c r="AK449" s="58"/>
      <c r="AL449" s="62">
        <f>SUM(AI449+AJ449-AK449)</f>
        <v>5</v>
      </c>
      <c r="AM449" s="60"/>
      <c r="AN449" s="58"/>
      <c r="AO449" s="62">
        <f>SUM(AL449+AM449-AN449)</f>
        <v>5</v>
      </c>
      <c r="AP449" s="60"/>
      <c r="AQ449" s="58"/>
      <c r="AR449" s="104">
        <f>SUM(AO449+AP449-AQ449)</f>
        <v>5</v>
      </c>
      <c r="AS449" s="57"/>
      <c r="AT449" s="58"/>
      <c r="AU449" s="62">
        <f t="shared" si="1190"/>
        <v>5</v>
      </c>
      <c r="AV449" s="84">
        <f t="shared" si="1191"/>
        <v>7</v>
      </c>
      <c r="AW449" s="83">
        <f t="shared" si="1155"/>
        <v>7</v>
      </c>
      <c r="AX449" s="64">
        <f t="shared" si="1192"/>
        <v>7</v>
      </c>
      <c r="AY449" s="65">
        <f t="shared" si="1193"/>
        <v>2.3333333333333335</v>
      </c>
      <c r="AZ449" s="66">
        <f t="shared" si="1194"/>
        <v>3</v>
      </c>
      <c r="BA449" s="67">
        <v>6</v>
      </c>
      <c r="BB449" s="68">
        <v>1</v>
      </c>
      <c r="BC449" s="84">
        <f t="shared" si="1210"/>
        <v>5</v>
      </c>
      <c r="BD449" s="83">
        <f t="shared" si="1195"/>
        <v>4</v>
      </c>
      <c r="BE449" s="85">
        <v>2</v>
      </c>
      <c r="BF449" s="86">
        <v>46204</v>
      </c>
      <c r="BG449" s="72" t="e">
        <f t="shared" si="1023"/>
        <v>#REF!</v>
      </c>
      <c r="BH449" s="87" t="e">
        <f t="shared" si="1196"/>
        <v>#REF!</v>
      </c>
      <c r="BI449" s="80" t="e">
        <f t="shared" si="1197"/>
        <v>#REF!</v>
      </c>
      <c r="BJ449" s="238">
        <v>2170</v>
      </c>
    </row>
    <row r="450" spans="1:62" ht="13">
      <c r="A450" s="49"/>
      <c r="B450" s="76"/>
      <c r="C450" s="51">
        <v>448</v>
      </c>
      <c r="D450" s="139" t="s">
        <v>1525</v>
      </c>
      <c r="E450" s="140">
        <v>21</v>
      </c>
      <c r="F450" s="80" t="s">
        <v>1105</v>
      </c>
      <c r="G450" s="81" t="s">
        <v>1106</v>
      </c>
      <c r="H450" s="81" t="s">
        <v>292</v>
      </c>
      <c r="I450" s="80" t="s">
        <v>458</v>
      </c>
      <c r="J450" s="82">
        <f>AU450</f>
        <v>4</v>
      </c>
      <c r="K450" s="80">
        <v>6</v>
      </c>
      <c r="L450" s="57"/>
      <c r="M450" s="58">
        <f>2</f>
        <v>2</v>
      </c>
      <c r="N450" s="59">
        <f>SUM(K450+L450-M450)</f>
        <v>4</v>
      </c>
      <c r="O450" s="60"/>
      <c r="P450" s="58">
        <v>1</v>
      </c>
      <c r="Q450" s="59">
        <f>SUM(N450+O450-P450)</f>
        <v>3</v>
      </c>
      <c r="R450" s="60"/>
      <c r="S450" s="58">
        <v>1</v>
      </c>
      <c r="T450" s="61">
        <f>SUM(Q450+R450-S450)</f>
        <v>2</v>
      </c>
      <c r="U450" s="60"/>
      <c r="V450" s="58">
        <v>1</v>
      </c>
      <c r="W450" s="59">
        <f>SUM(T450+U450-V450)</f>
        <v>1</v>
      </c>
      <c r="X450" s="60">
        <v>1</v>
      </c>
      <c r="Y450" s="58">
        <v>2</v>
      </c>
      <c r="Z450" s="61">
        <f>SUM(W450+X450-Y450)</f>
        <v>0</v>
      </c>
      <c r="AA450" s="60"/>
      <c r="AB450" s="58"/>
      <c r="AC450" s="59">
        <f>SUM(Z450+AA450-AB450)</f>
        <v>0</v>
      </c>
      <c r="AD450" s="57">
        <v>5</v>
      </c>
      <c r="AE450" s="58"/>
      <c r="AF450" s="243">
        <f>SUM(AC450+AD450-AE450)</f>
        <v>5</v>
      </c>
      <c r="AG450" s="60"/>
      <c r="AH450" s="58">
        <v>1</v>
      </c>
      <c r="AI450" s="62">
        <f>SUM(AF450+AG450-AH450)</f>
        <v>4</v>
      </c>
      <c r="AJ450" s="60"/>
      <c r="AK450" s="58"/>
      <c r="AL450" s="62">
        <f>SUM(AI450+AJ450-AK450)</f>
        <v>4</v>
      </c>
      <c r="AM450" s="60"/>
      <c r="AN450" s="58"/>
      <c r="AO450" s="62">
        <f>SUM(AL450+AM450-AN450)</f>
        <v>4</v>
      </c>
      <c r="AP450" s="60"/>
      <c r="AQ450" s="58"/>
      <c r="AR450" s="104">
        <f>SUM(AO450+AP450-AQ450)</f>
        <v>4</v>
      </c>
      <c r="AS450" s="57"/>
      <c r="AT450" s="58"/>
      <c r="AU450" s="62">
        <f t="shared" si="1190"/>
        <v>4</v>
      </c>
      <c r="AV450" s="84">
        <f t="shared" si="1191"/>
        <v>6</v>
      </c>
      <c r="AW450" s="83">
        <f t="shared" si="1155"/>
        <v>8</v>
      </c>
      <c r="AX450" s="64">
        <f t="shared" si="1192"/>
        <v>8</v>
      </c>
      <c r="AY450" s="65">
        <f t="shared" si="1193"/>
        <v>1.3333333333333333</v>
      </c>
      <c r="AZ450" s="66">
        <f t="shared" si="1194"/>
        <v>6</v>
      </c>
      <c r="BA450" s="67">
        <f>MAX(0, Table176252626[[#This Row],[Column6]])</f>
        <v>4</v>
      </c>
      <c r="BB450" s="68">
        <v>1</v>
      </c>
      <c r="BC450" s="84">
        <f t="shared" si="1210"/>
        <v>4</v>
      </c>
      <c r="BD450" s="83">
        <f t="shared" si="1195"/>
        <v>3</v>
      </c>
      <c r="BE450" s="85">
        <v>2</v>
      </c>
      <c r="BF450" s="86">
        <v>46204</v>
      </c>
      <c r="BG450" s="72" t="e">
        <f t="shared" si="1023"/>
        <v>#REF!</v>
      </c>
      <c r="BH450" s="87" t="e">
        <f t="shared" si="1196"/>
        <v>#REF!</v>
      </c>
      <c r="BI450" s="80" t="e">
        <f t="shared" si="1197"/>
        <v>#REF!</v>
      </c>
      <c r="BJ450" s="238">
        <v>2000</v>
      </c>
    </row>
    <row r="451" spans="1:62" ht="13">
      <c r="A451" s="49"/>
      <c r="B451" s="50"/>
      <c r="C451" s="51">
        <v>449</v>
      </c>
      <c r="D451" s="139" t="s">
        <v>1525</v>
      </c>
      <c r="E451" s="140">
        <v>22</v>
      </c>
      <c r="F451" s="80" t="s">
        <v>1084</v>
      </c>
      <c r="G451" s="81" t="s">
        <v>1085</v>
      </c>
      <c r="H451" s="81" t="s">
        <v>292</v>
      </c>
      <c r="I451" s="80" t="s">
        <v>458</v>
      </c>
      <c r="J451" s="82">
        <f t="shared" ref="J451" si="1211">AU451</f>
        <v>4</v>
      </c>
      <c r="K451" s="80">
        <v>4</v>
      </c>
      <c r="L451" s="57"/>
      <c r="M451" s="58"/>
      <c r="N451" s="59">
        <f t="shared" ref="N451" si="1212">SUM(K451+L451-M451)</f>
        <v>4</v>
      </c>
      <c r="O451" s="60"/>
      <c r="P451" s="58"/>
      <c r="Q451" s="59">
        <f t="shared" ref="Q451" si="1213">SUM(N451+O451-P451)</f>
        <v>4</v>
      </c>
      <c r="R451" s="60"/>
      <c r="S451" s="58"/>
      <c r="T451" s="61">
        <f t="shared" ref="T451" si="1214">SUM(Q451+R451-S451)</f>
        <v>4</v>
      </c>
      <c r="U451" s="60"/>
      <c r="V451" s="58"/>
      <c r="W451" s="59">
        <f t="shared" ref="W451" si="1215">SUM(T451+U451-V451)</f>
        <v>4</v>
      </c>
      <c r="X451" s="60"/>
      <c r="Y451" s="58"/>
      <c r="Z451" s="61">
        <f t="shared" ref="Z451" si="1216">SUM(W451+X451-Y451)</f>
        <v>4</v>
      </c>
      <c r="AA451" s="60"/>
      <c r="AB451" s="58"/>
      <c r="AC451" s="59">
        <f t="shared" ref="AC451" si="1217">SUM(Z451+AA451-AB451)</f>
        <v>4</v>
      </c>
      <c r="AD451" s="57"/>
      <c r="AE451" s="58"/>
      <c r="AF451" s="243">
        <f t="shared" ref="AF451" si="1218">SUM(AC451+AD451-AE451)</f>
        <v>4</v>
      </c>
      <c r="AG451" s="60"/>
      <c r="AH451" s="58"/>
      <c r="AI451" s="62">
        <f t="shared" ref="AI451" si="1219">SUM(AF451+AG451-AH451)</f>
        <v>4</v>
      </c>
      <c r="AJ451" s="60"/>
      <c r="AK451" s="58"/>
      <c r="AL451" s="62">
        <f t="shared" ref="AL451" si="1220">SUM(AI451+AJ451-AK451)</f>
        <v>4</v>
      </c>
      <c r="AM451" s="60"/>
      <c r="AN451" s="58"/>
      <c r="AO451" s="62">
        <f t="shared" ref="AO451" si="1221">SUM(AL451+AM451-AN451)</f>
        <v>4</v>
      </c>
      <c r="AP451" s="60"/>
      <c r="AQ451" s="58"/>
      <c r="AR451" s="104">
        <f t="shared" ref="AR451" si="1222">SUM(AO451+AP451-AQ451)</f>
        <v>4</v>
      </c>
      <c r="AS451" s="57"/>
      <c r="AT451" s="58"/>
      <c r="AU451" s="62">
        <f t="shared" ref="AU451" si="1223">SUM(AR451+AS451-AT451)</f>
        <v>4</v>
      </c>
      <c r="AV451" s="84">
        <f t="shared" ref="AV451" si="1224">SUM(L451+O451+R451+U451+X451+AA451+AD451+AG451+AJ451+AM451+AP451+AS451)</f>
        <v>0</v>
      </c>
      <c r="AW451" s="83">
        <f t="shared" si="1155"/>
        <v>0</v>
      </c>
      <c r="AX451" s="64">
        <f t="shared" ref="AX451" si="1225">SUM(M451,P451,S451,V451,Y451,AB451,AE451,AH451,AK451,AN451,AQ451,AT451)</f>
        <v>0</v>
      </c>
      <c r="AY451" s="65" t="e">
        <f t="shared" ref="AY451" si="1226">AVERAGE(M451,P451,S451,V451,Y451,AB451,AE451,AH451,AK451,AN451,AQ451,AT451)</f>
        <v>#DIV/0!</v>
      </c>
      <c r="AZ451" s="66">
        <f t="shared" ref="AZ451" si="1227">COUNT(M451,P451,S451,V451,Y451,AB451,AE451,AH451,AK451,AN451,AQ451,AT451)</f>
        <v>0</v>
      </c>
      <c r="BA451" s="67">
        <f>MAX(0, Table176252626[[#This Row],[Column6]])</f>
        <v>4</v>
      </c>
      <c r="BB451" s="68">
        <v>1</v>
      </c>
      <c r="BC451" s="84">
        <f t="shared" si="1210"/>
        <v>4</v>
      </c>
      <c r="BD451" s="83">
        <f t="shared" si="1195"/>
        <v>3</v>
      </c>
      <c r="BE451" s="85">
        <v>2</v>
      </c>
      <c r="BF451" s="86">
        <v>45365.447175925925</v>
      </c>
      <c r="BG451" s="72" t="e">
        <f t="shared" si="1023"/>
        <v>#REF!</v>
      </c>
      <c r="BH451" s="87" t="e">
        <f t="shared" ref="BH451" si="1228">BG451-BF451</f>
        <v>#REF!</v>
      </c>
      <c r="BI451" s="80" t="e">
        <f t="shared" si="1197"/>
        <v>#REF!</v>
      </c>
      <c r="BJ451" s="238">
        <v>1900</v>
      </c>
    </row>
    <row r="452" spans="1:62" ht="13">
      <c r="A452" s="49"/>
      <c r="B452" s="50"/>
      <c r="C452" s="51">
        <v>450</v>
      </c>
      <c r="D452" s="139" t="s">
        <v>1525</v>
      </c>
      <c r="E452" s="140">
        <v>23</v>
      </c>
      <c r="F452" s="88" t="s">
        <v>1311</v>
      </c>
      <c r="G452" s="89" t="s">
        <v>1310</v>
      </c>
      <c r="H452" s="89" t="s">
        <v>1208</v>
      </c>
      <c r="I452" s="80" t="s">
        <v>458</v>
      </c>
      <c r="J452" s="93">
        <f t="shared" ref="J452:J493" si="1229">AU452</f>
        <v>2</v>
      </c>
      <c r="K452" s="88">
        <v>2</v>
      </c>
      <c r="L452" s="58"/>
      <c r="M452" s="58"/>
      <c r="N452" s="62">
        <f t="shared" ref="N452:N493" si="1230">SUM(K452+L452-M452)</f>
        <v>2</v>
      </c>
      <c r="O452" s="60"/>
      <c r="P452" s="58"/>
      <c r="Q452" s="62">
        <f t="shared" ref="Q452:Q493" si="1231">SUM(N452+O452-P452)</f>
        <v>2</v>
      </c>
      <c r="R452" s="60"/>
      <c r="S452" s="58"/>
      <c r="T452" s="94">
        <f t="shared" ref="T452:T493" si="1232">SUM(Q452+R452-S452)</f>
        <v>2</v>
      </c>
      <c r="U452" s="60"/>
      <c r="V452" s="58"/>
      <c r="W452" s="62">
        <f t="shared" ref="W452:W493" si="1233">SUM(T452+U452-V452)</f>
        <v>2</v>
      </c>
      <c r="X452" s="60"/>
      <c r="Y452" s="58">
        <v>1</v>
      </c>
      <c r="Z452" s="94">
        <f t="shared" ref="Z452:Z493" si="1234">SUM(W452+X452-Y452)</f>
        <v>1</v>
      </c>
      <c r="AA452" s="60">
        <v>1</v>
      </c>
      <c r="AB452" s="58"/>
      <c r="AC452" s="62">
        <f t="shared" ref="AC452:AC493" si="1235">SUM(Z452+AA452-AB452)</f>
        <v>2</v>
      </c>
      <c r="AD452" s="57">
        <v>3</v>
      </c>
      <c r="AE452" s="58">
        <f>1+1+1</f>
        <v>3</v>
      </c>
      <c r="AF452" s="165">
        <f t="shared" ref="AF452:AF493" si="1236">SUM(AC452+AD452-AE452)</f>
        <v>2</v>
      </c>
      <c r="AG452" s="60"/>
      <c r="AH452" s="58"/>
      <c r="AI452" s="62">
        <f t="shared" ref="AI452:AI493" si="1237">SUM(AF452+AG452-AH452)</f>
        <v>2</v>
      </c>
      <c r="AJ452" s="60"/>
      <c r="AK452" s="58"/>
      <c r="AL452" s="62">
        <f t="shared" ref="AL452:AL493" si="1238">SUM(AI452+AJ452-AK452)</f>
        <v>2</v>
      </c>
      <c r="AM452" s="60"/>
      <c r="AN452" s="58"/>
      <c r="AO452" s="62">
        <f t="shared" ref="AO452:AO493" si="1239">SUM(AL452+AM452-AN452)</f>
        <v>2</v>
      </c>
      <c r="AP452" s="60"/>
      <c r="AQ452" s="58"/>
      <c r="AR452" s="62">
        <f t="shared" ref="AR452:AR493" si="1240">SUM(AO452+AP452-AQ452)</f>
        <v>2</v>
      </c>
      <c r="AS452" s="60"/>
      <c r="AT452" s="58"/>
      <c r="AU452" s="62">
        <f t="shared" ref="AU452:AU493" si="1241">SUM(AR452+AS452-AT452)</f>
        <v>2</v>
      </c>
      <c r="AV452" s="96">
        <f t="shared" ref="AV452" si="1242">SUM(L452+O452+R452+U452+X452+AA452+AD452+AG452+AJ452+AM452+AP452+AS452)</f>
        <v>4</v>
      </c>
      <c r="AW452" s="83">
        <f t="shared" si="1155"/>
        <v>4</v>
      </c>
      <c r="AX452" s="98">
        <f t="shared" ref="AX452:AX493" si="1243">SUM(M452,P452,S452,V452,Y452,AB452,AE452,AH452,AK452,AN452,AQ452,AT452)</f>
        <v>4</v>
      </c>
      <c r="AY452" s="99">
        <f t="shared" ref="AY452:AY493" si="1244">AVERAGE(M452,P452,S452,V452,Y452,AB452,AE452,AH452,AK452,AN452,AQ452,AT452)</f>
        <v>2</v>
      </c>
      <c r="AZ452" s="100">
        <f t="shared" ref="AZ452:AZ493" si="1245">COUNT(M452,P452,S452,V452,Y452,AB452,AE452,AH452,AK452,AN452,AQ452,AT452)</f>
        <v>2</v>
      </c>
      <c r="BA452" s="101">
        <v>2</v>
      </c>
      <c r="BB452" s="102">
        <f>MIN(M452,P452,S452,V452,Y452,AB452,AE452,AH452,AK452,AN452,AQ452,AT452)</f>
        <v>1</v>
      </c>
      <c r="BC452" s="84">
        <f t="shared" si="1210"/>
        <v>2</v>
      </c>
      <c r="BD452" s="83">
        <f t="shared" si="1195"/>
        <v>1</v>
      </c>
      <c r="BE452" s="85">
        <v>2</v>
      </c>
      <c r="BF452" s="86">
        <v>46223</v>
      </c>
      <c r="BG452" s="72" t="e">
        <f t="shared" si="1023"/>
        <v>#REF!</v>
      </c>
      <c r="BH452" s="103" t="e">
        <f t="shared" ref="BH452:BH493" si="1246">BG452-BF452</f>
        <v>#REF!</v>
      </c>
      <c r="BI452" s="80" t="e">
        <f t="shared" si="1197"/>
        <v>#REF!</v>
      </c>
      <c r="BJ452" s="238">
        <v>1769</v>
      </c>
    </row>
    <row r="453" spans="1:62" ht="13">
      <c r="A453" s="90"/>
      <c r="B453" s="91"/>
      <c r="C453" s="51">
        <v>451</v>
      </c>
      <c r="D453" s="141" t="s">
        <v>1525</v>
      </c>
      <c r="E453" s="141">
        <v>1</v>
      </c>
      <c r="F453" s="80" t="s">
        <v>1775</v>
      </c>
      <c r="G453" s="81" t="s">
        <v>1777</v>
      </c>
      <c r="H453" s="81" t="s">
        <v>1009</v>
      </c>
      <c r="I453" s="80" t="s">
        <v>458</v>
      </c>
      <c r="J453" s="93">
        <f t="shared" ref="J453:J460" si="1247">AU453</f>
        <v>9</v>
      </c>
      <c r="K453" s="88">
        <v>9</v>
      </c>
      <c r="L453" s="58"/>
      <c r="M453" s="58"/>
      <c r="N453" s="62">
        <f t="shared" ref="N453:N460" si="1248">SUM(K453+L453-M453)</f>
        <v>9</v>
      </c>
      <c r="O453" s="60"/>
      <c r="P453" s="58"/>
      <c r="Q453" s="62">
        <f t="shared" ref="Q453:Q460" si="1249">SUM(N453+O453-P453)</f>
        <v>9</v>
      </c>
      <c r="R453" s="60"/>
      <c r="S453" s="58"/>
      <c r="T453" s="94">
        <f t="shared" ref="T453:T460" si="1250">SUM(Q453+R453-S453)</f>
        <v>9</v>
      </c>
      <c r="U453" s="60"/>
      <c r="V453" s="58"/>
      <c r="W453" s="62">
        <f t="shared" ref="W453:W460" si="1251">SUM(T453+U453-V453)</f>
        <v>9</v>
      </c>
      <c r="X453" s="60"/>
      <c r="Y453" s="58"/>
      <c r="Z453" s="94">
        <f t="shared" ref="Z453:Z460" si="1252">SUM(W453+X453-Y453)</f>
        <v>9</v>
      </c>
      <c r="AA453" s="60"/>
      <c r="AB453" s="58"/>
      <c r="AC453" s="62">
        <f t="shared" ref="AC453:AC460" si="1253">SUM(Z453+AA453-AB453)</f>
        <v>9</v>
      </c>
      <c r="AD453" s="57"/>
      <c r="AE453" s="58"/>
      <c r="AF453" s="165">
        <f t="shared" ref="AF453:AF460" si="1254">SUM(AC453+AD453-AE453)</f>
        <v>9</v>
      </c>
      <c r="AG453" s="60"/>
      <c r="AH453" s="58"/>
      <c r="AI453" s="62">
        <f t="shared" ref="AI453:AI460" si="1255">SUM(AF453+AG453-AH453)</f>
        <v>9</v>
      </c>
      <c r="AJ453" s="60"/>
      <c r="AK453" s="58"/>
      <c r="AL453" s="62">
        <f t="shared" ref="AL453:AL460" si="1256">SUM(AI453+AJ453-AK453)</f>
        <v>9</v>
      </c>
      <c r="AM453" s="60"/>
      <c r="AN453" s="58"/>
      <c r="AO453" s="62">
        <f t="shared" ref="AO453:AO460" si="1257">SUM(AL453+AM453-AN453)</f>
        <v>9</v>
      </c>
      <c r="AP453" s="60"/>
      <c r="AQ453" s="58"/>
      <c r="AR453" s="62">
        <f t="shared" ref="AR453:AR460" si="1258">SUM(AO453+AP453-AQ453)</f>
        <v>9</v>
      </c>
      <c r="AS453" s="60"/>
      <c r="AT453" s="58"/>
      <c r="AU453" s="62">
        <f t="shared" ref="AU453:AU460" si="1259">SUM(AR453+AS453-AT453)</f>
        <v>9</v>
      </c>
      <c r="AV453" s="96">
        <f t="shared" ref="AV453:AW457" si="1260">SUM(L453+O453+R453+U453+X453+AA453+AD453+AG453+AJ453+AM453+AP453+AS453)</f>
        <v>0</v>
      </c>
      <c r="AW453" s="83">
        <f t="shared" si="1260"/>
        <v>0</v>
      </c>
      <c r="AX453" s="98">
        <f t="shared" ref="AX453:AX460" si="1261">SUM(M453,P453,S453,V453,Y453,AB453,AE453,AH453,AK453,AN453,AQ453,AT453)</f>
        <v>0</v>
      </c>
      <c r="AY453" s="99" t="e">
        <f t="shared" ref="AY453:AY460" si="1262">AVERAGE(M453,P453,S453,V453,Y453,AB453,AE453,AH453,AK453,AN453,AQ453,AT453)</f>
        <v>#DIV/0!</v>
      </c>
      <c r="AZ453" s="100">
        <f t="shared" ref="AZ453:AZ460" si="1263">COUNT(M453,P453,S453,V453,Y453,AB453,AE453,AH453,AK453,AN453,AQ453,AT453)</f>
        <v>0</v>
      </c>
      <c r="BA453" s="101">
        <v>9</v>
      </c>
      <c r="BB453" s="102">
        <v>1</v>
      </c>
      <c r="BC453" s="84">
        <f t="shared" si="1210"/>
        <v>9</v>
      </c>
      <c r="BD453" s="83">
        <f t="shared" si="1195"/>
        <v>8</v>
      </c>
      <c r="BE453" s="85">
        <v>2</v>
      </c>
      <c r="BF453" s="86">
        <v>46010.642858796295</v>
      </c>
      <c r="BG453" s="72" t="e">
        <f t="shared" si="1023"/>
        <v>#REF!</v>
      </c>
      <c r="BH453" s="109" t="e">
        <f t="shared" ref="BH453:BH460" si="1264">BG453-BF453</f>
        <v>#REF!</v>
      </c>
      <c r="BI453" s="80" t="e">
        <f t="shared" si="1197"/>
        <v>#REF!</v>
      </c>
      <c r="BJ453" s="238">
        <v>495</v>
      </c>
    </row>
    <row r="454" spans="1:62" ht="13">
      <c r="A454" s="90"/>
      <c r="B454" s="91"/>
      <c r="C454" s="77">
        <v>452</v>
      </c>
      <c r="D454" s="141" t="s">
        <v>1525</v>
      </c>
      <c r="E454" s="141">
        <v>2</v>
      </c>
      <c r="F454" s="80" t="s">
        <v>1774</v>
      </c>
      <c r="G454" s="81" t="s">
        <v>1776</v>
      </c>
      <c r="H454" s="81" t="s">
        <v>1009</v>
      </c>
      <c r="I454" s="80" t="s">
        <v>458</v>
      </c>
      <c r="J454" s="93">
        <f t="shared" si="1247"/>
        <v>8</v>
      </c>
      <c r="K454" s="80">
        <v>8</v>
      </c>
      <c r="L454" s="58"/>
      <c r="M454" s="58"/>
      <c r="N454" s="62">
        <f t="shared" si="1248"/>
        <v>8</v>
      </c>
      <c r="O454" s="60"/>
      <c r="P454" s="58"/>
      <c r="Q454" s="62">
        <f t="shared" si="1249"/>
        <v>8</v>
      </c>
      <c r="R454" s="60"/>
      <c r="S454" s="58"/>
      <c r="T454" s="94">
        <f t="shared" si="1250"/>
        <v>8</v>
      </c>
      <c r="U454" s="60"/>
      <c r="V454" s="58"/>
      <c r="W454" s="62">
        <f t="shared" si="1251"/>
        <v>8</v>
      </c>
      <c r="X454" s="60"/>
      <c r="Y454" s="58"/>
      <c r="Z454" s="94">
        <f t="shared" si="1252"/>
        <v>8</v>
      </c>
      <c r="AA454" s="60"/>
      <c r="AB454" s="58"/>
      <c r="AC454" s="62">
        <f t="shared" si="1253"/>
        <v>8</v>
      </c>
      <c r="AD454" s="57"/>
      <c r="AE454" s="58"/>
      <c r="AF454" s="165">
        <f t="shared" si="1254"/>
        <v>8</v>
      </c>
      <c r="AG454" s="60"/>
      <c r="AH454" s="58"/>
      <c r="AI454" s="62">
        <f t="shared" si="1255"/>
        <v>8</v>
      </c>
      <c r="AJ454" s="60"/>
      <c r="AK454" s="58"/>
      <c r="AL454" s="62">
        <f t="shared" si="1256"/>
        <v>8</v>
      </c>
      <c r="AM454" s="60"/>
      <c r="AN454" s="58"/>
      <c r="AO454" s="62">
        <f t="shared" si="1257"/>
        <v>8</v>
      </c>
      <c r="AP454" s="60"/>
      <c r="AQ454" s="58"/>
      <c r="AR454" s="62">
        <f t="shared" si="1258"/>
        <v>8</v>
      </c>
      <c r="AS454" s="60"/>
      <c r="AT454" s="58"/>
      <c r="AU454" s="62">
        <f t="shared" si="1259"/>
        <v>8</v>
      </c>
      <c r="AV454" s="96">
        <f t="shared" si="1260"/>
        <v>0</v>
      </c>
      <c r="AW454" s="83">
        <f t="shared" si="1260"/>
        <v>0</v>
      </c>
      <c r="AX454" s="98">
        <f t="shared" si="1261"/>
        <v>0</v>
      </c>
      <c r="AY454" s="99" t="e">
        <f t="shared" si="1262"/>
        <v>#DIV/0!</v>
      </c>
      <c r="AZ454" s="100">
        <f t="shared" si="1263"/>
        <v>0</v>
      </c>
      <c r="BA454" s="101">
        <v>8</v>
      </c>
      <c r="BB454" s="102">
        <v>1</v>
      </c>
      <c r="BC454" s="84">
        <f t="shared" si="1210"/>
        <v>8</v>
      </c>
      <c r="BD454" s="83">
        <f t="shared" si="1195"/>
        <v>7</v>
      </c>
      <c r="BE454" s="85">
        <v>2</v>
      </c>
      <c r="BF454" s="86">
        <v>46010.642858796295</v>
      </c>
      <c r="BG454" s="72" t="e">
        <f t="shared" si="1023"/>
        <v>#REF!</v>
      </c>
      <c r="BH454" s="109" t="e">
        <f t="shared" si="1264"/>
        <v>#REF!</v>
      </c>
      <c r="BI454" s="80" t="e">
        <f t="shared" si="1197"/>
        <v>#REF!</v>
      </c>
      <c r="BJ454" s="238">
        <v>225</v>
      </c>
    </row>
    <row r="455" spans="1:62" ht="13">
      <c r="A455" s="49"/>
      <c r="B455" s="50"/>
      <c r="C455" s="77">
        <v>453</v>
      </c>
      <c r="D455" s="141" t="s">
        <v>1525</v>
      </c>
      <c r="E455" s="141">
        <v>3</v>
      </c>
      <c r="F455" s="133" t="s">
        <v>1138</v>
      </c>
      <c r="G455" s="130" t="s">
        <v>1139</v>
      </c>
      <c r="H455" s="81" t="s">
        <v>1009</v>
      </c>
      <c r="I455" s="80" t="s">
        <v>458</v>
      </c>
      <c r="J455" s="82">
        <f t="shared" si="1247"/>
        <v>2</v>
      </c>
      <c r="K455" s="80">
        <v>2</v>
      </c>
      <c r="L455" s="57"/>
      <c r="M455" s="58"/>
      <c r="N455" s="59">
        <f t="shared" si="1248"/>
        <v>2</v>
      </c>
      <c r="O455" s="60"/>
      <c r="P455" s="58"/>
      <c r="Q455" s="59">
        <f t="shared" si="1249"/>
        <v>2</v>
      </c>
      <c r="R455" s="60"/>
      <c r="S455" s="58"/>
      <c r="T455" s="61">
        <f t="shared" si="1250"/>
        <v>2</v>
      </c>
      <c r="U455" s="60"/>
      <c r="V455" s="58"/>
      <c r="W455" s="59">
        <f t="shared" si="1251"/>
        <v>2</v>
      </c>
      <c r="X455" s="60"/>
      <c r="Y455" s="58"/>
      <c r="Z455" s="61">
        <f t="shared" si="1252"/>
        <v>2</v>
      </c>
      <c r="AA455" s="60"/>
      <c r="AB455" s="58"/>
      <c r="AC455" s="59">
        <f t="shared" si="1253"/>
        <v>2</v>
      </c>
      <c r="AD455" s="57"/>
      <c r="AE455" s="58"/>
      <c r="AF455" s="243">
        <f t="shared" si="1254"/>
        <v>2</v>
      </c>
      <c r="AG455" s="60"/>
      <c r="AH455" s="58"/>
      <c r="AI455" s="62">
        <f t="shared" si="1255"/>
        <v>2</v>
      </c>
      <c r="AJ455" s="60"/>
      <c r="AK455" s="58"/>
      <c r="AL455" s="62">
        <f t="shared" si="1256"/>
        <v>2</v>
      </c>
      <c r="AM455" s="60"/>
      <c r="AN455" s="58"/>
      <c r="AO455" s="62">
        <f t="shared" si="1257"/>
        <v>2</v>
      </c>
      <c r="AP455" s="60"/>
      <c r="AQ455" s="58"/>
      <c r="AR455" s="62">
        <f t="shared" si="1258"/>
        <v>2</v>
      </c>
      <c r="AS455" s="60"/>
      <c r="AT455" s="58"/>
      <c r="AU455" s="62">
        <f t="shared" si="1259"/>
        <v>2</v>
      </c>
      <c r="AV455" s="83">
        <f t="shared" si="1260"/>
        <v>0</v>
      </c>
      <c r="AW455" s="83">
        <f t="shared" si="1260"/>
        <v>0</v>
      </c>
      <c r="AX455" s="64">
        <f t="shared" si="1261"/>
        <v>0</v>
      </c>
      <c r="AY455" s="65" t="e">
        <f t="shared" si="1262"/>
        <v>#DIV/0!</v>
      </c>
      <c r="AZ455" s="66">
        <f t="shared" si="1263"/>
        <v>0</v>
      </c>
      <c r="BA455" s="67">
        <f>MAX(0, Table176252626[[#This Row],[Column6]])</f>
        <v>2</v>
      </c>
      <c r="BB455" s="68">
        <v>1</v>
      </c>
      <c r="BC455" s="84">
        <f t="shared" si="1210"/>
        <v>2</v>
      </c>
      <c r="BD455" s="83">
        <f t="shared" si="1195"/>
        <v>1</v>
      </c>
      <c r="BE455" s="85">
        <v>2</v>
      </c>
      <c r="BF455" s="86">
        <v>44802.542233796295</v>
      </c>
      <c r="BG455" s="72" t="e">
        <f t="shared" si="1023"/>
        <v>#REF!</v>
      </c>
      <c r="BH455" s="107" t="e">
        <f t="shared" si="1264"/>
        <v>#REF!</v>
      </c>
      <c r="BI455" s="80" t="e">
        <f t="shared" si="1197"/>
        <v>#REF!</v>
      </c>
      <c r="BJ455" s="238">
        <v>1720</v>
      </c>
    </row>
    <row r="456" spans="1:62" ht="13">
      <c r="A456" s="49"/>
      <c r="B456" s="76"/>
      <c r="C456" s="51">
        <v>454</v>
      </c>
      <c r="D456" s="141" t="s">
        <v>1525</v>
      </c>
      <c r="E456" s="141">
        <v>4</v>
      </c>
      <c r="F456" s="80" t="s">
        <v>1013</v>
      </c>
      <c r="G456" s="81" t="s">
        <v>1012</v>
      </c>
      <c r="H456" s="81" t="s">
        <v>1009</v>
      </c>
      <c r="I456" s="88" t="s">
        <v>458</v>
      </c>
      <c r="J456" s="82">
        <f t="shared" si="1247"/>
        <v>2</v>
      </c>
      <c r="K456" s="80">
        <v>1</v>
      </c>
      <c r="L456" s="57"/>
      <c r="M456" s="58">
        <v>1</v>
      </c>
      <c r="N456" s="59">
        <f t="shared" si="1248"/>
        <v>0</v>
      </c>
      <c r="O456" s="60"/>
      <c r="P456" s="58"/>
      <c r="Q456" s="59">
        <f t="shared" si="1249"/>
        <v>0</v>
      </c>
      <c r="R456" s="60"/>
      <c r="S456" s="58"/>
      <c r="T456" s="61">
        <f t="shared" si="1250"/>
        <v>0</v>
      </c>
      <c r="U456" s="60">
        <v>2</v>
      </c>
      <c r="V456" s="58"/>
      <c r="W456" s="59">
        <f t="shared" si="1251"/>
        <v>2</v>
      </c>
      <c r="X456" s="60"/>
      <c r="Y456" s="58"/>
      <c r="Z456" s="61">
        <f t="shared" si="1252"/>
        <v>2</v>
      </c>
      <c r="AA456" s="60"/>
      <c r="AB456" s="58"/>
      <c r="AC456" s="59">
        <f t="shared" si="1253"/>
        <v>2</v>
      </c>
      <c r="AD456" s="57"/>
      <c r="AE456" s="58"/>
      <c r="AF456" s="243">
        <f t="shared" si="1254"/>
        <v>2</v>
      </c>
      <c r="AG456" s="60"/>
      <c r="AH456" s="58"/>
      <c r="AI456" s="62">
        <f t="shared" si="1255"/>
        <v>2</v>
      </c>
      <c r="AJ456" s="60"/>
      <c r="AK456" s="58"/>
      <c r="AL456" s="62">
        <f t="shared" si="1256"/>
        <v>2</v>
      </c>
      <c r="AM456" s="60"/>
      <c r="AN456" s="58"/>
      <c r="AO456" s="62">
        <f t="shared" si="1257"/>
        <v>2</v>
      </c>
      <c r="AP456" s="60"/>
      <c r="AQ456" s="58"/>
      <c r="AR456" s="62">
        <f t="shared" si="1258"/>
        <v>2</v>
      </c>
      <c r="AS456" s="60"/>
      <c r="AT456" s="58"/>
      <c r="AU456" s="62">
        <f t="shared" si="1259"/>
        <v>2</v>
      </c>
      <c r="AV456" s="83">
        <f t="shared" si="1260"/>
        <v>2</v>
      </c>
      <c r="AW456" s="83">
        <f t="shared" si="1260"/>
        <v>1</v>
      </c>
      <c r="AX456" s="64">
        <f t="shared" si="1261"/>
        <v>1</v>
      </c>
      <c r="AY456" s="65">
        <f t="shared" si="1262"/>
        <v>1</v>
      </c>
      <c r="AZ456" s="66">
        <f t="shared" si="1263"/>
        <v>1</v>
      </c>
      <c r="BA456" s="67">
        <f>MAX(0, Table176252626[[#This Row],[Column6]])</f>
        <v>2</v>
      </c>
      <c r="BB456" s="68">
        <v>1</v>
      </c>
      <c r="BC456" s="84">
        <f t="shared" si="1210"/>
        <v>2</v>
      </c>
      <c r="BD456" s="83">
        <f t="shared" si="1195"/>
        <v>1</v>
      </c>
      <c r="BE456" s="85">
        <v>2</v>
      </c>
      <c r="BF456" s="86">
        <v>46114</v>
      </c>
      <c r="BG456" s="72" t="e">
        <f t="shared" si="1023"/>
        <v>#REF!</v>
      </c>
      <c r="BH456" s="87" t="e">
        <f t="shared" si="1264"/>
        <v>#REF!</v>
      </c>
      <c r="BI456" s="80" t="e">
        <f t="shared" si="1197"/>
        <v>#REF!</v>
      </c>
      <c r="BJ456" s="238">
        <v>2700</v>
      </c>
    </row>
    <row r="457" spans="1:62" ht="13">
      <c r="A457" s="49"/>
      <c r="B457" s="76"/>
      <c r="C457" s="51">
        <v>455</v>
      </c>
      <c r="D457" s="141" t="s">
        <v>1525</v>
      </c>
      <c r="E457" s="141">
        <v>5</v>
      </c>
      <c r="F457" s="80" t="s">
        <v>1014</v>
      </c>
      <c r="G457" s="81" t="s">
        <v>1015</v>
      </c>
      <c r="H457" s="81" t="s">
        <v>1009</v>
      </c>
      <c r="I457" s="88" t="s">
        <v>458</v>
      </c>
      <c r="J457" s="82">
        <f t="shared" si="1247"/>
        <v>2</v>
      </c>
      <c r="K457" s="80">
        <v>2</v>
      </c>
      <c r="L457" s="57"/>
      <c r="M457" s="58"/>
      <c r="N457" s="59">
        <f t="shared" si="1248"/>
        <v>2</v>
      </c>
      <c r="O457" s="60"/>
      <c r="P457" s="58"/>
      <c r="Q457" s="59">
        <f t="shared" si="1249"/>
        <v>2</v>
      </c>
      <c r="R457" s="60"/>
      <c r="S457" s="58"/>
      <c r="T457" s="61">
        <f t="shared" si="1250"/>
        <v>2</v>
      </c>
      <c r="U457" s="60"/>
      <c r="V457" s="58"/>
      <c r="W457" s="59">
        <f t="shared" si="1251"/>
        <v>2</v>
      </c>
      <c r="X457" s="60"/>
      <c r="Y457" s="58"/>
      <c r="Z457" s="61">
        <f t="shared" si="1252"/>
        <v>2</v>
      </c>
      <c r="AA457" s="60"/>
      <c r="AB457" s="58"/>
      <c r="AC457" s="59">
        <f t="shared" si="1253"/>
        <v>2</v>
      </c>
      <c r="AD457" s="57"/>
      <c r="AE457" s="58"/>
      <c r="AF457" s="243">
        <f t="shared" si="1254"/>
        <v>2</v>
      </c>
      <c r="AG457" s="60"/>
      <c r="AH457" s="58"/>
      <c r="AI457" s="62">
        <f t="shared" si="1255"/>
        <v>2</v>
      </c>
      <c r="AJ457" s="60"/>
      <c r="AK457" s="58"/>
      <c r="AL457" s="62">
        <f t="shared" si="1256"/>
        <v>2</v>
      </c>
      <c r="AM457" s="60"/>
      <c r="AN457" s="58"/>
      <c r="AO457" s="62">
        <f t="shared" si="1257"/>
        <v>2</v>
      </c>
      <c r="AP457" s="60"/>
      <c r="AQ457" s="58"/>
      <c r="AR457" s="62">
        <f t="shared" si="1258"/>
        <v>2</v>
      </c>
      <c r="AS457" s="60"/>
      <c r="AT457" s="58"/>
      <c r="AU457" s="62">
        <f t="shared" si="1259"/>
        <v>2</v>
      </c>
      <c r="AV457" s="83">
        <f t="shared" si="1260"/>
        <v>0</v>
      </c>
      <c r="AW457" s="83">
        <f t="shared" si="1260"/>
        <v>0</v>
      </c>
      <c r="AX457" s="64">
        <f t="shared" si="1261"/>
        <v>0</v>
      </c>
      <c r="AY457" s="65" t="e">
        <f t="shared" si="1262"/>
        <v>#DIV/0!</v>
      </c>
      <c r="AZ457" s="66">
        <f t="shared" si="1263"/>
        <v>0</v>
      </c>
      <c r="BA457" s="67">
        <f>MAX(0, Table176252626[[#This Row],[Column6]])</f>
        <v>2</v>
      </c>
      <c r="BB457" s="68">
        <v>1</v>
      </c>
      <c r="BC457" s="84">
        <f t="shared" si="1210"/>
        <v>2</v>
      </c>
      <c r="BD457" s="83">
        <f t="shared" si="1195"/>
        <v>1</v>
      </c>
      <c r="BE457" s="85">
        <v>2</v>
      </c>
      <c r="BF457" s="86">
        <v>45210.672280092593</v>
      </c>
      <c r="BG457" s="72" t="e">
        <f t="shared" ref="BG457:BG520" si="1265">BG456</f>
        <v>#REF!</v>
      </c>
      <c r="BH457" s="87" t="e">
        <f t="shared" si="1264"/>
        <v>#REF!</v>
      </c>
      <c r="BI457" s="80" t="e">
        <f t="shared" si="1197"/>
        <v>#REF!</v>
      </c>
      <c r="BJ457" s="238">
        <v>1557</v>
      </c>
    </row>
    <row r="458" spans="1:62" ht="13">
      <c r="A458" s="90"/>
      <c r="B458" s="91"/>
      <c r="C458" s="51">
        <v>456</v>
      </c>
      <c r="D458" s="141" t="s">
        <v>1525</v>
      </c>
      <c r="E458" s="141">
        <v>6</v>
      </c>
      <c r="F458" s="80" t="s">
        <v>572</v>
      </c>
      <c r="G458" s="81" t="s">
        <v>573</v>
      </c>
      <c r="H458" s="81" t="s">
        <v>302</v>
      </c>
      <c r="I458" s="80" t="s">
        <v>458</v>
      </c>
      <c r="J458" s="82">
        <f t="shared" si="1247"/>
        <v>4</v>
      </c>
      <c r="K458" s="80">
        <v>2</v>
      </c>
      <c r="L458" s="57"/>
      <c r="M458" s="58"/>
      <c r="N458" s="59">
        <f t="shared" si="1248"/>
        <v>2</v>
      </c>
      <c r="O458" s="60"/>
      <c r="P458" s="58"/>
      <c r="Q458" s="59">
        <f t="shared" si="1249"/>
        <v>2</v>
      </c>
      <c r="R458" s="60"/>
      <c r="S458" s="58"/>
      <c r="T458" s="61">
        <f t="shared" si="1250"/>
        <v>2</v>
      </c>
      <c r="U458" s="60"/>
      <c r="V458" s="58"/>
      <c r="W458" s="59">
        <f t="shared" si="1251"/>
        <v>2</v>
      </c>
      <c r="X458" s="60"/>
      <c r="Y458" s="58"/>
      <c r="Z458" s="61">
        <f t="shared" si="1252"/>
        <v>2</v>
      </c>
      <c r="AA458" s="60"/>
      <c r="AB458" s="58">
        <v>1</v>
      </c>
      <c r="AC458" s="59">
        <f t="shared" si="1253"/>
        <v>1</v>
      </c>
      <c r="AD458" s="57">
        <v>3</v>
      </c>
      <c r="AE458" s="58"/>
      <c r="AF458" s="243">
        <f t="shared" si="1254"/>
        <v>4</v>
      </c>
      <c r="AG458" s="60"/>
      <c r="AH458" s="58"/>
      <c r="AI458" s="62">
        <f t="shared" si="1255"/>
        <v>4</v>
      </c>
      <c r="AJ458" s="60"/>
      <c r="AK458" s="58"/>
      <c r="AL458" s="62">
        <f t="shared" si="1256"/>
        <v>4</v>
      </c>
      <c r="AM458" s="60"/>
      <c r="AN458" s="58"/>
      <c r="AO458" s="62">
        <f t="shared" si="1257"/>
        <v>4</v>
      </c>
      <c r="AP458" s="60"/>
      <c r="AQ458" s="58"/>
      <c r="AR458" s="62">
        <f t="shared" si="1258"/>
        <v>4</v>
      </c>
      <c r="AS458" s="60"/>
      <c r="AT458" s="58"/>
      <c r="AU458" s="62">
        <f t="shared" si="1259"/>
        <v>4</v>
      </c>
      <c r="AV458" s="83">
        <f t="shared" ref="AV458:AW460" si="1266">SUM(L458+O458+R458+U458+X458+AA458+AD458+AG458+AJ458+AM458+AP458+AS458)</f>
        <v>3</v>
      </c>
      <c r="AW458" s="83">
        <f t="shared" si="1266"/>
        <v>1</v>
      </c>
      <c r="AX458" s="64">
        <f t="shared" si="1261"/>
        <v>1</v>
      </c>
      <c r="AY458" s="65">
        <f t="shared" si="1262"/>
        <v>1</v>
      </c>
      <c r="AZ458" s="66">
        <f t="shared" si="1263"/>
        <v>1</v>
      </c>
      <c r="BA458" s="67">
        <f>MAX(0, Table176252626[[#This Row],[Column6]])</f>
        <v>4</v>
      </c>
      <c r="BB458" s="68">
        <v>1</v>
      </c>
      <c r="BC458" s="84">
        <f>J458</f>
        <v>4</v>
      </c>
      <c r="BD458" s="83">
        <f>SUM(BC458-BB458)</f>
        <v>3</v>
      </c>
      <c r="BE458" s="85">
        <v>2</v>
      </c>
      <c r="BF458" s="86">
        <v>46221</v>
      </c>
      <c r="BG458" s="72" t="e">
        <f t="shared" si="1265"/>
        <v>#REF!</v>
      </c>
      <c r="BH458" s="87" t="e">
        <f t="shared" si="1264"/>
        <v>#REF!</v>
      </c>
      <c r="BI458" s="80" t="e">
        <f>IF(AND(J458&gt;0,BH458&gt;365),"Dead Stock","")</f>
        <v>#REF!</v>
      </c>
      <c r="BJ458" s="238">
        <v>4300</v>
      </c>
    </row>
    <row r="459" spans="1:62" ht="13">
      <c r="A459" s="75"/>
      <c r="B459" s="76"/>
      <c r="C459" s="51">
        <v>457</v>
      </c>
      <c r="D459" s="141" t="s">
        <v>1525</v>
      </c>
      <c r="E459" s="141">
        <v>7</v>
      </c>
      <c r="F459" s="80" t="s">
        <v>673</v>
      </c>
      <c r="G459" s="81" t="s">
        <v>674</v>
      </c>
      <c r="H459" s="81" t="s">
        <v>2011</v>
      </c>
      <c r="I459" s="80" t="s">
        <v>458</v>
      </c>
      <c r="J459" s="82">
        <f t="shared" si="1247"/>
        <v>4</v>
      </c>
      <c r="K459" s="80">
        <v>4</v>
      </c>
      <c r="L459" s="57"/>
      <c r="M459" s="58"/>
      <c r="N459" s="59">
        <f t="shared" si="1248"/>
        <v>4</v>
      </c>
      <c r="O459" s="60"/>
      <c r="P459" s="58"/>
      <c r="Q459" s="59">
        <f t="shared" si="1249"/>
        <v>4</v>
      </c>
      <c r="R459" s="60"/>
      <c r="S459" s="58"/>
      <c r="T459" s="61">
        <f t="shared" si="1250"/>
        <v>4</v>
      </c>
      <c r="U459" s="60"/>
      <c r="V459" s="58"/>
      <c r="W459" s="59">
        <f t="shared" si="1251"/>
        <v>4</v>
      </c>
      <c r="X459" s="60"/>
      <c r="Y459" s="58"/>
      <c r="Z459" s="61">
        <f t="shared" si="1252"/>
        <v>4</v>
      </c>
      <c r="AA459" s="60"/>
      <c r="AB459" s="58"/>
      <c r="AC459" s="59">
        <f t="shared" si="1253"/>
        <v>4</v>
      </c>
      <c r="AD459" s="57"/>
      <c r="AE459" s="58"/>
      <c r="AF459" s="243">
        <f t="shared" si="1254"/>
        <v>4</v>
      </c>
      <c r="AG459" s="60"/>
      <c r="AH459" s="58"/>
      <c r="AI459" s="62">
        <f t="shared" si="1255"/>
        <v>4</v>
      </c>
      <c r="AJ459" s="60"/>
      <c r="AK459" s="58"/>
      <c r="AL459" s="62">
        <f t="shared" si="1256"/>
        <v>4</v>
      </c>
      <c r="AM459" s="60"/>
      <c r="AN459" s="58"/>
      <c r="AO459" s="62">
        <f t="shared" si="1257"/>
        <v>4</v>
      </c>
      <c r="AP459" s="60"/>
      <c r="AQ459" s="58"/>
      <c r="AR459" s="62">
        <f t="shared" si="1258"/>
        <v>4</v>
      </c>
      <c r="AS459" s="60"/>
      <c r="AT459" s="58"/>
      <c r="AU459" s="62">
        <f t="shared" si="1259"/>
        <v>4</v>
      </c>
      <c r="AV459" s="83">
        <f t="shared" si="1266"/>
        <v>0</v>
      </c>
      <c r="AW459" s="83">
        <f t="shared" si="1266"/>
        <v>0</v>
      </c>
      <c r="AX459" s="64">
        <f t="shared" si="1261"/>
        <v>0</v>
      </c>
      <c r="AY459" s="65" t="e">
        <f t="shared" si="1262"/>
        <v>#DIV/0!</v>
      </c>
      <c r="AZ459" s="66">
        <f t="shared" si="1263"/>
        <v>0</v>
      </c>
      <c r="BA459" s="67">
        <f>MAX(0, Table176252626[[#This Row],[Column6]])</f>
        <v>4</v>
      </c>
      <c r="BB459" s="68">
        <v>1</v>
      </c>
      <c r="BC459" s="84">
        <f>J459</f>
        <v>4</v>
      </c>
      <c r="BD459" s="83">
        <f>SUM(BC459-BB459)</f>
        <v>3</v>
      </c>
      <c r="BE459" s="85">
        <v>2</v>
      </c>
      <c r="BF459" s="86">
        <v>45223.704884259256</v>
      </c>
      <c r="BG459" s="72" t="e">
        <f t="shared" si="1265"/>
        <v>#REF!</v>
      </c>
      <c r="BH459" s="87" t="e">
        <f t="shared" si="1264"/>
        <v>#REF!</v>
      </c>
      <c r="BI459" s="80" t="e">
        <f>IF(AND(J459&gt;0,BH459&gt;365),"Dead Stock","")</f>
        <v>#REF!</v>
      </c>
      <c r="BJ459" s="238">
        <v>4200</v>
      </c>
    </row>
    <row r="460" spans="1:62" ht="13">
      <c r="A460" s="49"/>
      <c r="B460" s="50"/>
      <c r="C460" s="77">
        <v>458</v>
      </c>
      <c r="D460" s="141" t="s">
        <v>1525</v>
      </c>
      <c r="E460" s="141">
        <v>8</v>
      </c>
      <c r="F460" s="80" t="s">
        <v>574</v>
      </c>
      <c r="G460" s="81" t="s">
        <v>575</v>
      </c>
      <c r="H460" s="81" t="s">
        <v>302</v>
      </c>
      <c r="I460" s="80" t="s">
        <v>458</v>
      </c>
      <c r="J460" s="82">
        <f t="shared" si="1247"/>
        <v>6</v>
      </c>
      <c r="K460" s="80">
        <v>5</v>
      </c>
      <c r="L460" s="57">
        <v>10</v>
      </c>
      <c r="M460" s="58"/>
      <c r="N460" s="59">
        <f t="shared" si="1248"/>
        <v>15</v>
      </c>
      <c r="O460" s="60">
        <v>10</v>
      </c>
      <c r="P460" s="58"/>
      <c r="Q460" s="59">
        <f t="shared" si="1249"/>
        <v>25</v>
      </c>
      <c r="R460" s="60">
        <v>10</v>
      </c>
      <c r="S460" s="58">
        <v>25</v>
      </c>
      <c r="T460" s="61">
        <f t="shared" si="1250"/>
        <v>10</v>
      </c>
      <c r="U460" s="60"/>
      <c r="V460" s="58"/>
      <c r="W460" s="59">
        <f t="shared" si="1251"/>
        <v>10</v>
      </c>
      <c r="X460" s="60"/>
      <c r="Y460" s="58"/>
      <c r="Z460" s="61">
        <f t="shared" si="1252"/>
        <v>10</v>
      </c>
      <c r="AA460" s="60"/>
      <c r="AB460" s="58">
        <v>1</v>
      </c>
      <c r="AC460" s="59">
        <f t="shared" si="1253"/>
        <v>9</v>
      </c>
      <c r="AD460" s="57"/>
      <c r="AE460" s="58">
        <v>1</v>
      </c>
      <c r="AF460" s="243">
        <f t="shared" si="1254"/>
        <v>8</v>
      </c>
      <c r="AG460" s="60"/>
      <c r="AH460" s="58">
        <v>2</v>
      </c>
      <c r="AI460" s="62">
        <f t="shared" si="1255"/>
        <v>6</v>
      </c>
      <c r="AJ460" s="60"/>
      <c r="AK460" s="58"/>
      <c r="AL460" s="62">
        <f t="shared" si="1256"/>
        <v>6</v>
      </c>
      <c r="AM460" s="60"/>
      <c r="AN460" s="58"/>
      <c r="AO460" s="62">
        <f t="shared" si="1257"/>
        <v>6</v>
      </c>
      <c r="AP460" s="60"/>
      <c r="AQ460" s="58"/>
      <c r="AR460" s="62">
        <f t="shared" si="1258"/>
        <v>6</v>
      </c>
      <c r="AS460" s="60"/>
      <c r="AT460" s="58"/>
      <c r="AU460" s="62">
        <f t="shared" si="1259"/>
        <v>6</v>
      </c>
      <c r="AV460" s="83">
        <f t="shared" si="1266"/>
        <v>30</v>
      </c>
      <c r="AW460" s="83">
        <f t="shared" si="1266"/>
        <v>29</v>
      </c>
      <c r="AX460" s="64">
        <f t="shared" si="1261"/>
        <v>29</v>
      </c>
      <c r="AY460" s="65">
        <f t="shared" si="1262"/>
        <v>7.25</v>
      </c>
      <c r="AZ460" s="66">
        <f t="shared" si="1263"/>
        <v>4</v>
      </c>
      <c r="BA460" s="67">
        <f>MAX(0, Table176252626[[#This Row],[Column6]])</f>
        <v>6</v>
      </c>
      <c r="BB460" s="68">
        <v>1</v>
      </c>
      <c r="BC460" s="84">
        <f>J460</f>
        <v>6</v>
      </c>
      <c r="BD460" s="83">
        <f>SUM(BC460-BB460)</f>
        <v>5</v>
      </c>
      <c r="BE460" s="85">
        <v>2</v>
      </c>
      <c r="BF460" s="86">
        <v>46087</v>
      </c>
      <c r="BG460" s="72" t="e">
        <f t="shared" si="1265"/>
        <v>#REF!</v>
      </c>
      <c r="BH460" s="107" t="e">
        <f t="shared" si="1264"/>
        <v>#REF!</v>
      </c>
      <c r="BI460" s="80" t="e">
        <f>IF(AND(J460&gt;0,BH460&gt;365),"Dead Stock","")</f>
        <v>#REF!</v>
      </c>
      <c r="BJ460" s="238">
        <v>2800</v>
      </c>
    </row>
    <row r="461" spans="1:62" ht="13">
      <c r="A461" s="49"/>
      <c r="B461" s="50"/>
      <c r="C461" s="77">
        <v>459</v>
      </c>
      <c r="D461" s="141" t="s">
        <v>1525</v>
      </c>
      <c r="E461" s="141">
        <v>9</v>
      </c>
      <c r="F461" s="80" t="s">
        <v>1017</v>
      </c>
      <c r="G461" s="81" t="s">
        <v>1016</v>
      </c>
      <c r="H461" s="81" t="s">
        <v>1009</v>
      </c>
      <c r="I461" s="88" t="s">
        <v>458</v>
      </c>
      <c r="J461" s="82">
        <f t="shared" ref="J461" si="1267">AU461</f>
        <v>1</v>
      </c>
      <c r="K461" s="80">
        <v>1</v>
      </c>
      <c r="L461" s="57"/>
      <c r="M461" s="58"/>
      <c r="N461" s="59">
        <f t="shared" ref="N461" si="1268">SUM(K461+L461-M461)</f>
        <v>1</v>
      </c>
      <c r="O461" s="60"/>
      <c r="P461" s="58"/>
      <c r="Q461" s="59">
        <f t="shared" ref="Q461" si="1269">SUM(N461+O461-P461)</f>
        <v>1</v>
      </c>
      <c r="R461" s="60"/>
      <c r="S461" s="58"/>
      <c r="T461" s="61">
        <f t="shared" ref="T461" si="1270">SUM(Q461+R461-S461)</f>
        <v>1</v>
      </c>
      <c r="U461" s="60"/>
      <c r="V461" s="58"/>
      <c r="W461" s="59">
        <f t="shared" ref="W461" si="1271">SUM(T461+U461-V461)</f>
        <v>1</v>
      </c>
      <c r="X461" s="60"/>
      <c r="Y461" s="58"/>
      <c r="Z461" s="61">
        <f t="shared" ref="Z461" si="1272">SUM(W461+X461-Y461)</f>
        <v>1</v>
      </c>
      <c r="AA461" s="60"/>
      <c r="AB461" s="58"/>
      <c r="AC461" s="59">
        <f t="shared" ref="AC461" si="1273">SUM(Z461+AA461-AB461)</f>
        <v>1</v>
      </c>
      <c r="AD461" s="57"/>
      <c r="AE461" s="58"/>
      <c r="AF461" s="243">
        <f t="shared" ref="AF461" si="1274">SUM(AC461+AD461-AE461)</f>
        <v>1</v>
      </c>
      <c r="AG461" s="60"/>
      <c r="AH461" s="58"/>
      <c r="AI461" s="62">
        <f t="shared" ref="AI461" si="1275">SUM(AF461+AG461-AH461)</f>
        <v>1</v>
      </c>
      <c r="AJ461" s="60"/>
      <c r="AK461" s="58"/>
      <c r="AL461" s="62">
        <f t="shared" ref="AL461" si="1276">SUM(AI461+AJ461-AK461)</f>
        <v>1</v>
      </c>
      <c r="AM461" s="60"/>
      <c r="AN461" s="58"/>
      <c r="AO461" s="62">
        <f t="shared" ref="AO461" si="1277">SUM(AL461+AM461-AN461)</f>
        <v>1</v>
      </c>
      <c r="AP461" s="60"/>
      <c r="AQ461" s="58"/>
      <c r="AR461" s="62">
        <f t="shared" ref="AR461" si="1278">SUM(AO461+AP461-AQ461)</f>
        <v>1</v>
      </c>
      <c r="AS461" s="60"/>
      <c r="AT461" s="58"/>
      <c r="AU461" s="62">
        <f t="shared" ref="AU461" si="1279">SUM(AR461+AS461-AT461)</f>
        <v>1</v>
      </c>
      <c r="AV461" s="83">
        <f t="shared" ref="AV461" si="1280">SUM(L461+O461+R461+U461+X461+AA461+AD461+AG461+AJ461+AM461+AP461+AS461)</f>
        <v>0</v>
      </c>
      <c r="AW461" s="83">
        <f t="shared" ref="AW461:AW463" si="1281">SUM(M461+P461+S461+V461+Y461+AB461+AE461+AH461+AK461+AN461+AQ461+AT461)</f>
        <v>0</v>
      </c>
      <c r="AX461" s="64">
        <f t="shared" ref="AX461" si="1282">SUM(M461,P461,S461,V461,Y461,AB461,AE461,AH461,AK461,AN461,AQ461,AT461)</f>
        <v>0</v>
      </c>
      <c r="AY461" s="65" t="e">
        <f t="shared" ref="AY461" si="1283">AVERAGE(M461,P461,S461,V461,Y461,AB461,AE461,AH461,AK461,AN461,AQ461,AT461)</f>
        <v>#DIV/0!</v>
      </c>
      <c r="AZ461" s="66">
        <f t="shared" ref="AZ461" si="1284">COUNT(M461,P461,S461,V461,Y461,AB461,AE461,AH461,AK461,AN461,AQ461,AT461)</f>
        <v>0</v>
      </c>
      <c r="BA461" s="67">
        <f>MAX(0, Table176252626[[#This Row],[Column6]])</f>
        <v>1</v>
      </c>
      <c r="BB461" s="68">
        <v>0</v>
      </c>
      <c r="BC461" s="84">
        <f t="shared" si="1210"/>
        <v>1</v>
      </c>
      <c r="BD461" s="83">
        <f t="shared" si="1195"/>
        <v>1</v>
      </c>
      <c r="BE461" s="85">
        <v>2</v>
      </c>
      <c r="BF461" s="86">
        <v>45210.672280092593</v>
      </c>
      <c r="BG461" s="72" t="e">
        <f t="shared" si="1265"/>
        <v>#REF!</v>
      </c>
      <c r="BH461" s="87" t="e">
        <f t="shared" ref="BH461" si="1285">BG461-BF461</f>
        <v>#REF!</v>
      </c>
      <c r="BI461" s="80" t="e">
        <f t="shared" si="1197"/>
        <v>#REF!</v>
      </c>
      <c r="BJ461" s="238">
        <v>1720</v>
      </c>
    </row>
    <row r="462" spans="1:62" ht="13">
      <c r="A462" s="75"/>
      <c r="B462" s="76"/>
      <c r="C462" s="51">
        <v>460</v>
      </c>
      <c r="D462" s="141" t="s">
        <v>1525</v>
      </c>
      <c r="E462" s="141">
        <v>10</v>
      </c>
      <c r="F462" s="80" t="s">
        <v>1011</v>
      </c>
      <c r="G462" s="81" t="s">
        <v>1010</v>
      </c>
      <c r="H462" s="81" t="s">
        <v>1009</v>
      </c>
      <c r="I462" s="88" t="s">
        <v>458</v>
      </c>
      <c r="J462" s="82">
        <f>AU462</f>
        <v>1</v>
      </c>
      <c r="K462" s="80">
        <v>1</v>
      </c>
      <c r="L462" s="57"/>
      <c r="M462" s="58"/>
      <c r="N462" s="59">
        <f>SUM(K462+L462-M462)</f>
        <v>1</v>
      </c>
      <c r="O462" s="60"/>
      <c r="P462" s="58"/>
      <c r="Q462" s="59">
        <f>SUM(N462+O462-P462)</f>
        <v>1</v>
      </c>
      <c r="R462" s="60"/>
      <c r="S462" s="58"/>
      <c r="T462" s="61">
        <f>SUM(Q462+R462-S462)</f>
        <v>1</v>
      </c>
      <c r="U462" s="60"/>
      <c r="V462" s="58"/>
      <c r="W462" s="59">
        <f>SUM(T462+U462-V462)</f>
        <v>1</v>
      </c>
      <c r="X462" s="60"/>
      <c r="Y462" s="58"/>
      <c r="Z462" s="61">
        <f>SUM(W462+X462-Y462)</f>
        <v>1</v>
      </c>
      <c r="AA462" s="60"/>
      <c r="AB462" s="58"/>
      <c r="AC462" s="59">
        <f>SUM(Z462+AA462-AB462)</f>
        <v>1</v>
      </c>
      <c r="AD462" s="57"/>
      <c r="AE462" s="58"/>
      <c r="AF462" s="243">
        <f>SUM(AC462+AD462-AE462)</f>
        <v>1</v>
      </c>
      <c r="AG462" s="60"/>
      <c r="AH462" s="58"/>
      <c r="AI462" s="62">
        <f>SUM(AF462+AG462-AH462)</f>
        <v>1</v>
      </c>
      <c r="AJ462" s="60"/>
      <c r="AK462" s="58"/>
      <c r="AL462" s="62">
        <f>SUM(AI462+AJ462-AK462)</f>
        <v>1</v>
      </c>
      <c r="AM462" s="60"/>
      <c r="AN462" s="58"/>
      <c r="AO462" s="62">
        <f>SUM(AL462+AM462-AN462)</f>
        <v>1</v>
      </c>
      <c r="AP462" s="60"/>
      <c r="AQ462" s="58"/>
      <c r="AR462" s="62">
        <f>SUM(AO462+AP462-AQ462)</f>
        <v>1</v>
      </c>
      <c r="AS462" s="60"/>
      <c r="AT462" s="58"/>
      <c r="AU462" s="62">
        <f>SUM(AR462+AS462-AT462)</f>
        <v>1</v>
      </c>
      <c r="AV462" s="83">
        <f>SUM(L462+O462+R462+U462+X462+AA462+AD462+AG462+AJ462+AM462+AP462+AS462)</f>
        <v>0</v>
      </c>
      <c r="AW462" s="83">
        <f t="shared" si="1281"/>
        <v>0</v>
      </c>
      <c r="AX462" s="64">
        <f>SUM(M462,P462,S462,V462,Y462,AB462,AE462,AH462,AK462,AN462,AQ462,AT462)</f>
        <v>0</v>
      </c>
      <c r="AY462" s="65" t="e">
        <f>AVERAGE(M462,P462,S462,V462,Y462,AB462,AE462,AH462,AK462,AN462,AQ462,AT462)</f>
        <v>#DIV/0!</v>
      </c>
      <c r="AZ462" s="66">
        <f>COUNT(M462,P462,S462,V462,Y462,AB462,AE462,AH462,AK462,AN462,AQ462,AT462)</f>
        <v>0</v>
      </c>
      <c r="BA462" s="67">
        <f>MAX(0, Table176252626[[#This Row],[Column6]])</f>
        <v>1</v>
      </c>
      <c r="BB462" s="68">
        <v>0</v>
      </c>
      <c r="BC462" s="84">
        <f t="shared" si="1210"/>
        <v>1</v>
      </c>
      <c r="BD462" s="83">
        <f t="shared" si="1195"/>
        <v>1</v>
      </c>
      <c r="BE462" s="85">
        <v>2</v>
      </c>
      <c r="BF462" s="86">
        <v>45371.649351851855</v>
      </c>
      <c r="BG462" s="72" t="e">
        <f t="shared" si="1265"/>
        <v>#REF!</v>
      </c>
      <c r="BH462" s="87" t="e">
        <f>BG462-BF462</f>
        <v>#REF!</v>
      </c>
      <c r="BI462" s="80" t="e">
        <f t="shared" si="1197"/>
        <v>#REF!</v>
      </c>
      <c r="BJ462" s="238">
        <v>1550</v>
      </c>
    </row>
    <row r="463" spans="1:62" ht="13">
      <c r="A463" s="49"/>
      <c r="B463" s="76"/>
      <c r="C463" s="51">
        <v>461</v>
      </c>
      <c r="D463" s="141" t="s">
        <v>1525</v>
      </c>
      <c r="E463" s="141">
        <v>11</v>
      </c>
      <c r="F463" s="80" t="s">
        <v>816</v>
      </c>
      <c r="G463" s="81" t="s">
        <v>817</v>
      </c>
      <c r="H463" s="89" t="s">
        <v>1664</v>
      </c>
      <c r="I463" s="80" t="s">
        <v>458</v>
      </c>
      <c r="J463" s="82">
        <f>AU463</f>
        <v>4</v>
      </c>
      <c r="K463" s="80">
        <v>4</v>
      </c>
      <c r="L463" s="57"/>
      <c r="M463" s="58"/>
      <c r="N463" s="59">
        <f>SUM(K463+L463-M463)</f>
        <v>4</v>
      </c>
      <c r="O463" s="60"/>
      <c r="P463" s="58"/>
      <c r="Q463" s="59">
        <f>SUM(N463+O463-P463)</f>
        <v>4</v>
      </c>
      <c r="R463" s="60"/>
      <c r="S463" s="58"/>
      <c r="T463" s="61">
        <f>SUM(Q463+R463-S463)</f>
        <v>4</v>
      </c>
      <c r="U463" s="60"/>
      <c r="V463" s="58"/>
      <c r="W463" s="59">
        <f>SUM(T463+U463-V463)</f>
        <v>4</v>
      </c>
      <c r="X463" s="60"/>
      <c r="Y463" s="58"/>
      <c r="Z463" s="61">
        <f>SUM(W463+X463-Y463)</f>
        <v>4</v>
      </c>
      <c r="AA463" s="60"/>
      <c r="AB463" s="58"/>
      <c r="AC463" s="59">
        <f>SUM(Z463+AA463-AB463)</f>
        <v>4</v>
      </c>
      <c r="AD463" s="57"/>
      <c r="AE463" s="58"/>
      <c r="AF463" s="243">
        <f>SUM(AC463+AD463-AE463)</f>
        <v>4</v>
      </c>
      <c r="AG463" s="60"/>
      <c r="AH463" s="58"/>
      <c r="AI463" s="62">
        <f>SUM(AF463+AG463-AH463)</f>
        <v>4</v>
      </c>
      <c r="AJ463" s="60"/>
      <c r="AK463" s="58"/>
      <c r="AL463" s="62">
        <f>SUM(AI463+AJ463-AK463)</f>
        <v>4</v>
      </c>
      <c r="AM463" s="60"/>
      <c r="AN463" s="58"/>
      <c r="AO463" s="62">
        <f>SUM(AL463+AM463-AN463)</f>
        <v>4</v>
      </c>
      <c r="AP463" s="60"/>
      <c r="AQ463" s="58"/>
      <c r="AR463" s="62">
        <f>SUM(AO463+AP463-AQ463)</f>
        <v>4</v>
      </c>
      <c r="AS463" s="60"/>
      <c r="AT463" s="58"/>
      <c r="AU463" s="62">
        <f>SUM(AR463+AS463-AT463)</f>
        <v>4</v>
      </c>
      <c r="AV463" s="83">
        <f t="shared" ref="AV463" si="1286">SUM(L463+O463+R463+U463+X463+AA463+AD463+AG463+AJ463+AM463+AP463+AS463)</f>
        <v>0</v>
      </c>
      <c r="AW463" s="83">
        <f t="shared" si="1281"/>
        <v>0</v>
      </c>
      <c r="AX463" s="64">
        <f>SUM(M463,P463,S463,V463,Y463,AB463,AE463,AH463,AK463,AN463,AQ463,AT463)</f>
        <v>0</v>
      </c>
      <c r="AY463" s="65" t="e">
        <f>AVERAGE(M463,P463,S463,V463,Y463,AB463,AE463,AH463,AK463,AN463,AQ463,AT463)</f>
        <v>#DIV/0!</v>
      </c>
      <c r="AZ463" s="66">
        <f>COUNT(M463,P463,S463,V463,Y463,AB463,AE463,AH463,AK463,AN463,AQ463,AT463)</f>
        <v>0</v>
      </c>
      <c r="BA463" s="67">
        <f>MAX(0, Table176252626[[#This Row],[Column6]])</f>
        <v>4</v>
      </c>
      <c r="BB463" s="68">
        <v>1</v>
      </c>
      <c r="BC463" s="84">
        <f t="shared" si="1210"/>
        <v>4</v>
      </c>
      <c r="BD463" s="83">
        <f t="shared" si="1195"/>
        <v>3</v>
      </c>
      <c r="BE463" s="85">
        <v>2</v>
      </c>
      <c r="BF463" s="86">
        <v>44818.601365740738</v>
      </c>
      <c r="BG463" s="72" t="e">
        <f t="shared" si="1265"/>
        <v>#REF!</v>
      </c>
      <c r="BH463" s="107" t="e">
        <f>BG463-BF463</f>
        <v>#REF!</v>
      </c>
      <c r="BI463" s="80" t="e">
        <f t="shared" si="1197"/>
        <v>#REF!</v>
      </c>
      <c r="BJ463" s="238">
        <v>1100</v>
      </c>
    </row>
    <row r="464" spans="1:62" ht="13">
      <c r="A464" s="49"/>
      <c r="B464" s="76"/>
      <c r="C464" s="51">
        <v>462</v>
      </c>
      <c r="D464" s="141" t="s">
        <v>1525</v>
      </c>
      <c r="E464" s="141">
        <v>12</v>
      </c>
      <c r="F464" s="80" t="s">
        <v>576</v>
      </c>
      <c r="G464" s="81" t="s">
        <v>577</v>
      </c>
      <c r="H464" s="81" t="s">
        <v>302</v>
      </c>
      <c r="I464" s="80" t="s">
        <v>458</v>
      </c>
      <c r="J464" s="82">
        <f>AU464</f>
        <v>1</v>
      </c>
      <c r="K464" s="80">
        <v>1</v>
      </c>
      <c r="L464" s="57"/>
      <c r="M464" s="58"/>
      <c r="N464" s="62">
        <f>SUM(K464+L464-M464)</f>
        <v>1</v>
      </c>
      <c r="O464" s="60"/>
      <c r="P464" s="58"/>
      <c r="Q464" s="62">
        <f>SUM(N464+O464-P464)</f>
        <v>1</v>
      </c>
      <c r="R464" s="60"/>
      <c r="S464" s="58"/>
      <c r="T464" s="94">
        <f>SUM(Q464+R464-S464)</f>
        <v>1</v>
      </c>
      <c r="U464" s="60"/>
      <c r="V464" s="58"/>
      <c r="W464" s="62">
        <f>SUM(T464+U464-V464)</f>
        <v>1</v>
      </c>
      <c r="X464" s="60"/>
      <c r="Y464" s="58"/>
      <c r="Z464" s="94">
        <f>SUM(W464+X464-Y464)</f>
        <v>1</v>
      </c>
      <c r="AA464" s="60"/>
      <c r="AB464" s="58"/>
      <c r="AC464" s="62">
        <f>SUM(Z464+AA464-AB464)</f>
        <v>1</v>
      </c>
      <c r="AD464" s="57"/>
      <c r="AE464" s="58"/>
      <c r="AF464" s="165">
        <f>SUM(AC464+AD464-AE464)</f>
        <v>1</v>
      </c>
      <c r="AG464" s="60"/>
      <c r="AH464" s="58"/>
      <c r="AI464" s="62">
        <f>SUM(AF464+AG464-AH464)</f>
        <v>1</v>
      </c>
      <c r="AJ464" s="60"/>
      <c r="AK464" s="58"/>
      <c r="AL464" s="62">
        <f>SUM(AI464+AJ464-AK464)</f>
        <v>1</v>
      </c>
      <c r="AM464" s="60"/>
      <c r="AN464" s="58"/>
      <c r="AO464" s="62">
        <f>SUM(AL464+AM464-AN464)</f>
        <v>1</v>
      </c>
      <c r="AP464" s="60"/>
      <c r="AQ464" s="58"/>
      <c r="AR464" s="62">
        <f>SUM(AO464+AP464-AQ464)</f>
        <v>1</v>
      </c>
      <c r="AS464" s="60"/>
      <c r="AT464" s="58"/>
      <c r="AU464" s="62">
        <f>SUM(AR464+AS464-AT464)</f>
        <v>1</v>
      </c>
      <c r="AV464" s="83">
        <f>SUM(L464+O464+R464+U464+X464+AA464+AD464+AG464+AJ464+AM464+AP464+AS464)</f>
        <v>0</v>
      </c>
      <c r="AW464" s="83">
        <f>SUM(M464+P464+S464+V464+Y464+AB464+AE464+AH464+AK464+AN464+AQ464+AT464)</f>
        <v>0</v>
      </c>
      <c r="AX464" s="64">
        <f>SUM(M464,P464,S464,V464,Y464,AB464,AE464,AH464,AK464,AN464,AQ464,AT464)</f>
        <v>0</v>
      </c>
      <c r="AY464" s="65" t="e">
        <f>AVERAGE(M464,P464,S464,V464,Y464,AB464,AE464,AH464,AK464,AN464,AQ464,AT464)</f>
        <v>#DIV/0!</v>
      </c>
      <c r="AZ464" s="66">
        <f>COUNT(M464,P464,S464,V464,Y464,AB464,AE464,AH464,AK464,AN464,AQ464,AT464)</f>
        <v>0</v>
      </c>
      <c r="BA464" s="67">
        <f>MAX(0, Table176252626[[#This Row],[Column6]])</f>
        <v>1</v>
      </c>
      <c r="BB464" s="68">
        <v>0</v>
      </c>
      <c r="BC464" s="84">
        <f t="shared" ref="BC464:BC486" si="1287">J464</f>
        <v>1</v>
      </c>
      <c r="BD464" s="83">
        <f t="shared" ref="BD464:BD486" si="1288">SUM(BC464-BB464)</f>
        <v>1</v>
      </c>
      <c r="BE464" s="85">
        <v>2</v>
      </c>
      <c r="BF464" s="86">
        <v>43145.59646990741</v>
      </c>
      <c r="BG464" s="72" t="e">
        <f t="shared" si="1265"/>
        <v>#REF!</v>
      </c>
      <c r="BH464" s="87" t="e">
        <f>BG464-BF464</f>
        <v>#REF!</v>
      </c>
      <c r="BI464" s="80" t="e">
        <f t="shared" ref="BI464:BI486" si="1289">IF(AND(J464&gt;0,BH464&gt;365),"Dead Stock","")</f>
        <v>#REF!</v>
      </c>
      <c r="BJ464" s="238">
        <v>900</v>
      </c>
    </row>
    <row r="465" spans="1:62" ht="13">
      <c r="A465" s="49"/>
      <c r="B465" s="50"/>
      <c r="C465" s="51">
        <v>463</v>
      </c>
      <c r="D465" s="141" t="s">
        <v>1525</v>
      </c>
      <c r="E465" s="141">
        <v>13</v>
      </c>
      <c r="F465" s="80" t="s">
        <v>834</v>
      </c>
      <c r="G465" s="81" t="s">
        <v>835</v>
      </c>
      <c r="H465" s="89" t="s">
        <v>1664</v>
      </c>
      <c r="I465" s="80" t="s">
        <v>458</v>
      </c>
      <c r="J465" s="82">
        <f t="shared" ref="J465" si="1290">AU465</f>
        <v>1</v>
      </c>
      <c r="K465" s="80">
        <v>2</v>
      </c>
      <c r="L465" s="57"/>
      <c r="M465" s="58"/>
      <c r="N465" s="59">
        <f t="shared" ref="N465" si="1291">SUM(K465+L465-M465)</f>
        <v>2</v>
      </c>
      <c r="O465" s="60"/>
      <c r="P465" s="58"/>
      <c r="Q465" s="59">
        <f t="shared" ref="Q465" si="1292">SUM(N465+O465-P465)</f>
        <v>2</v>
      </c>
      <c r="R465" s="60"/>
      <c r="S465" s="58"/>
      <c r="T465" s="61">
        <f t="shared" ref="T465" si="1293">SUM(Q465+R465-S465)</f>
        <v>2</v>
      </c>
      <c r="U465" s="60"/>
      <c r="V465" s="58"/>
      <c r="W465" s="59">
        <f t="shared" ref="W465" si="1294">SUM(T465+U465-V465)</f>
        <v>2</v>
      </c>
      <c r="X465" s="60"/>
      <c r="Y465" s="58">
        <v>1</v>
      </c>
      <c r="Z465" s="61">
        <f t="shared" ref="Z465" si="1295">SUM(W465+X465-Y465)</f>
        <v>1</v>
      </c>
      <c r="AA465" s="60"/>
      <c r="AB465" s="58"/>
      <c r="AC465" s="59">
        <f t="shared" ref="AC465" si="1296">SUM(Z465+AA465-AB465)</f>
        <v>1</v>
      </c>
      <c r="AD465" s="57"/>
      <c r="AE465" s="58"/>
      <c r="AF465" s="243">
        <f t="shared" ref="AF465" si="1297">SUM(AC465+AD465-AE465)</f>
        <v>1</v>
      </c>
      <c r="AG465" s="60"/>
      <c r="AH465" s="58"/>
      <c r="AI465" s="62">
        <f t="shared" ref="AI465" si="1298">SUM(AF465+AG465-AH465)</f>
        <v>1</v>
      </c>
      <c r="AJ465" s="60"/>
      <c r="AK465" s="58"/>
      <c r="AL465" s="62">
        <f t="shared" ref="AL465" si="1299">SUM(AI465+AJ465-AK465)</f>
        <v>1</v>
      </c>
      <c r="AM465" s="60"/>
      <c r="AN465" s="58"/>
      <c r="AO465" s="62">
        <f t="shared" ref="AO465" si="1300">SUM(AL465+AM465-AN465)</f>
        <v>1</v>
      </c>
      <c r="AP465" s="60"/>
      <c r="AQ465" s="58"/>
      <c r="AR465" s="62">
        <f t="shared" ref="AR465" si="1301">SUM(AO465+AP465-AQ465)</f>
        <v>1</v>
      </c>
      <c r="AS465" s="60"/>
      <c r="AT465" s="58"/>
      <c r="AU465" s="62">
        <f t="shared" ref="AU465" si="1302">SUM(AR465+AS465-AT465)</f>
        <v>1</v>
      </c>
      <c r="AV465" s="83">
        <f t="shared" ref="AV465" si="1303">SUM(L465+O465+R465+U465+X465+AA465+AD465+AG465+AJ465+AM465+AP465+AS465)</f>
        <v>0</v>
      </c>
      <c r="AW465" s="83">
        <f>SUM(M465+P465+S465+V465+Y465+AB465+AE465+AH465+AK465+AN465+AQ465+AT465)</f>
        <v>1</v>
      </c>
      <c r="AX465" s="64">
        <f t="shared" ref="AX465" si="1304">SUM(M465,P465,S465,V465,Y465,AB465,AE465,AH465,AK465,AN465,AQ465,AT465)</f>
        <v>1</v>
      </c>
      <c r="AY465" s="65">
        <f t="shared" ref="AY465" si="1305">AVERAGE(M465,P465,S465,V465,Y465,AB465,AE465,AH465,AK465,AN465,AQ465,AT465)</f>
        <v>1</v>
      </c>
      <c r="AZ465" s="66">
        <f t="shared" ref="AZ465" si="1306">COUNT(M465,P465,S465,V465,Y465,AB465,AE465,AH465,AK465,AN465,AQ465,AT465)</f>
        <v>1</v>
      </c>
      <c r="BA465" s="67">
        <f>MAX(0, Table176252626[[#This Row],[Column6]])</f>
        <v>1</v>
      </c>
      <c r="BB465" s="68">
        <v>0</v>
      </c>
      <c r="BC465" s="84">
        <f>J465</f>
        <v>1</v>
      </c>
      <c r="BD465" s="83">
        <f>SUM(BC465-BB465)</f>
        <v>1</v>
      </c>
      <c r="BE465" s="85">
        <v>2</v>
      </c>
      <c r="BF465" s="86">
        <v>44818.604675925926</v>
      </c>
      <c r="BG465" s="72" t="e">
        <f t="shared" si="1265"/>
        <v>#REF!</v>
      </c>
      <c r="BH465" s="107" t="e">
        <f t="shared" ref="BH465" si="1307">BG465-BF465</f>
        <v>#REF!</v>
      </c>
      <c r="BI465" s="80" t="e">
        <f>IF(AND(J465&gt;0,BH465&gt;365),"Dead Stock","")</f>
        <v>#REF!</v>
      </c>
      <c r="BJ465" s="238">
        <v>1100</v>
      </c>
    </row>
    <row r="466" spans="1:62" ht="13">
      <c r="A466" s="49"/>
      <c r="B466" s="50"/>
      <c r="C466" s="77">
        <v>464</v>
      </c>
      <c r="D466" s="141" t="s">
        <v>1525</v>
      </c>
      <c r="E466" s="141">
        <v>14</v>
      </c>
      <c r="F466" s="80" t="s">
        <v>650</v>
      </c>
      <c r="G466" s="81" t="s">
        <v>651</v>
      </c>
      <c r="H466" s="89" t="s">
        <v>293</v>
      </c>
      <c r="I466" s="80" t="s">
        <v>458</v>
      </c>
      <c r="J466" s="82">
        <f>AU466</f>
        <v>3</v>
      </c>
      <c r="K466" s="88">
        <v>5</v>
      </c>
      <c r="L466" s="57"/>
      <c r="M466" s="58"/>
      <c r="N466" s="59">
        <f>SUM(K466+L466-M466)</f>
        <v>5</v>
      </c>
      <c r="O466" s="60"/>
      <c r="P466" s="58"/>
      <c r="Q466" s="59">
        <f>SUM(N466+O466-P466)</f>
        <v>5</v>
      </c>
      <c r="R466" s="60"/>
      <c r="S466" s="58"/>
      <c r="T466" s="61">
        <f>SUM(Q466+R466-S466)</f>
        <v>5</v>
      </c>
      <c r="U466" s="60"/>
      <c r="V466" s="58"/>
      <c r="W466" s="59">
        <f>SUM(T466+U466-V466)</f>
        <v>5</v>
      </c>
      <c r="X466" s="60"/>
      <c r="Y466" s="58"/>
      <c r="Z466" s="61">
        <f>SUM(W466+X466-Y466)</f>
        <v>5</v>
      </c>
      <c r="AA466" s="60"/>
      <c r="AB466" s="58"/>
      <c r="AC466" s="59">
        <f>SUM(Z466+AA466-AB466)</f>
        <v>5</v>
      </c>
      <c r="AD466" s="57"/>
      <c r="AE466" s="58">
        <v>2</v>
      </c>
      <c r="AF466" s="243">
        <f>SUM(AC466+AD466-AE466)</f>
        <v>3</v>
      </c>
      <c r="AG466" s="60"/>
      <c r="AH466" s="58"/>
      <c r="AI466" s="62">
        <f>SUM(AF466+AG466-AH466)</f>
        <v>3</v>
      </c>
      <c r="AJ466" s="60"/>
      <c r="AK466" s="58"/>
      <c r="AL466" s="62">
        <f>SUM(AI466+AJ466-AK466)</f>
        <v>3</v>
      </c>
      <c r="AM466" s="60"/>
      <c r="AN466" s="58"/>
      <c r="AO466" s="62">
        <f>SUM(AL466+AM466-AN466)</f>
        <v>3</v>
      </c>
      <c r="AP466" s="60"/>
      <c r="AQ466" s="58"/>
      <c r="AR466" s="62">
        <f>SUM(AO466+AP466-AQ466)</f>
        <v>3</v>
      </c>
      <c r="AS466" s="60"/>
      <c r="AT466" s="58"/>
      <c r="AU466" s="62">
        <f>SUM(AR466+AS466-AT466)</f>
        <v>3</v>
      </c>
      <c r="AV466" s="83">
        <f>SUM(L466+O466+R466+U466+X466+AA466+AD466+AG466+AJ466+AM466+AP466+AS466)</f>
        <v>0</v>
      </c>
      <c r="AW466" s="83">
        <f>SUM(M466+P466+S466+V466+Y466+AB466+AE466+AH466+AK466+AN466+AQ466+AT466)</f>
        <v>2</v>
      </c>
      <c r="AX466" s="64">
        <f>SUM(M466,P466,S466,V466,Y466,AB466,AE466,AH466,AK466,AN466,AQ466,AT466)</f>
        <v>2</v>
      </c>
      <c r="AY466" s="65">
        <f>AVERAGE(M466,P466,S466,V466,Y466,AB466,AE466,AH466,AK466,AN466,AQ466,AT466)</f>
        <v>2</v>
      </c>
      <c r="AZ466" s="66">
        <f>COUNT(M466,P466,S466,V466,Y466,AB466,AE466,AH466,AK466,AN466,AQ466,AT466)</f>
        <v>1</v>
      </c>
      <c r="BA466" s="67">
        <v>3</v>
      </c>
      <c r="BB466" s="68">
        <v>1</v>
      </c>
      <c r="BC466" s="84">
        <f t="shared" si="1287"/>
        <v>3</v>
      </c>
      <c r="BD466" s="83">
        <f t="shared" si="1288"/>
        <v>2</v>
      </c>
      <c r="BE466" s="85">
        <v>2</v>
      </c>
      <c r="BF466" s="86">
        <v>45358.545474537037</v>
      </c>
      <c r="BG466" s="72" t="e">
        <f t="shared" si="1265"/>
        <v>#REF!</v>
      </c>
      <c r="BH466" s="87" t="e">
        <f>BG466-BF466</f>
        <v>#REF!</v>
      </c>
      <c r="BI466" s="80" t="e">
        <f t="shared" si="1289"/>
        <v>#REF!</v>
      </c>
      <c r="BJ466" s="238">
        <v>627.75</v>
      </c>
    </row>
    <row r="467" spans="1:62" ht="13">
      <c r="A467" s="49"/>
      <c r="B467" s="50"/>
      <c r="C467" s="77">
        <v>465</v>
      </c>
      <c r="D467" s="141" t="s">
        <v>1525</v>
      </c>
      <c r="E467" s="141">
        <v>15</v>
      </c>
      <c r="F467" s="80" t="s">
        <v>2000</v>
      </c>
      <c r="G467" s="216" t="s">
        <v>2001</v>
      </c>
      <c r="H467" s="81" t="s">
        <v>2002</v>
      </c>
      <c r="I467" s="80" t="s">
        <v>458</v>
      </c>
      <c r="J467" s="82">
        <f t="shared" ref="J467" si="1308">AU467</f>
        <v>1</v>
      </c>
      <c r="K467" s="80">
        <v>0</v>
      </c>
      <c r="L467" s="57"/>
      <c r="M467" s="58"/>
      <c r="N467" s="59">
        <f t="shared" ref="N467" si="1309">SUM(K467+L467-M467)</f>
        <v>0</v>
      </c>
      <c r="O467" s="60"/>
      <c r="P467" s="58"/>
      <c r="Q467" s="59">
        <f t="shared" ref="Q467" si="1310">SUM(N467+O467-P467)</f>
        <v>0</v>
      </c>
      <c r="R467" s="60"/>
      <c r="S467" s="58"/>
      <c r="T467" s="61">
        <f t="shared" ref="T467" si="1311">SUM(Q467+R467-S467)</f>
        <v>0</v>
      </c>
      <c r="U467" s="60"/>
      <c r="V467" s="58"/>
      <c r="W467" s="59">
        <f t="shared" ref="W467" si="1312">SUM(T467+U467-V467)</f>
        <v>0</v>
      </c>
      <c r="X467" s="60"/>
      <c r="Y467" s="58"/>
      <c r="Z467" s="61">
        <f t="shared" ref="Z467" si="1313">SUM(W467+X467-Y467)</f>
        <v>0</v>
      </c>
      <c r="AA467" s="60"/>
      <c r="AB467" s="58"/>
      <c r="AC467" s="59">
        <f t="shared" ref="AC467" si="1314">SUM(Z467+AA467-AB467)</f>
        <v>0</v>
      </c>
      <c r="AD467" s="57"/>
      <c r="AE467" s="58"/>
      <c r="AF467" s="243">
        <f t="shared" ref="AF467" si="1315">SUM(AC467+AD467-AE467)</f>
        <v>0</v>
      </c>
      <c r="AG467" s="60">
        <v>3</v>
      </c>
      <c r="AH467" s="58">
        <v>2</v>
      </c>
      <c r="AI467" s="62">
        <f t="shared" ref="AI467" si="1316">SUM(AF467+AG467-AH467)</f>
        <v>1</v>
      </c>
      <c r="AJ467" s="60"/>
      <c r="AK467" s="58"/>
      <c r="AL467" s="62">
        <f t="shared" ref="AL467" si="1317">SUM(AI467+AJ467-AK467)</f>
        <v>1</v>
      </c>
      <c r="AM467" s="60"/>
      <c r="AN467" s="58"/>
      <c r="AO467" s="62">
        <f t="shared" ref="AO467" si="1318">SUM(AL467+AM467-AN467)</f>
        <v>1</v>
      </c>
      <c r="AP467" s="60"/>
      <c r="AQ467" s="58"/>
      <c r="AR467" s="62">
        <f t="shared" ref="AR467" si="1319">SUM(AO467+AP467-AQ467)</f>
        <v>1</v>
      </c>
      <c r="AS467" s="60"/>
      <c r="AT467" s="58"/>
      <c r="AU467" s="62">
        <f t="shared" ref="AU467" si="1320">SUM(AR467+AS467-AT467)</f>
        <v>1</v>
      </c>
      <c r="AV467" s="83">
        <f t="shared" ref="AV467" si="1321">SUM(L467+O467+R467+U467+X467+AA467+AD467+AG467+AJ467+AM467+AP467+AS467)</f>
        <v>3</v>
      </c>
      <c r="AW467" s="83">
        <f t="shared" ref="AW467:AW486" si="1322">SUM(M467+P467+S467+V467+Y467+AB467+AE467+AH467+AK467+AN467+AQ467+AT467)</f>
        <v>2</v>
      </c>
      <c r="AX467" s="64">
        <f t="shared" ref="AX467" si="1323">SUM(M467,P467,S467,V467,Y467,AB467,AE467,AH467,AK467,AN467,AQ467,AT467)</f>
        <v>2</v>
      </c>
      <c r="AY467" s="65">
        <f t="shared" ref="AY467" si="1324">AVERAGE(M467,P467,S467,V467,Y467,AB467,AE467,AH467,AK467,AN467,AQ467,AT467)</f>
        <v>2</v>
      </c>
      <c r="AZ467" s="66">
        <f t="shared" ref="AZ467" si="1325">COUNT(M467,P467,S467,V467,Y467,AB467,AE467,AH467,AK467,AN467,AQ467,AT467)</f>
        <v>1</v>
      </c>
      <c r="BA467" s="67">
        <v>3</v>
      </c>
      <c r="BB467" s="68">
        <v>1</v>
      </c>
      <c r="BC467" s="84">
        <f t="shared" si="1287"/>
        <v>1</v>
      </c>
      <c r="BD467" s="83">
        <f t="shared" si="1288"/>
        <v>0</v>
      </c>
      <c r="BE467" s="85">
        <v>2</v>
      </c>
      <c r="BF467" s="86">
        <v>46241</v>
      </c>
      <c r="BG467" s="72" t="e">
        <f t="shared" si="1265"/>
        <v>#REF!</v>
      </c>
      <c r="BH467" s="107" t="e">
        <f t="shared" ref="BH467" si="1326">BG467-BF467</f>
        <v>#REF!</v>
      </c>
      <c r="BI467" s="80" t="e">
        <f t="shared" si="1289"/>
        <v>#REF!</v>
      </c>
      <c r="BJ467" s="238">
        <v>5660</v>
      </c>
    </row>
    <row r="468" spans="1:62" ht="13">
      <c r="A468" s="49"/>
      <c r="B468" s="50"/>
      <c r="C468" s="51">
        <v>466</v>
      </c>
      <c r="D468" s="141" t="s">
        <v>1525</v>
      </c>
      <c r="E468" s="141">
        <v>16</v>
      </c>
      <c r="F468" s="80" t="s">
        <v>11</v>
      </c>
      <c r="G468" s="81" t="s">
        <v>12</v>
      </c>
      <c r="H468" s="81" t="s">
        <v>293</v>
      </c>
      <c r="I468" s="80" t="s">
        <v>458</v>
      </c>
      <c r="J468" s="82">
        <f t="shared" ref="J468" si="1327">AU468</f>
        <v>1</v>
      </c>
      <c r="K468" s="80">
        <v>1</v>
      </c>
      <c r="L468" s="57"/>
      <c r="M468" s="58"/>
      <c r="N468" s="59">
        <f t="shared" ref="N468" si="1328">SUM(K468+L468-M468)</f>
        <v>1</v>
      </c>
      <c r="O468" s="60"/>
      <c r="P468" s="58"/>
      <c r="Q468" s="59">
        <f t="shared" ref="Q468" si="1329">SUM(N468+O468-P468)</f>
        <v>1</v>
      </c>
      <c r="R468" s="60"/>
      <c r="S468" s="58"/>
      <c r="T468" s="61">
        <f t="shared" ref="T468" si="1330">SUM(Q468+R468-S468)</f>
        <v>1</v>
      </c>
      <c r="U468" s="60"/>
      <c r="V468" s="58"/>
      <c r="W468" s="59">
        <f t="shared" ref="W468" si="1331">SUM(T468+U468-V468)</f>
        <v>1</v>
      </c>
      <c r="X468" s="60"/>
      <c r="Y468" s="58"/>
      <c r="Z468" s="61">
        <f t="shared" ref="Z468" si="1332">SUM(W468+X468-Y468)</f>
        <v>1</v>
      </c>
      <c r="AA468" s="60"/>
      <c r="AB468" s="58"/>
      <c r="AC468" s="59">
        <f t="shared" ref="AC468" si="1333">SUM(Z468+AA468-AB468)</f>
        <v>1</v>
      </c>
      <c r="AD468" s="57"/>
      <c r="AE468" s="58"/>
      <c r="AF468" s="243">
        <f t="shared" ref="AF468" si="1334">SUM(AC468+AD468-AE468)</f>
        <v>1</v>
      </c>
      <c r="AG468" s="60"/>
      <c r="AH468" s="58"/>
      <c r="AI468" s="62">
        <f t="shared" ref="AI468" si="1335">SUM(AF468+AG468-AH468)</f>
        <v>1</v>
      </c>
      <c r="AJ468" s="60"/>
      <c r="AK468" s="58"/>
      <c r="AL468" s="62">
        <f t="shared" ref="AL468" si="1336">SUM(AI468+AJ468-AK468)</f>
        <v>1</v>
      </c>
      <c r="AM468" s="60"/>
      <c r="AN468" s="58"/>
      <c r="AO468" s="62">
        <f t="shared" ref="AO468" si="1337">SUM(AL468+AM468-AN468)</f>
        <v>1</v>
      </c>
      <c r="AP468" s="60"/>
      <c r="AQ468" s="58"/>
      <c r="AR468" s="62">
        <f t="shared" ref="AR468" si="1338">SUM(AO468+AP468-AQ468)</f>
        <v>1</v>
      </c>
      <c r="AS468" s="60"/>
      <c r="AT468" s="58"/>
      <c r="AU468" s="62">
        <f t="shared" ref="AU468" si="1339">SUM(AR468+AS468-AT468)</f>
        <v>1</v>
      </c>
      <c r="AV468" s="83">
        <f t="shared" ref="AV468" si="1340">SUM(L468+O468+R468+U468+X468+AA468+AD468+AG468+AJ468+AM468+AP468+AS468)</f>
        <v>0</v>
      </c>
      <c r="AW468" s="83">
        <f t="shared" si="1322"/>
        <v>0</v>
      </c>
      <c r="AX468" s="64">
        <f t="shared" ref="AX468" si="1341">SUM(M468,P468,S468,V468,Y468,AB468,AE468,AH468,AK468,AN468,AQ468,AT468)</f>
        <v>0</v>
      </c>
      <c r="AY468" s="65" t="e">
        <f t="shared" ref="AY468" si="1342">AVERAGE(M468,P468,S468,V468,Y468,AB468,AE468,AH468,AK468,AN468,AQ468,AT468)</f>
        <v>#DIV/0!</v>
      </c>
      <c r="AZ468" s="66">
        <f t="shared" ref="AZ468" si="1343">COUNT(M468,P468,S468,V468,Y468,AB468,AE468,AH468,AK468,AN468,AQ468,AT468)</f>
        <v>0</v>
      </c>
      <c r="BA468" s="67">
        <f>MAX(0, Table176252626[[#This Row],[Column6]])</f>
        <v>1</v>
      </c>
      <c r="BB468" s="68">
        <v>0</v>
      </c>
      <c r="BC468" s="84">
        <f t="shared" si="1287"/>
        <v>1</v>
      </c>
      <c r="BD468" s="83">
        <f t="shared" si="1288"/>
        <v>1</v>
      </c>
      <c r="BE468" s="85">
        <v>2</v>
      </c>
      <c r="BF468" s="86">
        <v>42955.380162037036</v>
      </c>
      <c r="BG468" s="72" t="e">
        <f t="shared" si="1265"/>
        <v>#REF!</v>
      </c>
      <c r="BH468" s="87" t="e">
        <f t="shared" ref="BH468" si="1344">BG468-BF468</f>
        <v>#REF!</v>
      </c>
      <c r="BI468" s="80" t="e">
        <f t="shared" si="1289"/>
        <v>#REF!</v>
      </c>
      <c r="BJ468" s="238">
        <v>680.25</v>
      </c>
    </row>
    <row r="469" spans="1:62" ht="13">
      <c r="A469" s="90"/>
      <c r="B469" s="91"/>
      <c r="C469" s="51">
        <v>467</v>
      </c>
      <c r="D469" s="141" t="s">
        <v>1525</v>
      </c>
      <c r="E469" s="141">
        <v>17</v>
      </c>
      <c r="F469" s="88" t="s">
        <v>1042</v>
      </c>
      <c r="G469" s="89" t="s">
        <v>1043</v>
      </c>
      <c r="H469" s="89" t="s">
        <v>298</v>
      </c>
      <c r="I469" s="80" t="s">
        <v>458</v>
      </c>
      <c r="J469" s="93">
        <f t="shared" ref="J469:J479" si="1345">AU469</f>
        <v>2</v>
      </c>
      <c r="K469" s="88">
        <v>2</v>
      </c>
      <c r="L469" s="58"/>
      <c r="M469" s="58"/>
      <c r="N469" s="62">
        <f>SUM(K469+L469-M469)</f>
        <v>2</v>
      </c>
      <c r="O469" s="60"/>
      <c r="P469" s="58"/>
      <c r="Q469" s="62">
        <f t="shared" ref="Q469:Q479" si="1346">SUM(N469+O469-P469)</f>
        <v>2</v>
      </c>
      <c r="R469" s="60"/>
      <c r="S469" s="58"/>
      <c r="T469" s="94">
        <f>SUM(Q469+R469-S469)</f>
        <v>2</v>
      </c>
      <c r="U469" s="60"/>
      <c r="V469" s="58"/>
      <c r="W469" s="62">
        <f t="shared" ref="W469:W479" si="1347">SUM(T469+U469-V469)</f>
        <v>2</v>
      </c>
      <c r="X469" s="60"/>
      <c r="Y469" s="58"/>
      <c r="Z469" s="94">
        <f t="shared" ref="Z469:Z479" si="1348">SUM(W469+X469-Y469)</f>
        <v>2</v>
      </c>
      <c r="AA469" s="60"/>
      <c r="AB469" s="58"/>
      <c r="AC469" s="62">
        <f t="shared" ref="AC469:AC479" si="1349">SUM(Z469+AA469-AB469)</f>
        <v>2</v>
      </c>
      <c r="AD469" s="57"/>
      <c r="AE469" s="58"/>
      <c r="AF469" s="165">
        <f t="shared" ref="AF469:AF479" si="1350">SUM(AC469+AD469-AE469)</f>
        <v>2</v>
      </c>
      <c r="AG469" s="60"/>
      <c r="AH469" s="58"/>
      <c r="AI469" s="62">
        <f t="shared" ref="AI469:AI479" si="1351">SUM(AF469+AG469-AH469)</f>
        <v>2</v>
      </c>
      <c r="AJ469" s="60"/>
      <c r="AK469" s="58"/>
      <c r="AL469" s="62">
        <f t="shared" ref="AL469:AL479" si="1352">SUM(AI469+AJ469-AK469)</f>
        <v>2</v>
      </c>
      <c r="AM469" s="60"/>
      <c r="AN469" s="58"/>
      <c r="AO469" s="62">
        <f t="shared" ref="AO469:AO479" si="1353">SUM(AL469+AM469-AN469)</f>
        <v>2</v>
      </c>
      <c r="AP469" s="60"/>
      <c r="AQ469" s="58"/>
      <c r="AR469" s="62">
        <f t="shared" ref="AR469:AR479" si="1354">SUM(AO469+AP469-AQ469)</f>
        <v>2</v>
      </c>
      <c r="AS469" s="60"/>
      <c r="AT469" s="58"/>
      <c r="AU469" s="62">
        <f t="shared" ref="AU469:AU479" si="1355">SUM(AR469+AS469-AT469)</f>
        <v>2</v>
      </c>
      <c r="AV469" s="96">
        <f>SUM(L469+O469+R469+U469+X469+AA469+AD469+AG469+AJ469+AM469+AP469+AS469)</f>
        <v>0</v>
      </c>
      <c r="AW469" s="83">
        <f t="shared" si="1322"/>
        <v>0</v>
      </c>
      <c r="AX469" s="98">
        <f t="shared" ref="AX469:AX479" si="1356">SUM(M469,P469,S469,V469,Y469,AB469,AE469,AH469,AK469,AN469,AQ469,AT469)</f>
        <v>0</v>
      </c>
      <c r="AY469" s="99" t="e">
        <f t="shared" ref="AY469:AY479" si="1357">AVERAGE(M469,P469,S469,V469,Y469,AB469,AE469,AH469,AK469,AN469,AQ469,AT469)</f>
        <v>#DIV/0!</v>
      </c>
      <c r="AZ469" s="100">
        <f t="shared" ref="AZ469:AZ479" si="1358">COUNT(M469,P469,S469,V469,Y469,AB469,AE469,AH469,AK469,AN469,AQ469,AT469)</f>
        <v>0</v>
      </c>
      <c r="BA469" s="101">
        <v>2</v>
      </c>
      <c r="BB469" s="102">
        <v>1</v>
      </c>
      <c r="BC469" s="84">
        <f t="shared" si="1287"/>
        <v>2</v>
      </c>
      <c r="BD469" s="83">
        <f t="shared" si="1288"/>
        <v>1</v>
      </c>
      <c r="BE469" s="85">
        <v>2</v>
      </c>
      <c r="BF469" s="86">
        <v>45791.411180555559</v>
      </c>
      <c r="BG469" s="72" t="e">
        <f t="shared" si="1265"/>
        <v>#REF!</v>
      </c>
      <c r="BH469" s="103" t="e">
        <f t="shared" ref="BH469:BH479" si="1359">BG469-BF469</f>
        <v>#REF!</v>
      </c>
      <c r="BI469" s="80" t="e">
        <f t="shared" si="1289"/>
        <v>#REF!</v>
      </c>
      <c r="BJ469" s="238">
        <v>5600</v>
      </c>
    </row>
    <row r="470" spans="1:62" ht="13">
      <c r="A470" s="90"/>
      <c r="B470" s="91"/>
      <c r="C470" s="51">
        <v>468</v>
      </c>
      <c r="D470" s="141" t="s">
        <v>1525</v>
      </c>
      <c r="E470" s="141">
        <v>18</v>
      </c>
      <c r="F470" s="80" t="s">
        <v>1048</v>
      </c>
      <c r="G470" s="81" t="s">
        <v>1049</v>
      </c>
      <c r="H470" s="81" t="s">
        <v>1561</v>
      </c>
      <c r="I470" s="80" t="s">
        <v>458</v>
      </c>
      <c r="J470" s="82">
        <f t="shared" si="1345"/>
        <v>2</v>
      </c>
      <c r="K470" s="80">
        <v>2</v>
      </c>
      <c r="L470" s="124"/>
      <c r="M470" s="125"/>
      <c r="N470" s="59">
        <f>SUM(K470+L470-M470)</f>
        <v>2</v>
      </c>
      <c r="O470" s="126"/>
      <c r="P470" s="125"/>
      <c r="Q470" s="59">
        <f t="shared" si="1346"/>
        <v>2</v>
      </c>
      <c r="R470" s="126"/>
      <c r="S470" s="125"/>
      <c r="T470" s="61">
        <f>SUM(Q470+R470-S470)</f>
        <v>2</v>
      </c>
      <c r="U470" s="126"/>
      <c r="V470" s="125"/>
      <c r="W470" s="59">
        <f t="shared" si="1347"/>
        <v>2</v>
      </c>
      <c r="X470" s="126"/>
      <c r="Y470" s="125"/>
      <c r="Z470" s="61">
        <f t="shared" si="1348"/>
        <v>2</v>
      </c>
      <c r="AA470" s="126"/>
      <c r="AB470" s="125"/>
      <c r="AC470" s="59">
        <f t="shared" si="1349"/>
        <v>2</v>
      </c>
      <c r="AD470" s="124"/>
      <c r="AE470" s="125"/>
      <c r="AF470" s="243">
        <f t="shared" si="1350"/>
        <v>2</v>
      </c>
      <c r="AG470" s="126"/>
      <c r="AH470" s="125"/>
      <c r="AI470" s="62">
        <f t="shared" si="1351"/>
        <v>2</v>
      </c>
      <c r="AJ470" s="126"/>
      <c r="AK470" s="125"/>
      <c r="AL470" s="62">
        <f t="shared" si="1352"/>
        <v>2</v>
      </c>
      <c r="AM470" s="126"/>
      <c r="AN470" s="125"/>
      <c r="AO470" s="59">
        <f t="shared" si="1353"/>
        <v>2</v>
      </c>
      <c r="AP470" s="126"/>
      <c r="AQ470" s="125"/>
      <c r="AR470" s="59">
        <f t="shared" si="1354"/>
        <v>2</v>
      </c>
      <c r="AS470" s="126"/>
      <c r="AT470" s="125"/>
      <c r="AU470" s="59">
        <f t="shared" si="1355"/>
        <v>2</v>
      </c>
      <c r="AV470" s="83">
        <f>SUM(L470+O470+R470+U470+X470+AA470+AD470+AG470+AJ470+AM470+AP470+AS470)</f>
        <v>0</v>
      </c>
      <c r="AW470" s="83">
        <f t="shared" si="1322"/>
        <v>0</v>
      </c>
      <c r="AX470" s="64">
        <f t="shared" si="1356"/>
        <v>0</v>
      </c>
      <c r="AY470" s="65" t="e">
        <f t="shared" si="1357"/>
        <v>#DIV/0!</v>
      </c>
      <c r="AZ470" s="66">
        <f t="shared" si="1358"/>
        <v>0</v>
      </c>
      <c r="BA470" s="67">
        <f>MAX(0, Table176252626[[#This Row],[Column6]])</f>
        <v>2</v>
      </c>
      <c r="BB470" s="68">
        <v>1</v>
      </c>
      <c r="BC470" s="84">
        <f t="shared" si="1287"/>
        <v>2</v>
      </c>
      <c r="BD470" s="83">
        <f t="shared" si="1288"/>
        <v>1</v>
      </c>
      <c r="BE470" s="85">
        <v>2</v>
      </c>
      <c r="BF470" s="86">
        <v>44639.708935185183</v>
      </c>
      <c r="BG470" s="72" t="e">
        <f t="shared" si="1265"/>
        <v>#REF!</v>
      </c>
      <c r="BH470" s="87" t="e">
        <f t="shared" si="1359"/>
        <v>#REF!</v>
      </c>
      <c r="BI470" s="80" t="e">
        <f t="shared" si="1289"/>
        <v>#REF!</v>
      </c>
      <c r="BJ470" s="238">
        <v>25500</v>
      </c>
    </row>
    <row r="471" spans="1:62" ht="13">
      <c r="A471" s="49"/>
      <c r="B471" s="50"/>
      <c r="C471" s="51">
        <v>469</v>
      </c>
      <c r="D471" s="141" t="s">
        <v>1525</v>
      </c>
      <c r="E471" s="141">
        <v>19</v>
      </c>
      <c r="F471" s="80" t="s">
        <v>1557</v>
      </c>
      <c r="G471" s="81" t="s">
        <v>1558</v>
      </c>
      <c r="H471" s="89" t="s">
        <v>1561</v>
      </c>
      <c r="I471" s="80" t="s">
        <v>458</v>
      </c>
      <c r="J471" s="93">
        <f t="shared" si="1345"/>
        <v>1</v>
      </c>
      <c r="K471" s="88">
        <v>1</v>
      </c>
      <c r="L471" s="58"/>
      <c r="M471" s="58"/>
      <c r="N471" s="62">
        <f>SUM(K471+L471-M471)</f>
        <v>1</v>
      </c>
      <c r="O471" s="60"/>
      <c r="P471" s="58"/>
      <c r="Q471" s="62">
        <f t="shared" si="1346"/>
        <v>1</v>
      </c>
      <c r="R471" s="60"/>
      <c r="S471" s="58"/>
      <c r="T471" s="94">
        <f>SUM(Q471+R471-S471)</f>
        <v>1</v>
      </c>
      <c r="U471" s="60"/>
      <c r="V471" s="58"/>
      <c r="W471" s="62">
        <f t="shared" si="1347"/>
        <v>1</v>
      </c>
      <c r="X471" s="60"/>
      <c r="Y471" s="58"/>
      <c r="Z471" s="94">
        <f t="shared" si="1348"/>
        <v>1</v>
      </c>
      <c r="AA471" s="60"/>
      <c r="AB471" s="58"/>
      <c r="AC471" s="62">
        <f t="shared" si="1349"/>
        <v>1</v>
      </c>
      <c r="AD471" s="57"/>
      <c r="AE471" s="58"/>
      <c r="AF471" s="165">
        <f t="shared" si="1350"/>
        <v>1</v>
      </c>
      <c r="AG471" s="60"/>
      <c r="AH471" s="58"/>
      <c r="AI471" s="62">
        <f t="shared" si="1351"/>
        <v>1</v>
      </c>
      <c r="AJ471" s="60"/>
      <c r="AK471" s="58"/>
      <c r="AL471" s="62">
        <f t="shared" si="1352"/>
        <v>1</v>
      </c>
      <c r="AM471" s="60"/>
      <c r="AN471" s="58"/>
      <c r="AO471" s="62">
        <f t="shared" si="1353"/>
        <v>1</v>
      </c>
      <c r="AP471" s="60"/>
      <c r="AQ471" s="58"/>
      <c r="AR471" s="62">
        <f t="shared" si="1354"/>
        <v>1</v>
      </c>
      <c r="AS471" s="60"/>
      <c r="AT471" s="58"/>
      <c r="AU471" s="62">
        <f t="shared" si="1355"/>
        <v>1</v>
      </c>
      <c r="AV471" s="96">
        <f>SUM(L471+O471+R471+U471+X471+AA471+AD471+AG471+AJ471+AM471+AP471+AS471)</f>
        <v>0</v>
      </c>
      <c r="AW471" s="83">
        <f t="shared" si="1322"/>
        <v>0</v>
      </c>
      <c r="AX471" s="98">
        <f t="shared" si="1356"/>
        <v>0</v>
      </c>
      <c r="AY471" s="99" t="e">
        <f t="shared" si="1357"/>
        <v>#DIV/0!</v>
      </c>
      <c r="AZ471" s="100">
        <f t="shared" si="1358"/>
        <v>0</v>
      </c>
      <c r="BA471" s="101">
        <v>1</v>
      </c>
      <c r="BB471" s="102">
        <v>0</v>
      </c>
      <c r="BC471" s="84">
        <f t="shared" si="1287"/>
        <v>1</v>
      </c>
      <c r="BD471" s="83">
        <f t="shared" si="1288"/>
        <v>1</v>
      </c>
      <c r="BE471" s="85">
        <v>2</v>
      </c>
      <c r="BF471" s="86">
        <v>44336.561516203707</v>
      </c>
      <c r="BG471" s="72" t="e">
        <f t="shared" si="1265"/>
        <v>#REF!</v>
      </c>
      <c r="BH471" s="103" t="e">
        <f t="shared" si="1359"/>
        <v>#REF!</v>
      </c>
      <c r="BI471" s="80" t="e">
        <f t="shared" si="1289"/>
        <v>#REF!</v>
      </c>
      <c r="BJ471" s="238">
        <v>24500</v>
      </c>
    </row>
    <row r="472" spans="1:62" ht="13">
      <c r="A472" s="75"/>
      <c r="B472" s="76"/>
      <c r="C472" s="77">
        <v>470</v>
      </c>
      <c r="D472" s="141" t="s">
        <v>1525</v>
      </c>
      <c r="E472" s="141">
        <v>20</v>
      </c>
      <c r="F472" s="88" t="s">
        <v>1430</v>
      </c>
      <c r="G472" s="89" t="s">
        <v>1486</v>
      </c>
      <c r="H472" s="81" t="s">
        <v>1487</v>
      </c>
      <c r="I472" s="80" t="s">
        <v>458</v>
      </c>
      <c r="J472" s="93">
        <f t="shared" si="1345"/>
        <v>1</v>
      </c>
      <c r="K472" s="88">
        <v>1</v>
      </c>
      <c r="L472" s="58"/>
      <c r="M472" s="58"/>
      <c r="N472" s="62">
        <f>SUM(K472+L472-M472)</f>
        <v>1</v>
      </c>
      <c r="O472" s="60"/>
      <c r="P472" s="58"/>
      <c r="Q472" s="62">
        <f t="shared" si="1346"/>
        <v>1</v>
      </c>
      <c r="R472" s="60"/>
      <c r="S472" s="58"/>
      <c r="T472" s="94">
        <f>SUM(Q472+R472-S472)</f>
        <v>1</v>
      </c>
      <c r="U472" s="60"/>
      <c r="V472" s="58"/>
      <c r="W472" s="62">
        <f t="shared" si="1347"/>
        <v>1</v>
      </c>
      <c r="X472" s="60"/>
      <c r="Y472" s="58"/>
      <c r="Z472" s="94">
        <f t="shared" si="1348"/>
        <v>1</v>
      </c>
      <c r="AA472" s="60"/>
      <c r="AB472" s="58"/>
      <c r="AC472" s="62">
        <f t="shared" si="1349"/>
        <v>1</v>
      </c>
      <c r="AD472" s="57"/>
      <c r="AE472" s="58"/>
      <c r="AF472" s="165">
        <f t="shared" si="1350"/>
        <v>1</v>
      </c>
      <c r="AG472" s="60"/>
      <c r="AH472" s="58"/>
      <c r="AI472" s="62">
        <f t="shared" si="1351"/>
        <v>1</v>
      </c>
      <c r="AJ472" s="60"/>
      <c r="AK472" s="58"/>
      <c r="AL472" s="62">
        <f t="shared" si="1352"/>
        <v>1</v>
      </c>
      <c r="AM472" s="60"/>
      <c r="AN472" s="58"/>
      <c r="AO472" s="62">
        <f t="shared" si="1353"/>
        <v>1</v>
      </c>
      <c r="AP472" s="60"/>
      <c r="AQ472" s="58"/>
      <c r="AR472" s="62">
        <f t="shared" si="1354"/>
        <v>1</v>
      </c>
      <c r="AS472" s="60"/>
      <c r="AT472" s="58"/>
      <c r="AU472" s="62">
        <f t="shared" si="1355"/>
        <v>1</v>
      </c>
      <c r="AV472" s="96">
        <f t="shared" ref="AV472" si="1360">SUM(L472+O472+R472+U472+X472+AA472+AD472+AG472+AJ472+AM472+AP472+AS472)</f>
        <v>0</v>
      </c>
      <c r="AW472" s="83">
        <f t="shared" si="1322"/>
        <v>0</v>
      </c>
      <c r="AX472" s="98">
        <f t="shared" si="1356"/>
        <v>0</v>
      </c>
      <c r="AY472" s="99" t="e">
        <f t="shared" si="1357"/>
        <v>#DIV/0!</v>
      </c>
      <c r="AZ472" s="100">
        <f t="shared" si="1358"/>
        <v>0</v>
      </c>
      <c r="BA472" s="101">
        <v>1</v>
      </c>
      <c r="BB472" s="102">
        <v>0</v>
      </c>
      <c r="BC472" s="84">
        <f t="shared" si="1287"/>
        <v>1</v>
      </c>
      <c r="BD472" s="83">
        <f t="shared" si="1288"/>
        <v>1</v>
      </c>
      <c r="BE472" s="85">
        <v>2</v>
      </c>
      <c r="BF472" s="86">
        <v>45280.586099537039</v>
      </c>
      <c r="BG472" s="72" t="e">
        <f t="shared" si="1265"/>
        <v>#REF!</v>
      </c>
      <c r="BH472" s="103" t="e">
        <f t="shared" si="1359"/>
        <v>#REF!</v>
      </c>
      <c r="BI472" s="80" t="e">
        <f t="shared" si="1289"/>
        <v>#REF!</v>
      </c>
      <c r="BJ472" s="238">
        <v>24225</v>
      </c>
    </row>
    <row r="473" spans="1:62" ht="13">
      <c r="A473" s="49"/>
      <c r="B473" s="50"/>
      <c r="C473" s="77">
        <v>471</v>
      </c>
      <c r="D473" s="141" t="s">
        <v>1525</v>
      </c>
      <c r="E473" s="141">
        <v>21</v>
      </c>
      <c r="F473" s="88" t="s">
        <v>1302</v>
      </c>
      <c r="G473" s="89" t="s">
        <v>1861</v>
      </c>
      <c r="H473" s="89" t="s">
        <v>1168</v>
      </c>
      <c r="I473" s="80" t="s">
        <v>458</v>
      </c>
      <c r="J473" s="93">
        <f t="shared" si="1345"/>
        <v>2</v>
      </c>
      <c r="K473" s="88">
        <v>2</v>
      </c>
      <c r="L473" s="58"/>
      <c r="M473" s="58"/>
      <c r="N473" s="62">
        <f t="shared" ref="N473" si="1361">SUM(K473+L473-M473)</f>
        <v>2</v>
      </c>
      <c r="O473" s="60"/>
      <c r="P473" s="58"/>
      <c r="Q473" s="62">
        <f t="shared" si="1346"/>
        <v>2</v>
      </c>
      <c r="R473" s="60"/>
      <c r="S473" s="58"/>
      <c r="T473" s="94">
        <f t="shared" ref="T473" si="1362">SUM(Q473+R473-S473)</f>
        <v>2</v>
      </c>
      <c r="U473" s="60"/>
      <c r="V473" s="58"/>
      <c r="W473" s="62">
        <f t="shared" si="1347"/>
        <v>2</v>
      </c>
      <c r="X473" s="60"/>
      <c r="Y473" s="58"/>
      <c r="Z473" s="94">
        <f t="shared" si="1348"/>
        <v>2</v>
      </c>
      <c r="AA473" s="60"/>
      <c r="AB473" s="58"/>
      <c r="AC473" s="62">
        <f t="shared" si="1349"/>
        <v>2</v>
      </c>
      <c r="AD473" s="57"/>
      <c r="AE473" s="58"/>
      <c r="AF473" s="165">
        <f t="shared" si="1350"/>
        <v>2</v>
      </c>
      <c r="AG473" s="60"/>
      <c r="AH473" s="58"/>
      <c r="AI473" s="62">
        <f t="shared" si="1351"/>
        <v>2</v>
      </c>
      <c r="AJ473" s="60"/>
      <c r="AK473" s="58"/>
      <c r="AL473" s="62">
        <f t="shared" si="1352"/>
        <v>2</v>
      </c>
      <c r="AM473" s="60"/>
      <c r="AN473" s="58"/>
      <c r="AO473" s="62">
        <f t="shared" si="1353"/>
        <v>2</v>
      </c>
      <c r="AP473" s="60"/>
      <c r="AQ473" s="58"/>
      <c r="AR473" s="62">
        <f t="shared" si="1354"/>
        <v>2</v>
      </c>
      <c r="AS473" s="60"/>
      <c r="AT473" s="58"/>
      <c r="AU473" s="62">
        <f t="shared" si="1355"/>
        <v>2</v>
      </c>
      <c r="AV473" s="96">
        <f t="shared" ref="AV473" si="1363">SUM(L473+O473+R473+U473+X473+AA473+AD473+AG473+AJ473+AM473+AP473+AS473)</f>
        <v>0</v>
      </c>
      <c r="AW473" s="83">
        <f t="shared" si="1322"/>
        <v>0</v>
      </c>
      <c r="AX473" s="98">
        <f t="shared" si="1356"/>
        <v>0</v>
      </c>
      <c r="AY473" s="99" t="e">
        <f t="shared" si="1357"/>
        <v>#DIV/0!</v>
      </c>
      <c r="AZ473" s="100">
        <f t="shared" si="1358"/>
        <v>0</v>
      </c>
      <c r="BA473" s="101">
        <v>2</v>
      </c>
      <c r="BB473" s="102">
        <v>1</v>
      </c>
      <c r="BC473" s="84">
        <f t="shared" si="1287"/>
        <v>2</v>
      </c>
      <c r="BD473" s="83">
        <f t="shared" si="1288"/>
        <v>1</v>
      </c>
      <c r="BE473" s="85">
        <v>2</v>
      </c>
      <c r="BF473" s="86">
        <v>45085.553576388891</v>
      </c>
      <c r="BG473" s="72" t="e">
        <f t="shared" si="1265"/>
        <v>#REF!</v>
      </c>
      <c r="BH473" s="103" t="e">
        <f t="shared" si="1359"/>
        <v>#REF!</v>
      </c>
      <c r="BI473" s="80" t="e">
        <f t="shared" si="1289"/>
        <v>#REF!</v>
      </c>
      <c r="BJ473" s="238">
        <v>9800</v>
      </c>
    </row>
    <row r="474" spans="1:62" ht="13">
      <c r="A474" s="75"/>
      <c r="B474" s="76"/>
      <c r="C474" s="51">
        <v>472</v>
      </c>
      <c r="D474" s="141" t="s">
        <v>1525</v>
      </c>
      <c r="E474" s="141">
        <v>22</v>
      </c>
      <c r="F474" s="88" t="s">
        <v>1559</v>
      </c>
      <c r="G474" s="89" t="s">
        <v>1560</v>
      </c>
      <c r="H474" s="89" t="s">
        <v>1561</v>
      </c>
      <c r="I474" s="80" t="s">
        <v>458</v>
      </c>
      <c r="J474" s="93">
        <f t="shared" si="1345"/>
        <v>2</v>
      </c>
      <c r="K474" s="80">
        <v>2</v>
      </c>
      <c r="L474" s="58"/>
      <c r="M474" s="58"/>
      <c r="N474" s="62">
        <f>SUM(K474+L474-M474)</f>
        <v>2</v>
      </c>
      <c r="O474" s="60"/>
      <c r="P474" s="58"/>
      <c r="Q474" s="62">
        <f t="shared" si="1346"/>
        <v>2</v>
      </c>
      <c r="R474" s="60"/>
      <c r="S474" s="58"/>
      <c r="T474" s="94">
        <f>SUM(Q474+R474-S474)</f>
        <v>2</v>
      </c>
      <c r="U474" s="60"/>
      <c r="V474" s="58"/>
      <c r="W474" s="62">
        <f t="shared" si="1347"/>
        <v>2</v>
      </c>
      <c r="X474" s="60"/>
      <c r="Y474" s="58"/>
      <c r="Z474" s="94">
        <f t="shared" si="1348"/>
        <v>2</v>
      </c>
      <c r="AA474" s="60"/>
      <c r="AB474" s="58"/>
      <c r="AC474" s="62">
        <f t="shared" si="1349"/>
        <v>2</v>
      </c>
      <c r="AD474" s="57"/>
      <c r="AE474" s="58"/>
      <c r="AF474" s="165">
        <f t="shared" si="1350"/>
        <v>2</v>
      </c>
      <c r="AG474" s="60"/>
      <c r="AH474" s="58"/>
      <c r="AI474" s="62">
        <f t="shared" si="1351"/>
        <v>2</v>
      </c>
      <c r="AJ474" s="60"/>
      <c r="AK474" s="58"/>
      <c r="AL474" s="62">
        <f t="shared" si="1352"/>
        <v>2</v>
      </c>
      <c r="AM474" s="60"/>
      <c r="AN474" s="58"/>
      <c r="AO474" s="62">
        <f t="shared" si="1353"/>
        <v>2</v>
      </c>
      <c r="AP474" s="60"/>
      <c r="AQ474" s="58"/>
      <c r="AR474" s="62">
        <f t="shared" si="1354"/>
        <v>2</v>
      </c>
      <c r="AS474" s="60"/>
      <c r="AT474" s="58"/>
      <c r="AU474" s="62">
        <f t="shared" si="1355"/>
        <v>2</v>
      </c>
      <c r="AV474" s="96">
        <f>SUM(L474+O474+R474+U474+X474+AA474+AD474+AG474+AJ474+AM474+AP474+AS474)</f>
        <v>0</v>
      </c>
      <c r="AW474" s="83">
        <f t="shared" si="1322"/>
        <v>0</v>
      </c>
      <c r="AX474" s="98">
        <f t="shared" si="1356"/>
        <v>0</v>
      </c>
      <c r="AY474" s="99" t="e">
        <f t="shared" si="1357"/>
        <v>#DIV/0!</v>
      </c>
      <c r="AZ474" s="100">
        <f t="shared" si="1358"/>
        <v>0</v>
      </c>
      <c r="BA474" s="101">
        <v>2</v>
      </c>
      <c r="BB474" s="102">
        <v>1</v>
      </c>
      <c r="BC474" s="84">
        <f t="shared" si="1287"/>
        <v>2</v>
      </c>
      <c r="BD474" s="83">
        <f t="shared" si="1288"/>
        <v>1</v>
      </c>
      <c r="BE474" s="85">
        <v>2</v>
      </c>
      <c r="BF474" s="86">
        <v>45470.636550925927</v>
      </c>
      <c r="BG474" s="72" t="e">
        <f t="shared" si="1265"/>
        <v>#REF!</v>
      </c>
      <c r="BH474" s="103" t="e">
        <f t="shared" si="1359"/>
        <v>#REF!</v>
      </c>
      <c r="BI474" s="80" t="e">
        <f t="shared" si="1289"/>
        <v>#REF!</v>
      </c>
      <c r="BJ474" s="238">
        <v>15000</v>
      </c>
    </row>
    <row r="475" spans="1:62" ht="13">
      <c r="A475" s="90"/>
      <c r="B475" s="91"/>
      <c r="C475" s="51">
        <v>473</v>
      </c>
      <c r="D475" s="141" t="s">
        <v>1525</v>
      </c>
      <c r="E475" s="141">
        <v>23</v>
      </c>
      <c r="F475" s="80" t="s">
        <v>1005</v>
      </c>
      <c r="G475" s="81" t="s">
        <v>1006</v>
      </c>
      <c r="H475" s="81" t="s">
        <v>1168</v>
      </c>
      <c r="I475" s="80" t="s">
        <v>458</v>
      </c>
      <c r="J475" s="82">
        <f t="shared" si="1345"/>
        <v>1</v>
      </c>
      <c r="K475" s="80">
        <v>2</v>
      </c>
      <c r="L475" s="57"/>
      <c r="M475" s="58"/>
      <c r="N475" s="59">
        <f t="shared" ref="N475" si="1364">SUM(K475+L475-M475)</f>
        <v>2</v>
      </c>
      <c r="O475" s="60"/>
      <c r="P475" s="58"/>
      <c r="Q475" s="59">
        <f t="shared" si="1346"/>
        <v>2</v>
      </c>
      <c r="R475" s="60"/>
      <c r="S475" s="58"/>
      <c r="T475" s="61">
        <f t="shared" ref="T475" si="1365">SUM(Q475+R475-S475)</f>
        <v>2</v>
      </c>
      <c r="U475" s="60"/>
      <c r="V475" s="58"/>
      <c r="W475" s="59">
        <f t="shared" si="1347"/>
        <v>2</v>
      </c>
      <c r="X475" s="60"/>
      <c r="Y475" s="58"/>
      <c r="Z475" s="61">
        <f t="shared" si="1348"/>
        <v>2</v>
      </c>
      <c r="AA475" s="60"/>
      <c r="AB475" s="58">
        <v>1</v>
      </c>
      <c r="AC475" s="59">
        <f t="shared" si="1349"/>
        <v>1</v>
      </c>
      <c r="AD475" s="57"/>
      <c r="AE475" s="58"/>
      <c r="AF475" s="243">
        <f t="shared" si="1350"/>
        <v>1</v>
      </c>
      <c r="AG475" s="60"/>
      <c r="AH475" s="58"/>
      <c r="AI475" s="62">
        <f t="shared" si="1351"/>
        <v>1</v>
      </c>
      <c r="AJ475" s="60"/>
      <c r="AK475" s="58"/>
      <c r="AL475" s="62">
        <f t="shared" si="1352"/>
        <v>1</v>
      </c>
      <c r="AM475" s="60"/>
      <c r="AN475" s="58"/>
      <c r="AO475" s="62">
        <f t="shared" si="1353"/>
        <v>1</v>
      </c>
      <c r="AP475" s="60"/>
      <c r="AQ475" s="58"/>
      <c r="AR475" s="62">
        <f t="shared" si="1354"/>
        <v>1</v>
      </c>
      <c r="AS475" s="60"/>
      <c r="AT475" s="58"/>
      <c r="AU475" s="62">
        <f t="shared" si="1355"/>
        <v>1</v>
      </c>
      <c r="AV475" s="83">
        <f>SUM(L475+O475+R475+U475+X475+AA475+AD475+AG475+AJ475+AM475+AP475+AS475)</f>
        <v>0</v>
      </c>
      <c r="AW475" s="83">
        <f t="shared" si="1322"/>
        <v>1</v>
      </c>
      <c r="AX475" s="64">
        <f t="shared" si="1356"/>
        <v>1</v>
      </c>
      <c r="AY475" s="65">
        <f t="shared" si="1357"/>
        <v>1</v>
      </c>
      <c r="AZ475" s="66">
        <f t="shared" si="1358"/>
        <v>1</v>
      </c>
      <c r="BA475" s="67">
        <v>1</v>
      </c>
      <c r="BB475" s="68">
        <v>0</v>
      </c>
      <c r="BC475" s="84">
        <f t="shared" si="1287"/>
        <v>1</v>
      </c>
      <c r="BD475" s="83">
        <f t="shared" si="1288"/>
        <v>1</v>
      </c>
      <c r="BE475" s="85">
        <v>2</v>
      </c>
      <c r="BF475" s="86">
        <v>45220.557812500003</v>
      </c>
      <c r="BG475" s="72" t="e">
        <f t="shared" si="1265"/>
        <v>#REF!</v>
      </c>
      <c r="BH475" s="107" t="e">
        <f t="shared" si="1359"/>
        <v>#REF!</v>
      </c>
      <c r="BI475" s="80" t="e">
        <f t="shared" si="1289"/>
        <v>#REF!</v>
      </c>
      <c r="BJ475" s="238">
        <v>2550</v>
      </c>
    </row>
    <row r="476" spans="1:62" ht="13">
      <c r="A476" s="75"/>
      <c r="B476" s="76"/>
      <c r="C476" s="51">
        <v>474</v>
      </c>
      <c r="D476" s="141" t="s">
        <v>1525</v>
      </c>
      <c r="E476" s="141">
        <v>24</v>
      </c>
      <c r="F476" s="80" t="s">
        <v>455</v>
      </c>
      <c r="G476" s="81" t="s">
        <v>1263</v>
      </c>
      <c r="H476" s="81" t="s">
        <v>1700</v>
      </c>
      <c r="I476" s="80" t="s">
        <v>458</v>
      </c>
      <c r="J476" s="82">
        <f t="shared" si="1345"/>
        <v>9</v>
      </c>
      <c r="K476" s="80">
        <v>9</v>
      </c>
      <c r="L476" s="57"/>
      <c r="M476" s="58"/>
      <c r="N476" s="59">
        <f>SUM(K476+L476-M476)</f>
        <v>9</v>
      </c>
      <c r="O476" s="60"/>
      <c r="P476" s="58"/>
      <c r="Q476" s="59">
        <f t="shared" si="1346"/>
        <v>9</v>
      </c>
      <c r="R476" s="60"/>
      <c r="S476" s="58"/>
      <c r="T476" s="61">
        <f>SUM(Q476+R476-S476)</f>
        <v>9</v>
      </c>
      <c r="U476" s="60"/>
      <c r="V476" s="58"/>
      <c r="W476" s="59">
        <f t="shared" si="1347"/>
        <v>9</v>
      </c>
      <c r="X476" s="60"/>
      <c r="Y476" s="58"/>
      <c r="Z476" s="61">
        <f t="shared" si="1348"/>
        <v>9</v>
      </c>
      <c r="AA476" s="60"/>
      <c r="AB476" s="58"/>
      <c r="AC476" s="59">
        <f t="shared" si="1349"/>
        <v>9</v>
      </c>
      <c r="AD476" s="57"/>
      <c r="AE476" s="58"/>
      <c r="AF476" s="243">
        <f t="shared" si="1350"/>
        <v>9</v>
      </c>
      <c r="AG476" s="60"/>
      <c r="AH476" s="58"/>
      <c r="AI476" s="62">
        <f t="shared" si="1351"/>
        <v>9</v>
      </c>
      <c r="AJ476" s="60"/>
      <c r="AK476" s="58"/>
      <c r="AL476" s="62">
        <f t="shared" si="1352"/>
        <v>9</v>
      </c>
      <c r="AM476" s="60"/>
      <c r="AN476" s="58"/>
      <c r="AO476" s="62">
        <f t="shared" si="1353"/>
        <v>9</v>
      </c>
      <c r="AP476" s="60"/>
      <c r="AQ476" s="58"/>
      <c r="AR476" s="62">
        <f t="shared" si="1354"/>
        <v>9</v>
      </c>
      <c r="AS476" s="60"/>
      <c r="AT476" s="58"/>
      <c r="AU476" s="62">
        <f t="shared" si="1355"/>
        <v>9</v>
      </c>
      <c r="AV476" s="83">
        <f t="shared" ref="AV476" si="1366">SUM(L476+O476+R476+U476+X476+AA476+AD476+AG476+AJ476+AM476+AP476+AS476)</f>
        <v>0</v>
      </c>
      <c r="AW476" s="83">
        <f t="shared" si="1322"/>
        <v>0</v>
      </c>
      <c r="AX476" s="64">
        <f t="shared" si="1356"/>
        <v>0</v>
      </c>
      <c r="AY476" s="65" t="e">
        <f t="shared" si="1357"/>
        <v>#DIV/0!</v>
      </c>
      <c r="AZ476" s="66">
        <f t="shared" si="1358"/>
        <v>0</v>
      </c>
      <c r="BA476" s="67">
        <f>MAX(0, Table176252626[[#This Row],[Column6]])</f>
        <v>9</v>
      </c>
      <c r="BB476" s="68">
        <v>1</v>
      </c>
      <c r="BC476" s="84">
        <f t="shared" si="1287"/>
        <v>9</v>
      </c>
      <c r="BD476" s="83">
        <f t="shared" si="1288"/>
        <v>8</v>
      </c>
      <c r="BE476" s="85">
        <v>2</v>
      </c>
      <c r="BF476" s="86">
        <v>43145.59646990741</v>
      </c>
      <c r="BG476" s="72" t="e">
        <f t="shared" si="1265"/>
        <v>#REF!</v>
      </c>
      <c r="BH476" s="87" t="e">
        <f t="shared" si="1359"/>
        <v>#REF!</v>
      </c>
      <c r="BI476" s="80" t="e">
        <f t="shared" si="1289"/>
        <v>#REF!</v>
      </c>
      <c r="BJ476" s="238">
        <v>593.25</v>
      </c>
    </row>
    <row r="477" spans="1:62" ht="13">
      <c r="A477" s="90"/>
      <c r="B477" s="91"/>
      <c r="C477" s="51">
        <v>475</v>
      </c>
      <c r="D477" s="141" t="s">
        <v>1525</v>
      </c>
      <c r="E477" s="141">
        <v>25</v>
      </c>
      <c r="F477" s="88" t="s">
        <v>1723</v>
      </c>
      <c r="G477" s="89" t="s">
        <v>1724</v>
      </c>
      <c r="H477" s="89" t="s">
        <v>294</v>
      </c>
      <c r="I477" s="80" t="s">
        <v>458</v>
      </c>
      <c r="J477" s="93">
        <f t="shared" si="1345"/>
        <v>5</v>
      </c>
      <c r="K477" s="88">
        <v>5</v>
      </c>
      <c r="L477" s="58"/>
      <c r="M477" s="58"/>
      <c r="N477" s="62">
        <f>SUM(K477+L477-M477)</f>
        <v>5</v>
      </c>
      <c r="O477" s="60"/>
      <c r="P477" s="58"/>
      <c r="Q477" s="62">
        <f t="shared" si="1346"/>
        <v>5</v>
      </c>
      <c r="R477" s="60"/>
      <c r="S477" s="58"/>
      <c r="T477" s="94">
        <f>SUM(Q477+R477-S477)</f>
        <v>5</v>
      </c>
      <c r="U477" s="60"/>
      <c r="V477" s="58"/>
      <c r="W477" s="62">
        <f t="shared" si="1347"/>
        <v>5</v>
      </c>
      <c r="X477" s="60"/>
      <c r="Y477" s="58"/>
      <c r="Z477" s="94">
        <f t="shared" si="1348"/>
        <v>5</v>
      </c>
      <c r="AA477" s="60"/>
      <c r="AB477" s="58"/>
      <c r="AC477" s="62">
        <f t="shared" si="1349"/>
        <v>5</v>
      </c>
      <c r="AD477" s="57"/>
      <c r="AE477" s="58"/>
      <c r="AF477" s="165">
        <f t="shared" si="1350"/>
        <v>5</v>
      </c>
      <c r="AG477" s="60"/>
      <c r="AH477" s="58"/>
      <c r="AI477" s="62">
        <f t="shared" si="1351"/>
        <v>5</v>
      </c>
      <c r="AJ477" s="60"/>
      <c r="AK477" s="58"/>
      <c r="AL477" s="62">
        <f t="shared" si="1352"/>
        <v>5</v>
      </c>
      <c r="AM477" s="60"/>
      <c r="AN477" s="58"/>
      <c r="AO477" s="62">
        <f t="shared" si="1353"/>
        <v>5</v>
      </c>
      <c r="AP477" s="60"/>
      <c r="AQ477" s="58"/>
      <c r="AR477" s="62">
        <f t="shared" si="1354"/>
        <v>5</v>
      </c>
      <c r="AS477" s="60"/>
      <c r="AT477" s="58"/>
      <c r="AU477" s="62">
        <f t="shared" si="1355"/>
        <v>5</v>
      </c>
      <c r="AV477" s="96">
        <f>SUM(L477+O477+R477+U477+X477+AA477+AD477+AG477+AJ477+AM477+AP477+AS477)</f>
        <v>0</v>
      </c>
      <c r="AW477" s="83">
        <f t="shared" si="1322"/>
        <v>0</v>
      </c>
      <c r="AX477" s="98">
        <f t="shared" si="1356"/>
        <v>0</v>
      </c>
      <c r="AY477" s="99" t="e">
        <f t="shared" si="1357"/>
        <v>#DIV/0!</v>
      </c>
      <c r="AZ477" s="100">
        <f t="shared" si="1358"/>
        <v>0</v>
      </c>
      <c r="BA477" s="67">
        <f>MAX(0, Table176252626[[#This Row],[Column6]])</f>
        <v>5</v>
      </c>
      <c r="BB477" s="68">
        <v>1</v>
      </c>
      <c r="BC477" s="84">
        <f t="shared" si="1287"/>
        <v>5</v>
      </c>
      <c r="BD477" s="83">
        <f t="shared" si="1288"/>
        <v>4</v>
      </c>
      <c r="BE477" s="85">
        <v>2</v>
      </c>
      <c r="BF477" s="86">
        <v>45772.770671296297</v>
      </c>
      <c r="BG477" s="72" t="e">
        <f t="shared" si="1265"/>
        <v>#REF!</v>
      </c>
      <c r="BH477" s="87" t="e">
        <f t="shared" si="1359"/>
        <v>#REF!</v>
      </c>
      <c r="BI477" s="80" t="e">
        <f t="shared" si="1289"/>
        <v>#REF!</v>
      </c>
      <c r="BJ477" s="238">
        <v>250</v>
      </c>
    </row>
    <row r="478" spans="1:62" ht="13">
      <c r="A478" s="49"/>
      <c r="B478" s="76"/>
      <c r="C478" s="77">
        <v>476</v>
      </c>
      <c r="D478" s="141" t="s">
        <v>1525</v>
      </c>
      <c r="E478" s="141">
        <v>26</v>
      </c>
      <c r="F478" s="54" t="s">
        <v>1416</v>
      </c>
      <c r="G478" s="55" t="s">
        <v>1417</v>
      </c>
      <c r="H478" s="81" t="s">
        <v>1700</v>
      </c>
      <c r="I478" s="80" t="s">
        <v>458</v>
      </c>
      <c r="J478" s="93">
        <f t="shared" si="1345"/>
        <v>15</v>
      </c>
      <c r="K478" s="80">
        <v>20</v>
      </c>
      <c r="L478" s="58"/>
      <c r="M478" s="58"/>
      <c r="N478" s="62">
        <f>SUM(K478+L478-M478)</f>
        <v>20</v>
      </c>
      <c r="O478" s="60"/>
      <c r="P478" s="58"/>
      <c r="Q478" s="62">
        <f t="shared" si="1346"/>
        <v>20</v>
      </c>
      <c r="R478" s="60"/>
      <c r="S478" s="58"/>
      <c r="T478" s="94">
        <f>SUM(Q478+R478-S478)</f>
        <v>20</v>
      </c>
      <c r="U478" s="60"/>
      <c r="V478" s="58"/>
      <c r="W478" s="62">
        <f t="shared" si="1347"/>
        <v>20</v>
      </c>
      <c r="X478" s="60"/>
      <c r="Y478" s="58">
        <v>3</v>
      </c>
      <c r="Z478" s="94">
        <f t="shared" si="1348"/>
        <v>17</v>
      </c>
      <c r="AA478" s="60"/>
      <c r="AB478" s="58">
        <v>2</v>
      </c>
      <c r="AC478" s="62">
        <f t="shared" si="1349"/>
        <v>15</v>
      </c>
      <c r="AD478" s="57"/>
      <c r="AE478" s="58"/>
      <c r="AF478" s="165">
        <f t="shared" si="1350"/>
        <v>15</v>
      </c>
      <c r="AG478" s="60"/>
      <c r="AH478" s="58"/>
      <c r="AI478" s="62">
        <f t="shared" si="1351"/>
        <v>15</v>
      </c>
      <c r="AJ478" s="60"/>
      <c r="AK478" s="58"/>
      <c r="AL478" s="62">
        <f t="shared" si="1352"/>
        <v>15</v>
      </c>
      <c r="AM478" s="60"/>
      <c r="AN478" s="58"/>
      <c r="AO478" s="62">
        <f t="shared" si="1353"/>
        <v>15</v>
      </c>
      <c r="AP478" s="60"/>
      <c r="AQ478" s="58"/>
      <c r="AR478" s="62">
        <f t="shared" si="1354"/>
        <v>15</v>
      </c>
      <c r="AS478" s="60"/>
      <c r="AT478" s="58"/>
      <c r="AU478" s="62">
        <f t="shared" si="1355"/>
        <v>15</v>
      </c>
      <c r="AV478" s="96">
        <f>SUM(L478+O478+R478+U478+X478+AA478+AD478+AG478+AJ478+AM478+AP478+AS478)</f>
        <v>0</v>
      </c>
      <c r="AW478" s="83">
        <f t="shared" si="1322"/>
        <v>5</v>
      </c>
      <c r="AX478" s="98">
        <f t="shared" si="1356"/>
        <v>5</v>
      </c>
      <c r="AY478" s="99">
        <f t="shared" si="1357"/>
        <v>2.5</v>
      </c>
      <c r="AZ478" s="100">
        <f t="shared" si="1358"/>
        <v>2</v>
      </c>
      <c r="BA478" s="101">
        <v>15</v>
      </c>
      <c r="BB478" s="102">
        <v>1</v>
      </c>
      <c r="BC478" s="84">
        <f t="shared" si="1287"/>
        <v>15</v>
      </c>
      <c r="BD478" s="83">
        <f t="shared" si="1288"/>
        <v>14</v>
      </c>
      <c r="BE478" s="85">
        <v>2</v>
      </c>
      <c r="BF478" s="86">
        <v>45220.762627314813</v>
      </c>
      <c r="BG478" s="72" t="e">
        <f t="shared" si="1265"/>
        <v>#REF!</v>
      </c>
      <c r="BH478" s="109" t="e">
        <f t="shared" si="1359"/>
        <v>#REF!</v>
      </c>
      <c r="BI478" s="80" t="e">
        <f t="shared" si="1289"/>
        <v>#REF!</v>
      </c>
      <c r="BJ478" s="238">
        <v>350</v>
      </c>
    </row>
    <row r="479" spans="1:62" ht="13">
      <c r="A479" s="49"/>
      <c r="B479" s="50"/>
      <c r="C479" s="77">
        <v>477</v>
      </c>
      <c r="D479" s="141" t="s">
        <v>1525</v>
      </c>
      <c r="E479" s="141">
        <v>27</v>
      </c>
      <c r="F479" s="80" t="s">
        <v>1424</v>
      </c>
      <c r="G479" s="81" t="s">
        <v>1425</v>
      </c>
      <c r="H479" s="81" t="s">
        <v>1700</v>
      </c>
      <c r="I479" s="80" t="s">
        <v>458</v>
      </c>
      <c r="J479" s="93">
        <f t="shared" si="1345"/>
        <v>14</v>
      </c>
      <c r="K479" s="88">
        <v>14</v>
      </c>
      <c r="L479" s="58"/>
      <c r="M479" s="58"/>
      <c r="N479" s="62">
        <f>SUM(K479+L479-M479)</f>
        <v>14</v>
      </c>
      <c r="O479" s="60"/>
      <c r="P479" s="58"/>
      <c r="Q479" s="62">
        <f t="shared" si="1346"/>
        <v>14</v>
      </c>
      <c r="R479" s="60"/>
      <c r="S479" s="58"/>
      <c r="T479" s="94">
        <f>SUM(Q479+R479-S479)</f>
        <v>14</v>
      </c>
      <c r="U479" s="60"/>
      <c r="V479" s="58"/>
      <c r="W479" s="62">
        <f t="shared" si="1347"/>
        <v>14</v>
      </c>
      <c r="X479" s="60"/>
      <c r="Y479" s="58"/>
      <c r="Z479" s="94">
        <f t="shared" si="1348"/>
        <v>14</v>
      </c>
      <c r="AA479" s="60"/>
      <c r="AB479" s="58"/>
      <c r="AC479" s="62">
        <f t="shared" si="1349"/>
        <v>14</v>
      </c>
      <c r="AD479" s="57"/>
      <c r="AE479" s="58"/>
      <c r="AF479" s="165">
        <f t="shared" si="1350"/>
        <v>14</v>
      </c>
      <c r="AG479" s="60"/>
      <c r="AH479" s="58"/>
      <c r="AI479" s="62">
        <f t="shared" si="1351"/>
        <v>14</v>
      </c>
      <c r="AJ479" s="60"/>
      <c r="AK479" s="58"/>
      <c r="AL479" s="62">
        <f t="shared" si="1352"/>
        <v>14</v>
      </c>
      <c r="AM479" s="60"/>
      <c r="AN479" s="58"/>
      <c r="AO479" s="62">
        <f t="shared" si="1353"/>
        <v>14</v>
      </c>
      <c r="AP479" s="60"/>
      <c r="AQ479" s="58"/>
      <c r="AR479" s="62">
        <f t="shared" si="1354"/>
        <v>14</v>
      </c>
      <c r="AS479" s="60"/>
      <c r="AT479" s="58"/>
      <c r="AU479" s="62">
        <f t="shared" si="1355"/>
        <v>14</v>
      </c>
      <c r="AV479" s="96">
        <f>SUM(L479+O479+R479+U479+X479+AA479+AD479+AG479+AJ479+AM479+AP479+AS479)</f>
        <v>0</v>
      </c>
      <c r="AW479" s="83">
        <f t="shared" si="1322"/>
        <v>0</v>
      </c>
      <c r="AX479" s="98">
        <f t="shared" si="1356"/>
        <v>0</v>
      </c>
      <c r="AY479" s="99" t="e">
        <f t="shared" si="1357"/>
        <v>#DIV/0!</v>
      </c>
      <c r="AZ479" s="100">
        <f t="shared" si="1358"/>
        <v>0</v>
      </c>
      <c r="BA479" s="101">
        <v>14</v>
      </c>
      <c r="BB479" s="102">
        <v>1</v>
      </c>
      <c r="BC479" s="84">
        <f t="shared" si="1287"/>
        <v>14</v>
      </c>
      <c r="BD479" s="83">
        <f t="shared" si="1288"/>
        <v>13</v>
      </c>
      <c r="BE479" s="85">
        <v>2</v>
      </c>
      <c r="BF479" s="86">
        <v>45220.769432870373</v>
      </c>
      <c r="BG479" s="72" t="e">
        <f t="shared" si="1265"/>
        <v>#REF!</v>
      </c>
      <c r="BH479" s="109" t="e">
        <f t="shared" si="1359"/>
        <v>#REF!</v>
      </c>
      <c r="BI479" s="80" t="e">
        <f t="shared" si="1289"/>
        <v>#REF!</v>
      </c>
      <c r="BJ479" s="238">
        <v>333</v>
      </c>
    </row>
    <row r="480" spans="1:62" ht="13">
      <c r="A480" s="75"/>
      <c r="B480" s="76"/>
      <c r="C480" s="51">
        <v>478</v>
      </c>
      <c r="D480" s="141" t="s">
        <v>1525</v>
      </c>
      <c r="E480" s="141">
        <v>28</v>
      </c>
      <c r="F480" s="80" t="s">
        <v>1412</v>
      </c>
      <c r="G480" s="81" t="s">
        <v>1413</v>
      </c>
      <c r="H480" s="81" t="s">
        <v>1700</v>
      </c>
      <c r="I480" s="80" t="s">
        <v>458</v>
      </c>
      <c r="J480" s="93">
        <f t="shared" ref="J480" si="1367">AU480</f>
        <v>10</v>
      </c>
      <c r="K480" s="88">
        <v>10</v>
      </c>
      <c r="L480" s="58"/>
      <c r="M480" s="58"/>
      <c r="N480" s="62">
        <f>SUM(K480+L480-M480)</f>
        <v>10</v>
      </c>
      <c r="O480" s="60"/>
      <c r="P480" s="58"/>
      <c r="Q480" s="62">
        <f t="shared" ref="Q480" si="1368">SUM(N480+O480-P480)</f>
        <v>10</v>
      </c>
      <c r="R480" s="60"/>
      <c r="S480" s="58"/>
      <c r="T480" s="94">
        <f>SUM(Q480+R480-S480)</f>
        <v>10</v>
      </c>
      <c r="U480" s="60"/>
      <c r="V480" s="58"/>
      <c r="W480" s="62">
        <f t="shared" ref="W480" si="1369">SUM(T480+U480-V480)</f>
        <v>10</v>
      </c>
      <c r="X480" s="60"/>
      <c r="Y480" s="58"/>
      <c r="Z480" s="94">
        <f t="shared" ref="Z480" si="1370">SUM(W480+X480-Y480)</f>
        <v>10</v>
      </c>
      <c r="AA480" s="60"/>
      <c r="AB480" s="58"/>
      <c r="AC480" s="62">
        <f t="shared" ref="AC480" si="1371">SUM(Z480+AA480-AB480)</f>
        <v>10</v>
      </c>
      <c r="AD480" s="57"/>
      <c r="AE480" s="58"/>
      <c r="AF480" s="165">
        <f t="shared" ref="AF480" si="1372">SUM(AC480+AD480-AE480)</f>
        <v>10</v>
      </c>
      <c r="AG480" s="60"/>
      <c r="AH480" s="58"/>
      <c r="AI480" s="62">
        <f t="shared" ref="AI480" si="1373">SUM(AF480+AG480-AH480)</f>
        <v>10</v>
      </c>
      <c r="AJ480" s="60"/>
      <c r="AK480" s="58"/>
      <c r="AL480" s="62">
        <f t="shared" ref="AL480" si="1374">SUM(AI480+AJ480-AK480)</f>
        <v>10</v>
      </c>
      <c r="AM480" s="60"/>
      <c r="AN480" s="58"/>
      <c r="AO480" s="62">
        <f t="shared" ref="AO480" si="1375">SUM(AL480+AM480-AN480)</f>
        <v>10</v>
      </c>
      <c r="AP480" s="60"/>
      <c r="AQ480" s="58"/>
      <c r="AR480" s="62">
        <f t="shared" ref="AR480" si="1376">SUM(AO480+AP480-AQ480)</f>
        <v>10</v>
      </c>
      <c r="AS480" s="60"/>
      <c r="AT480" s="58"/>
      <c r="AU480" s="62">
        <f t="shared" ref="AU480" si="1377">SUM(AR480+AS480-AT480)</f>
        <v>10</v>
      </c>
      <c r="AV480" s="96">
        <f>SUM(L480+O480+R480+U480+X480+AA480+AD480+AG480+AJ480+AM480+AP480+AS480)</f>
        <v>0</v>
      </c>
      <c r="AW480" s="83">
        <f t="shared" si="1322"/>
        <v>0</v>
      </c>
      <c r="AX480" s="98">
        <f t="shared" ref="AX480" si="1378">SUM(M480,P480,S480,V480,Y480,AB480,AE480,AH480,AK480,AN480,AQ480,AT480)</f>
        <v>0</v>
      </c>
      <c r="AY480" s="99" t="e">
        <f t="shared" ref="AY480" si="1379">AVERAGE(M480,P480,S480,V480,Y480,AB480,AE480,AH480,AK480,AN480,AQ480,AT480)</f>
        <v>#DIV/0!</v>
      </c>
      <c r="AZ480" s="100">
        <f t="shared" ref="AZ480" si="1380">COUNT(M480,P480,S480,V480,Y480,AB480,AE480,AH480,AK480,AN480,AQ480,AT480)</f>
        <v>0</v>
      </c>
      <c r="BA480" s="101">
        <v>10</v>
      </c>
      <c r="BB480" s="102">
        <v>1</v>
      </c>
      <c r="BC480" s="84">
        <f t="shared" si="1287"/>
        <v>10</v>
      </c>
      <c r="BD480" s="83">
        <f t="shared" si="1288"/>
        <v>9</v>
      </c>
      <c r="BE480" s="85">
        <v>2</v>
      </c>
      <c r="BF480" s="86">
        <v>45220.762627314813</v>
      </c>
      <c r="BG480" s="72" t="e">
        <f t="shared" si="1265"/>
        <v>#REF!</v>
      </c>
      <c r="BH480" s="109" t="e">
        <f t="shared" ref="BH480" si="1381">BG480-BF480</f>
        <v>#REF!</v>
      </c>
      <c r="BI480" s="80" t="e">
        <f t="shared" si="1289"/>
        <v>#REF!</v>
      </c>
      <c r="BJ480" s="238">
        <v>427</v>
      </c>
    </row>
    <row r="481" spans="1:62" ht="13">
      <c r="A481" s="90"/>
      <c r="B481" s="91"/>
      <c r="C481" s="51">
        <v>479</v>
      </c>
      <c r="D481" s="141" t="s">
        <v>1525</v>
      </c>
      <c r="E481" s="141">
        <v>29</v>
      </c>
      <c r="F481" s="80" t="s">
        <v>1930</v>
      </c>
      <c r="G481" s="81" t="s">
        <v>1929</v>
      </c>
      <c r="H481" s="81" t="s">
        <v>1953</v>
      </c>
      <c r="I481" s="80" t="s">
        <v>458</v>
      </c>
      <c r="J481" s="93">
        <f t="shared" ref="J481" si="1382">AU481</f>
        <v>9</v>
      </c>
      <c r="K481" s="80">
        <v>9</v>
      </c>
      <c r="L481" s="58"/>
      <c r="M481" s="58"/>
      <c r="N481" s="62">
        <f t="shared" ref="N481" si="1383">SUM(K481+L481-M481)</f>
        <v>9</v>
      </c>
      <c r="O481" s="60"/>
      <c r="P481" s="58"/>
      <c r="Q481" s="62">
        <f t="shared" ref="Q481" si="1384">SUM(N481+O481-P481)</f>
        <v>9</v>
      </c>
      <c r="R481" s="60"/>
      <c r="S481" s="58"/>
      <c r="T481" s="94">
        <f t="shared" ref="T481" si="1385">SUM(Q481+R481-S481)</f>
        <v>9</v>
      </c>
      <c r="U481" s="60"/>
      <c r="V481" s="58"/>
      <c r="W481" s="62">
        <f t="shared" ref="W481" si="1386">SUM(T481+U481-V481)</f>
        <v>9</v>
      </c>
      <c r="X481" s="60"/>
      <c r="Y481" s="58"/>
      <c r="Z481" s="94">
        <f t="shared" ref="Z481" si="1387">SUM(W481+X481-Y481)</f>
        <v>9</v>
      </c>
      <c r="AA481" s="60"/>
      <c r="AB481" s="58"/>
      <c r="AC481" s="62">
        <f t="shared" ref="AC481" si="1388">SUM(Z481+AA481-AB481)</f>
        <v>9</v>
      </c>
      <c r="AD481" s="57"/>
      <c r="AE481" s="58"/>
      <c r="AF481" s="165">
        <f t="shared" ref="AF481" si="1389">SUM(AC481+AD481-AE481)</f>
        <v>9</v>
      </c>
      <c r="AG481" s="60"/>
      <c r="AH481" s="58"/>
      <c r="AI481" s="62">
        <f t="shared" ref="AI481" si="1390">SUM(AF481+AG481-AH481)</f>
        <v>9</v>
      </c>
      <c r="AJ481" s="60"/>
      <c r="AK481" s="58"/>
      <c r="AL481" s="62">
        <f t="shared" ref="AL481" si="1391">SUM(AI481+AJ481-AK481)</f>
        <v>9</v>
      </c>
      <c r="AM481" s="60"/>
      <c r="AN481" s="58"/>
      <c r="AO481" s="62">
        <f t="shared" ref="AO481" si="1392">SUM(AL481+AM481-AN481)</f>
        <v>9</v>
      </c>
      <c r="AP481" s="60"/>
      <c r="AQ481" s="58"/>
      <c r="AR481" s="62">
        <f t="shared" ref="AR481" si="1393">SUM(AO481+AP481-AQ481)</f>
        <v>9</v>
      </c>
      <c r="AS481" s="60"/>
      <c r="AT481" s="58"/>
      <c r="AU481" s="62">
        <f t="shared" ref="AU481" si="1394">SUM(AR481+AS481-AT481)</f>
        <v>9</v>
      </c>
      <c r="AV481" s="96">
        <f t="shared" ref="AV481" si="1395">SUM(L481+O481+R481+U481+X481+AA481+AD481+AG481+AJ481+AM481+AP481+AS481)</f>
        <v>0</v>
      </c>
      <c r="AW481" s="83">
        <f t="shared" si="1322"/>
        <v>0</v>
      </c>
      <c r="AX481" s="98">
        <f t="shared" ref="AX481" si="1396">SUM(M481,P481,S481,V481,Y481,AB481,AE481,AH481,AK481,AN481,AQ481,AT481)</f>
        <v>0</v>
      </c>
      <c r="AY481" s="99" t="e">
        <f t="shared" ref="AY481" si="1397">AVERAGE(M481,P481,S481,V481,Y481,AB481,AE481,AH481,AK481,AN481,AQ481,AT481)</f>
        <v>#DIV/0!</v>
      </c>
      <c r="AZ481" s="100">
        <f t="shared" ref="AZ481" si="1398">COUNT(M481,P481,S481,V481,Y481,AB481,AE481,AH481,AK481,AN481,AQ481,AT481)</f>
        <v>0</v>
      </c>
      <c r="BA481" s="101">
        <v>9</v>
      </c>
      <c r="BB481" s="102">
        <v>1</v>
      </c>
      <c r="BC481" s="84">
        <f t="shared" si="1287"/>
        <v>9</v>
      </c>
      <c r="BD481" s="83">
        <f t="shared" si="1288"/>
        <v>8</v>
      </c>
      <c r="BE481" s="85">
        <v>2</v>
      </c>
      <c r="BF481" s="86">
        <v>46007.589178240742</v>
      </c>
      <c r="BG481" s="72" t="e">
        <f t="shared" si="1265"/>
        <v>#REF!</v>
      </c>
      <c r="BH481" s="109" t="e">
        <f t="shared" ref="BH481" si="1399">BG481-BF481</f>
        <v>#REF!</v>
      </c>
      <c r="BI481" s="80" t="e">
        <f t="shared" si="1289"/>
        <v>#REF!</v>
      </c>
      <c r="BJ481" s="238">
        <v>192</v>
      </c>
    </row>
    <row r="482" spans="1:62" ht="13">
      <c r="A482" s="90"/>
      <c r="B482" s="91"/>
      <c r="C482" s="51">
        <v>480</v>
      </c>
      <c r="D482" s="141" t="s">
        <v>1525</v>
      </c>
      <c r="E482" s="141">
        <v>30</v>
      </c>
      <c r="F482" s="80" t="s">
        <v>1932</v>
      </c>
      <c r="G482" s="81" t="s">
        <v>1931</v>
      </c>
      <c r="H482" s="81" t="s">
        <v>1953</v>
      </c>
      <c r="I482" s="80" t="s">
        <v>458</v>
      </c>
      <c r="J482" s="93">
        <f>AU482</f>
        <v>9</v>
      </c>
      <c r="K482" s="88">
        <v>9</v>
      </c>
      <c r="L482" s="58"/>
      <c r="M482" s="58"/>
      <c r="N482" s="62">
        <f>SUM(K482+L482-M482)</f>
        <v>9</v>
      </c>
      <c r="O482" s="60"/>
      <c r="P482" s="58"/>
      <c r="Q482" s="62">
        <f>SUM(N482+O482-P482)</f>
        <v>9</v>
      </c>
      <c r="R482" s="60"/>
      <c r="S482" s="58"/>
      <c r="T482" s="94">
        <f>SUM(Q482+R482-S482)</f>
        <v>9</v>
      </c>
      <c r="U482" s="60"/>
      <c r="V482" s="58"/>
      <c r="W482" s="62">
        <f>SUM(T482+U482-V482)</f>
        <v>9</v>
      </c>
      <c r="X482" s="60"/>
      <c r="Y482" s="58"/>
      <c r="Z482" s="94">
        <f>SUM(W482+X482-Y482)</f>
        <v>9</v>
      </c>
      <c r="AA482" s="60"/>
      <c r="AB482" s="58"/>
      <c r="AC482" s="62">
        <f>SUM(Z482+AA482-AB482)</f>
        <v>9</v>
      </c>
      <c r="AD482" s="57"/>
      <c r="AE482" s="58"/>
      <c r="AF482" s="165">
        <f>SUM(AC482+AD482-AE482)</f>
        <v>9</v>
      </c>
      <c r="AG482" s="60"/>
      <c r="AH482" s="58"/>
      <c r="AI482" s="62">
        <f>SUM(AF482+AG482-AH482)</f>
        <v>9</v>
      </c>
      <c r="AJ482" s="60"/>
      <c r="AK482" s="58"/>
      <c r="AL482" s="62">
        <f>SUM(AI482+AJ482-AK482)</f>
        <v>9</v>
      </c>
      <c r="AM482" s="60"/>
      <c r="AN482" s="58"/>
      <c r="AO482" s="62">
        <f>SUM(AL482+AM482-AN482)</f>
        <v>9</v>
      </c>
      <c r="AP482" s="60"/>
      <c r="AQ482" s="58"/>
      <c r="AR482" s="62">
        <f>SUM(AO482+AP482-AQ482)</f>
        <v>9</v>
      </c>
      <c r="AS482" s="60"/>
      <c r="AT482" s="58"/>
      <c r="AU482" s="62">
        <f>SUM(AR482+AS482-AT482)</f>
        <v>9</v>
      </c>
      <c r="AV482" s="96">
        <f>SUM(L482+O482+R482+U482+X482+AA482+AD482+AG482+AJ482+AM482+AP482+AS482)</f>
        <v>0</v>
      </c>
      <c r="AW482" s="83">
        <f t="shared" si="1322"/>
        <v>0</v>
      </c>
      <c r="AX482" s="98">
        <f>SUM(M482,P482,S482,V482,Y482,AB482,AE482,AH482,AK482,AN482,AQ482,AT482)</f>
        <v>0</v>
      </c>
      <c r="AY482" s="99" t="e">
        <f>AVERAGE(M482,P482,S482,V482,Y482,AB482,AE482,AH482,AK482,AN482,AQ482,AT482)</f>
        <v>#DIV/0!</v>
      </c>
      <c r="AZ482" s="100">
        <f>COUNT(M482,P482,S482,V482,Y482,AB482,AE482,AH482,AK482,AN482,AQ482,AT482)</f>
        <v>0</v>
      </c>
      <c r="BA482" s="101">
        <v>9</v>
      </c>
      <c r="BB482" s="102">
        <v>1</v>
      </c>
      <c r="BC482" s="84">
        <f t="shared" si="1287"/>
        <v>9</v>
      </c>
      <c r="BD482" s="83">
        <f t="shared" si="1288"/>
        <v>8</v>
      </c>
      <c r="BE482" s="85">
        <v>2</v>
      </c>
      <c r="BF482" s="86">
        <v>46007.589178240742</v>
      </c>
      <c r="BG482" s="72" t="e">
        <f t="shared" si="1265"/>
        <v>#REF!</v>
      </c>
      <c r="BH482" s="109" t="e">
        <f>BG482-BF482</f>
        <v>#REF!</v>
      </c>
      <c r="BI482" s="80" t="e">
        <f t="shared" si="1289"/>
        <v>#REF!</v>
      </c>
      <c r="BJ482" s="238">
        <v>199</v>
      </c>
    </row>
    <row r="483" spans="1:62" ht="13">
      <c r="A483" s="75"/>
      <c r="B483" s="223"/>
      <c r="C483" s="51">
        <v>481</v>
      </c>
      <c r="D483" s="141" t="s">
        <v>1525</v>
      </c>
      <c r="E483" s="141">
        <v>31</v>
      </c>
      <c r="F483" s="222" t="s">
        <v>2064</v>
      </c>
      <c r="G483" s="89" t="s">
        <v>2065</v>
      </c>
      <c r="H483" s="89" t="s">
        <v>1937</v>
      </c>
      <c r="I483" s="80" t="s">
        <v>469</v>
      </c>
      <c r="J483" s="93">
        <f>AU483</f>
        <v>1</v>
      </c>
      <c r="K483" s="88">
        <v>0</v>
      </c>
      <c r="L483" s="58"/>
      <c r="M483" s="58"/>
      <c r="N483" s="62">
        <f>SUM(K483+L483-M483)</f>
        <v>0</v>
      </c>
      <c r="O483" s="60"/>
      <c r="P483" s="58"/>
      <c r="Q483" s="62">
        <f t="shared" ref="Q483" si="1400">SUM(N483+O483-P483)</f>
        <v>0</v>
      </c>
      <c r="R483" s="60"/>
      <c r="S483" s="58"/>
      <c r="T483" s="94">
        <f>SUM(Q483+R483-S483)</f>
        <v>0</v>
      </c>
      <c r="U483" s="60">
        <v>1</v>
      </c>
      <c r="V483" s="58"/>
      <c r="W483" s="62">
        <f t="shared" ref="W483" si="1401">SUM(T483+U483-V483)</f>
        <v>1</v>
      </c>
      <c r="X483" s="60"/>
      <c r="Y483" s="58"/>
      <c r="Z483" s="94">
        <f>SUM(W483+X483-Y483)</f>
        <v>1</v>
      </c>
      <c r="AA483" s="60"/>
      <c r="AB483" s="58"/>
      <c r="AC483" s="62">
        <f>SUM(Z483+AA483-AB483)</f>
        <v>1</v>
      </c>
      <c r="AD483" s="57"/>
      <c r="AE483" s="58"/>
      <c r="AF483" s="165">
        <f>SUM(AC483+AD483-AE483)</f>
        <v>1</v>
      </c>
      <c r="AG483" s="60"/>
      <c r="AH483" s="58"/>
      <c r="AI483" s="62">
        <f>SUM(AF483+AG483-AH483)</f>
        <v>1</v>
      </c>
      <c r="AJ483" s="60"/>
      <c r="AK483" s="58"/>
      <c r="AL483" s="62">
        <f>SUM(AI483+AJ483-AK483)</f>
        <v>1</v>
      </c>
      <c r="AM483" s="60"/>
      <c r="AN483" s="58"/>
      <c r="AO483" s="62">
        <f>SUM(AL483+AM483-AN483)</f>
        <v>1</v>
      </c>
      <c r="AP483" s="60"/>
      <c r="AQ483" s="58"/>
      <c r="AR483" s="62">
        <f>SUM(AO483+AP483-AQ483)</f>
        <v>1</v>
      </c>
      <c r="AS483" s="60"/>
      <c r="AT483" s="58"/>
      <c r="AU483" s="62">
        <f t="shared" ref="AU483" si="1402">SUM(AR483+AS483-AT483)</f>
        <v>1</v>
      </c>
      <c r="AV483" s="96">
        <f t="shared" ref="AV483" si="1403">SUM(L483+O483+R483+U483+X483+AA483+AD483+AG483+AJ483+AM483+AP483+AS483)</f>
        <v>1</v>
      </c>
      <c r="AW483" s="83">
        <f t="shared" si="1322"/>
        <v>0</v>
      </c>
      <c r="AX483" s="98">
        <f t="shared" ref="AX483" si="1404">SUM(M483,P483,S483,V483,Y483,AB483,AE483,AH483,AK483,AN483,AQ483,AT483)</f>
        <v>0</v>
      </c>
      <c r="AY483" s="99" t="e">
        <f t="shared" ref="AY483" si="1405">AVERAGE(M483,P483,S483,V483,Y483,AB483,AE483,AH483,AK483,AN483,AQ483,AT483)</f>
        <v>#DIV/0!</v>
      </c>
      <c r="AZ483" s="100">
        <f t="shared" ref="AZ483" si="1406">COUNT(M483,P483,S483,V483,Y483,AB483,AE483,AH483,AK483,AN483,AQ483,AT483)</f>
        <v>0</v>
      </c>
      <c r="BA483" s="101">
        <f>MAX(M483,P483,S483,V483,Y483,AB483,AE483,AH483,AK483,AN483,AQ483,AT483)</f>
        <v>0</v>
      </c>
      <c r="BB483" s="68">
        <v>0</v>
      </c>
      <c r="BC483" s="84">
        <f t="shared" si="1287"/>
        <v>1</v>
      </c>
      <c r="BD483" s="83">
        <f t="shared" si="1288"/>
        <v>1</v>
      </c>
      <c r="BE483" s="85">
        <v>2</v>
      </c>
      <c r="BF483" s="86">
        <v>46119.491354166668</v>
      </c>
      <c r="BG483" s="72" t="e">
        <f t="shared" si="1265"/>
        <v>#REF!</v>
      </c>
      <c r="BH483" s="109" t="e">
        <f>BG483-BF483</f>
        <v>#REF!</v>
      </c>
      <c r="BI483" s="80" t="e">
        <f t="shared" si="1289"/>
        <v>#REF!</v>
      </c>
      <c r="BJ483" s="238">
        <v>3468</v>
      </c>
    </row>
    <row r="484" spans="1:62" ht="13">
      <c r="A484" s="90"/>
      <c r="B484" s="91"/>
      <c r="C484" s="77">
        <v>482</v>
      </c>
      <c r="D484" s="141" t="s">
        <v>1525</v>
      </c>
      <c r="E484" s="141">
        <v>32</v>
      </c>
      <c r="F484" s="80" t="s">
        <v>1785</v>
      </c>
      <c r="G484" s="81" t="s">
        <v>1786</v>
      </c>
      <c r="H484" s="81" t="s">
        <v>1937</v>
      </c>
      <c r="I484" s="80" t="s">
        <v>458</v>
      </c>
      <c r="J484" s="93">
        <f>AU484</f>
        <v>2</v>
      </c>
      <c r="K484" s="88">
        <v>2</v>
      </c>
      <c r="L484" s="58"/>
      <c r="M484" s="58"/>
      <c r="N484" s="62">
        <f>SUM(K484+L484-M484)</f>
        <v>2</v>
      </c>
      <c r="O484" s="60"/>
      <c r="P484" s="58"/>
      <c r="Q484" s="62">
        <f>SUM(N484+O484-P484)</f>
        <v>2</v>
      </c>
      <c r="R484" s="60"/>
      <c r="S484" s="58"/>
      <c r="T484" s="94">
        <f>SUM(Q484+R484-S484)</f>
        <v>2</v>
      </c>
      <c r="U484" s="60"/>
      <c r="V484" s="58"/>
      <c r="W484" s="62">
        <f>SUM(T484+U484-V484)</f>
        <v>2</v>
      </c>
      <c r="X484" s="60"/>
      <c r="Y484" s="58"/>
      <c r="Z484" s="94">
        <f>SUM(W484+X484-Y484)</f>
        <v>2</v>
      </c>
      <c r="AA484" s="60"/>
      <c r="AB484" s="58"/>
      <c r="AC484" s="62">
        <f>SUM(Z484+AA484-AB484)</f>
        <v>2</v>
      </c>
      <c r="AD484" s="57"/>
      <c r="AE484" s="58"/>
      <c r="AF484" s="165">
        <f>SUM(AC484+AD484-AE484)</f>
        <v>2</v>
      </c>
      <c r="AG484" s="60"/>
      <c r="AH484" s="58"/>
      <c r="AI484" s="62">
        <f>SUM(AF484+AG484-AH484)</f>
        <v>2</v>
      </c>
      <c r="AJ484" s="60"/>
      <c r="AK484" s="58"/>
      <c r="AL484" s="62">
        <f>SUM(AI484+AJ484-AK484)</f>
        <v>2</v>
      </c>
      <c r="AM484" s="60"/>
      <c r="AN484" s="58"/>
      <c r="AO484" s="62">
        <f>SUM(AL484+AM484-AN484)</f>
        <v>2</v>
      </c>
      <c r="AP484" s="60"/>
      <c r="AQ484" s="58"/>
      <c r="AR484" s="62">
        <f>SUM(AO484+AP484-AQ484)</f>
        <v>2</v>
      </c>
      <c r="AS484" s="60"/>
      <c r="AT484" s="58"/>
      <c r="AU484" s="62">
        <f>SUM(AR484+AS484-AT484)</f>
        <v>2</v>
      </c>
      <c r="AV484" s="96">
        <f>SUM(L484+O484+R484+U484+X484+AA484+AD484+AG484+AJ484+AM484+AP484+AS484)</f>
        <v>0</v>
      </c>
      <c r="AW484" s="83">
        <f t="shared" si="1322"/>
        <v>0</v>
      </c>
      <c r="AX484" s="98">
        <f>SUM(M484,P484,S484,V484,Y484,AB484,AE484,AH484,AK484,AN484,AQ484,AT484)</f>
        <v>0</v>
      </c>
      <c r="AY484" s="99" t="e">
        <f>AVERAGE(M484,P484,S484,V484,Y484,AB484,AE484,AH484,AK484,AN484,AQ484,AT484)</f>
        <v>#DIV/0!</v>
      </c>
      <c r="AZ484" s="100">
        <f>COUNT(M484,P484,S484,V484,Y484,AB484,AE484,AH484,AK484,AN484,AQ484,AT484)</f>
        <v>0</v>
      </c>
      <c r="BA484" s="101">
        <v>2</v>
      </c>
      <c r="BB484" s="102">
        <v>1</v>
      </c>
      <c r="BC484" s="84">
        <f t="shared" si="1287"/>
        <v>2</v>
      </c>
      <c r="BD484" s="83">
        <f t="shared" si="1288"/>
        <v>1</v>
      </c>
      <c r="BE484" s="85">
        <v>2</v>
      </c>
      <c r="BF484" s="86">
        <v>45951.640150462961</v>
      </c>
      <c r="BG484" s="72" t="e">
        <f t="shared" si="1265"/>
        <v>#REF!</v>
      </c>
      <c r="BH484" s="109" t="e">
        <f>BG484-BF484</f>
        <v>#REF!</v>
      </c>
      <c r="BI484" s="80" t="e">
        <f t="shared" si="1289"/>
        <v>#REF!</v>
      </c>
      <c r="BJ484" s="238">
        <v>2400</v>
      </c>
    </row>
    <row r="485" spans="1:62" ht="13">
      <c r="A485" s="90"/>
      <c r="B485" s="91"/>
      <c r="C485" s="77">
        <v>483</v>
      </c>
      <c r="D485" s="141" t="s">
        <v>1525</v>
      </c>
      <c r="E485" s="141">
        <v>33</v>
      </c>
      <c r="F485" s="80" t="s">
        <v>1871</v>
      </c>
      <c r="G485" s="81" t="s">
        <v>1872</v>
      </c>
      <c r="H485" s="89" t="s">
        <v>292</v>
      </c>
      <c r="I485" s="80" t="s">
        <v>458</v>
      </c>
      <c r="J485" s="93">
        <f>AU485</f>
        <v>5</v>
      </c>
      <c r="K485" s="88">
        <v>5</v>
      </c>
      <c r="L485" s="58"/>
      <c r="M485" s="58"/>
      <c r="N485" s="62">
        <f>SUM(K485+L485-M485)</f>
        <v>5</v>
      </c>
      <c r="O485" s="60"/>
      <c r="P485" s="58"/>
      <c r="Q485" s="62">
        <f>SUM(N485+O485-P485)</f>
        <v>5</v>
      </c>
      <c r="R485" s="60"/>
      <c r="S485" s="58"/>
      <c r="T485" s="94">
        <f>SUM(Q485+R485-S485)</f>
        <v>5</v>
      </c>
      <c r="U485" s="60"/>
      <c r="V485" s="58"/>
      <c r="W485" s="62">
        <f>SUM(T485+U485-V485)</f>
        <v>5</v>
      </c>
      <c r="X485" s="60"/>
      <c r="Y485" s="58"/>
      <c r="Z485" s="94">
        <f>SUM(W485+X485-Y485)</f>
        <v>5</v>
      </c>
      <c r="AA485" s="60"/>
      <c r="AB485" s="58"/>
      <c r="AC485" s="62">
        <f>SUM(Z485+AA485-AB485)</f>
        <v>5</v>
      </c>
      <c r="AD485" s="57"/>
      <c r="AE485" s="58"/>
      <c r="AF485" s="165">
        <f>SUM(AC485+AD485-AE485)</f>
        <v>5</v>
      </c>
      <c r="AG485" s="60"/>
      <c r="AH485" s="58"/>
      <c r="AI485" s="62">
        <f>SUM(AF485+AG485-AH485)</f>
        <v>5</v>
      </c>
      <c r="AJ485" s="60"/>
      <c r="AK485" s="58"/>
      <c r="AL485" s="62">
        <f>SUM(AI485+AJ485-AK485)</f>
        <v>5</v>
      </c>
      <c r="AM485" s="60"/>
      <c r="AN485" s="58"/>
      <c r="AO485" s="62">
        <f>SUM(AL485+AM485-AN485)</f>
        <v>5</v>
      </c>
      <c r="AP485" s="60"/>
      <c r="AQ485" s="58"/>
      <c r="AR485" s="62">
        <f>SUM(AO485+AP485-AQ485)</f>
        <v>5</v>
      </c>
      <c r="AS485" s="60"/>
      <c r="AT485" s="58"/>
      <c r="AU485" s="62">
        <f>SUM(AR485+AS485-AT485)</f>
        <v>5</v>
      </c>
      <c r="AV485" s="96">
        <f>SUM(L485+O485+R485+U485+X485+AA485+AD485+AG485+AJ485+AM485+AP485+AS485)</f>
        <v>0</v>
      </c>
      <c r="AW485" s="83">
        <f t="shared" si="1322"/>
        <v>0</v>
      </c>
      <c r="AX485" s="98">
        <f>SUM(M485,P485,S485,V485,Y485,AB485,AE485,AH485,AK485,AN485,AQ485,AT485)</f>
        <v>0</v>
      </c>
      <c r="AY485" s="99" t="e">
        <f>AVERAGE(M485,P485,S485,V485,Y485,AB485,AE485,AH485,AK485,AN485,AQ485,AT485)</f>
        <v>#DIV/0!</v>
      </c>
      <c r="AZ485" s="100">
        <f>COUNT(M485,P485,S485,V485,Y485,AB485,AE485,AH485,AK485,AN485,AQ485,AT485)</f>
        <v>0</v>
      </c>
      <c r="BA485" s="101">
        <v>5</v>
      </c>
      <c r="BB485" s="102">
        <v>1</v>
      </c>
      <c r="BC485" s="84">
        <f t="shared" si="1287"/>
        <v>5</v>
      </c>
      <c r="BD485" s="83">
        <f t="shared" si="1288"/>
        <v>4</v>
      </c>
      <c r="BE485" s="85">
        <v>2</v>
      </c>
      <c r="BF485" s="86">
        <v>45999.426863425928</v>
      </c>
      <c r="BG485" s="72" t="e">
        <f t="shared" si="1265"/>
        <v>#REF!</v>
      </c>
      <c r="BH485" s="103" t="e">
        <f>BG485-BF485</f>
        <v>#REF!</v>
      </c>
      <c r="BI485" s="80" t="e">
        <f t="shared" si="1289"/>
        <v>#REF!</v>
      </c>
      <c r="BJ485" s="238">
        <v>128.69999999999999</v>
      </c>
    </row>
    <row r="486" spans="1:62" ht="13">
      <c r="A486" s="90"/>
      <c r="B486" s="91"/>
      <c r="C486" s="51">
        <v>484</v>
      </c>
      <c r="D486" s="141" t="s">
        <v>1525</v>
      </c>
      <c r="E486" s="141">
        <v>34</v>
      </c>
      <c r="F486" s="88" t="s">
        <v>1869</v>
      </c>
      <c r="G486" s="89" t="s">
        <v>1870</v>
      </c>
      <c r="H486" s="89" t="s">
        <v>292</v>
      </c>
      <c r="I486" s="80" t="s">
        <v>458</v>
      </c>
      <c r="J486" s="93">
        <f>AU486</f>
        <v>1</v>
      </c>
      <c r="K486" s="88">
        <v>1</v>
      </c>
      <c r="L486" s="58"/>
      <c r="M486" s="58"/>
      <c r="N486" s="62">
        <f>SUM(K486+L486-M486)</f>
        <v>1</v>
      </c>
      <c r="O486" s="60"/>
      <c r="P486" s="58"/>
      <c r="Q486" s="62">
        <f>SUM(N486+O486-P486)</f>
        <v>1</v>
      </c>
      <c r="R486" s="60"/>
      <c r="S486" s="58"/>
      <c r="T486" s="94">
        <f>SUM(Q486+R486-S486)</f>
        <v>1</v>
      </c>
      <c r="U486" s="60"/>
      <c r="V486" s="58"/>
      <c r="W486" s="62">
        <f>SUM(T486+U486-V486)</f>
        <v>1</v>
      </c>
      <c r="X486" s="60"/>
      <c r="Y486" s="58"/>
      <c r="Z486" s="94">
        <f>SUM(W486+X486-Y486)</f>
        <v>1</v>
      </c>
      <c r="AA486" s="60"/>
      <c r="AB486" s="58"/>
      <c r="AC486" s="62">
        <f>SUM(Z486+AA486-AB486)</f>
        <v>1</v>
      </c>
      <c r="AD486" s="57"/>
      <c r="AE486" s="58"/>
      <c r="AF486" s="165">
        <f>SUM(AC486+AD486-AE486)</f>
        <v>1</v>
      </c>
      <c r="AG486" s="60"/>
      <c r="AH486" s="58"/>
      <c r="AI486" s="62">
        <f>SUM(AF486+AG486-AH486)</f>
        <v>1</v>
      </c>
      <c r="AJ486" s="60"/>
      <c r="AK486" s="58"/>
      <c r="AL486" s="62">
        <f>SUM(AI486+AJ486-AK486)</f>
        <v>1</v>
      </c>
      <c r="AM486" s="60"/>
      <c r="AN486" s="58"/>
      <c r="AO486" s="62">
        <f>SUM(AL486+AM486-AN486)</f>
        <v>1</v>
      </c>
      <c r="AP486" s="60"/>
      <c r="AQ486" s="58"/>
      <c r="AR486" s="62">
        <f>SUM(AO486+AP486-AQ486)</f>
        <v>1</v>
      </c>
      <c r="AS486" s="60"/>
      <c r="AT486" s="58"/>
      <c r="AU486" s="62">
        <f>SUM(AR486+AS486-AT486)</f>
        <v>1</v>
      </c>
      <c r="AV486" s="96">
        <f t="shared" ref="AV486" si="1407">SUM(L486+O486+R486+U486+X486+AA486+AD486+AG486+AJ486+AM486+AP486+AS486)</f>
        <v>0</v>
      </c>
      <c r="AW486" s="83">
        <f t="shared" si="1322"/>
        <v>0</v>
      </c>
      <c r="AX486" s="98">
        <f>SUM(M486,P486,S486,V486,Y486,AB486,AE486,AH486,AK486,AN486,AQ486,AT486)</f>
        <v>0</v>
      </c>
      <c r="AY486" s="99" t="e">
        <f>AVERAGE(M486,P486,S486,V486,Y486,AB486,AE486,AH486,AK486,AN486,AQ486,AT486)</f>
        <v>#DIV/0!</v>
      </c>
      <c r="AZ486" s="100">
        <f>COUNT(M486,P486,S486,V486,Y486,AB486,AE486,AH486,AK486,AN486,AQ486,AT486)</f>
        <v>0</v>
      </c>
      <c r="BA486" s="101">
        <v>1</v>
      </c>
      <c r="BB486" s="102">
        <v>0</v>
      </c>
      <c r="BC486" s="84">
        <f t="shared" si="1287"/>
        <v>1</v>
      </c>
      <c r="BD486" s="83">
        <f t="shared" si="1288"/>
        <v>1</v>
      </c>
      <c r="BE486" s="85">
        <v>2</v>
      </c>
      <c r="BF486" s="86">
        <v>45999.416400462964</v>
      </c>
      <c r="BG486" s="72" t="e">
        <f t="shared" si="1265"/>
        <v>#REF!</v>
      </c>
      <c r="BH486" s="103" t="e">
        <f>BG486-BF486</f>
        <v>#REF!</v>
      </c>
      <c r="BI486" s="80" t="e">
        <f t="shared" si="1289"/>
        <v>#REF!</v>
      </c>
      <c r="BJ486" s="238">
        <v>854.15</v>
      </c>
    </row>
    <row r="487" spans="1:62" ht="13">
      <c r="A487" s="49"/>
      <c r="B487" s="50"/>
      <c r="C487" s="51">
        <v>485</v>
      </c>
      <c r="D487" s="144" t="s">
        <v>1526</v>
      </c>
      <c r="E487" s="144">
        <v>1</v>
      </c>
      <c r="F487" s="88" t="s">
        <v>1635</v>
      </c>
      <c r="G487" s="89" t="s">
        <v>1636</v>
      </c>
      <c r="H487" s="89" t="s">
        <v>1086</v>
      </c>
      <c r="I487" s="80" t="s">
        <v>458</v>
      </c>
      <c r="J487" s="93">
        <f t="shared" ref="J487" si="1408">AU487</f>
        <v>1</v>
      </c>
      <c r="K487" s="88">
        <v>2</v>
      </c>
      <c r="L487" s="58"/>
      <c r="M487" s="58"/>
      <c r="N487" s="62">
        <f t="shared" ref="N487" si="1409">SUM(K487+L487-M487)</f>
        <v>2</v>
      </c>
      <c r="O487" s="60"/>
      <c r="P487" s="58">
        <v>1</v>
      </c>
      <c r="Q487" s="62">
        <f t="shared" ref="Q487" si="1410">SUM(N487+O487-P487)</f>
        <v>1</v>
      </c>
      <c r="R487" s="60"/>
      <c r="S487" s="58"/>
      <c r="T487" s="94">
        <f t="shared" ref="T487" si="1411">SUM(Q487+R487-S487)</f>
        <v>1</v>
      </c>
      <c r="U487" s="60"/>
      <c r="V487" s="58"/>
      <c r="W487" s="62">
        <f t="shared" ref="W487" si="1412">SUM(T487+U487-V487)</f>
        <v>1</v>
      </c>
      <c r="X487" s="60"/>
      <c r="Y487" s="58"/>
      <c r="Z487" s="94">
        <f t="shared" ref="Z487" si="1413">SUM(W487+X487-Y487)</f>
        <v>1</v>
      </c>
      <c r="AA487" s="60"/>
      <c r="AB487" s="58"/>
      <c r="AC487" s="62">
        <f t="shared" ref="AC487" si="1414">SUM(Z487+AA487-AB487)</f>
        <v>1</v>
      </c>
      <c r="AD487" s="57"/>
      <c r="AE487" s="58"/>
      <c r="AF487" s="165">
        <f t="shared" ref="AF487" si="1415">SUM(AC487+AD487-AE487)</f>
        <v>1</v>
      </c>
      <c r="AG487" s="60"/>
      <c r="AH487" s="58"/>
      <c r="AI487" s="62">
        <f t="shared" ref="AI487" si="1416">SUM(AF487+AG487-AH487)</f>
        <v>1</v>
      </c>
      <c r="AJ487" s="60"/>
      <c r="AK487" s="58"/>
      <c r="AL487" s="62">
        <f t="shared" ref="AL487" si="1417">SUM(AI487+AJ487-AK487)</f>
        <v>1</v>
      </c>
      <c r="AM487" s="60"/>
      <c r="AN487" s="58"/>
      <c r="AO487" s="62">
        <f t="shared" ref="AO487" si="1418">SUM(AL487+AM487-AN487)</f>
        <v>1</v>
      </c>
      <c r="AP487" s="60"/>
      <c r="AQ487" s="58"/>
      <c r="AR487" s="62">
        <f t="shared" ref="AR487" si="1419">SUM(AO487+AP487-AQ487)</f>
        <v>1</v>
      </c>
      <c r="AS487" s="60"/>
      <c r="AT487" s="58"/>
      <c r="AU487" s="62">
        <f t="shared" ref="AU487" si="1420">SUM(AR487+AS487-AT487)</f>
        <v>1</v>
      </c>
      <c r="AV487" s="96">
        <f t="shared" ref="AV487:AV488" si="1421">SUM(L487+O487+R487+U487+X487+AA487+AD487+AG487+AJ487+AM487+AP487+AS487)</f>
        <v>0</v>
      </c>
      <c r="AW487" s="83">
        <f t="shared" si="1155"/>
        <v>1</v>
      </c>
      <c r="AX487" s="98">
        <f t="shared" ref="AX487" si="1422">SUM(M487,P487,S487,V487,Y487,AB487,AE487,AH487,AK487,AN487,AQ487,AT487)</f>
        <v>1</v>
      </c>
      <c r="AY487" s="99">
        <f t="shared" ref="AY487" si="1423">AVERAGE(M487,P487,S487,V487,Y487,AB487,AE487,AH487,AK487,AN487,AQ487,AT487)</f>
        <v>1</v>
      </c>
      <c r="AZ487" s="100">
        <f t="shared" ref="AZ487" si="1424">COUNT(M487,P487,S487,V487,Y487,AB487,AE487,AH487,AK487,AN487,AQ487,AT487)</f>
        <v>1</v>
      </c>
      <c r="BA487" s="101">
        <f>MAX(M487,P487,S487,V487,Y487,AB487,AE487,AH487,AK487,AN487,AQ487,AT487)</f>
        <v>1</v>
      </c>
      <c r="BB487" s="102">
        <v>0</v>
      </c>
      <c r="BC487" s="84">
        <f t="shared" si="1210"/>
        <v>1</v>
      </c>
      <c r="BD487" s="83">
        <f t="shared" si="1195"/>
        <v>1</v>
      </c>
      <c r="BE487" s="85">
        <v>2</v>
      </c>
      <c r="BF487" s="86">
        <v>45602.464814814812</v>
      </c>
      <c r="BG487" s="72" t="e">
        <f t="shared" si="1265"/>
        <v>#REF!</v>
      </c>
      <c r="BH487" s="103" t="e">
        <f t="shared" ref="BH487" si="1425">BG487-BF487</f>
        <v>#REF!</v>
      </c>
      <c r="BI487" s="80" t="e">
        <f t="shared" si="1197"/>
        <v>#REF!</v>
      </c>
      <c r="BJ487" s="238">
        <v>13669</v>
      </c>
    </row>
    <row r="488" spans="1:62" ht="13">
      <c r="A488" s="90"/>
      <c r="B488" s="91"/>
      <c r="C488" s="51">
        <v>486</v>
      </c>
      <c r="D488" s="144" t="s">
        <v>1526</v>
      </c>
      <c r="E488" s="144">
        <v>2</v>
      </c>
      <c r="F488" s="88" t="s">
        <v>1899</v>
      </c>
      <c r="G488" s="89" t="s">
        <v>1900</v>
      </c>
      <c r="H488" s="89" t="s">
        <v>1086</v>
      </c>
      <c r="I488" s="80" t="s">
        <v>458</v>
      </c>
      <c r="J488" s="93">
        <f t="shared" si="1229"/>
        <v>2</v>
      </c>
      <c r="K488" s="88">
        <v>2</v>
      </c>
      <c r="L488" s="58"/>
      <c r="M488" s="58"/>
      <c r="N488" s="62">
        <f t="shared" si="1230"/>
        <v>2</v>
      </c>
      <c r="O488" s="60"/>
      <c r="P488" s="58"/>
      <c r="Q488" s="62">
        <f t="shared" si="1231"/>
        <v>2</v>
      </c>
      <c r="R488" s="60"/>
      <c r="S488" s="58"/>
      <c r="T488" s="94">
        <f t="shared" si="1232"/>
        <v>2</v>
      </c>
      <c r="U488" s="60"/>
      <c r="V488" s="58"/>
      <c r="W488" s="62">
        <f t="shared" si="1233"/>
        <v>2</v>
      </c>
      <c r="X488" s="60"/>
      <c r="Y488" s="58"/>
      <c r="Z488" s="94">
        <f t="shared" si="1234"/>
        <v>2</v>
      </c>
      <c r="AA488" s="60"/>
      <c r="AB488" s="58"/>
      <c r="AC488" s="62">
        <f t="shared" si="1235"/>
        <v>2</v>
      </c>
      <c r="AD488" s="57"/>
      <c r="AE488" s="58"/>
      <c r="AF488" s="165">
        <f t="shared" si="1236"/>
        <v>2</v>
      </c>
      <c r="AG488" s="60"/>
      <c r="AH488" s="58"/>
      <c r="AI488" s="62">
        <f t="shared" si="1237"/>
        <v>2</v>
      </c>
      <c r="AJ488" s="60"/>
      <c r="AK488" s="58"/>
      <c r="AL488" s="62">
        <f t="shared" si="1238"/>
        <v>2</v>
      </c>
      <c r="AM488" s="60"/>
      <c r="AN488" s="58"/>
      <c r="AO488" s="62">
        <f t="shared" si="1239"/>
        <v>2</v>
      </c>
      <c r="AP488" s="60"/>
      <c r="AQ488" s="58"/>
      <c r="AR488" s="62">
        <f t="shared" si="1240"/>
        <v>2</v>
      </c>
      <c r="AS488" s="60"/>
      <c r="AT488" s="58"/>
      <c r="AU488" s="62">
        <f t="shared" si="1241"/>
        <v>2</v>
      </c>
      <c r="AV488" s="96">
        <f t="shared" si="1421"/>
        <v>0</v>
      </c>
      <c r="AW488" s="83">
        <f t="shared" si="1155"/>
        <v>0</v>
      </c>
      <c r="AX488" s="98">
        <f t="shared" si="1243"/>
        <v>0</v>
      </c>
      <c r="AY488" s="99" t="e">
        <f t="shared" si="1244"/>
        <v>#DIV/0!</v>
      </c>
      <c r="AZ488" s="100">
        <f t="shared" si="1245"/>
        <v>0</v>
      </c>
      <c r="BA488" s="101">
        <v>2</v>
      </c>
      <c r="BB488" s="102">
        <v>1</v>
      </c>
      <c r="BC488" s="84">
        <f t="shared" si="1210"/>
        <v>2</v>
      </c>
      <c r="BD488" s="83">
        <f t="shared" si="1195"/>
        <v>1</v>
      </c>
      <c r="BE488" s="85">
        <v>2</v>
      </c>
      <c r="BF488" s="86">
        <v>46006</v>
      </c>
      <c r="BG488" s="72" t="e">
        <f t="shared" si="1265"/>
        <v>#REF!</v>
      </c>
      <c r="BH488" s="103" t="e">
        <f t="shared" si="1246"/>
        <v>#REF!</v>
      </c>
      <c r="BI488" s="80" t="e">
        <f t="shared" si="1197"/>
        <v>#REF!</v>
      </c>
      <c r="BJ488" s="238">
        <v>2656</v>
      </c>
    </row>
    <row r="489" spans="1:62" ht="13">
      <c r="A489" s="49"/>
      <c r="B489" s="76"/>
      <c r="C489" s="51">
        <v>487</v>
      </c>
      <c r="D489" s="144" t="s">
        <v>1526</v>
      </c>
      <c r="E489" s="144">
        <v>3</v>
      </c>
      <c r="F489" s="80" t="s">
        <v>970</v>
      </c>
      <c r="G489" s="81" t="s">
        <v>969</v>
      </c>
      <c r="H489" s="81" t="s">
        <v>292</v>
      </c>
      <c r="I489" s="80" t="s">
        <v>458</v>
      </c>
      <c r="J489" s="82">
        <f t="shared" si="1229"/>
        <v>1</v>
      </c>
      <c r="K489" s="80">
        <v>1</v>
      </c>
      <c r="L489" s="57"/>
      <c r="M489" s="58"/>
      <c r="N489" s="59">
        <f t="shared" si="1230"/>
        <v>1</v>
      </c>
      <c r="O489" s="60"/>
      <c r="P489" s="58"/>
      <c r="Q489" s="59">
        <f t="shared" si="1231"/>
        <v>1</v>
      </c>
      <c r="R489" s="60"/>
      <c r="S489" s="58"/>
      <c r="T489" s="61">
        <f t="shared" si="1232"/>
        <v>1</v>
      </c>
      <c r="U489" s="60"/>
      <c r="V489" s="58"/>
      <c r="W489" s="59">
        <f t="shared" si="1233"/>
        <v>1</v>
      </c>
      <c r="X489" s="60"/>
      <c r="Y489" s="58"/>
      <c r="Z489" s="61">
        <f t="shared" si="1234"/>
        <v>1</v>
      </c>
      <c r="AA489" s="60"/>
      <c r="AB489" s="58"/>
      <c r="AC489" s="59">
        <f t="shared" si="1235"/>
        <v>1</v>
      </c>
      <c r="AD489" s="57"/>
      <c r="AE489" s="58"/>
      <c r="AF489" s="243">
        <f t="shared" si="1236"/>
        <v>1</v>
      </c>
      <c r="AG489" s="60"/>
      <c r="AH489" s="58"/>
      <c r="AI489" s="62">
        <f t="shared" si="1237"/>
        <v>1</v>
      </c>
      <c r="AJ489" s="60"/>
      <c r="AK489" s="58"/>
      <c r="AL489" s="62">
        <f t="shared" si="1238"/>
        <v>1</v>
      </c>
      <c r="AM489" s="60"/>
      <c r="AN489" s="58"/>
      <c r="AO489" s="62">
        <f t="shared" si="1239"/>
        <v>1</v>
      </c>
      <c r="AP489" s="60"/>
      <c r="AQ489" s="58"/>
      <c r="AR489" s="62">
        <f t="shared" si="1240"/>
        <v>1</v>
      </c>
      <c r="AS489" s="60"/>
      <c r="AT489" s="58"/>
      <c r="AU489" s="62">
        <f t="shared" si="1241"/>
        <v>1</v>
      </c>
      <c r="AV489" s="83">
        <f t="shared" ref="AV489" si="1426">SUM(L489+O489+R489+U489+X489+AA489+AD489+AG489+AJ489+AM489+AP489+AS489)</f>
        <v>0</v>
      </c>
      <c r="AW489" s="83">
        <f t="shared" si="1155"/>
        <v>0</v>
      </c>
      <c r="AX489" s="64">
        <f t="shared" si="1243"/>
        <v>0</v>
      </c>
      <c r="AY489" s="65" t="e">
        <f t="shared" si="1244"/>
        <v>#DIV/0!</v>
      </c>
      <c r="AZ489" s="66">
        <f t="shared" si="1245"/>
        <v>0</v>
      </c>
      <c r="BA489" s="67">
        <f>MAX(0, Table176252626[[#This Row],[Column6]])</f>
        <v>1</v>
      </c>
      <c r="BB489" s="68">
        <v>0</v>
      </c>
      <c r="BC489" s="84">
        <f t="shared" si="1210"/>
        <v>1</v>
      </c>
      <c r="BD489" s="83">
        <f t="shared" si="1195"/>
        <v>1</v>
      </c>
      <c r="BE489" s="85">
        <v>2</v>
      </c>
      <c r="BF489" s="86">
        <v>44357.429583333331</v>
      </c>
      <c r="BG489" s="72" t="e">
        <f t="shared" si="1265"/>
        <v>#REF!</v>
      </c>
      <c r="BH489" s="87" t="e">
        <f t="shared" si="1246"/>
        <v>#REF!</v>
      </c>
      <c r="BI489" s="80" t="e">
        <f t="shared" si="1197"/>
        <v>#REF!</v>
      </c>
      <c r="BJ489" s="238">
        <v>13446</v>
      </c>
    </row>
    <row r="490" spans="1:62" ht="13">
      <c r="A490" s="49"/>
      <c r="B490" s="50"/>
      <c r="C490" s="77">
        <v>488</v>
      </c>
      <c r="D490" s="144" t="s">
        <v>1526</v>
      </c>
      <c r="E490" s="144">
        <v>4</v>
      </c>
      <c r="F490" s="88" t="s">
        <v>1742</v>
      </c>
      <c r="G490" s="89" t="s">
        <v>1743</v>
      </c>
      <c r="H490" s="89" t="s">
        <v>295</v>
      </c>
      <c r="I490" s="80" t="s">
        <v>458</v>
      </c>
      <c r="J490" s="93">
        <f t="shared" si="1229"/>
        <v>1</v>
      </c>
      <c r="K490" s="88">
        <v>1</v>
      </c>
      <c r="L490" s="58"/>
      <c r="M490" s="58"/>
      <c r="N490" s="62">
        <f t="shared" si="1230"/>
        <v>1</v>
      </c>
      <c r="O490" s="60"/>
      <c r="P490" s="58"/>
      <c r="Q490" s="62">
        <f t="shared" si="1231"/>
        <v>1</v>
      </c>
      <c r="R490" s="60"/>
      <c r="S490" s="58"/>
      <c r="T490" s="94">
        <f t="shared" si="1232"/>
        <v>1</v>
      </c>
      <c r="U490" s="60"/>
      <c r="V490" s="58"/>
      <c r="W490" s="62">
        <f t="shared" si="1233"/>
        <v>1</v>
      </c>
      <c r="X490" s="60"/>
      <c r="Y490" s="58"/>
      <c r="Z490" s="94">
        <f t="shared" si="1234"/>
        <v>1</v>
      </c>
      <c r="AA490" s="60"/>
      <c r="AB490" s="58"/>
      <c r="AC490" s="62">
        <f t="shared" si="1235"/>
        <v>1</v>
      </c>
      <c r="AD490" s="57"/>
      <c r="AE490" s="58"/>
      <c r="AF490" s="165">
        <f t="shared" si="1236"/>
        <v>1</v>
      </c>
      <c r="AG490" s="60"/>
      <c r="AH490" s="58"/>
      <c r="AI490" s="62">
        <f t="shared" si="1237"/>
        <v>1</v>
      </c>
      <c r="AJ490" s="60"/>
      <c r="AK490" s="58"/>
      <c r="AL490" s="62">
        <f t="shared" si="1238"/>
        <v>1</v>
      </c>
      <c r="AM490" s="60"/>
      <c r="AN490" s="58"/>
      <c r="AO490" s="62">
        <f t="shared" si="1239"/>
        <v>1</v>
      </c>
      <c r="AP490" s="60"/>
      <c r="AQ490" s="58"/>
      <c r="AR490" s="62">
        <f t="shared" si="1240"/>
        <v>1</v>
      </c>
      <c r="AS490" s="60"/>
      <c r="AT490" s="58"/>
      <c r="AU490" s="62">
        <f t="shared" si="1241"/>
        <v>1</v>
      </c>
      <c r="AV490" s="96">
        <f>SUM(L490+O490+R490+U490+X490+AA490+AD490+AG490+AJ490+AM490+AP490+AS490)</f>
        <v>0</v>
      </c>
      <c r="AW490" s="83">
        <f t="shared" si="1155"/>
        <v>0</v>
      </c>
      <c r="AX490" s="98">
        <f t="shared" si="1243"/>
        <v>0</v>
      </c>
      <c r="AY490" s="99" t="e">
        <f t="shared" si="1244"/>
        <v>#DIV/0!</v>
      </c>
      <c r="AZ490" s="100">
        <f t="shared" si="1245"/>
        <v>0</v>
      </c>
      <c r="BA490" s="101">
        <v>1</v>
      </c>
      <c r="BB490" s="102">
        <v>0</v>
      </c>
      <c r="BC490" s="84">
        <f t="shared" si="1210"/>
        <v>1</v>
      </c>
      <c r="BD490" s="83">
        <f t="shared" si="1195"/>
        <v>1</v>
      </c>
      <c r="BE490" s="85">
        <v>2</v>
      </c>
      <c r="BF490" s="86">
        <v>45827</v>
      </c>
      <c r="BG490" s="72" t="e">
        <f t="shared" si="1265"/>
        <v>#REF!</v>
      </c>
      <c r="BH490" s="103" t="e">
        <f t="shared" si="1246"/>
        <v>#REF!</v>
      </c>
      <c r="BI490" s="80" t="e">
        <f t="shared" si="1197"/>
        <v>#REF!</v>
      </c>
      <c r="BJ490" s="238">
        <v>7335</v>
      </c>
    </row>
    <row r="491" spans="1:62" ht="13">
      <c r="A491" s="49"/>
      <c r="B491" s="50"/>
      <c r="C491" s="77">
        <v>489</v>
      </c>
      <c r="D491" s="144" t="s">
        <v>1526</v>
      </c>
      <c r="E491" s="144">
        <v>6</v>
      </c>
      <c r="F491" s="88" t="s">
        <v>1615</v>
      </c>
      <c r="G491" s="89" t="s">
        <v>1618</v>
      </c>
      <c r="H491" s="89" t="s">
        <v>294</v>
      </c>
      <c r="I491" s="80" t="s">
        <v>458</v>
      </c>
      <c r="J491" s="93">
        <f t="shared" si="1229"/>
        <v>1</v>
      </c>
      <c r="K491" s="88">
        <v>1</v>
      </c>
      <c r="L491" s="58"/>
      <c r="M491" s="58"/>
      <c r="N491" s="62">
        <f t="shared" si="1230"/>
        <v>1</v>
      </c>
      <c r="O491" s="60"/>
      <c r="P491" s="58"/>
      <c r="Q491" s="62">
        <f t="shared" si="1231"/>
        <v>1</v>
      </c>
      <c r="R491" s="60"/>
      <c r="S491" s="58"/>
      <c r="T491" s="94">
        <f t="shared" si="1232"/>
        <v>1</v>
      </c>
      <c r="U491" s="60"/>
      <c r="V491" s="58"/>
      <c r="W491" s="62">
        <f t="shared" si="1233"/>
        <v>1</v>
      </c>
      <c r="X491" s="60"/>
      <c r="Y491" s="58"/>
      <c r="Z491" s="94">
        <f t="shared" si="1234"/>
        <v>1</v>
      </c>
      <c r="AA491" s="60"/>
      <c r="AB491" s="58"/>
      <c r="AC491" s="62">
        <f t="shared" si="1235"/>
        <v>1</v>
      </c>
      <c r="AD491" s="57"/>
      <c r="AE491" s="58"/>
      <c r="AF491" s="165">
        <f t="shared" si="1236"/>
        <v>1</v>
      </c>
      <c r="AG491" s="60"/>
      <c r="AH491" s="58"/>
      <c r="AI491" s="62">
        <f t="shared" si="1237"/>
        <v>1</v>
      </c>
      <c r="AJ491" s="60"/>
      <c r="AK491" s="58"/>
      <c r="AL491" s="62">
        <f t="shared" si="1238"/>
        <v>1</v>
      </c>
      <c r="AM491" s="60"/>
      <c r="AN491" s="58"/>
      <c r="AO491" s="62">
        <f t="shared" si="1239"/>
        <v>1</v>
      </c>
      <c r="AP491" s="60"/>
      <c r="AQ491" s="58"/>
      <c r="AR491" s="62">
        <f t="shared" si="1240"/>
        <v>1</v>
      </c>
      <c r="AS491" s="60"/>
      <c r="AT491" s="58"/>
      <c r="AU491" s="62">
        <f t="shared" si="1241"/>
        <v>1</v>
      </c>
      <c r="AV491" s="96">
        <f t="shared" ref="AV491" si="1427">SUM(L491+O491+R491+U491+X491+AA491+AD491+AG491+AJ491+AM491+AP491+AS491)</f>
        <v>0</v>
      </c>
      <c r="AW491" s="83">
        <f t="shared" si="1155"/>
        <v>0</v>
      </c>
      <c r="AX491" s="98">
        <f t="shared" si="1243"/>
        <v>0</v>
      </c>
      <c r="AY491" s="99" t="e">
        <f t="shared" si="1244"/>
        <v>#DIV/0!</v>
      </c>
      <c r="AZ491" s="100">
        <f t="shared" si="1245"/>
        <v>0</v>
      </c>
      <c r="BA491" s="101">
        <v>1</v>
      </c>
      <c r="BB491" s="102">
        <v>0</v>
      </c>
      <c r="BC491" s="84">
        <f t="shared" si="1210"/>
        <v>1</v>
      </c>
      <c r="BD491" s="83">
        <f t="shared" si="1195"/>
        <v>1</v>
      </c>
      <c r="BE491" s="85">
        <v>2</v>
      </c>
      <c r="BF491" s="86">
        <v>45558.768078703702</v>
      </c>
      <c r="BG491" s="72" t="e">
        <f t="shared" si="1265"/>
        <v>#REF!</v>
      </c>
      <c r="BH491" s="103" t="e">
        <f t="shared" si="1246"/>
        <v>#REF!</v>
      </c>
      <c r="BI491" s="80" t="e">
        <f t="shared" si="1197"/>
        <v>#REF!</v>
      </c>
      <c r="BJ491" s="238">
        <v>4976</v>
      </c>
    </row>
    <row r="492" spans="1:62" ht="13">
      <c r="A492" s="49"/>
      <c r="B492" s="76"/>
      <c r="C492" s="51">
        <v>490</v>
      </c>
      <c r="D492" s="144" t="s">
        <v>1526</v>
      </c>
      <c r="E492" s="144">
        <v>7</v>
      </c>
      <c r="F492" s="88" t="s">
        <v>1616</v>
      </c>
      <c r="G492" s="89" t="s">
        <v>1619</v>
      </c>
      <c r="H492" s="89" t="s">
        <v>294</v>
      </c>
      <c r="I492" s="80" t="s">
        <v>458</v>
      </c>
      <c r="J492" s="93">
        <f t="shared" si="1229"/>
        <v>1</v>
      </c>
      <c r="K492" s="80">
        <v>1</v>
      </c>
      <c r="L492" s="58"/>
      <c r="M492" s="58"/>
      <c r="N492" s="62">
        <f t="shared" si="1230"/>
        <v>1</v>
      </c>
      <c r="O492" s="60"/>
      <c r="P492" s="58"/>
      <c r="Q492" s="62">
        <f t="shared" si="1231"/>
        <v>1</v>
      </c>
      <c r="R492" s="60"/>
      <c r="S492" s="58"/>
      <c r="T492" s="94">
        <f t="shared" si="1232"/>
        <v>1</v>
      </c>
      <c r="U492" s="60"/>
      <c r="V492" s="58"/>
      <c r="W492" s="62">
        <f t="shared" si="1233"/>
        <v>1</v>
      </c>
      <c r="X492" s="60"/>
      <c r="Y492" s="58"/>
      <c r="Z492" s="94">
        <f t="shared" si="1234"/>
        <v>1</v>
      </c>
      <c r="AA492" s="60"/>
      <c r="AB492" s="58"/>
      <c r="AC492" s="62">
        <f t="shared" si="1235"/>
        <v>1</v>
      </c>
      <c r="AD492" s="57"/>
      <c r="AE492" s="58"/>
      <c r="AF492" s="165">
        <f t="shared" si="1236"/>
        <v>1</v>
      </c>
      <c r="AG492" s="60"/>
      <c r="AH492" s="58"/>
      <c r="AI492" s="62">
        <f t="shared" si="1237"/>
        <v>1</v>
      </c>
      <c r="AJ492" s="60"/>
      <c r="AK492" s="58"/>
      <c r="AL492" s="62">
        <f t="shared" si="1238"/>
        <v>1</v>
      </c>
      <c r="AM492" s="60"/>
      <c r="AN492" s="58"/>
      <c r="AO492" s="62">
        <f t="shared" si="1239"/>
        <v>1</v>
      </c>
      <c r="AP492" s="60"/>
      <c r="AQ492" s="58"/>
      <c r="AR492" s="62">
        <f t="shared" si="1240"/>
        <v>1</v>
      </c>
      <c r="AS492" s="60"/>
      <c r="AT492" s="58"/>
      <c r="AU492" s="62">
        <f t="shared" si="1241"/>
        <v>1</v>
      </c>
      <c r="AV492" s="96">
        <f>SUM(L492+O492+R492+U492+X492+AA492+AD492+AG492+AJ492+AM492+AP492+AS492)</f>
        <v>0</v>
      </c>
      <c r="AW492" s="83">
        <f t="shared" si="1155"/>
        <v>0</v>
      </c>
      <c r="AX492" s="98">
        <f t="shared" si="1243"/>
        <v>0</v>
      </c>
      <c r="AY492" s="99" t="e">
        <f t="shared" si="1244"/>
        <v>#DIV/0!</v>
      </c>
      <c r="AZ492" s="100">
        <f t="shared" si="1245"/>
        <v>0</v>
      </c>
      <c r="BA492" s="101">
        <v>1</v>
      </c>
      <c r="BB492" s="102">
        <v>0</v>
      </c>
      <c r="BC492" s="84">
        <f t="shared" si="1210"/>
        <v>1</v>
      </c>
      <c r="BD492" s="83">
        <f t="shared" si="1195"/>
        <v>1</v>
      </c>
      <c r="BE492" s="85">
        <v>2</v>
      </c>
      <c r="BF492" s="86">
        <v>45558.768078703702</v>
      </c>
      <c r="BG492" s="72" t="e">
        <f t="shared" si="1265"/>
        <v>#REF!</v>
      </c>
      <c r="BH492" s="103" t="e">
        <f t="shared" si="1246"/>
        <v>#REF!</v>
      </c>
      <c r="BI492" s="80" t="e">
        <f t="shared" si="1197"/>
        <v>#REF!</v>
      </c>
      <c r="BJ492" s="238">
        <v>5216</v>
      </c>
    </row>
    <row r="493" spans="1:62" ht="13">
      <c r="A493" s="49"/>
      <c r="B493" s="50"/>
      <c r="C493" s="51">
        <v>491</v>
      </c>
      <c r="D493" s="144" t="s">
        <v>1526</v>
      </c>
      <c r="E493" s="144">
        <v>8</v>
      </c>
      <c r="F493" s="88" t="s">
        <v>1617</v>
      </c>
      <c r="G493" s="89" t="s">
        <v>1620</v>
      </c>
      <c r="H493" s="89" t="s">
        <v>294</v>
      </c>
      <c r="I493" s="80" t="s">
        <v>458</v>
      </c>
      <c r="J493" s="93">
        <f t="shared" si="1229"/>
        <v>1</v>
      </c>
      <c r="K493" s="88">
        <v>1</v>
      </c>
      <c r="L493" s="58"/>
      <c r="M493" s="58"/>
      <c r="N493" s="62">
        <f t="shared" si="1230"/>
        <v>1</v>
      </c>
      <c r="O493" s="60"/>
      <c r="P493" s="58"/>
      <c r="Q493" s="62">
        <f t="shared" si="1231"/>
        <v>1</v>
      </c>
      <c r="R493" s="60"/>
      <c r="S493" s="58"/>
      <c r="T493" s="94">
        <f t="shared" si="1232"/>
        <v>1</v>
      </c>
      <c r="U493" s="60"/>
      <c r="V493" s="58"/>
      <c r="W493" s="62">
        <f t="shared" si="1233"/>
        <v>1</v>
      </c>
      <c r="X493" s="60"/>
      <c r="Y493" s="58"/>
      <c r="Z493" s="94">
        <f t="shared" si="1234"/>
        <v>1</v>
      </c>
      <c r="AA493" s="60"/>
      <c r="AB493" s="58"/>
      <c r="AC493" s="62">
        <f t="shared" si="1235"/>
        <v>1</v>
      </c>
      <c r="AD493" s="57"/>
      <c r="AE493" s="58"/>
      <c r="AF493" s="165">
        <f t="shared" si="1236"/>
        <v>1</v>
      </c>
      <c r="AG493" s="60"/>
      <c r="AH493" s="58"/>
      <c r="AI493" s="62">
        <f t="shared" si="1237"/>
        <v>1</v>
      </c>
      <c r="AJ493" s="60"/>
      <c r="AK493" s="58"/>
      <c r="AL493" s="62">
        <f t="shared" si="1238"/>
        <v>1</v>
      </c>
      <c r="AM493" s="60"/>
      <c r="AN493" s="58"/>
      <c r="AO493" s="62">
        <f t="shared" si="1239"/>
        <v>1</v>
      </c>
      <c r="AP493" s="60"/>
      <c r="AQ493" s="58"/>
      <c r="AR493" s="62">
        <f t="shared" si="1240"/>
        <v>1</v>
      </c>
      <c r="AS493" s="60"/>
      <c r="AT493" s="58"/>
      <c r="AU493" s="62">
        <f t="shared" si="1241"/>
        <v>1</v>
      </c>
      <c r="AV493" s="96">
        <f>SUM(L493+O493+R493+U493+X493+AA493+AD493+AG493+AJ493+AM493+AP493+AS493)</f>
        <v>0</v>
      </c>
      <c r="AW493" s="83">
        <f t="shared" si="1155"/>
        <v>0</v>
      </c>
      <c r="AX493" s="98">
        <f t="shared" si="1243"/>
        <v>0</v>
      </c>
      <c r="AY493" s="99" t="e">
        <f t="shared" si="1244"/>
        <v>#DIV/0!</v>
      </c>
      <c r="AZ493" s="100">
        <f t="shared" si="1245"/>
        <v>0</v>
      </c>
      <c r="BA493" s="101">
        <v>1</v>
      </c>
      <c r="BB493" s="102">
        <v>0</v>
      </c>
      <c r="BC493" s="84">
        <f t="shared" si="1210"/>
        <v>1</v>
      </c>
      <c r="BD493" s="83">
        <f t="shared" si="1195"/>
        <v>1</v>
      </c>
      <c r="BE493" s="85">
        <v>2</v>
      </c>
      <c r="BF493" s="86">
        <v>45558.768078703702</v>
      </c>
      <c r="BG493" s="72" t="e">
        <f t="shared" si="1265"/>
        <v>#REF!</v>
      </c>
      <c r="BH493" s="103" t="e">
        <f t="shared" si="1246"/>
        <v>#REF!</v>
      </c>
      <c r="BI493" s="80" t="e">
        <f t="shared" si="1197"/>
        <v>#REF!</v>
      </c>
      <c r="BJ493" s="238">
        <v>2998</v>
      </c>
    </row>
    <row r="494" spans="1:62" ht="13">
      <c r="A494" s="75"/>
      <c r="B494" s="76"/>
      <c r="C494" s="51">
        <v>492</v>
      </c>
      <c r="D494" s="144" t="s">
        <v>1526</v>
      </c>
      <c r="E494" s="144">
        <v>9</v>
      </c>
      <c r="F494" s="80" t="s">
        <v>899</v>
      </c>
      <c r="G494" s="81" t="s">
        <v>900</v>
      </c>
      <c r="H494" s="81" t="s">
        <v>301</v>
      </c>
      <c r="I494" s="80" t="s">
        <v>2</v>
      </c>
      <c r="J494" s="82">
        <f t="shared" ref="J494:J502" si="1428">AU494</f>
        <v>1</v>
      </c>
      <c r="K494" s="80">
        <v>1</v>
      </c>
      <c r="L494" s="57"/>
      <c r="M494" s="58"/>
      <c r="N494" s="59">
        <f t="shared" ref="N494:N502" si="1429">SUM(K494+L494-M494)</f>
        <v>1</v>
      </c>
      <c r="O494" s="60"/>
      <c r="P494" s="58"/>
      <c r="Q494" s="59">
        <f t="shared" ref="Q494:Q502" si="1430">SUM(N494+O494-P494)</f>
        <v>1</v>
      </c>
      <c r="R494" s="60"/>
      <c r="S494" s="58"/>
      <c r="T494" s="61">
        <f t="shared" ref="T494:T502" si="1431">SUM(Q494+R494-S494)</f>
        <v>1</v>
      </c>
      <c r="U494" s="60"/>
      <c r="V494" s="58"/>
      <c r="W494" s="59">
        <f t="shared" ref="W494:W502" si="1432">SUM(T494+U494-V494)</f>
        <v>1</v>
      </c>
      <c r="X494" s="60"/>
      <c r="Y494" s="58"/>
      <c r="Z494" s="61">
        <f t="shared" ref="Z494:Z502" si="1433">SUM(W494+X494-Y494)</f>
        <v>1</v>
      </c>
      <c r="AA494" s="60"/>
      <c r="AB494" s="58"/>
      <c r="AC494" s="59">
        <f t="shared" ref="AC494:AC502" si="1434">SUM(Z494+AA494-AB494)</f>
        <v>1</v>
      </c>
      <c r="AD494" s="57"/>
      <c r="AE494" s="58"/>
      <c r="AF494" s="243">
        <f t="shared" ref="AF494:AF502" si="1435">SUM(AC494+AD494-AE494)</f>
        <v>1</v>
      </c>
      <c r="AG494" s="60"/>
      <c r="AH494" s="58"/>
      <c r="AI494" s="62">
        <f t="shared" ref="AI494:AI502" si="1436">SUM(AF494+AG494-AH494)</f>
        <v>1</v>
      </c>
      <c r="AJ494" s="60"/>
      <c r="AK494" s="58"/>
      <c r="AL494" s="62">
        <f t="shared" ref="AL494:AL502" si="1437">SUM(AI494+AJ494-AK494)</f>
        <v>1</v>
      </c>
      <c r="AM494" s="60"/>
      <c r="AN494" s="58"/>
      <c r="AO494" s="62">
        <f t="shared" ref="AO494" si="1438">SUM(AL494+AM494-AN494)</f>
        <v>1</v>
      </c>
      <c r="AP494" s="60"/>
      <c r="AQ494" s="58"/>
      <c r="AR494" s="62">
        <f t="shared" ref="AR494" si="1439">SUM(AO494+AP494-AQ494)</f>
        <v>1</v>
      </c>
      <c r="AS494" s="60"/>
      <c r="AT494" s="58"/>
      <c r="AU494" s="62">
        <f t="shared" ref="AU494:AU502" si="1440">SUM(AR494+AS494-AT494)</f>
        <v>1</v>
      </c>
      <c r="AV494" s="83">
        <f t="shared" ref="AV494" si="1441">SUM(L494+O494+R494+U494+X494+AA494+AD494+AG494+AJ494+AM494+AP494+AS494)</f>
        <v>0</v>
      </c>
      <c r="AW494" s="83">
        <f t="shared" si="1155"/>
        <v>0</v>
      </c>
      <c r="AX494" s="64">
        <f t="shared" ref="AX494:AX502" si="1442">SUM(M494,P494,S494,V494,Y494,AB494,AE494,AH494,AK494,AN494,AQ494,AT494)</f>
        <v>0</v>
      </c>
      <c r="AY494" s="65" t="e">
        <f t="shared" ref="AY494:AY502" si="1443">AVERAGE(M494,P494,S494,V494,Y494,AB494,AE494,AH494,AK494,AN494,AQ494,AT494)</f>
        <v>#DIV/0!</v>
      </c>
      <c r="AZ494" s="66">
        <f t="shared" ref="AZ494:AZ502" si="1444">COUNT(M494,P494,S494,V494,Y494,AB494,AE494,AH494,AK494,AN494,AQ494,AT494)</f>
        <v>0</v>
      </c>
      <c r="BA494" s="67">
        <f>MAX(0, Table176252626[[#This Row],[Column6]])</f>
        <v>1</v>
      </c>
      <c r="BB494" s="68">
        <v>0</v>
      </c>
      <c r="BC494" s="84">
        <f t="shared" si="1210"/>
        <v>1</v>
      </c>
      <c r="BD494" s="83">
        <f t="shared" si="1195"/>
        <v>1</v>
      </c>
      <c r="BE494" s="85">
        <v>2</v>
      </c>
      <c r="BF494" s="86">
        <v>45329.411076388889</v>
      </c>
      <c r="BG494" s="72" t="e">
        <f t="shared" si="1265"/>
        <v>#REF!</v>
      </c>
      <c r="BH494" s="87" t="e">
        <f t="shared" ref="BH494:BH502" si="1445">BG494-BF494</f>
        <v>#REF!</v>
      </c>
      <c r="BI494" s="80" t="e">
        <f t="shared" si="1197"/>
        <v>#REF!</v>
      </c>
      <c r="BJ494" s="238">
        <v>20000</v>
      </c>
    </row>
    <row r="495" spans="1:62" ht="13">
      <c r="A495" s="49"/>
      <c r="B495" s="76"/>
      <c r="C495" s="51">
        <v>493</v>
      </c>
      <c r="D495" s="144" t="s">
        <v>1526</v>
      </c>
      <c r="E495" s="144">
        <v>10</v>
      </c>
      <c r="F495" s="80" t="s">
        <v>742</v>
      </c>
      <c r="G495" s="81" t="s">
        <v>857</v>
      </c>
      <c r="H495" s="81" t="s">
        <v>290</v>
      </c>
      <c r="I495" s="80" t="s">
        <v>458</v>
      </c>
      <c r="J495" s="82">
        <f>AU495</f>
        <v>2</v>
      </c>
      <c r="K495" s="80">
        <v>2</v>
      </c>
      <c r="L495" s="57"/>
      <c r="M495" s="58"/>
      <c r="N495" s="59">
        <f>SUM(K495+L495-M495)</f>
        <v>2</v>
      </c>
      <c r="O495" s="60"/>
      <c r="P495" s="58"/>
      <c r="Q495" s="59">
        <f>SUM(N495+O495-P495)</f>
        <v>2</v>
      </c>
      <c r="R495" s="60"/>
      <c r="S495" s="58"/>
      <c r="T495" s="61">
        <f>SUM(Q495+R495-S495)</f>
        <v>2</v>
      </c>
      <c r="U495" s="60"/>
      <c r="V495" s="58"/>
      <c r="W495" s="59">
        <f>SUM(T495+U495-V495)</f>
        <v>2</v>
      </c>
      <c r="X495" s="60"/>
      <c r="Y495" s="58"/>
      <c r="Z495" s="61">
        <f>SUM(W495+X495-Y495)</f>
        <v>2</v>
      </c>
      <c r="AA495" s="60"/>
      <c r="AB495" s="58"/>
      <c r="AC495" s="59">
        <f>SUM(Z495+AA495-AB495)</f>
        <v>2</v>
      </c>
      <c r="AD495" s="57"/>
      <c r="AE495" s="58"/>
      <c r="AF495" s="243">
        <f>SUM(AC495+AD495-AE495)</f>
        <v>2</v>
      </c>
      <c r="AG495" s="60"/>
      <c r="AH495" s="58"/>
      <c r="AI495" s="62">
        <f>SUM(AF495+AG495-AH495)</f>
        <v>2</v>
      </c>
      <c r="AJ495" s="60"/>
      <c r="AK495" s="58"/>
      <c r="AL495" s="62">
        <f>SUM(AI495+AJ495-AK495)</f>
        <v>2</v>
      </c>
      <c r="AM495" s="60"/>
      <c r="AN495" s="58"/>
      <c r="AO495" s="62">
        <f>SUM(AL495+AM495-AN495)</f>
        <v>2</v>
      </c>
      <c r="AP495" s="60"/>
      <c r="AQ495" s="58"/>
      <c r="AR495" s="62">
        <f>SUM(AO495+AP495-AQ495)</f>
        <v>2</v>
      </c>
      <c r="AS495" s="60"/>
      <c r="AT495" s="58"/>
      <c r="AU495" s="62">
        <f>SUM(AR495+AS495-AT495)</f>
        <v>2</v>
      </c>
      <c r="AV495" s="83">
        <f t="shared" ref="AV495:AV501" si="1446">SUM(L495+O495+R495+U495+X495+AA495+AD495+AG495+AJ495+AM495+AP495+AS495)</f>
        <v>0</v>
      </c>
      <c r="AW495" s="83">
        <f t="shared" si="1155"/>
        <v>0</v>
      </c>
      <c r="AX495" s="64">
        <f>SUM(M495,P495,S495,V495,Y495,AB495,AE495,AH495,AK495,AN495,AQ495,AT495)</f>
        <v>0</v>
      </c>
      <c r="AY495" s="65" t="e">
        <f>AVERAGE(M495,P495,S495,V495,Y495,AB495,AE495,AH495,AK495,AN495,AQ495,AT495)</f>
        <v>#DIV/0!</v>
      </c>
      <c r="AZ495" s="66">
        <f>COUNT(M495,P495,S495,V495,Y495,AB495,AE495,AH495,AK495,AN495,AQ495,AT495)</f>
        <v>0</v>
      </c>
      <c r="BA495" s="67">
        <f>MAX(0, Table176252626[[#This Row],[Column6]])</f>
        <v>2</v>
      </c>
      <c r="BB495" s="68">
        <v>1</v>
      </c>
      <c r="BC495" s="84">
        <f t="shared" si="1210"/>
        <v>2</v>
      </c>
      <c r="BD495" s="83">
        <f t="shared" si="1195"/>
        <v>1</v>
      </c>
      <c r="BE495" s="85">
        <v>2</v>
      </c>
      <c r="BF495" s="86">
        <v>44753.528668981482</v>
      </c>
      <c r="BG495" s="72" t="e">
        <f t="shared" si="1265"/>
        <v>#REF!</v>
      </c>
      <c r="BH495" s="107" t="e">
        <f>BG495-BF495</f>
        <v>#REF!</v>
      </c>
      <c r="BI495" s="80" t="e">
        <f t="shared" si="1197"/>
        <v>#REF!</v>
      </c>
      <c r="BJ495" s="238">
        <v>1450</v>
      </c>
    </row>
    <row r="496" spans="1:62" ht="13">
      <c r="A496" s="90"/>
      <c r="B496" s="91"/>
      <c r="C496" s="77">
        <v>494</v>
      </c>
      <c r="D496" s="144" t="s">
        <v>1526</v>
      </c>
      <c r="E496" s="144">
        <v>11</v>
      </c>
      <c r="F496" s="88" t="s">
        <v>1948</v>
      </c>
      <c r="G496" s="89" t="s">
        <v>1949</v>
      </c>
      <c r="H496" s="81" t="s">
        <v>1706</v>
      </c>
      <c r="I496" s="80" t="s">
        <v>458</v>
      </c>
      <c r="J496" s="93">
        <f>AU496</f>
        <v>2</v>
      </c>
      <c r="K496" s="88">
        <v>0</v>
      </c>
      <c r="L496" s="58"/>
      <c r="M496" s="58"/>
      <c r="N496" s="62">
        <f>SUM(K496+L496-M496)</f>
        <v>0</v>
      </c>
      <c r="O496" s="60">
        <v>2</v>
      </c>
      <c r="P496" s="58"/>
      <c r="Q496" s="62">
        <f>SUM(N496+O496-P496)</f>
        <v>2</v>
      </c>
      <c r="R496" s="60"/>
      <c r="S496" s="58"/>
      <c r="T496" s="94">
        <f>SUM(Q496+R496-S496)</f>
        <v>2</v>
      </c>
      <c r="U496" s="60"/>
      <c r="V496" s="58"/>
      <c r="W496" s="62">
        <f>SUM(T496+U496-V496)</f>
        <v>2</v>
      </c>
      <c r="X496" s="60"/>
      <c r="Y496" s="58"/>
      <c r="Z496" s="94">
        <f>SUM(W496+X496-Y496)</f>
        <v>2</v>
      </c>
      <c r="AA496" s="60"/>
      <c r="AB496" s="58"/>
      <c r="AC496" s="62">
        <f>SUM(Z496+AA496-AB496)</f>
        <v>2</v>
      </c>
      <c r="AD496" s="57"/>
      <c r="AE496" s="58"/>
      <c r="AF496" s="165">
        <f>SUM(AC496+AD496-AE496)</f>
        <v>2</v>
      </c>
      <c r="AG496" s="60"/>
      <c r="AH496" s="58"/>
      <c r="AI496" s="62">
        <f>SUM(AF496+AG496-AH496)</f>
        <v>2</v>
      </c>
      <c r="AJ496" s="60"/>
      <c r="AK496" s="58"/>
      <c r="AL496" s="62">
        <f>SUM(AI496+AJ496-AK496)</f>
        <v>2</v>
      </c>
      <c r="AM496" s="60"/>
      <c r="AN496" s="58"/>
      <c r="AO496" s="62">
        <f>SUM(AL496+AM496-AN496)</f>
        <v>2</v>
      </c>
      <c r="AP496" s="60"/>
      <c r="AQ496" s="58"/>
      <c r="AR496" s="62">
        <f>SUM(AO496+AP496-AQ496)</f>
        <v>2</v>
      </c>
      <c r="AS496" s="60"/>
      <c r="AT496" s="58"/>
      <c r="AU496" s="62">
        <f>SUM(AR496+AS496-AT496)</f>
        <v>2</v>
      </c>
      <c r="AV496" s="96">
        <f>SUM(L496+O496+R496+U496+X496+AA496+AD496+AG496+AJ496+AM496+AP496+AS496)</f>
        <v>2</v>
      </c>
      <c r="AW496" s="83">
        <f>SUM(M496+P496+S496+V496+Y496+AB496+AE496+AH496+AK496+AN496+AQ496+AT496)</f>
        <v>0</v>
      </c>
      <c r="AX496" s="98">
        <f>SUM(M496,P496,S496,V496,Y496,AB496,AE496,AH496,AK496,AN496,AQ496,AT496)</f>
        <v>0</v>
      </c>
      <c r="AY496" s="99" t="e">
        <f>AVERAGE(M496,P496,S496,V496,Y496,AB496,AE496,AH496,AK496,AN496,AQ496,AT496)</f>
        <v>#DIV/0!</v>
      </c>
      <c r="AZ496" s="100">
        <f>COUNT(M496,P496,S496,V496,Y496,AB496,AE496,AH496,AK496,AN496,AQ496,AT496)</f>
        <v>0</v>
      </c>
      <c r="BA496" s="101">
        <v>2</v>
      </c>
      <c r="BB496" s="102">
        <v>1</v>
      </c>
      <c r="BC496" s="84">
        <f>J496</f>
        <v>2</v>
      </c>
      <c r="BD496" s="83">
        <f>SUM(BC496-BB496)</f>
        <v>1</v>
      </c>
      <c r="BE496" s="85">
        <v>2</v>
      </c>
      <c r="BF496" s="86">
        <v>46063</v>
      </c>
      <c r="BG496" s="72" t="e">
        <f t="shared" si="1265"/>
        <v>#REF!</v>
      </c>
      <c r="BH496" s="109" t="e">
        <f t="shared" ref="BH496" si="1447">BG496-BF496</f>
        <v>#REF!</v>
      </c>
      <c r="BI496" s="80" t="e">
        <f>IF(AND(J496&gt;0,BH496&gt;365),"Dead Stock","")</f>
        <v>#REF!</v>
      </c>
      <c r="BJ496" s="238">
        <v>16200</v>
      </c>
    </row>
    <row r="497" spans="1:293" s="48" customFormat="1" ht="13">
      <c r="A497" s="75"/>
      <c r="B497" s="76"/>
      <c r="C497" s="77">
        <v>495</v>
      </c>
      <c r="D497" s="144" t="s">
        <v>1526</v>
      </c>
      <c r="E497" s="144">
        <v>12</v>
      </c>
      <c r="F497" s="88" t="s">
        <v>260</v>
      </c>
      <c r="G497" s="89" t="s">
        <v>261</v>
      </c>
      <c r="H497" s="81" t="s">
        <v>297</v>
      </c>
      <c r="I497" s="80" t="s">
        <v>458</v>
      </c>
      <c r="J497" s="82">
        <f>AU497</f>
        <v>2</v>
      </c>
      <c r="K497" s="80">
        <v>2</v>
      </c>
      <c r="L497" s="57"/>
      <c r="M497" s="58"/>
      <c r="N497" s="59">
        <f>SUM(K497+L497-M497)</f>
        <v>2</v>
      </c>
      <c r="O497" s="60"/>
      <c r="P497" s="58"/>
      <c r="Q497" s="59">
        <f>SUM(N497+O497-P497)</f>
        <v>2</v>
      </c>
      <c r="R497" s="60"/>
      <c r="S497" s="58"/>
      <c r="T497" s="61">
        <f>SUM(Q497+R497-S497)</f>
        <v>2</v>
      </c>
      <c r="U497" s="60"/>
      <c r="V497" s="58"/>
      <c r="W497" s="59">
        <f>SUM(T497+U497-V497)</f>
        <v>2</v>
      </c>
      <c r="X497" s="60"/>
      <c r="Y497" s="58"/>
      <c r="Z497" s="61">
        <f>SUM(W497+X497-Y497)</f>
        <v>2</v>
      </c>
      <c r="AA497" s="60"/>
      <c r="AB497" s="58"/>
      <c r="AC497" s="59">
        <f>SUM(Z497+AA497-AB497)</f>
        <v>2</v>
      </c>
      <c r="AD497" s="57"/>
      <c r="AE497" s="58"/>
      <c r="AF497" s="243">
        <f>SUM(AC497+AD497-AE497)</f>
        <v>2</v>
      </c>
      <c r="AG497" s="60"/>
      <c r="AH497" s="58"/>
      <c r="AI497" s="62">
        <f>SUM(AF497+AG497-AH497)</f>
        <v>2</v>
      </c>
      <c r="AJ497" s="60"/>
      <c r="AK497" s="58"/>
      <c r="AL497" s="62">
        <f>SUM(AI497+AJ497-AK497)</f>
        <v>2</v>
      </c>
      <c r="AM497" s="60"/>
      <c r="AN497" s="58"/>
      <c r="AO497" s="62">
        <f>SUM(AL497+AM497-AN497)</f>
        <v>2</v>
      </c>
      <c r="AP497" s="60"/>
      <c r="AQ497" s="58"/>
      <c r="AR497" s="62">
        <f>SUM(AO497+AP497-AQ497)</f>
        <v>2</v>
      </c>
      <c r="AS497" s="60"/>
      <c r="AT497" s="58"/>
      <c r="AU497" s="62">
        <f>SUM(AR497+AS497-AT497)</f>
        <v>2</v>
      </c>
      <c r="AV497" s="83">
        <f t="shared" si="1446"/>
        <v>0</v>
      </c>
      <c r="AW497" s="83">
        <f t="shared" si="1155"/>
        <v>0</v>
      </c>
      <c r="AX497" s="64">
        <f>SUM(M497,P497,S497,V497,Y497,AB497,AE497,AH497,AK497,AN497,AQ497,AT497)</f>
        <v>0</v>
      </c>
      <c r="AY497" s="65" t="e">
        <f>AVERAGE(M497,P497,S497,V497,Y497,AB497,AE497,AH497,AK497,AN497,AQ497,AT497)</f>
        <v>#DIV/0!</v>
      </c>
      <c r="AZ497" s="66">
        <f>COUNT(M497,P497,S497,V497,Y497,AB497,AE497,AH497,AK497,AN497,AQ497,AT497)</f>
        <v>0</v>
      </c>
      <c r="BA497" s="67">
        <f>MAX(0, Table176252626[[#This Row],[Column6]])</f>
        <v>2</v>
      </c>
      <c r="BB497" s="68">
        <v>1</v>
      </c>
      <c r="BC497" s="84">
        <f t="shared" si="1210"/>
        <v>2</v>
      </c>
      <c r="BD497" s="83">
        <f t="shared" si="1195"/>
        <v>1</v>
      </c>
      <c r="BE497" s="85">
        <v>2</v>
      </c>
      <c r="BF497" s="86">
        <v>42955.373310185183</v>
      </c>
      <c r="BG497" s="72" t="e">
        <f t="shared" si="1265"/>
        <v>#REF!</v>
      </c>
      <c r="BH497" s="87" t="e">
        <f>BG497-BF497</f>
        <v>#REF!</v>
      </c>
      <c r="BI497" s="80" t="e">
        <f t="shared" si="1197"/>
        <v>#REF!</v>
      </c>
      <c r="BJ497" s="238">
        <v>3905</v>
      </c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  <c r="FS497" s="30"/>
      <c r="FT497" s="30"/>
      <c r="FU497" s="30"/>
      <c r="FV497" s="30"/>
      <c r="FW497" s="30"/>
      <c r="FX497" s="30"/>
      <c r="FY497" s="30"/>
      <c r="FZ497" s="30"/>
      <c r="GA497" s="30"/>
      <c r="GB497" s="30"/>
      <c r="GC497" s="30"/>
      <c r="GD497" s="30"/>
      <c r="GE497" s="30"/>
      <c r="GF497" s="30"/>
      <c r="GG497" s="30"/>
      <c r="GH497" s="30"/>
      <c r="GI497" s="30"/>
      <c r="GJ497" s="30"/>
      <c r="GK497" s="30"/>
      <c r="GL497" s="30"/>
      <c r="GM497" s="30"/>
      <c r="GN497" s="30"/>
      <c r="GO497" s="30"/>
      <c r="GP497" s="30"/>
      <c r="GQ497" s="30"/>
      <c r="GR497" s="30"/>
      <c r="GS497" s="30"/>
      <c r="GT497" s="30"/>
      <c r="GU497" s="30"/>
      <c r="GV497" s="30"/>
      <c r="GW497" s="30"/>
      <c r="GX497" s="30"/>
      <c r="GY497" s="30"/>
      <c r="GZ497" s="30"/>
      <c r="HA497" s="30"/>
      <c r="HB497" s="30"/>
      <c r="HC497" s="30"/>
      <c r="HD497" s="30"/>
      <c r="HE497" s="30"/>
      <c r="HF497" s="30"/>
      <c r="HG497" s="30"/>
      <c r="HH497" s="30"/>
      <c r="HI497" s="30"/>
      <c r="HJ497" s="30"/>
      <c r="HK497" s="30"/>
      <c r="HL497" s="30"/>
      <c r="HM497" s="30"/>
      <c r="HN497" s="30"/>
      <c r="HO497" s="30"/>
      <c r="HP497" s="30"/>
      <c r="HQ497" s="30"/>
      <c r="HR497" s="30"/>
      <c r="HS497" s="30"/>
      <c r="HT497" s="30"/>
      <c r="HU497" s="30"/>
      <c r="HV497" s="30"/>
      <c r="HW497" s="30"/>
      <c r="HX497" s="30"/>
      <c r="HY497" s="30"/>
      <c r="HZ497" s="30"/>
      <c r="IA497" s="30"/>
      <c r="IB497" s="30"/>
      <c r="IC497" s="30"/>
      <c r="ID497" s="30"/>
      <c r="IE497" s="30"/>
      <c r="IF497" s="30"/>
      <c r="IG497" s="30"/>
      <c r="IH497" s="30"/>
      <c r="II497" s="30"/>
      <c r="IJ497" s="30"/>
      <c r="IK497" s="30"/>
      <c r="IL497" s="30"/>
      <c r="IM497" s="30"/>
      <c r="IN497" s="30"/>
      <c r="IO497" s="30"/>
      <c r="IP497" s="30"/>
      <c r="IQ497" s="30"/>
      <c r="IR497" s="30"/>
      <c r="IS497" s="30"/>
      <c r="IT497" s="30"/>
      <c r="IU497" s="30"/>
      <c r="IV497" s="30"/>
      <c r="IW497" s="30"/>
      <c r="IX497" s="30"/>
      <c r="IY497" s="30"/>
      <c r="IZ497" s="30"/>
      <c r="JA497" s="30"/>
      <c r="JB497" s="30"/>
      <c r="JC497" s="30"/>
      <c r="JD497" s="30"/>
      <c r="JE497" s="30"/>
      <c r="JF497" s="30"/>
      <c r="JG497" s="30"/>
      <c r="JH497" s="30"/>
      <c r="JI497" s="30"/>
      <c r="JJ497" s="30"/>
      <c r="JK497" s="30"/>
      <c r="JL497" s="30"/>
      <c r="JM497" s="30"/>
      <c r="JN497" s="30"/>
      <c r="JO497" s="30"/>
      <c r="JP497" s="30"/>
      <c r="JQ497" s="30"/>
      <c r="JR497" s="30"/>
      <c r="JS497" s="30"/>
      <c r="JT497" s="30"/>
      <c r="JU497" s="30"/>
      <c r="JV497" s="30"/>
      <c r="JW497" s="30"/>
      <c r="JX497" s="30"/>
      <c r="JY497" s="30"/>
      <c r="JZ497" s="30"/>
      <c r="KA497" s="30"/>
      <c r="KB497" s="30"/>
      <c r="KC497" s="30"/>
      <c r="KD497" s="30"/>
      <c r="KE497" s="30"/>
      <c r="KF497" s="30"/>
      <c r="KG497" s="30"/>
    </row>
    <row r="498" spans="1:293" ht="13">
      <c r="A498" s="75"/>
      <c r="B498" s="76"/>
      <c r="C498" s="51">
        <v>496</v>
      </c>
      <c r="D498" s="53" t="s">
        <v>2070</v>
      </c>
      <c r="E498" s="53">
        <v>1</v>
      </c>
      <c r="F498" s="80" t="s">
        <v>1704</v>
      </c>
      <c r="G498" s="81" t="s">
        <v>1705</v>
      </c>
      <c r="H498" s="81" t="s">
        <v>1706</v>
      </c>
      <c r="I498" s="80" t="s">
        <v>458</v>
      </c>
      <c r="J498" s="82">
        <f t="shared" ref="J498" si="1448">AU498</f>
        <v>1</v>
      </c>
      <c r="K498" s="88">
        <v>0</v>
      </c>
      <c r="L498" s="57"/>
      <c r="M498" s="58"/>
      <c r="N498" s="59">
        <f t="shared" ref="N498" si="1449">SUM(K498+L498-M498)</f>
        <v>0</v>
      </c>
      <c r="O498" s="60">
        <v>1</v>
      </c>
      <c r="P498" s="58"/>
      <c r="Q498" s="59">
        <f t="shared" ref="Q498" si="1450">SUM(N498+O498-P498)</f>
        <v>1</v>
      </c>
      <c r="R498" s="60"/>
      <c r="S498" s="58"/>
      <c r="T498" s="61">
        <f t="shared" ref="T498" si="1451">SUM(Q498+R498-S498)</f>
        <v>1</v>
      </c>
      <c r="U498" s="60"/>
      <c r="V498" s="58"/>
      <c r="W498" s="59">
        <f t="shared" ref="W498" si="1452">SUM(T498+U498-V498)</f>
        <v>1</v>
      </c>
      <c r="X498" s="60"/>
      <c r="Y498" s="58"/>
      <c r="Z498" s="61">
        <f t="shared" ref="Z498" si="1453">SUM(W498+X498-Y498)</f>
        <v>1</v>
      </c>
      <c r="AA498" s="60"/>
      <c r="AB498" s="58"/>
      <c r="AC498" s="59">
        <f t="shared" ref="AC498" si="1454">SUM(Z498+AA498-AB498)</f>
        <v>1</v>
      </c>
      <c r="AD498" s="57"/>
      <c r="AE498" s="58"/>
      <c r="AF498" s="243">
        <f t="shared" ref="AF498" si="1455">SUM(AC498+AD498-AE498)</f>
        <v>1</v>
      </c>
      <c r="AG498" s="60"/>
      <c r="AH498" s="58"/>
      <c r="AI498" s="62">
        <f t="shared" ref="AI498" si="1456">SUM(AF498+AG498-AH498)</f>
        <v>1</v>
      </c>
      <c r="AJ498" s="60"/>
      <c r="AK498" s="58"/>
      <c r="AL498" s="62">
        <f t="shared" ref="AL498" si="1457">SUM(AI498+AJ498-AK498)</f>
        <v>1</v>
      </c>
      <c r="AM498" s="60"/>
      <c r="AN498" s="58"/>
      <c r="AO498" s="62">
        <f t="shared" ref="AO498" si="1458">SUM(AL498+AM498-AN498)</f>
        <v>1</v>
      </c>
      <c r="AP498" s="60"/>
      <c r="AQ498" s="58"/>
      <c r="AR498" s="62">
        <f t="shared" ref="AR498" si="1459">SUM(AO498+AP498-AQ498)</f>
        <v>1</v>
      </c>
      <c r="AS498" s="60"/>
      <c r="AT498" s="58"/>
      <c r="AU498" s="62">
        <f t="shared" ref="AU498" si="1460">SUM(AR498+AS498-AT498)</f>
        <v>1</v>
      </c>
      <c r="AV498" s="83">
        <f t="shared" ref="AV498" si="1461">SUM(L498+O498+R498+U498+X498+AA498+AD498+AG498+AJ498+AM498+AP498+AS498)</f>
        <v>1</v>
      </c>
      <c r="AW498" s="83">
        <f t="shared" ref="AW498" si="1462">SUM(M498+P498+S498+V498+Y498+AB498+AE498+AH498+AK498+AN498+AQ498+AT498)</f>
        <v>0</v>
      </c>
      <c r="AX498" s="64">
        <f t="shared" ref="AX498" si="1463">SUM(M498,P498,S498,V498,Y498,AB498,AE498,AH498,AK498,AN498,AQ498,AT498)</f>
        <v>0</v>
      </c>
      <c r="AY498" s="65" t="e">
        <f t="shared" ref="AY498" si="1464">AVERAGE(M498,P498,S498,V498,Y498,AB498,AE498,AH498,AK498,AN498,AQ498,AT498)</f>
        <v>#DIV/0!</v>
      </c>
      <c r="AZ498" s="66">
        <f t="shared" ref="AZ498" si="1465">COUNT(M498,P498,S498,V498,Y498,AB498,AE498,AH498,AK498,AN498,AQ498,AT498)</f>
        <v>0</v>
      </c>
      <c r="BA498" s="67">
        <v>1</v>
      </c>
      <c r="BB498" s="68">
        <v>0</v>
      </c>
      <c r="BC498" s="84">
        <f>J498</f>
        <v>1</v>
      </c>
      <c r="BD498" s="83">
        <f>SUM(BC498-BB498)</f>
        <v>1</v>
      </c>
      <c r="BE498" s="85">
        <v>2</v>
      </c>
      <c r="BF498" s="86">
        <v>46063</v>
      </c>
      <c r="BG498" s="72" t="e">
        <f t="shared" si="1265"/>
        <v>#REF!</v>
      </c>
      <c r="BH498" s="87" t="e">
        <f>BG498-BF498</f>
        <v>#REF!</v>
      </c>
      <c r="BI498" s="80" t="e">
        <f>IF(AND(J498&gt;0,BH498&gt;365),"Dead Stock","")</f>
        <v>#REF!</v>
      </c>
      <c r="BJ498" s="238">
        <v>7200</v>
      </c>
    </row>
    <row r="499" spans="1:293" ht="13">
      <c r="A499" s="75"/>
      <c r="B499" s="76"/>
      <c r="C499" s="51">
        <v>497</v>
      </c>
      <c r="D499" s="53" t="s">
        <v>2070</v>
      </c>
      <c r="E499" s="53">
        <v>2</v>
      </c>
      <c r="F499" s="88" t="s">
        <v>774</v>
      </c>
      <c r="G499" s="89" t="s">
        <v>853</v>
      </c>
      <c r="H499" s="81" t="s">
        <v>302</v>
      </c>
      <c r="I499" s="80" t="s">
        <v>458</v>
      </c>
      <c r="J499" s="82">
        <f t="shared" ref="J499" si="1466">AU499</f>
        <v>2</v>
      </c>
      <c r="K499" s="80">
        <v>0</v>
      </c>
      <c r="L499" s="57"/>
      <c r="M499" s="58"/>
      <c r="N499" s="59">
        <f t="shared" ref="N499" si="1467">SUM(K499+L499-M499)</f>
        <v>0</v>
      </c>
      <c r="O499" s="60"/>
      <c r="P499" s="58"/>
      <c r="Q499" s="59">
        <f t="shared" ref="Q499" si="1468">SUM(N499+O499-P499)</f>
        <v>0</v>
      </c>
      <c r="R499" s="60"/>
      <c r="S499" s="58"/>
      <c r="T499" s="61">
        <f t="shared" ref="T499" si="1469">SUM(Q499+R499-S499)</f>
        <v>0</v>
      </c>
      <c r="U499" s="60"/>
      <c r="V499" s="58"/>
      <c r="W499" s="59">
        <f t="shared" ref="W499" si="1470">SUM(T499+U499-V499)</f>
        <v>0</v>
      </c>
      <c r="X499" s="60">
        <v>2</v>
      </c>
      <c r="Y499" s="58"/>
      <c r="Z499" s="61">
        <f t="shared" ref="Z499" si="1471">SUM(W499+X499-Y499)</f>
        <v>2</v>
      </c>
      <c r="AA499" s="60"/>
      <c r="AB499" s="58"/>
      <c r="AC499" s="59">
        <f t="shared" ref="AC499" si="1472">SUM(Z499+AA499-AB499)</f>
        <v>2</v>
      </c>
      <c r="AD499" s="57"/>
      <c r="AE499" s="58"/>
      <c r="AF499" s="243">
        <f t="shared" ref="AF499" si="1473">SUM(AC499+AD499-AE499)</f>
        <v>2</v>
      </c>
      <c r="AG499" s="60"/>
      <c r="AH499" s="58"/>
      <c r="AI499" s="62">
        <f t="shared" ref="AI499" si="1474">SUM(AF499+AG499-AH499)</f>
        <v>2</v>
      </c>
      <c r="AJ499" s="60"/>
      <c r="AK499" s="58"/>
      <c r="AL499" s="62">
        <f t="shared" ref="AL499" si="1475">SUM(AI499+AJ499-AK499)</f>
        <v>2</v>
      </c>
      <c r="AM499" s="60"/>
      <c r="AN499" s="58"/>
      <c r="AO499" s="62">
        <f t="shared" ref="AO499" si="1476">SUM(AL499+AM499-AN499)</f>
        <v>2</v>
      </c>
      <c r="AP499" s="60"/>
      <c r="AQ499" s="58"/>
      <c r="AR499" s="62">
        <f t="shared" ref="AR499" si="1477">SUM(AO499+AP499-AQ499)</f>
        <v>2</v>
      </c>
      <c r="AS499" s="60"/>
      <c r="AT499" s="58"/>
      <c r="AU499" s="62">
        <f t="shared" ref="AU499" si="1478">SUM(AR499+AS499-AT499)</f>
        <v>2</v>
      </c>
      <c r="AV499" s="83">
        <f t="shared" ref="AV499" si="1479">SUM(L499+O499+R499+U499+X499+AA499+AD499+AG499+AJ499+AM499+AP499+AS499)</f>
        <v>2</v>
      </c>
      <c r="AW499" s="83">
        <f>SUM(M499+P499+S499+V499+Y499+AB499+AE499+AH499+AK499+AN499+AQ499+AT499)</f>
        <v>0</v>
      </c>
      <c r="AX499" s="64">
        <f t="shared" ref="AX499" si="1480">SUM(M499,P499,S499,V499,Y499,AB499,AE499,AH499,AK499,AN499,AQ499,AT499)</f>
        <v>0</v>
      </c>
      <c r="AY499" s="65" t="e">
        <f t="shared" ref="AY499" si="1481">AVERAGE(M499,P499,S499,V499,Y499,AB499,AE499,AH499,AK499,AN499,AQ499,AT499)</f>
        <v>#DIV/0!</v>
      </c>
      <c r="AZ499" s="66">
        <f t="shared" ref="AZ499" si="1482">COUNT(M499,P499,S499,V499,Y499,AB499,AE499,AH499,AK499,AN499,AQ499,AT499)</f>
        <v>0</v>
      </c>
      <c r="BA499" s="67">
        <v>2</v>
      </c>
      <c r="BB499" s="68">
        <v>1</v>
      </c>
      <c r="BC499" s="84">
        <f>J499</f>
        <v>2</v>
      </c>
      <c r="BD499" s="83">
        <f>SUM(BC499-BB499)</f>
        <v>1</v>
      </c>
      <c r="BE499" s="85">
        <v>2</v>
      </c>
      <c r="BF499" s="86" t="s">
        <v>1073</v>
      </c>
      <c r="BG499" s="72" t="e">
        <f t="shared" si="1265"/>
        <v>#REF!</v>
      </c>
      <c r="BH499" s="87" t="e">
        <f t="shared" ref="BH499" si="1483">BG499-BF499</f>
        <v>#REF!</v>
      </c>
      <c r="BI499" s="80" t="e">
        <f>IF(AND(J499&gt;0,BH499&gt;365),"Dead Stock","")</f>
        <v>#REF!</v>
      </c>
      <c r="BJ499" s="238">
        <v>1500</v>
      </c>
    </row>
    <row r="500" spans="1:293" ht="13">
      <c r="A500" s="90"/>
      <c r="B500" s="91"/>
      <c r="C500" s="51">
        <v>498</v>
      </c>
      <c r="D500" s="145" t="s">
        <v>2069</v>
      </c>
      <c r="E500" s="145">
        <v>1</v>
      </c>
      <c r="F500" s="88" t="s">
        <v>1807</v>
      </c>
      <c r="G500" s="89" t="s">
        <v>1806</v>
      </c>
      <c r="H500" s="89" t="s">
        <v>1009</v>
      </c>
      <c r="I500" s="88" t="s">
        <v>458</v>
      </c>
      <c r="J500" s="93">
        <f t="shared" ref="J500" si="1484">AU500</f>
        <v>3</v>
      </c>
      <c r="K500" s="88">
        <v>3</v>
      </c>
      <c r="L500" s="58"/>
      <c r="M500" s="58"/>
      <c r="N500" s="62">
        <f t="shared" ref="N500" si="1485">SUM(K500+L500-M500)</f>
        <v>3</v>
      </c>
      <c r="O500" s="60"/>
      <c r="P500" s="58"/>
      <c r="Q500" s="62">
        <f t="shared" ref="Q500" si="1486">SUM(N500+O500-P500)</f>
        <v>3</v>
      </c>
      <c r="R500" s="60"/>
      <c r="S500" s="58"/>
      <c r="T500" s="94">
        <f t="shared" ref="T500" si="1487">SUM(Q500+R500-S500)</f>
        <v>3</v>
      </c>
      <c r="U500" s="60"/>
      <c r="V500" s="58"/>
      <c r="W500" s="62">
        <f t="shared" ref="W500" si="1488">SUM(T500+U500-V500)</f>
        <v>3</v>
      </c>
      <c r="X500" s="60"/>
      <c r="Y500" s="58"/>
      <c r="Z500" s="94">
        <f t="shared" ref="Z500" si="1489">SUM(W500+X500-Y500)</f>
        <v>3</v>
      </c>
      <c r="AA500" s="60"/>
      <c r="AB500" s="58"/>
      <c r="AC500" s="62">
        <f t="shared" ref="AC500" si="1490">SUM(Z500+AA500-AB500)</f>
        <v>3</v>
      </c>
      <c r="AD500" s="57"/>
      <c r="AE500" s="58"/>
      <c r="AF500" s="165">
        <f t="shared" ref="AF500" si="1491">SUM(AC500+AD500-AE500)</f>
        <v>3</v>
      </c>
      <c r="AG500" s="60"/>
      <c r="AH500" s="58"/>
      <c r="AI500" s="62">
        <f t="shared" ref="AI500" si="1492">SUM(AF500+AG500-AH500)</f>
        <v>3</v>
      </c>
      <c r="AJ500" s="60"/>
      <c r="AK500" s="58"/>
      <c r="AL500" s="62">
        <f t="shared" ref="AL500" si="1493">SUM(AI500+AJ500-AK500)</f>
        <v>3</v>
      </c>
      <c r="AM500" s="60"/>
      <c r="AN500" s="58"/>
      <c r="AO500" s="62">
        <f t="shared" ref="AO500" si="1494">SUM(AL500+AM500-AN500)</f>
        <v>3</v>
      </c>
      <c r="AP500" s="60"/>
      <c r="AQ500" s="58"/>
      <c r="AR500" s="62">
        <f t="shared" ref="AR500" si="1495">SUM(AO500+AP500-AQ500)</f>
        <v>3</v>
      </c>
      <c r="AS500" s="60"/>
      <c r="AT500" s="58"/>
      <c r="AU500" s="62">
        <f t="shared" ref="AU500" si="1496">SUM(AR500+AS500-AT500)</f>
        <v>3</v>
      </c>
      <c r="AV500" s="96">
        <f t="shared" ref="AV500" si="1497">SUM(L500+O500+R500+U500+X500+AA500+AD500+AG500+AJ500+AM500+AP500+AS500)</f>
        <v>0</v>
      </c>
      <c r="AW500" s="83">
        <f>SUM(M500+P500+S500+V500+Y500+AB500+AE500+AH500+AK500+AN500+AQ500+AT500)</f>
        <v>0</v>
      </c>
      <c r="AX500" s="98">
        <f t="shared" ref="AX500" si="1498">SUM(M500,P500,S500,V500,Y500,AB500,AE500,AH500,AK500,AN500,AQ500,AT500)</f>
        <v>0</v>
      </c>
      <c r="AY500" s="99" t="e">
        <f t="shared" ref="AY500" si="1499">AVERAGE(M500,P500,S500,V500,Y500,AB500,AE500,AH500,AK500,AN500,AQ500,AT500)</f>
        <v>#DIV/0!</v>
      </c>
      <c r="AZ500" s="100">
        <f t="shared" ref="AZ500" si="1500">COUNT(M500,P500,S500,V500,Y500,AB500,AE500,AH500,AK500,AN500,AQ500,AT500)</f>
        <v>0</v>
      </c>
      <c r="BA500" s="101">
        <v>3</v>
      </c>
      <c r="BB500" s="102">
        <v>1</v>
      </c>
      <c r="BC500" s="84">
        <f>J500</f>
        <v>3</v>
      </c>
      <c r="BD500" s="83">
        <f>SUM(BC500-BB500)</f>
        <v>2</v>
      </c>
      <c r="BE500" s="85">
        <v>2</v>
      </c>
      <c r="BF500" s="86" t="s">
        <v>1073</v>
      </c>
      <c r="BG500" s="72" t="e">
        <f t="shared" si="1265"/>
        <v>#REF!</v>
      </c>
      <c r="BH500" s="103" t="e">
        <f t="shared" ref="BH500" si="1501">BG500-BF500</f>
        <v>#REF!</v>
      </c>
      <c r="BI500" s="80" t="e">
        <f>IF(AND(J500&gt;0,BH500&gt;365),"Dead Stock","")</f>
        <v>#REF!</v>
      </c>
      <c r="BJ500" s="238">
        <v>2000</v>
      </c>
    </row>
    <row r="501" spans="1:293" ht="13">
      <c r="A501" s="75"/>
      <c r="B501" s="76"/>
      <c r="C501" s="51">
        <v>499</v>
      </c>
      <c r="D501" s="127" t="s">
        <v>1665</v>
      </c>
      <c r="E501" s="127">
        <v>1</v>
      </c>
      <c r="F501" s="80" t="s">
        <v>1087</v>
      </c>
      <c r="G501" s="81" t="s">
        <v>2043</v>
      </c>
      <c r="H501" s="81" t="s">
        <v>292</v>
      </c>
      <c r="I501" s="80" t="s">
        <v>458</v>
      </c>
      <c r="J501" s="82">
        <f>AU501</f>
        <v>17</v>
      </c>
      <c r="K501" s="80">
        <v>24</v>
      </c>
      <c r="L501" s="57"/>
      <c r="M501" s="58">
        <f>1+1+1+1+2+2</f>
        <v>8</v>
      </c>
      <c r="N501" s="59">
        <f>SUM(K501+L501-M501)</f>
        <v>16</v>
      </c>
      <c r="O501" s="60"/>
      <c r="P501" s="58">
        <f>2+1+6+1</f>
        <v>10</v>
      </c>
      <c r="Q501" s="59">
        <f>SUM(N501+O501-P501)</f>
        <v>6</v>
      </c>
      <c r="R501" s="60">
        <v>10</v>
      </c>
      <c r="S501" s="58">
        <f>1+4+1</f>
        <v>6</v>
      </c>
      <c r="T501" s="61">
        <f>SUM(Q501+R501-S501)</f>
        <v>10</v>
      </c>
      <c r="U501" s="60"/>
      <c r="V501" s="58">
        <f>1+1</f>
        <v>2</v>
      </c>
      <c r="W501" s="59">
        <f>SUM(T501+U501-V501)</f>
        <v>8</v>
      </c>
      <c r="X501" s="60">
        <v>20</v>
      </c>
      <c r="Y501" s="58">
        <f>1+1+1+1</f>
        <v>4</v>
      </c>
      <c r="Z501" s="61">
        <f>SUM(W501+X501-Y501)</f>
        <v>24</v>
      </c>
      <c r="AA501" s="60"/>
      <c r="AB501" s="58">
        <f>5+2+1+1+2</f>
        <v>11</v>
      </c>
      <c r="AC501" s="59">
        <f>SUM(Z501+AA501-AB501)</f>
        <v>13</v>
      </c>
      <c r="AD501" s="57">
        <v>20</v>
      </c>
      <c r="AE501" s="58">
        <f>1+1+1+1+1</f>
        <v>5</v>
      </c>
      <c r="AF501" s="243">
        <f>SUM(AC501+AD501-AE501)</f>
        <v>28</v>
      </c>
      <c r="AG501" s="60"/>
      <c r="AH501" s="58">
        <f>3+1+1+6</f>
        <v>11</v>
      </c>
      <c r="AI501" s="62">
        <f>SUM(AF501+AG501-AH501)</f>
        <v>17</v>
      </c>
      <c r="AJ501" s="60"/>
      <c r="AK501" s="58"/>
      <c r="AL501" s="62">
        <f>SUM(AI501+AJ501-AK501)</f>
        <v>17</v>
      </c>
      <c r="AM501" s="60"/>
      <c r="AN501" s="58"/>
      <c r="AO501" s="62">
        <f t="shared" ref="AO501:AO506" si="1502">SUM(AL501+AM501-AN501)</f>
        <v>17</v>
      </c>
      <c r="AP501" s="60"/>
      <c r="AQ501" s="58"/>
      <c r="AR501" s="62">
        <f t="shared" ref="AR501:AR506" si="1503">SUM(AO501+AP501-AQ501)</f>
        <v>17</v>
      </c>
      <c r="AS501" s="60"/>
      <c r="AT501" s="58"/>
      <c r="AU501" s="62">
        <f>SUM(AR501+AS501-AT501)</f>
        <v>17</v>
      </c>
      <c r="AV501" s="83">
        <f t="shared" si="1446"/>
        <v>50</v>
      </c>
      <c r="AW501" s="83">
        <f t="shared" si="1155"/>
        <v>57</v>
      </c>
      <c r="AX501" s="64">
        <f>SUM(M501,P501,S501,V501,Y501,AB501,AE501,AH501,AK501,AN501,AQ501,AT501)</f>
        <v>57</v>
      </c>
      <c r="AY501" s="65">
        <f>AVERAGE(M501,P501,S501,V501,Y501,AB501,AE501,AH501,AK501,AN501,AQ501,AT501)</f>
        <v>7.125</v>
      </c>
      <c r="AZ501" s="66">
        <f>COUNT(M501,P501,S501,V501,Y501,AB501,AE501,AH501,AK501,AN501,AQ501,AT501)</f>
        <v>8</v>
      </c>
      <c r="BA501" s="67">
        <f>MAX(0, Table176252626[[#This Row],[Column6]])</f>
        <v>17</v>
      </c>
      <c r="BB501" s="68">
        <v>1</v>
      </c>
      <c r="BC501" s="84">
        <f t="shared" si="1210"/>
        <v>17</v>
      </c>
      <c r="BD501" s="83">
        <f t="shared" si="1195"/>
        <v>16</v>
      </c>
      <c r="BE501" s="85">
        <v>2</v>
      </c>
      <c r="BF501" s="86">
        <v>46212</v>
      </c>
      <c r="BG501" s="72" t="e">
        <f t="shared" si="1265"/>
        <v>#REF!</v>
      </c>
      <c r="BH501" s="87" t="e">
        <f>BG501-BF501</f>
        <v>#REF!</v>
      </c>
      <c r="BI501" s="80" t="e">
        <f t="shared" si="1197"/>
        <v>#REF!</v>
      </c>
      <c r="BJ501" s="238">
        <v>1850</v>
      </c>
    </row>
    <row r="502" spans="1:293" ht="13">
      <c r="A502" s="49"/>
      <c r="B502" s="50"/>
      <c r="C502" s="77">
        <v>500</v>
      </c>
      <c r="D502" s="127" t="s">
        <v>1665</v>
      </c>
      <c r="E502" s="127">
        <v>2</v>
      </c>
      <c r="F502" s="80" t="s">
        <v>413</v>
      </c>
      <c r="G502" s="81" t="s">
        <v>2044</v>
      </c>
      <c r="H502" s="81" t="s">
        <v>292</v>
      </c>
      <c r="I502" s="80" t="s">
        <v>458</v>
      </c>
      <c r="J502" s="82">
        <f t="shared" si="1428"/>
        <v>11</v>
      </c>
      <c r="K502" s="80">
        <v>21</v>
      </c>
      <c r="L502" s="57"/>
      <c r="M502" s="58">
        <f>1+2+2+1+2</f>
        <v>8</v>
      </c>
      <c r="N502" s="59">
        <f t="shared" si="1429"/>
        <v>13</v>
      </c>
      <c r="O502" s="60"/>
      <c r="P502" s="58">
        <f>4</f>
        <v>4</v>
      </c>
      <c r="Q502" s="59">
        <f t="shared" si="1430"/>
        <v>9</v>
      </c>
      <c r="R502" s="60">
        <v>10</v>
      </c>
      <c r="S502" s="58">
        <f>8+1+1</f>
        <v>10</v>
      </c>
      <c r="T502" s="61">
        <f t="shared" si="1431"/>
        <v>9</v>
      </c>
      <c r="U502" s="60"/>
      <c r="V502" s="58">
        <f>1+3+1</f>
        <v>5</v>
      </c>
      <c r="W502" s="59">
        <f t="shared" si="1432"/>
        <v>4</v>
      </c>
      <c r="X502" s="60">
        <f>10+20</f>
        <v>30</v>
      </c>
      <c r="Y502" s="58">
        <f>4+1+2+3+1</f>
        <v>11</v>
      </c>
      <c r="Z502" s="61">
        <f t="shared" si="1433"/>
        <v>23</v>
      </c>
      <c r="AA502" s="60"/>
      <c r="AB502" s="58">
        <f>1+2+1</f>
        <v>4</v>
      </c>
      <c r="AC502" s="59">
        <f t="shared" si="1434"/>
        <v>19</v>
      </c>
      <c r="AD502" s="57"/>
      <c r="AE502" s="58">
        <f>1+5</f>
        <v>6</v>
      </c>
      <c r="AF502" s="243">
        <f t="shared" si="1435"/>
        <v>13</v>
      </c>
      <c r="AG502" s="60"/>
      <c r="AH502" s="58">
        <f>1+1</f>
        <v>2</v>
      </c>
      <c r="AI502" s="62">
        <f t="shared" si="1436"/>
        <v>11</v>
      </c>
      <c r="AJ502" s="60"/>
      <c r="AK502" s="58"/>
      <c r="AL502" s="62">
        <f t="shared" si="1437"/>
        <v>11</v>
      </c>
      <c r="AM502" s="60"/>
      <c r="AN502" s="58"/>
      <c r="AO502" s="62">
        <f t="shared" si="1502"/>
        <v>11</v>
      </c>
      <c r="AP502" s="60"/>
      <c r="AQ502" s="58"/>
      <c r="AR502" s="62">
        <f t="shared" si="1503"/>
        <v>11</v>
      </c>
      <c r="AS502" s="60"/>
      <c r="AT502" s="58"/>
      <c r="AU502" s="62">
        <f t="shared" si="1440"/>
        <v>11</v>
      </c>
      <c r="AV502" s="83">
        <f t="shared" ref="AV502" si="1504">SUM(L502+O502+R502+U502+X502+AA502+AD502+AG502+AJ502+AM502+AP502+AS502)</f>
        <v>40</v>
      </c>
      <c r="AW502" s="83">
        <f t="shared" si="1155"/>
        <v>50</v>
      </c>
      <c r="AX502" s="64">
        <f t="shared" si="1442"/>
        <v>50</v>
      </c>
      <c r="AY502" s="65">
        <f t="shared" si="1443"/>
        <v>6.25</v>
      </c>
      <c r="AZ502" s="66">
        <f t="shared" si="1444"/>
        <v>8</v>
      </c>
      <c r="BA502" s="67">
        <f>MAX(0, Table176252626[[#This Row],[Column6]])</f>
        <v>11</v>
      </c>
      <c r="BB502" s="68">
        <v>1</v>
      </c>
      <c r="BC502" s="84">
        <f t="shared" si="1210"/>
        <v>11</v>
      </c>
      <c r="BD502" s="83">
        <f t="shared" si="1195"/>
        <v>10</v>
      </c>
      <c r="BE502" s="85">
        <v>2</v>
      </c>
      <c r="BF502" s="86">
        <v>46167</v>
      </c>
      <c r="BG502" s="72" t="e">
        <f t="shared" si="1265"/>
        <v>#REF!</v>
      </c>
      <c r="BH502" s="87" t="e">
        <f t="shared" si="1445"/>
        <v>#REF!</v>
      </c>
      <c r="BI502" s="80" t="e">
        <f t="shared" si="1197"/>
        <v>#REF!</v>
      </c>
      <c r="BJ502" s="238">
        <v>1900</v>
      </c>
    </row>
    <row r="503" spans="1:293" ht="13">
      <c r="A503" s="90"/>
      <c r="B503" s="91"/>
      <c r="C503" s="77">
        <v>501</v>
      </c>
      <c r="D503" s="127" t="s">
        <v>1665</v>
      </c>
      <c r="E503" s="127">
        <v>3</v>
      </c>
      <c r="F503" s="88" t="s">
        <v>1879</v>
      </c>
      <c r="G503" s="89" t="s">
        <v>1880</v>
      </c>
      <c r="H503" s="89" t="s">
        <v>1686</v>
      </c>
      <c r="I503" s="80" t="s">
        <v>458</v>
      </c>
      <c r="J503" s="93">
        <f t="shared" ref="J503:J509" si="1505">AU503</f>
        <v>10</v>
      </c>
      <c r="K503" s="88">
        <v>10</v>
      </c>
      <c r="L503" s="58"/>
      <c r="M503" s="58"/>
      <c r="N503" s="62">
        <f t="shared" ref="N503:N509" si="1506">SUM(K503+L503-M503)</f>
        <v>10</v>
      </c>
      <c r="O503" s="60"/>
      <c r="P503" s="58"/>
      <c r="Q503" s="62">
        <f t="shared" ref="Q503:Q509" si="1507">SUM(N503+O503-P503)</f>
        <v>10</v>
      </c>
      <c r="R503" s="60"/>
      <c r="S503" s="58"/>
      <c r="T503" s="94">
        <f t="shared" ref="T503:T509" si="1508">SUM(Q503+R503-S503)</f>
        <v>10</v>
      </c>
      <c r="U503" s="60"/>
      <c r="V503" s="58"/>
      <c r="W503" s="62">
        <f t="shared" ref="W503:W509" si="1509">SUM(T503+U503-V503)</f>
        <v>10</v>
      </c>
      <c r="X503" s="60"/>
      <c r="Y503" s="58"/>
      <c r="Z503" s="94">
        <f t="shared" ref="Z503:Z509" si="1510">SUM(W503+X503-Y503)</f>
        <v>10</v>
      </c>
      <c r="AA503" s="60"/>
      <c r="AB503" s="58"/>
      <c r="AC503" s="62">
        <f t="shared" ref="AC503:AC509" si="1511">SUM(Z503+AA503-AB503)</f>
        <v>10</v>
      </c>
      <c r="AD503" s="57"/>
      <c r="AE503" s="58"/>
      <c r="AF503" s="165">
        <f t="shared" ref="AF503:AF509" si="1512">SUM(AC503+AD503-AE503)</f>
        <v>10</v>
      </c>
      <c r="AG503" s="60"/>
      <c r="AH503" s="58"/>
      <c r="AI503" s="62">
        <f t="shared" ref="AI503:AI509" si="1513">SUM(AF503+AG503-AH503)</f>
        <v>10</v>
      </c>
      <c r="AJ503" s="60"/>
      <c r="AK503" s="58"/>
      <c r="AL503" s="62">
        <f t="shared" ref="AL503:AL509" si="1514">SUM(AI503+AJ503-AK503)</f>
        <v>10</v>
      </c>
      <c r="AM503" s="60"/>
      <c r="AN503" s="58"/>
      <c r="AO503" s="62">
        <f>SUM(AL503+AM503-AN503)</f>
        <v>10</v>
      </c>
      <c r="AP503" s="60"/>
      <c r="AQ503" s="58"/>
      <c r="AR503" s="62">
        <f>SUM(AO503+AP503-AQ503)</f>
        <v>10</v>
      </c>
      <c r="AS503" s="60"/>
      <c r="AT503" s="58"/>
      <c r="AU503" s="62">
        <f t="shared" ref="AU503:AU509" si="1515">SUM(AR503+AS503-AT503)</f>
        <v>10</v>
      </c>
      <c r="AV503" s="96">
        <f t="shared" ref="AV503:AV505" si="1516">SUM(L503+O503+R503+U503+X503+AA503+AD503+AG503+AJ503+AM503+AP503+AS503)</f>
        <v>0</v>
      </c>
      <c r="AW503" s="83">
        <f t="shared" si="1155"/>
        <v>0</v>
      </c>
      <c r="AX503" s="98">
        <f t="shared" ref="AX503:AX509" si="1517">SUM(M503,P503,S503,V503,Y503,AB503,AE503,AH503,AK503,AN503,AQ503,AT503)</f>
        <v>0</v>
      </c>
      <c r="AY503" s="99" t="e">
        <f t="shared" ref="AY503:AY509" si="1518">AVERAGE(M503,P503,S503,V503,Y503,AB503,AE503,AH503,AK503,AN503,AQ503,AT503)</f>
        <v>#DIV/0!</v>
      </c>
      <c r="AZ503" s="100">
        <f t="shared" ref="AZ503:AZ509" si="1519">COUNT(M503,P503,S503,V503,Y503,AB503,AE503,AH503,AK503,AN503,AQ503,AT503)</f>
        <v>0</v>
      </c>
      <c r="BA503" s="101">
        <v>9</v>
      </c>
      <c r="BB503" s="102">
        <f>MIN(M503,P503,S503,V503,Y503,AB503,AE503,AH503,AK503,AN503,AQ503,AT503)</f>
        <v>0</v>
      </c>
      <c r="BC503" s="84">
        <f t="shared" si="1210"/>
        <v>10</v>
      </c>
      <c r="BD503" s="83">
        <f t="shared" si="1195"/>
        <v>10</v>
      </c>
      <c r="BE503" s="85">
        <v>2</v>
      </c>
      <c r="BF503" s="86">
        <v>45973</v>
      </c>
      <c r="BG503" s="72" t="e">
        <f t="shared" si="1265"/>
        <v>#REF!</v>
      </c>
      <c r="BH503" s="103" t="e">
        <f t="shared" ref="BH503:BH509" si="1520">BG503-BF503</f>
        <v>#REF!</v>
      </c>
      <c r="BI503" s="80" t="e">
        <f t="shared" si="1197"/>
        <v>#REF!</v>
      </c>
      <c r="BJ503" s="238">
        <v>620</v>
      </c>
    </row>
    <row r="504" spans="1:293" ht="13">
      <c r="A504" s="90"/>
      <c r="B504" s="91"/>
      <c r="C504" s="51">
        <v>502</v>
      </c>
      <c r="D504" s="127" t="s">
        <v>1665</v>
      </c>
      <c r="E504" s="127">
        <v>4</v>
      </c>
      <c r="F504" s="88" t="s">
        <v>1881</v>
      </c>
      <c r="G504" s="89" t="s">
        <v>1882</v>
      </c>
      <c r="H504" s="89" t="s">
        <v>1686</v>
      </c>
      <c r="I504" s="80" t="s">
        <v>458</v>
      </c>
      <c r="J504" s="93">
        <f t="shared" si="1505"/>
        <v>9</v>
      </c>
      <c r="K504" s="80">
        <v>10</v>
      </c>
      <c r="L504" s="58"/>
      <c r="M504" s="58"/>
      <c r="N504" s="62">
        <f t="shared" si="1506"/>
        <v>10</v>
      </c>
      <c r="O504" s="60"/>
      <c r="P504" s="58"/>
      <c r="Q504" s="62">
        <f t="shared" si="1507"/>
        <v>10</v>
      </c>
      <c r="R504" s="60"/>
      <c r="S504" s="58"/>
      <c r="T504" s="94">
        <f t="shared" si="1508"/>
        <v>10</v>
      </c>
      <c r="U504" s="60"/>
      <c r="V504" s="58"/>
      <c r="W504" s="62">
        <f t="shared" si="1509"/>
        <v>10</v>
      </c>
      <c r="X504" s="60"/>
      <c r="Y504" s="58"/>
      <c r="Z504" s="94">
        <f t="shared" si="1510"/>
        <v>10</v>
      </c>
      <c r="AA504" s="60"/>
      <c r="AB504" s="58"/>
      <c r="AC504" s="62">
        <f t="shared" si="1511"/>
        <v>10</v>
      </c>
      <c r="AD504" s="57"/>
      <c r="AE504" s="58"/>
      <c r="AF504" s="165">
        <f t="shared" si="1512"/>
        <v>10</v>
      </c>
      <c r="AG504" s="60"/>
      <c r="AH504" s="58">
        <v>1</v>
      </c>
      <c r="AI504" s="62">
        <f t="shared" si="1513"/>
        <v>9</v>
      </c>
      <c r="AJ504" s="60"/>
      <c r="AK504" s="58"/>
      <c r="AL504" s="62">
        <f t="shared" si="1514"/>
        <v>9</v>
      </c>
      <c r="AM504" s="60"/>
      <c r="AN504" s="58"/>
      <c r="AO504" s="62">
        <f>SUM(AL504+AM504-AN504)</f>
        <v>9</v>
      </c>
      <c r="AP504" s="60"/>
      <c r="AQ504" s="58"/>
      <c r="AR504" s="62">
        <f>SUM(AO504+AP504-AQ504)</f>
        <v>9</v>
      </c>
      <c r="AS504" s="60"/>
      <c r="AT504" s="58"/>
      <c r="AU504" s="62">
        <f t="shared" si="1515"/>
        <v>9</v>
      </c>
      <c r="AV504" s="96">
        <f t="shared" si="1516"/>
        <v>0</v>
      </c>
      <c r="AW504" s="83">
        <f t="shared" si="1155"/>
        <v>1</v>
      </c>
      <c r="AX504" s="98">
        <f t="shared" si="1517"/>
        <v>1</v>
      </c>
      <c r="AY504" s="99">
        <f t="shared" si="1518"/>
        <v>1</v>
      </c>
      <c r="AZ504" s="100">
        <f t="shared" si="1519"/>
        <v>1</v>
      </c>
      <c r="BA504" s="101">
        <v>10</v>
      </c>
      <c r="BB504" s="102">
        <v>1</v>
      </c>
      <c r="BC504" s="84">
        <f t="shared" si="1210"/>
        <v>9</v>
      </c>
      <c r="BD504" s="83">
        <f t="shared" si="1195"/>
        <v>8</v>
      </c>
      <c r="BE504" s="85">
        <v>2</v>
      </c>
      <c r="BF504" s="86">
        <v>45973</v>
      </c>
      <c r="BG504" s="72" t="e">
        <f t="shared" si="1265"/>
        <v>#REF!</v>
      </c>
      <c r="BH504" s="103" t="e">
        <f t="shared" si="1520"/>
        <v>#REF!</v>
      </c>
      <c r="BI504" s="80" t="e">
        <f t="shared" si="1197"/>
        <v>#REF!</v>
      </c>
      <c r="BJ504" s="238">
        <v>669.3</v>
      </c>
    </row>
    <row r="505" spans="1:293" ht="13">
      <c r="A505" s="90"/>
      <c r="B505" s="91"/>
      <c r="C505" s="51">
        <v>503</v>
      </c>
      <c r="D505" s="127" t="s">
        <v>1665</v>
      </c>
      <c r="E505" s="127">
        <v>5</v>
      </c>
      <c r="F505" s="88" t="s">
        <v>1901</v>
      </c>
      <c r="G505" s="89" t="s">
        <v>1902</v>
      </c>
      <c r="H505" s="89" t="s">
        <v>1686</v>
      </c>
      <c r="I505" s="80" t="s">
        <v>458</v>
      </c>
      <c r="J505" s="93">
        <f t="shared" si="1505"/>
        <v>6</v>
      </c>
      <c r="K505" s="80">
        <v>10</v>
      </c>
      <c r="L505" s="58"/>
      <c r="M505" s="58"/>
      <c r="N505" s="62">
        <f t="shared" si="1506"/>
        <v>10</v>
      </c>
      <c r="O505" s="60"/>
      <c r="P505" s="58"/>
      <c r="Q505" s="62">
        <f t="shared" si="1507"/>
        <v>10</v>
      </c>
      <c r="R505" s="60"/>
      <c r="S505" s="58"/>
      <c r="T505" s="94">
        <f t="shared" si="1508"/>
        <v>10</v>
      </c>
      <c r="U505" s="60"/>
      <c r="V505" s="58">
        <v>1</v>
      </c>
      <c r="W505" s="62">
        <f t="shared" si="1509"/>
        <v>9</v>
      </c>
      <c r="X505" s="60"/>
      <c r="Y505" s="58">
        <v>2</v>
      </c>
      <c r="Z505" s="94">
        <f t="shared" si="1510"/>
        <v>7</v>
      </c>
      <c r="AA505" s="60"/>
      <c r="AB505" s="58"/>
      <c r="AC505" s="62">
        <f t="shared" si="1511"/>
        <v>7</v>
      </c>
      <c r="AD505" s="57"/>
      <c r="AE505" s="58"/>
      <c r="AF505" s="165">
        <f t="shared" si="1512"/>
        <v>7</v>
      </c>
      <c r="AG505" s="60"/>
      <c r="AH505" s="58">
        <v>1</v>
      </c>
      <c r="AI505" s="62">
        <f t="shared" si="1513"/>
        <v>6</v>
      </c>
      <c r="AJ505" s="60"/>
      <c r="AK505" s="58"/>
      <c r="AL505" s="62">
        <f t="shared" si="1514"/>
        <v>6</v>
      </c>
      <c r="AM505" s="60"/>
      <c r="AN505" s="58"/>
      <c r="AO505" s="62">
        <f>SUM(AL505+AM505-AN505)</f>
        <v>6</v>
      </c>
      <c r="AP505" s="60"/>
      <c r="AQ505" s="58"/>
      <c r="AR505" s="62">
        <f>SUM(AO505+AP505-AQ505)</f>
        <v>6</v>
      </c>
      <c r="AS505" s="60"/>
      <c r="AT505" s="58"/>
      <c r="AU505" s="62">
        <f t="shared" si="1515"/>
        <v>6</v>
      </c>
      <c r="AV505" s="96">
        <f t="shared" si="1516"/>
        <v>0</v>
      </c>
      <c r="AW505" s="83">
        <f t="shared" si="1155"/>
        <v>4</v>
      </c>
      <c r="AX505" s="98">
        <f t="shared" si="1517"/>
        <v>4</v>
      </c>
      <c r="AY505" s="99">
        <f t="shared" si="1518"/>
        <v>1.3333333333333333</v>
      </c>
      <c r="AZ505" s="100">
        <f t="shared" si="1519"/>
        <v>3</v>
      </c>
      <c r="BA505" s="101">
        <v>7</v>
      </c>
      <c r="BB505" s="102">
        <f>MIN(M505,P505,S505,V505,Y505,AB505,AE505,AH505,AK505,AN505,AQ505,AT505)</f>
        <v>1</v>
      </c>
      <c r="BC505" s="84">
        <f t="shared" si="1210"/>
        <v>6</v>
      </c>
      <c r="BD505" s="83">
        <f t="shared" si="1195"/>
        <v>5</v>
      </c>
      <c r="BE505" s="85">
        <v>2</v>
      </c>
      <c r="BF505" s="86">
        <v>45973</v>
      </c>
      <c r="BG505" s="72" t="e">
        <f t="shared" si="1265"/>
        <v>#REF!</v>
      </c>
      <c r="BH505" s="103" t="e">
        <f t="shared" si="1520"/>
        <v>#REF!</v>
      </c>
      <c r="BI505" s="80" t="e">
        <f t="shared" si="1197"/>
        <v>#REF!</v>
      </c>
      <c r="BJ505" s="238">
        <v>340</v>
      </c>
    </row>
    <row r="506" spans="1:293" ht="13">
      <c r="A506" s="49"/>
      <c r="B506" s="76"/>
      <c r="C506" s="51">
        <v>504</v>
      </c>
      <c r="D506" s="127" t="s">
        <v>1665</v>
      </c>
      <c r="E506" s="127">
        <v>6</v>
      </c>
      <c r="F506" s="80" t="s">
        <v>692</v>
      </c>
      <c r="G506" s="81" t="s">
        <v>1130</v>
      </c>
      <c r="H506" s="81" t="s">
        <v>292</v>
      </c>
      <c r="I506" s="80" t="s">
        <v>458</v>
      </c>
      <c r="J506" s="82">
        <f t="shared" si="1505"/>
        <v>10</v>
      </c>
      <c r="K506" s="80">
        <v>17</v>
      </c>
      <c r="L506" s="57"/>
      <c r="M506" s="58"/>
      <c r="N506" s="59">
        <f t="shared" si="1506"/>
        <v>17</v>
      </c>
      <c r="O506" s="60"/>
      <c r="P506" s="58">
        <f>17-13</f>
        <v>4</v>
      </c>
      <c r="Q506" s="59">
        <f t="shared" si="1507"/>
        <v>13</v>
      </c>
      <c r="R506" s="60"/>
      <c r="S506" s="58"/>
      <c r="T506" s="61">
        <f t="shared" si="1508"/>
        <v>13</v>
      </c>
      <c r="U506" s="60"/>
      <c r="V506" s="58">
        <v>2</v>
      </c>
      <c r="W506" s="59">
        <f t="shared" si="1509"/>
        <v>11</v>
      </c>
      <c r="X506" s="60"/>
      <c r="Y506" s="58"/>
      <c r="Z506" s="61">
        <f t="shared" si="1510"/>
        <v>11</v>
      </c>
      <c r="AA506" s="60"/>
      <c r="AB506" s="58"/>
      <c r="AC506" s="59">
        <f t="shared" si="1511"/>
        <v>11</v>
      </c>
      <c r="AD506" s="57"/>
      <c r="AE506" s="58">
        <v>1</v>
      </c>
      <c r="AF506" s="243">
        <f t="shared" si="1512"/>
        <v>10</v>
      </c>
      <c r="AG506" s="60"/>
      <c r="AH506" s="58"/>
      <c r="AI506" s="62">
        <f t="shared" si="1513"/>
        <v>10</v>
      </c>
      <c r="AJ506" s="60"/>
      <c r="AK506" s="58"/>
      <c r="AL506" s="62">
        <f t="shared" si="1514"/>
        <v>10</v>
      </c>
      <c r="AM506" s="60"/>
      <c r="AN506" s="58"/>
      <c r="AO506" s="62">
        <f t="shared" si="1502"/>
        <v>10</v>
      </c>
      <c r="AP506" s="60"/>
      <c r="AQ506" s="58"/>
      <c r="AR506" s="62">
        <f t="shared" si="1503"/>
        <v>10</v>
      </c>
      <c r="AS506" s="60"/>
      <c r="AT506" s="58"/>
      <c r="AU506" s="62">
        <f t="shared" si="1515"/>
        <v>10</v>
      </c>
      <c r="AV506" s="83">
        <f t="shared" ref="AV506" si="1521">SUM(L506+O506+R506+U506+X506+AA506+AD506+AG506+AJ506+AM506+AP506+AS506)</f>
        <v>0</v>
      </c>
      <c r="AW506" s="83">
        <f t="shared" si="1155"/>
        <v>7</v>
      </c>
      <c r="AX506" s="64">
        <f t="shared" si="1517"/>
        <v>7</v>
      </c>
      <c r="AY506" s="65">
        <f t="shared" si="1518"/>
        <v>2.3333333333333335</v>
      </c>
      <c r="AZ506" s="66">
        <f t="shared" si="1519"/>
        <v>3</v>
      </c>
      <c r="BA506" s="67">
        <f>MAX(0, Table176252626[[#This Row],[Column6]])</f>
        <v>10</v>
      </c>
      <c r="BB506" s="68">
        <v>1</v>
      </c>
      <c r="BC506" s="84">
        <f t="shared" si="1210"/>
        <v>10</v>
      </c>
      <c r="BD506" s="83">
        <f t="shared" si="1195"/>
        <v>9</v>
      </c>
      <c r="BE506" s="85">
        <v>2</v>
      </c>
      <c r="BF506" s="86">
        <v>45685.696782407409</v>
      </c>
      <c r="BG506" s="72" t="e">
        <f t="shared" si="1265"/>
        <v>#REF!</v>
      </c>
      <c r="BH506" s="87" t="e">
        <f t="shared" si="1520"/>
        <v>#REF!</v>
      </c>
      <c r="BI506" s="80" t="e">
        <f t="shared" si="1197"/>
        <v>#REF!</v>
      </c>
      <c r="BJ506" s="238">
        <v>3200</v>
      </c>
    </row>
    <row r="507" spans="1:293" ht="13">
      <c r="A507" s="90"/>
      <c r="B507" s="91"/>
      <c r="C507" s="51">
        <v>505</v>
      </c>
      <c r="D507" s="127" t="s">
        <v>1665</v>
      </c>
      <c r="E507" s="127">
        <v>7</v>
      </c>
      <c r="F507" s="88" t="s">
        <v>1883</v>
      </c>
      <c r="G507" s="89" t="s">
        <v>1884</v>
      </c>
      <c r="H507" s="89" t="s">
        <v>1686</v>
      </c>
      <c r="I507" s="80" t="s">
        <v>458</v>
      </c>
      <c r="J507" s="93">
        <f t="shared" si="1505"/>
        <v>8</v>
      </c>
      <c r="K507" s="88">
        <v>10</v>
      </c>
      <c r="L507" s="58"/>
      <c r="M507" s="58"/>
      <c r="N507" s="62">
        <f t="shared" si="1506"/>
        <v>10</v>
      </c>
      <c r="O507" s="60"/>
      <c r="P507" s="58"/>
      <c r="Q507" s="62">
        <f t="shared" si="1507"/>
        <v>10</v>
      </c>
      <c r="R507" s="60"/>
      <c r="S507" s="58"/>
      <c r="T507" s="94">
        <f t="shared" si="1508"/>
        <v>10</v>
      </c>
      <c r="U507" s="60"/>
      <c r="V507" s="58"/>
      <c r="W507" s="62">
        <f t="shared" si="1509"/>
        <v>10</v>
      </c>
      <c r="X507" s="60"/>
      <c r="Y507" s="58"/>
      <c r="Z507" s="94">
        <f t="shared" si="1510"/>
        <v>10</v>
      </c>
      <c r="AA507" s="60"/>
      <c r="AB507" s="58"/>
      <c r="AC507" s="62">
        <f t="shared" si="1511"/>
        <v>10</v>
      </c>
      <c r="AD507" s="57"/>
      <c r="AE507" s="58">
        <v>2</v>
      </c>
      <c r="AF507" s="165">
        <f t="shared" si="1512"/>
        <v>8</v>
      </c>
      <c r="AG507" s="60"/>
      <c r="AH507" s="58"/>
      <c r="AI507" s="62">
        <f t="shared" si="1513"/>
        <v>8</v>
      </c>
      <c r="AJ507" s="60"/>
      <c r="AK507" s="58"/>
      <c r="AL507" s="62">
        <f t="shared" si="1514"/>
        <v>8</v>
      </c>
      <c r="AM507" s="60"/>
      <c r="AN507" s="58"/>
      <c r="AO507" s="62">
        <f t="shared" ref="AO507:AO515" si="1522">SUM(AL507+AM507-AN507)</f>
        <v>8</v>
      </c>
      <c r="AP507" s="60"/>
      <c r="AQ507" s="58"/>
      <c r="AR507" s="62">
        <f t="shared" ref="AR507:AR515" si="1523">SUM(AO507+AP507-AQ507)</f>
        <v>8</v>
      </c>
      <c r="AS507" s="60"/>
      <c r="AT507" s="58"/>
      <c r="AU507" s="62">
        <f t="shared" si="1515"/>
        <v>8</v>
      </c>
      <c r="AV507" s="96">
        <f>SUM(L507+O507+R507+U507+X507+AA507+AD507+AG507+AJ507+AM507+AP507+AS507)</f>
        <v>0</v>
      </c>
      <c r="AW507" s="83">
        <f t="shared" si="1155"/>
        <v>2</v>
      </c>
      <c r="AX507" s="98">
        <f t="shared" si="1517"/>
        <v>2</v>
      </c>
      <c r="AY507" s="99">
        <f t="shared" si="1518"/>
        <v>2</v>
      </c>
      <c r="AZ507" s="100">
        <f t="shared" si="1519"/>
        <v>1</v>
      </c>
      <c r="BA507" s="101">
        <v>8</v>
      </c>
      <c r="BB507" s="102">
        <v>1</v>
      </c>
      <c r="BC507" s="84">
        <f t="shared" si="1210"/>
        <v>8</v>
      </c>
      <c r="BD507" s="83">
        <f t="shared" si="1195"/>
        <v>7</v>
      </c>
      <c r="BE507" s="85">
        <v>2</v>
      </c>
      <c r="BF507" s="86">
        <v>45973</v>
      </c>
      <c r="BG507" s="72" t="e">
        <f t="shared" si="1265"/>
        <v>#REF!</v>
      </c>
      <c r="BH507" s="103" t="e">
        <f t="shared" si="1520"/>
        <v>#REF!</v>
      </c>
      <c r="BI507" s="80" t="e">
        <f t="shared" si="1197"/>
        <v>#REF!</v>
      </c>
      <c r="BJ507" s="238">
        <v>895</v>
      </c>
    </row>
    <row r="508" spans="1:293" ht="13">
      <c r="A508" s="49"/>
      <c r="B508" s="76"/>
      <c r="C508" s="77">
        <v>506</v>
      </c>
      <c r="D508" s="127" t="s">
        <v>1665</v>
      </c>
      <c r="E508" s="127">
        <v>8</v>
      </c>
      <c r="F508" s="80" t="s">
        <v>697</v>
      </c>
      <c r="G508" s="81" t="s">
        <v>695</v>
      </c>
      <c r="H508" s="89" t="s">
        <v>293</v>
      </c>
      <c r="I508" s="80" t="s">
        <v>458</v>
      </c>
      <c r="J508" s="93">
        <f t="shared" si="1505"/>
        <v>10</v>
      </c>
      <c r="K508" s="80">
        <v>15</v>
      </c>
      <c r="L508" s="57"/>
      <c r="M508" s="58"/>
      <c r="N508" s="59">
        <f t="shared" si="1506"/>
        <v>15</v>
      </c>
      <c r="O508" s="60"/>
      <c r="P508" s="58">
        <f>1+1</f>
        <v>2</v>
      </c>
      <c r="Q508" s="59">
        <f t="shared" si="1507"/>
        <v>13</v>
      </c>
      <c r="R508" s="60"/>
      <c r="S508" s="58">
        <v>2</v>
      </c>
      <c r="T508" s="61">
        <f t="shared" si="1508"/>
        <v>11</v>
      </c>
      <c r="U508" s="60"/>
      <c r="V508" s="58">
        <v>1</v>
      </c>
      <c r="W508" s="59">
        <f t="shared" si="1509"/>
        <v>10</v>
      </c>
      <c r="X508" s="60"/>
      <c r="Y508" s="58"/>
      <c r="Z508" s="61">
        <f t="shared" si="1510"/>
        <v>10</v>
      </c>
      <c r="AA508" s="60"/>
      <c r="AB508" s="58"/>
      <c r="AC508" s="59">
        <f t="shared" si="1511"/>
        <v>10</v>
      </c>
      <c r="AD508" s="57"/>
      <c r="AE508" s="58"/>
      <c r="AF508" s="243">
        <f t="shared" si="1512"/>
        <v>10</v>
      </c>
      <c r="AG508" s="60"/>
      <c r="AH508" s="58"/>
      <c r="AI508" s="62">
        <f t="shared" si="1513"/>
        <v>10</v>
      </c>
      <c r="AJ508" s="60"/>
      <c r="AK508" s="58"/>
      <c r="AL508" s="62">
        <f t="shared" si="1514"/>
        <v>10</v>
      </c>
      <c r="AM508" s="60"/>
      <c r="AN508" s="58"/>
      <c r="AO508" s="62">
        <f t="shared" si="1522"/>
        <v>10</v>
      </c>
      <c r="AP508" s="60"/>
      <c r="AQ508" s="58"/>
      <c r="AR508" s="62">
        <f t="shared" si="1523"/>
        <v>10</v>
      </c>
      <c r="AS508" s="60"/>
      <c r="AT508" s="58"/>
      <c r="AU508" s="62">
        <f t="shared" si="1515"/>
        <v>10</v>
      </c>
      <c r="AV508" s="83">
        <f t="shared" ref="AV508" si="1524">SUM(L508+O508+R508+U508+X508+AA508+AD508+AG508+AJ508+AM508+AP508+AS508)</f>
        <v>0</v>
      </c>
      <c r="AW508" s="83">
        <f t="shared" si="1155"/>
        <v>5</v>
      </c>
      <c r="AX508" s="64">
        <f t="shared" si="1517"/>
        <v>5</v>
      </c>
      <c r="AY508" s="65">
        <f t="shared" si="1518"/>
        <v>1.6666666666666667</v>
      </c>
      <c r="AZ508" s="66">
        <f t="shared" si="1519"/>
        <v>3</v>
      </c>
      <c r="BA508" s="67">
        <f>MAX(0, Table176252626[[#This Row],[Column6]])</f>
        <v>10</v>
      </c>
      <c r="BB508" s="68">
        <v>1</v>
      </c>
      <c r="BC508" s="84">
        <f t="shared" si="1210"/>
        <v>10</v>
      </c>
      <c r="BD508" s="83">
        <f t="shared" si="1195"/>
        <v>9</v>
      </c>
      <c r="BE508" s="85">
        <v>2</v>
      </c>
      <c r="BF508" s="86">
        <v>45643.404652777775</v>
      </c>
      <c r="BG508" s="72" t="e">
        <f t="shared" si="1265"/>
        <v>#REF!</v>
      </c>
      <c r="BH508" s="87" t="e">
        <f t="shared" si="1520"/>
        <v>#REF!</v>
      </c>
      <c r="BI508" s="80" t="e">
        <f t="shared" si="1197"/>
        <v>#REF!</v>
      </c>
      <c r="BJ508" s="238">
        <v>1913</v>
      </c>
    </row>
    <row r="509" spans="1:293" ht="13">
      <c r="A509" s="75"/>
      <c r="B509" s="76"/>
      <c r="C509" s="77">
        <v>507</v>
      </c>
      <c r="D509" s="127" t="s">
        <v>1665</v>
      </c>
      <c r="E509" s="127">
        <v>9</v>
      </c>
      <c r="F509" s="80" t="s">
        <v>1072</v>
      </c>
      <c r="G509" s="81" t="s">
        <v>1071</v>
      </c>
      <c r="H509" s="81" t="s">
        <v>293</v>
      </c>
      <c r="I509" s="80" t="s">
        <v>458</v>
      </c>
      <c r="J509" s="82">
        <f t="shared" si="1505"/>
        <v>5</v>
      </c>
      <c r="K509" s="80">
        <v>5</v>
      </c>
      <c r="L509" s="57"/>
      <c r="M509" s="58"/>
      <c r="N509" s="59">
        <f t="shared" si="1506"/>
        <v>5</v>
      </c>
      <c r="O509" s="60"/>
      <c r="P509" s="58"/>
      <c r="Q509" s="59">
        <f t="shared" si="1507"/>
        <v>5</v>
      </c>
      <c r="R509" s="60"/>
      <c r="S509" s="58"/>
      <c r="T509" s="61">
        <f t="shared" si="1508"/>
        <v>5</v>
      </c>
      <c r="U509" s="60"/>
      <c r="V509" s="58"/>
      <c r="W509" s="59">
        <f t="shared" si="1509"/>
        <v>5</v>
      </c>
      <c r="X509" s="60"/>
      <c r="Y509" s="58"/>
      <c r="Z509" s="61">
        <f t="shared" si="1510"/>
        <v>5</v>
      </c>
      <c r="AA509" s="60"/>
      <c r="AB509" s="58"/>
      <c r="AC509" s="59">
        <f t="shared" si="1511"/>
        <v>5</v>
      </c>
      <c r="AD509" s="57"/>
      <c r="AE509" s="58"/>
      <c r="AF509" s="243">
        <f t="shared" si="1512"/>
        <v>5</v>
      </c>
      <c r="AG509" s="60"/>
      <c r="AH509" s="58"/>
      <c r="AI509" s="62">
        <f t="shared" si="1513"/>
        <v>5</v>
      </c>
      <c r="AJ509" s="60"/>
      <c r="AK509" s="58"/>
      <c r="AL509" s="62">
        <f t="shared" si="1514"/>
        <v>5</v>
      </c>
      <c r="AM509" s="60"/>
      <c r="AN509" s="58"/>
      <c r="AO509" s="62">
        <f t="shared" si="1522"/>
        <v>5</v>
      </c>
      <c r="AP509" s="60"/>
      <c r="AQ509" s="58"/>
      <c r="AR509" s="104">
        <f t="shared" si="1523"/>
        <v>5</v>
      </c>
      <c r="AS509" s="57"/>
      <c r="AT509" s="58"/>
      <c r="AU509" s="62">
        <f t="shared" si="1515"/>
        <v>5</v>
      </c>
      <c r="AV509" s="84">
        <f>SUM(L509+O509+R509+U509+X509+AA509+AD509+AG509+AJ509+AM509+AP509+AS509)</f>
        <v>0</v>
      </c>
      <c r="AW509" s="83">
        <f t="shared" si="1155"/>
        <v>0</v>
      </c>
      <c r="AX509" s="64">
        <f t="shared" si="1517"/>
        <v>0</v>
      </c>
      <c r="AY509" s="65" t="e">
        <f t="shared" si="1518"/>
        <v>#DIV/0!</v>
      </c>
      <c r="AZ509" s="66">
        <f t="shared" si="1519"/>
        <v>0</v>
      </c>
      <c r="BA509" s="67">
        <f>MAX(0, Table176252626[[#This Row],[Column6]])</f>
        <v>5</v>
      </c>
      <c r="BB509" s="68">
        <v>1</v>
      </c>
      <c r="BC509" s="84">
        <f t="shared" si="1210"/>
        <v>5</v>
      </c>
      <c r="BD509" s="83">
        <f t="shared" si="1195"/>
        <v>4</v>
      </c>
      <c r="BE509" s="85">
        <v>2</v>
      </c>
      <c r="BF509" s="86">
        <v>45693.496481481481</v>
      </c>
      <c r="BG509" s="72" t="e">
        <f t="shared" si="1265"/>
        <v>#REF!</v>
      </c>
      <c r="BH509" s="107" t="e">
        <f t="shared" si="1520"/>
        <v>#REF!</v>
      </c>
      <c r="BI509" s="80" t="e">
        <f t="shared" si="1197"/>
        <v>#REF!</v>
      </c>
      <c r="BJ509" s="238">
        <v>12000</v>
      </c>
    </row>
    <row r="510" spans="1:293" ht="13">
      <c r="A510" s="49"/>
      <c r="B510" s="50"/>
      <c r="C510" s="51">
        <v>508</v>
      </c>
      <c r="D510" s="144" t="s">
        <v>1531</v>
      </c>
      <c r="E510" s="144">
        <v>1</v>
      </c>
      <c r="F510" s="80" t="s">
        <v>481</v>
      </c>
      <c r="G510" s="81" t="s">
        <v>854</v>
      </c>
      <c r="H510" s="81" t="s">
        <v>293</v>
      </c>
      <c r="I510" s="80" t="s">
        <v>458</v>
      </c>
      <c r="J510" s="82">
        <f t="shared" ref="J510:J516" si="1525">AU510</f>
        <v>2</v>
      </c>
      <c r="K510" s="80">
        <v>1</v>
      </c>
      <c r="L510" s="57"/>
      <c r="M510" s="58"/>
      <c r="N510" s="59">
        <f>SUM(K510+L510-M510)</f>
        <v>1</v>
      </c>
      <c r="O510" s="60">
        <v>2</v>
      </c>
      <c r="P510" s="58"/>
      <c r="Q510" s="59">
        <f>SUM(N510+O510-P510)</f>
        <v>3</v>
      </c>
      <c r="R510" s="60"/>
      <c r="S510" s="58"/>
      <c r="T510" s="61">
        <f t="shared" ref="T510:T515" si="1526">SUM(Q510+R510-S510)</f>
        <v>3</v>
      </c>
      <c r="U510" s="60"/>
      <c r="V510" s="58"/>
      <c r="W510" s="59">
        <f t="shared" ref="W510:W515" si="1527">SUM(T510+U510-V510)</f>
        <v>3</v>
      </c>
      <c r="X510" s="60"/>
      <c r="Y510" s="58"/>
      <c r="Z510" s="61">
        <f t="shared" ref="Z510:Z515" si="1528">SUM(W510+X510-Y510)</f>
        <v>3</v>
      </c>
      <c r="AA510" s="60"/>
      <c r="AB510" s="58"/>
      <c r="AC510" s="59">
        <f t="shared" ref="AC510:AC515" si="1529">SUM(Z510+AA510-AB510)</f>
        <v>3</v>
      </c>
      <c r="AD510" s="57"/>
      <c r="AE510" s="58">
        <v>1</v>
      </c>
      <c r="AF510" s="243">
        <f t="shared" ref="AF510:AF515" si="1530">SUM(AC510+AD510-AE510)</f>
        <v>2</v>
      </c>
      <c r="AG510" s="60"/>
      <c r="AH510" s="58"/>
      <c r="AI510" s="62">
        <f>SUM(AF510+AG510-AH510)</f>
        <v>2</v>
      </c>
      <c r="AJ510" s="60"/>
      <c r="AK510" s="58"/>
      <c r="AL510" s="62">
        <f>SUM(AI510+AJ510-AK510)</f>
        <v>2</v>
      </c>
      <c r="AM510" s="60"/>
      <c r="AN510" s="58"/>
      <c r="AO510" s="62">
        <f t="shared" si="1522"/>
        <v>2</v>
      </c>
      <c r="AP510" s="60"/>
      <c r="AQ510" s="58"/>
      <c r="AR510" s="62">
        <f t="shared" si="1523"/>
        <v>2</v>
      </c>
      <c r="AS510" s="60"/>
      <c r="AT510" s="58"/>
      <c r="AU510" s="62">
        <f>SUM(AR510+AS510-AT510)</f>
        <v>2</v>
      </c>
      <c r="AV510" s="83">
        <f>SUM(L510+O510+R510+U510+X510+AA510+AD510+AG510+AJ510+AM510+AP510+AS510)</f>
        <v>2</v>
      </c>
      <c r="AW510" s="83">
        <f>SUM(M510+P510+S510+V510+Y510+AB510+AE510+AH510+AK510+AN510+AQ510+AT510)</f>
        <v>1</v>
      </c>
      <c r="AX510" s="64">
        <f>SUM(M510,P510,S510,V510,Y510,AB510,AE510,AH510,AK510,AN510,AQ510,AT510)</f>
        <v>1</v>
      </c>
      <c r="AY510" s="65">
        <f>AVERAGE(M510,P510,S510,V510,Y510,AB510,AE510,AH510,AK510,AN510,AQ510,AT510)</f>
        <v>1</v>
      </c>
      <c r="AZ510" s="66">
        <f>COUNT(M510,P510,S510,V510,Y510,AB510,AE510,AH510,AK510,AN510,AQ510,AT510)</f>
        <v>1</v>
      </c>
      <c r="BA510" s="67">
        <f>MAX(0, Table176252626[[#This Row],[Column6]])</f>
        <v>2</v>
      </c>
      <c r="BB510" s="68">
        <v>1</v>
      </c>
      <c r="BC510" s="84">
        <f>J510</f>
        <v>2</v>
      </c>
      <c r="BD510" s="83">
        <f>SUM(BC510-BB510)</f>
        <v>1</v>
      </c>
      <c r="BE510" s="85">
        <v>2</v>
      </c>
      <c r="BF510" s="86">
        <v>46060</v>
      </c>
      <c r="BG510" s="72" t="e">
        <f t="shared" si="1265"/>
        <v>#REF!</v>
      </c>
      <c r="BH510" s="87" t="e">
        <f>BG510-BF510</f>
        <v>#REF!</v>
      </c>
      <c r="BI510" s="80" t="e">
        <f>IF(AND(J510&gt;0,BH510&gt;365),"Dead Stock","")</f>
        <v>#REF!</v>
      </c>
      <c r="BJ510" s="238">
        <v>3346</v>
      </c>
    </row>
    <row r="511" spans="1:293" ht="13">
      <c r="A511" s="49"/>
      <c r="B511" s="50"/>
      <c r="C511" s="51">
        <v>509</v>
      </c>
      <c r="D511" s="144" t="s">
        <v>1531</v>
      </c>
      <c r="E511" s="144">
        <v>2</v>
      </c>
      <c r="F511" s="80" t="s">
        <v>1257</v>
      </c>
      <c r="G511" s="81" t="s">
        <v>2045</v>
      </c>
      <c r="H511" s="81" t="s">
        <v>290</v>
      </c>
      <c r="I511" s="80" t="s">
        <v>458</v>
      </c>
      <c r="J511" s="56">
        <f t="shared" si="1525"/>
        <v>1</v>
      </c>
      <c r="K511" s="54">
        <v>1</v>
      </c>
      <c r="L511" s="58"/>
      <c r="M511" s="58"/>
      <c r="N511" s="62">
        <f t="shared" ref="N511:N513" si="1531">SUM(K511+L511-M511)</f>
        <v>1</v>
      </c>
      <c r="O511" s="60"/>
      <c r="P511" s="58"/>
      <c r="Q511" s="62">
        <f t="shared" ref="Q511:Q513" si="1532">SUM(N511+O511-P511)</f>
        <v>1</v>
      </c>
      <c r="R511" s="60"/>
      <c r="S511" s="58">
        <v>1</v>
      </c>
      <c r="T511" s="94">
        <f t="shared" si="1526"/>
        <v>0</v>
      </c>
      <c r="U511" s="60"/>
      <c r="V511" s="58"/>
      <c r="W511" s="62">
        <f t="shared" si="1527"/>
        <v>0</v>
      </c>
      <c r="X511" s="60">
        <v>1</v>
      </c>
      <c r="Y511" s="58"/>
      <c r="Z511" s="94">
        <f t="shared" si="1528"/>
        <v>1</v>
      </c>
      <c r="AA511" s="60"/>
      <c r="AB511" s="58"/>
      <c r="AC511" s="62">
        <f t="shared" si="1529"/>
        <v>1</v>
      </c>
      <c r="AD511" s="57">
        <v>1</v>
      </c>
      <c r="AE511" s="58">
        <v>1</v>
      </c>
      <c r="AF511" s="165">
        <f t="shared" si="1530"/>
        <v>1</v>
      </c>
      <c r="AG511" s="60"/>
      <c r="AH511" s="58"/>
      <c r="AI511" s="62">
        <f t="shared" ref="AI511:AI513" si="1533">SUM(AF511+AG511-AH511)</f>
        <v>1</v>
      </c>
      <c r="AJ511" s="60"/>
      <c r="AK511" s="58"/>
      <c r="AL511" s="62">
        <f t="shared" ref="AL511:AL513" si="1534">SUM(AI511+AJ511-AK511)</f>
        <v>1</v>
      </c>
      <c r="AM511" s="60"/>
      <c r="AN511" s="58"/>
      <c r="AO511" s="62">
        <f t="shared" si="1522"/>
        <v>1</v>
      </c>
      <c r="AP511" s="60"/>
      <c r="AQ511" s="58"/>
      <c r="AR511" s="62">
        <f t="shared" si="1523"/>
        <v>1</v>
      </c>
      <c r="AS511" s="60"/>
      <c r="AT511" s="58"/>
      <c r="AU511" s="62">
        <f t="shared" ref="AU511:AU513" si="1535">SUM(AR511+AS511-AT511)</f>
        <v>1</v>
      </c>
      <c r="AV511" s="123">
        <f t="shared" ref="AV511" si="1536">SUM(L511+O511+R511+U511+X511+AA511+AD511+AG511+AJ511+AM511+AP511+AS511)</f>
        <v>2</v>
      </c>
      <c r="AW511" s="83">
        <f t="shared" si="1155"/>
        <v>2</v>
      </c>
      <c r="AX511" s="64">
        <f t="shared" ref="AX511:AX513" si="1537">SUM(M511,P511,S511,V511,Y511,AB511,AE511,AH511,AK511,AN511,AQ511,AT511)</f>
        <v>2</v>
      </c>
      <c r="AY511" s="65">
        <f t="shared" ref="AY511:AY513" si="1538">AVERAGE(M511,P511,S511,V511,Y511,AB511,AE511,AH511,AK511,AN511,AQ511,AT511)</f>
        <v>1</v>
      </c>
      <c r="AZ511" s="66">
        <f t="shared" ref="AZ511:AZ513" si="1539">COUNT(M511,P511,S511,V511,Y511,AB511,AE511,AH511,AK511,AN511,AQ511,AT511)</f>
        <v>2</v>
      </c>
      <c r="BA511" s="67">
        <f>MAX(0, Table176252626[[#This Row],[Column6]])</f>
        <v>1</v>
      </c>
      <c r="BB511" s="68">
        <v>0</v>
      </c>
      <c r="BC511" s="84">
        <f t="shared" ref="BC511:BC571" si="1540">J511</f>
        <v>1</v>
      </c>
      <c r="BD511" s="83">
        <f t="shared" ref="BD511:BD570" si="1541">SUM(BC511-BB511)</f>
        <v>1</v>
      </c>
      <c r="BE511" s="85">
        <v>2</v>
      </c>
      <c r="BF511" s="86">
        <v>46227</v>
      </c>
      <c r="BG511" s="72" t="e">
        <f t="shared" si="1265"/>
        <v>#REF!</v>
      </c>
      <c r="BH511" s="107" t="e">
        <f t="shared" ref="BH511:BH513" si="1542">BG511-BF511</f>
        <v>#REF!</v>
      </c>
      <c r="BI511" s="80" t="e">
        <f t="shared" ref="BI511:BI570" si="1543">IF(AND(J511&gt;0,BH511&gt;365),"Dead Stock","")</f>
        <v>#REF!</v>
      </c>
      <c r="BJ511" s="238">
        <v>1870</v>
      </c>
    </row>
    <row r="512" spans="1:293" ht="13">
      <c r="A512" s="49"/>
      <c r="B512" s="50"/>
      <c r="C512" s="51">
        <v>510</v>
      </c>
      <c r="D512" s="144" t="s">
        <v>1531</v>
      </c>
      <c r="E512" s="144">
        <v>3</v>
      </c>
      <c r="F512" s="88" t="s">
        <v>1771</v>
      </c>
      <c r="G512" s="89" t="s">
        <v>1772</v>
      </c>
      <c r="H512" s="89" t="s">
        <v>1773</v>
      </c>
      <c r="I512" s="80" t="s">
        <v>458</v>
      </c>
      <c r="J512" s="93">
        <f t="shared" si="1525"/>
        <v>2</v>
      </c>
      <c r="K512" s="80">
        <v>2</v>
      </c>
      <c r="L512" s="58"/>
      <c r="M512" s="58"/>
      <c r="N512" s="62">
        <f t="shared" si="1531"/>
        <v>2</v>
      </c>
      <c r="O512" s="60"/>
      <c r="P512" s="58"/>
      <c r="Q512" s="62">
        <f t="shared" si="1532"/>
        <v>2</v>
      </c>
      <c r="R512" s="60"/>
      <c r="S512" s="58"/>
      <c r="T512" s="94">
        <f t="shared" si="1526"/>
        <v>2</v>
      </c>
      <c r="U512" s="60"/>
      <c r="V512" s="58"/>
      <c r="W512" s="62">
        <f t="shared" si="1527"/>
        <v>2</v>
      </c>
      <c r="X512" s="60"/>
      <c r="Y512" s="58"/>
      <c r="Z512" s="94">
        <f t="shared" si="1528"/>
        <v>2</v>
      </c>
      <c r="AA512" s="60"/>
      <c r="AB512" s="58"/>
      <c r="AC512" s="62">
        <f t="shared" si="1529"/>
        <v>2</v>
      </c>
      <c r="AD512" s="57"/>
      <c r="AE512" s="58"/>
      <c r="AF512" s="165">
        <f t="shared" si="1530"/>
        <v>2</v>
      </c>
      <c r="AG512" s="60"/>
      <c r="AH512" s="58"/>
      <c r="AI512" s="62">
        <f t="shared" si="1533"/>
        <v>2</v>
      </c>
      <c r="AJ512" s="60"/>
      <c r="AK512" s="58"/>
      <c r="AL512" s="62">
        <f t="shared" si="1534"/>
        <v>2</v>
      </c>
      <c r="AM512" s="60"/>
      <c r="AN512" s="58"/>
      <c r="AO512" s="62">
        <f t="shared" si="1522"/>
        <v>2</v>
      </c>
      <c r="AP512" s="60"/>
      <c r="AQ512" s="58"/>
      <c r="AR512" s="62">
        <f t="shared" si="1523"/>
        <v>2</v>
      </c>
      <c r="AS512" s="60"/>
      <c r="AT512" s="58"/>
      <c r="AU512" s="62">
        <f t="shared" si="1535"/>
        <v>2</v>
      </c>
      <c r="AV512" s="96">
        <f t="shared" ref="AV512:AV525" si="1544">SUM(L512+O512+R512+U512+X512+AA512+AD512+AG512+AJ512+AM512+AP512+AS512)</f>
        <v>0</v>
      </c>
      <c r="AW512" s="83">
        <f t="shared" si="1155"/>
        <v>0</v>
      </c>
      <c r="AX512" s="98">
        <f t="shared" si="1537"/>
        <v>0</v>
      </c>
      <c r="AY512" s="99" t="e">
        <f t="shared" si="1538"/>
        <v>#DIV/0!</v>
      </c>
      <c r="AZ512" s="100">
        <f t="shared" si="1539"/>
        <v>0</v>
      </c>
      <c r="BA512" s="101">
        <v>2</v>
      </c>
      <c r="BB512" s="102">
        <v>1</v>
      </c>
      <c r="BC512" s="84">
        <f t="shared" si="1540"/>
        <v>2</v>
      </c>
      <c r="BD512" s="83">
        <f t="shared" si="1541"/>
        <v>1</v>
      </c>
      <c r="BE512" s="85">
        <v>2</v>
      </c>
      <c r="BF512" s="86">
        <v>45423.403287037036</v>
      </c>
      <c r="BG512" s="72" t="e">
        <f t="shared" si="1265"/>
        <v>#REF!</v>
      </c>
      <c r="BH512" s="103" t="e">
        <f t="shared" si="1542"/>
        <v>#REF!</v>
      </c>
      <c r="BI512" s="80" t="e">
        <f t="shared" si="1543"/>
        <v>#REF!</v>
      </c>
      <c r="BJ512" s="238">
        <v>1100</v>
      </c>
    </row>
    <row r="513" spans="1:62" ht="13">
      <c r="A513" s="90"/>
      <c r="B513" s="91"/>
      <c r="C513" s="51">
        <v>511</v>
      </c>
      <c r="D513" s="144" t="s">
        <v>1531</v>
      </c>
      <c r="E513" s="144">
        <v>4</v>
      </c>
      <c r="F513" s="88" t="s">
        <v>1856</v>
      </c>
      <c r="G513" s="89" t="s">
        <v>1857</v>
      </c>
      <c r="H513" s="81" t="s">
        <v>1700</v>
      </c>
      <c r="I513" s="80" t="s">
        <v>458</v>
      </c>
      <c r="J513" s="93">
        <f t="shared" si="1525"/>
        <v>1</v>
      </c>
      <c r="K513" s="88">
        <v>1</v>
      </c>
      <c r="L513" s="58"/>
      <c r="M513" s="58"/>
      <c r="N513" s="62">
        <f t="shared" si="1531"/>
        <v>1</v>
      </c>
      <c r="O513" s="60"/>
      <c r="P513" s="58"/>
      <c r="Q513" s="62">
        <f t="shared" si="1532"/>
        <v>1</v>
      </c>
      <c r="R513" s="60"/>
      <c r="S513" s="58"/>
      <c r="T513" s="94">
        <f t="shared" si="1526"/>
        <v>1</v>
      </c>
      <c r="U513" s="60"/>
      <c r="V513" s="58"/>
      <c r="W513" s="62">
        <f t="shared" si="1527"/>
        <v>1</v>
      </c>
      <c r="X513" s="60"/>
      <c r="Y513" s="58"/>
      <c r="Z513" s="94">
        <f t="shared" si="1528"/>
        <v>1</v>
      </c>
      <c r="AA513" s="60"/>
      <c r="AB513" s="58"/>
      <c r="AC513" s="62">
        <f t="shared" si="1529"/>
        <v>1</v>
      </c>
      <c r="AD513" s="57"/>
      <c r="AE513" s="58"/>
      <c r="AF513" s="165">
        <f t="shared" si="1530"/>
        <v>1</v>
      </c>
      <c r="AG513" s="60"/>
      <c r="AH513" s="58"/>
      <c r="AI513" s="62">
        <f t="shared" si="1533"/>
        <v>1</v>
      </c>
      <c r="AJ513" s="60"/>
      <c r="AK513" s="58"/>
      <c r="AL513" s="62">
        <f t="shared" si="1534"/>
        <v>1</v>
      </c>
      <c r="AM513" s="60"/>
      <c r="AN513" s="58"/>
      <c r="AO513" s="62">
        <f t="shared" si="1522"/>
        <v>1</v>
      </c>
      <c r="AP513" s="60"/>
      <c r="AQ513" s="58"/>
      <c r="AR513" s="62">
        <f t="shared" si="1523"/>
        <v>1</v>
      </c>
      <c r="AS513" s="60"/>
      <c r="AT513" s="58"/>
      <c r="AU513" s="62">
        <f t="shared" si="1535"/>
        <v>1</v>
      </c>
      <c r="AV513" s="96">
        <f t="shared" si="1544"/>
        <v>0</v>
      </c>
      <c r="AW513" s="83">
        <f t="shared" si="1155"/>
        <v>0</v>
      </c>
      <c r="AX513" s="98">
        <f t="shared" si="1537"/>
        <v>0</v>
      </c>
      <c r="AY513" s="99" t="e">
        <f t="shared" si="1538"/>
        <v>#DIV/0!</v>
      </c>
      <c r="AZ513" s="100">
        <f t="shared" si="1539"/>
        <v>0</v>
      </c>
      <c r="BA513" s="101">
        <v>1</v>
      </c>
      <c r="BB513" s="102">
        <v>0</v>
      </c>
      <c r="BC513" s="84">
        <f t="shared" si="1540"/>
        <v>1</v>
      </c>
      <c r="BD513" s="83">
        <f t="shared" si="1541"/>
        <v>1</v>
      </c>
      <c r="BE513" s="85">
        <v>2</v>
      </c>
      <c r="BF513" s="86">
        <v>45980</v>
      </c>
      <c r="BG513" s="72" t="e">
        <f t="shared" si="1265"/>
        <v>#REF!</v>
      </c>
      <c r="BH513" s="103" t="e">
        <f t="shared" si="1542"/>
        <v>#REF!</v>
      </c>
      <c r="BI513" s="80" t="e">
        <f t="shared" si="1543"/>
        <v>#REF!</v>
      </c>
      <c r="BJ513" s="238">
        <v>4800</v>
      </c>
    </row>
    <row r="514" spans="1:62" ht="13">
      <c r="A514" s="75"/>
      <c r="B514" s="76"/>
      <c r="C514" s="77">
        <v>512</v>
      </c>
      <c r="D514" s="144" t="s">
        <v>1531</v>
      </c>
      <c r="E514" s="144">
        <v>5</v>
      </c>
      <c r="F514" s="88" t="s">
        <v>1624</v>
      </c>
      <c r="G514" s="89" t="s">
        <v>1626</v>
      </c>
      <c r="H514" s="89" t="s">
        <v>1628</v>
      </c>
      <c r="I514" s="80" t="s">
        <v>458</v>
      </c>
      <c r="J514" s="93">
        <f t="shared" si="1525"/>
        <v>4</v>
      </c>
      <c r="K514" s="88">
        <v>0</v>
      </c>
      <c r="L514" s="58"/>
      <c r="M514" s="58"/>
      <c r="N514" s="62">
        <f>SUM(K514+L514-M514)</f>
        <v>0</v>
      </c>
      <c r="O514" s="60"/>
      <c r="P514" s="58"/>
      <c r="Q514" s="62">
        <f>SUM(N514+O514-P514)</f>
        <v>0</v>
      </c>
      <c r="R514" s="60"/>
      <c r="S514" s="58"/>
      <c r="T514" s="94">
        <f t="shared" si="1526"/>
        <v>0</v>
      </c>
      <c r="U514" s="60"/>
      <c r="V514" s="58"/>
      <c r="W514" s="62">
        <f t="shared" si="1527"/>
        <v>0</v>
      </c>
      <c r="X514" s="60"/>
      <c r="Y514" s="58"/>
      <c r="Z514" s="94">
        <f t="shared" si="1528"/>
        <v>0</v>
      </c>
      <c r="AA514" s="60">
        <v>4</v>
      </c>
      <c r="AB514" s="58"/>
      <c r="AC514" s="62">
        <f t="shared" si="1529"/>
        <v>4</v>
      </c>
      <c r="AD514" s="57"/>
      <c r="AE514" s="58"/>
      <c r="AF514" s="165">
        <f t="shared" si="1530"/>
        <v>4</v>
      </c>
      <c r="AG514" s="60"/>
      <c r="AH514" s="58"/>
      <c r="AI514" s="62">
        <f>SUM(AF514+AG514-AH514)</f>
        <v>4</v>
      </c>
      <c r="AJ514" s="60"/>
      <c r="AK514" s="58"/>
      <c r="AL514" s="62">
        <f>SUM(AI514+AJ514-AK514)</f>
        <v>4</v>
      </c>
      <c r="AM514" s="60"/>
      <c r="AN514" s="58"/>
      <c r="AO514" s="62">
        <f t="shared" si="1522"/>
        <v>4</v>
      </c>
      <c r="AP514" s="60"/>
      <c r="AQ514" s="58"/>
      <c r="AR514" s="62">
        <f t="shared" si="1523"/>
        <v>4</v>
      </c>
      <c r="AS514" s="60"/>
      <c r="AT514" s="58"/>
      <c r="AU514" s="62">
        <f>SUM(AR514+AS514-AT514)</f>
        <v>4</v>
      </c>
      <c r="AV514" s="96">
        <f>SUM(L514+O514+R514+U514+X514+AA514+AD514+AG514+AJ514+AM514+AP514+AS514)</f>
        <v>4</v>
      </c>
      <c r="AW514" s="83">
        <f>SUM(M514+P514+S514+V514+Y514+AB514+AE514+AH514+AK514+AN514+AQ514+AT514)</f>
        <v>0</v>
      </c>
      <c r="AX514" s="98">
        <f>SUM(M514,P514,S514,V514,Y514,AB514,AE514,AH514,AK514,AN514,AQ514,AT514)</f>
        <v>0</v>
      </c>
      <c r="AY514" s="99" t="e">
        <f>AVERAGE(M514,P514,S514,V514,Y514,AB514,AE514,AH514,AK514,AN514,AQ514,AT514)</f>
        <v>#DIV/0!</v>
      </c>
      <c r="AZ514" s="100">
        <f>COUNT(M514,P514,S514,V514,Y514,AB514,AE514,AH514,AK514,AN514,AQ514,AT514)</f>
        <v>0</v>
      </c>
      <c r="BA514" s="101">
        <f>MAX(M514,P514,S514,V514,Y514,AB514,AE514,AH514,AK514,AN514,AQ514,AT514)</f>
        <v>0</v>
      </c>
      <c r="BB514" s="102">
        <v>0</v>
      </c>
      <c r="BC514" s="84">
        <f>J514</f>
        <v>4</v>
      </c>
      <c r="BD514" s="83">
        <f>SUM(BC514-BB514)</f>
        <v>4</v>
      </c>
      <c r="BE514" s="85">
        <v>2</v>
      </c>
      <c r="BF514" s="86">
        <v>45573.48914351852</v>
      </c>
      <c r="BG514" s="72" t="e">
        <f t="shared" si="1265"/>
        <v>#REF!</v>
      </c>
      <c r="BH514" s="109" t="e">
        <f>BG514-BF514</f>
        <v>#REF!</v>
      </c>
      <c r="BI514" s="80" t="e">
        <f>IF(AND(J514&gt;0,BH514&gt;365),"Dead Stock","")</f>
        <v>#REF!</v>
      </c>
      <c r="BJ514" s="238">
        <v>9500</v>
      </c>
    </row>
    <row r="515" spans="1:62" ht="13">
      <c r="A515" s="49"/>
      <c r="B515" s="50"/>
      <c r="C515" s="77">
        <v>513</v>
      </c>
      <c r="D515" s="144" t="s">
        <v>1531</v>
      </c>
      <c r="E515" s="144">
        <v>6</v>
      </c>
      <c r="F515" s="88" t="s">
        <v>1625</v>
      </c>
      <c r="G515" s="89" t="s">
        <v>1627</v>
      </c>
      <c r="H515" s="89" t="s">
        <v>1628</v>
      </c>
      <c r="I515" s="80" t="s">
        <v>458</v>
      </c>
      <c r="J515" s="93">
        <f t="shared" si="1525"/>
        <v>4</v>
      </c>
      <c r="K515" s="80">
        <v>0</v>
      </c>
      <c r="L515" s="58"/>
      <c r="M515" s="58"/>
      <c r="N515" s="62">
        <f>SUM(K515+L515-M515)</f>
        <v>0</v>
      </c>
      <c r="O515" s="60"/>
      <c r="P515" s="58"/>
      <c r="Q515" s="62">
        <f>SUM(N515+O515-P515)</f>
        <v>0</v>
      </c>
      <c r="R515" s="60"/>
      <c r="S515" s="58"/>
      <c r="T515" s="94">
        <f t="shared" si="1526"/>
        <v>0</v>
      </c>
      <c r="U515" s="60"/>
      <c r="V515" s="58"/>
      <c r="W515" s="62">
        <f t="shared" si="1527"/>
        <v>0</v>
      </c>
      <c r="X515" s="60">
        <v>4</v>
      </c>
      <c r="Y515" s="58"/>
      <c r="Z515" s="94">
        <f t="shared" si="1528"/>
        <v>4</v>
      </c>
      <c r="AA515" s="60"/>
      <c r="AB515" s="58"/>
      <c r="AC515" s="62">
        <f t="shared" si="1529"/>
        <v>4</v>
      </c>
      <c r="AD515" s="57"/>
      <c r="AE515" s="58"/>
      <c r="AF515" s="165">
        <f t="shared" si="1530"/>
        <v>4</v>
      </c>
      <c r="AG515" s="60"/>
      <c r="AH515" s="58"/>
      <c r="AI515" s="62">
        <f>SUM(AF515+AG515-AH515)</f>
        <v>4</v>
      </c>
      <c r="AJ515" s="60"/>
      <c r="AK515" s="58"/>
      <c r="AL515" s="62">
        <f>SUM(AI515+AJ515-AK515)</f>
        <v>4</v>
      </c>
      <c r="AM515" s="60"/>
      <c r="AN515" s="58"/>
      <c r="AO515" s="62">
        <f t="shared" si="1522"/>
        <v>4</v>
      </c>
      <c r="AP515" s="60"/>
      <c r="AQ515" s="58"/>
      <c r="AR515" s="62">
        <f t="shared" si="1523"/>
        <v>4</v>
      </c>
      <c r="AS515" s="60"/>
      <c r="AT515" s="58"/>
      <c r="AU515" s="62">
        <f>SUM(AR515+AS515-AT515)</f>
        <v>4</v>
      </c>
      <c r="AV515" s="96">
        <f t="shared" ref="AV515:AW515" si="1545">SUM(L515+O515+R515+U515+X515+AA515+AD515+AG515+AJ515+AM515+AP515+AS515)</f>
        <v>4</v>
      </c>
      <c r="AW515" s="83">
        <f t="shared" si="1545"/>
        <v>0</v>
      </c>
      <c r="AX515" s="98">
        <f>SUM(M515,P515,S515,V515,Y515,AB515,AE515,AH515,AK515,AN515,AQ515,AT515)</f>
        <v>0</v>
      </c>
      <c r="AY515" s="99" t="e">
        <f>AVERAGE(M515,P515,S515,V515,Y515,AB515,AE515,AH515,AK515,AN515,AQ515,AT515)</f>
        <v>#DIV/0!</v>
      </c>
      <c r="AZ515" s="100">
        <f>COUNT(M515,P515,S515,V515,Y515,AB515,AE515,AH515,AK515,AN515,AQ515,AT515)</f>
        <v>0</v>
      </c>
      <c r="BA515" s="101">
        <v>4</v>
      </c>
      <c r="BB515" s="102">
        <v>1</v>
      </c>
      <c r="BC515" s="84">
        <f>J515</f>
        <v>4</v>
      </c>
      <c r="BD515" s="83">
        <f>SUM(BC515-BB515)</f>
        <v>3</v>
      </c>
      <c r="BE515" s="85">
        <v>2</v>
      </c>
      <c r="BF515" s="86">
        <v>46153</v>
      </c>
      <c r="BG515" s="72" t="e">
        <f t="shared" si="1265"/>
        <v>#REF!</v>
      </c>
      <c r="BH515" s="109" t="e">
        <f>BG515-BF515</f>
        <v>#REF!</v>
      </c>
      <c r="BI515" s="80" t="e">
        <f>IF(AND(J515&gt;0,BH515&gt;365),"Dead Stock","")</f>
        <v>#REF!</v>
      </c>
      <c r="BJ515" s="238">
        <v>5400</v>
      </c>
    </row>
    <row r="516" spans="1:62" ht="12.75" customHeight="1">
      <c r="A516" s="49"/>
      <c r="B516" s="76"/>
      <c r="C516" s="51">
        <v>514</v>
      </c>
      <c r="D516" s="144" t="s">
        <v>1531</v>
      </c>
      <c r="E516" s="144">
        <v>8</v>
      </c>
      <c r="F516" s="88" t="s">
        <v>1241</v>
      </c>
      <c r="G516" s="89" t="s">
        <v>1242</v>
      </c>
      <c r="H516" s="89" t="s">
        <v>290</v>
      </c>
      <c r="I516" s="88" t="s">
        <v>458</v>
      </c>
      <c r="J516" s="93">
        <f t="shared" si="1525"/>
        <v>2</v>
      </c>
      <c r="K516" s="88">
        <v>2</v>
      </c>
      <c r="L516" s="58"/>
      <c r="M516" s="58"/>
      <c r="N516" s="58">
        <f>SUM(K516+L516-M516)</f>
        <v>2</v>
      </c>
      <c r="O516" s="58"/>
      <c r="P516" s="58"/>
      <c r="Q516" s="62">
        <f>SUM(N516+O516-P516)</f>
        <v>2</v>
      </c>
      <c r="R516" s="58"/>
      <c r="S516" s="58"/>
      <c r="T516" s="58">
        <f t="shared" ref="T516" si="1546">SUM(Q516+R516-S516)</f>
        <v>2</v>
      </c>
      <c r="U516" s="58"/>
      <c r="V516" s="58"/>
      <c r="W516" s="59">
        <f t="shared" ref="W516" si="1547">SUM(T516+U516-V516)</f>
        <v>2</v>
      </c>
      <c r="X516" s="58"/>
      <c r="Y516" s="58"/>
      <c r="Z516" s="58">
        <f t="shared" ref="Z516" si="1548">SUM(W516+X516-Y516)</f>
        <v>2</v>
      </c>
      <c r="AA516" s="58"/>
      <c r="AB516" s="58"/>
      <c r="AC516" s="58">
        <f t="shared" ref="AC516" si="1549">SUM(Z516+AA516-AB516)</f>
        <v>2</v>
      </c>
      <c r="AD516" s="58"/>
      <c r="AE516" s="58"/>
      <c r="AF516" s="104">
        <f t="shared" ref="AF516" si="1550">SUM(AC516+AD516-AE516)</f>
        <v>2</v>
      </c>
      <c r="AG516" s="58"/>
      <c r="AH516" s="58"/>
      <c r="AI516" s="62">
        <f>SUM(AF516+AG516-AH516)</f>
        <v>2</v>
      </c>
      <c r="AJ516" s="58"/>
      <c r="AK516" s="58"/>
      <c r="AL516" s="62">
        <f>SUM(AI516+AJ516-AK516)</f>
        <v>2</v>
      </c>
      <c r="AM516" s="58"/>
      <c r="AN516" s="58"/>
      <c r="AO516" s="62">
        <f t="shared" ref="AO516" si="1551">SUM(AL516+AM516-AN516)</f>
        <v>2</v>
      </c>
      <c r="AP516" s="58"/>
      <c r="AQ516" s="58"/>
      <c r="AR516" s="62">
        <f t="shared" ref="AR516" si="1552">SUM(AO516+AP516-AQ516)</f>
        <v>2</v>
      </c>
      <c r="AS516" s="58"/>
      <c r="AT516" s="58"/>
      <c r="AU516" s="62">
        <f>SUM(AR516+AS516-AT516)</f>
        <v>2</v>
      </c>
      <c r="AV516" s="96">
        <f>SUM(L516+O516+R516+U516+X516+AA516+AD516+AG516+AJ516+AM516+AP516+AS516)</f>
        <v>0</v>
      </c>
      <c r="AW516" s="83">
        <f>SUM(M516+P516+S516+V516+Y516+AB516+AE516+AH516+AK516+AN516+AQ516+AT516)</f>
        <v>0</v>
      </c>
      <c r="AX516" s="64">
        <f>SUM(M516,P516,S516,V516,Y516,AB516,AE516,AH516,AK516,AN516,AQ516,AT516)</f>
        <v>0</v>
      </c>
      <c r="AY516" s="65" t="e">
        <f>AVERAGE(M516,P516,S516,V516,Y516,AB516,AE516,AH516,AK516,AN516,AQ516,AT516)</f>
        <v>#DIV/0!</v>
      </c>
      <c r="AZ516" s="66">
        <f>COUNT(M516,P516,S516,V516,Y516,AB516,AE516,AH516,AK516,AN516,AQ516,AT516)</f>
        <v>0</v>
      </c>
      <c r="BA516" s="67">
        <f>MAX(0, Table176252626[[#This Row],[Column6]])</f>
        <v>2</v>
      </c>
      <c r="BB516" s="68">
        <v>1</v>
      </c>
      <c r="BC516" s="84">
        <f>J516</f>
        <v>2</v>
      </c>
      <c r="BD516" s="83">
        <f>SUM(BC516-BB516)</f>
        <v>1</v>
      </c>
      <c r="BE516" s="85">
        <v>2</v>
      </c>
      <c r="BF516" s="86">
        <v>44936.558923611112</v>
      </c>
      <c r="BG516" s="72" t="e">
        <f t="shared" si="1265"/>
        <v>#REF!</v>
      </c>
      <c r="BH516" s="87" t="e">
        <f>BG516-BF516</f>
        <v>#REF!</v>
      </c>
      <c r="BI516" s="80" t="e">
        <f>IF(AND(J516&gt;0,BH516&gt;365),"Dead Stock","")</f>
        <v>#REF!</v>
      </c>
      <c r="BJ516" s="238">
        <v>12500</v>
      </c>
    </row>
    <row r="517" spans="1:62" ht="13">
      <c r="A517" s="90"/>
      <c r="B517" s="91"/>
      <c r="C517" s="51">
        <v>515</v>
      </c>
      <c r="D517" s="53" t="s">
        <v>1914</v>
      </c>
      <c r="E517" s="53">
        <v>2</v>
      </c>
      <c r="F517" s="80" t="s">
        <v>317</v>
      </c>
      <c r="G517" s="81" t="s">
        <v>318</v>
      </c>
      <c r="H517" s="81" t="s">
        <v>296</v>
      </c>
      <c r="I517" s="80" t="s">
        <v>458</v>
      </c>
      <c r="J517" s="82">
        <f t="shared" ref="J517" si="1553">AU517</f>
        <v>1</v>
      </c>
      <c r="K517" s="80">
        <v>0</v>
      </c>
      <c r="L517" s="57">
        <v>1</v>
      </c>
      <c r="M517" s="58"/>
      <c r="N517" s="59">
        <f t="shared" ref="N517" si="1554">SUM(K517+L517-M517)</f>
        <v>1</v>
      </c>
      <c r="O517" s="60"/>
      <c r="P517" s="58"/>
      <c r="Q517" s="59">
        <f t="shared" ref="Q517" si="1555">SUM(N517+O517-P517)</f>
        <v>1</v>
      </c>
      <c r="R517" s="60"/>
      <c r="S517" s="58"/>
      <c r="T517" s="61">
        <f t="shared" ref="T517" si="1556">SUM(Q517+R517-S517)</f>
        <v>1</v>
      </c>
      <c r="U517" s="60"/>
      <c r="V517" s="58"/>
      <c r="W517" s="59">
        <f t="shared" ref="W517" si="1557">SUM(T517+U517-V517)</f>
        <v>1</v>
      </c>
      <c r="X517" s="60"/>
      <c r="Y517" s="58"/>
      <c r="Z517" s="61">
        <f t="shared" ref="Z517" si="1558">SUM(W517+X517-Y517)</f>
        <v>1</v>
      </c>
      <c r="AA517" s="60"/>
      <c r="AB517" s="58"/>
      <c r="AC517" s="59">
        <f t="shared" ref="AC517" si="1559">SUM(Z517+AA517-AB517)</f>
        <v>1</v>
      </c>
      <c r="AD517" s="57"/>
      <c r="AE517" s="58"/>
      <c r="AF517" s="243">
        <f t="shared" ref="AF517" si="1560">SUM(AC517+AD517-AE517)</f>
        <v>1</v>
      </c>
      <c r="AG517" s="60"/>
      <c r="AH517" s="58"/>
      <c r="AI517" s="62">
        <f t="shared" ref="AI517" si="1561">SUM(AF517+AG517-AH517)</f>
        <v>1</v>
      </c>
      <c r="AJ517" s="60"/>
      <c r="AK517" s="58"/>
      <c r="AL517" s="62">
        <f t="shared" ref="AL517" si="1562">SUM(AI517+AJ517-AK517)</f>
        <v>1</v>
      </c>
      <c r="AM517" s="60"/>
      <c r="AN517" s="58"/>
      <c r="AO517" s="62">
        <f t="shared" ref="AO517" si="1563">SUM(AL517+AM517-AN517)</f>
        <v>1</v>
      </c>
      <c r="AP517" s="60"/>
      <c r="AQ517" s="58"/>
      <c r="AR517" s="62">
        <f t="shared" ref="AR517" si="1564">SUM(AO517+AP517-AQ517)</f>
        <v>1</v>
      </c>
      <c r="AS517" s="60"/>
      <c r="AT517" s="58"/>
      <c r="AU517" s="62">
        <f t="shared" ref="AU517" si="1565">SUM(AR517+AS517-AT517)</f>
        <v>1</v>
      </c>
      <c r="AV517" s="83">
        <f>SUM(L517+O517+R517+U517+X517+AA517+AD517+AG517+AJ517+AM517+AP517+AS517)</f>
        <v>1</v>
      </c>
      <c r="AW517" s="83">
        <f t="shared" ref="AW517:AW524" si="1566">SUM(M517+P517+S517+V517+Y517+AB517+AE517+AH517+AK517+AN517+AQ517+AT517)</f>
        <v>0</v>
      </c>
      <c r="AX517" s="64">
        <f t="shared" ref="AX517" si="1567">SUM(M517,P517,S517,V517,Y517,AB517,AE517,AH517,AK517,AN517,AQ517,AT517)</f>
        <v>0</v>
      </c>
      <c r="AY517" s="65" t="e">
        <f t="shared" ref="AY517" si="1568">AVERAGE(M517,P517,S517,V517,Y517,AB517,AE517,AH517,AK517,AN517,AQ517,AT517)</f>
        <v>#DIV/0!</v>
      </c>
      <c r="AZ517" s="66">
        <f t="shared" ref="AZ517" si="1569">COUNT(M517,P517,S517,V517,Y517,AB517,AE517,AH517,AK517,AN517,AQ517,AT517)</f>
        <v>0</v>
      </c>
      <c r="BA517" s="67">
        <f>MAX(0, Table176252626[[#This Row],[Column6]])</f>
        <v>1</v>
      </c>
      <c r="BB517" s="68">
        <v>0</v>
      </c>
      <c r="BC517" s="84">
        <f t="shared" ref="BC517:BC524" si="1570">J517</f>
        <v>1</v>
      </c>
      <c r="BD517" s="83">
        <f t="shared" si="1541"/>
        <v>1</v>
      </c>
      <c r="BE517" s="85">
        <v>2</v>
      </c>
      <c r="BF517" s="86">
        <v>46038</v>
      </c>
      <c r="BG517" s="72" t="e">
        <f t="shared" si="1265"/>
        <v>#REF!</v>
      </c>
      <c r="BH517" s="107" t="e">
        <f t="shared" ref="BH517" si="1571">BG517-BF517</f>
        <v>#REF!</v>
      </c>
      <c r="BI517" s="80" t="e">
        <f t="shared" si="1543"/>
        <v>#REF!</v>
      </c>
      <c r="BJ517" s="238">
        <v>109000</v>
      </c>
    </row>
    <row r="518" spans="1:62" ht="12" customHeight="1">
      <c r="A518" s="49"/>
      <c r="B518" s="50"/>
      <c r="C518" s="51">
        <v>516</v>
      </c>
      <c r="D518" s="53" t="s">
        <v>1914</v>
      </c>
      <c r="E518" s="53">
        <v>3</v>
      </c>
      <c r="F518" s="80" t="s">
        <v>378</v>
      </c>
      <c r="G518" s="81" t="s">
        <v>462</v>
      </c>
      <c r="H518" s="81" t="s">
        <v>296</v>
      </c>
      <c r="I518" s="80" t="s">
        <v>458</v>
      </c>
      <c r="J518" s="82">
        <f>AU518</f>
        <v>1</v>
      </c>
      <c r="K518" s="80">
        <v>1</v>
      </c>
      <c r="L518" s="57"/>
      <c r="M518" s="58"/>
      <c r="N518" s="59">
        <f>SUM(K518+L518-M518)</f>
        <v>1</v>
      </c>
      <c r="O518" s="60"/>
      <c r="P518" s="58"/>
      <c r="Q518" s="59">
        <f t="shared" ref="Q518:Q524" si="1572">SUM(N518+O518-P518)</f>
        <v>1</v>
      </c>
      <c r="R518" s="60"/>
      <c r="S518" s="58"/>
      <c r="T518" s="61">
        <f>SUM(Q518+R518-S518)</f>
        <v>1</v>
      </c>
      <c r="U518" s="60"/>
      <c r="V518" s="58"/>
      <c r="W518" s="59">
        <f t="shared" ref="W518:W524" si="1573">SUM(T518+U518-V518)</f>
        <v>1</v>
      </c>
      <c r="X518" s="60"/>
      <c r="Y518" s="58"/>
      <c r="Z518" s="61">
        <f>SUM(W518+X518-Y518)</f>
        <v>1</v>
      </c>
      <c r="AA518" s="60"/>
      <c r="AB518" s="58"/>
      <c r="AC518" s="59">
        <f>SUM(Z518+AA518-AB518)</f>
        <v>1</v>
      </c>
      <c r="AD518" s="57"/>
      <c r="AE518" s="58"/>
      <c r="AF518" s="243">
        <f>SUM(AC518+AD518-AE518)</f>
        <v>1</v>
      </c>
      <c r="AG518" s="60"/>
      <c r="AH518" s="58"/>
      <c r="AI518" s="62">
        <f>SUM(AF518+AG518-AH518)</f>
        <v>1</v>
      </c>
      <c r="AJ518" s="60"/>
      <c r="AK518" s="58"/>
      <c r="AL518" s="62">
        <f>SUM(AI518+AJ518-AK518)</f>
        <v>1</v>
      </c>
      <c r="AM518" s="60"/>
      <c r="AN518" s="58"/>
      <c r="AO518" s="62">
        <f>SUM(AL518+AM518-AN518)</f>
        <v>1</v>
      </c>
      <c r="AP518" s="60"/>
      <c r="AQ518" s="58"/>
      <c r="AR518" s="62">
        <f>SUM(AO518+AP518-AQ518)</f>
        <v>1</v>
      </c>
      <c r="AS518" s="60"/>
      <c r="AT518" s="58"/>
      <c r="AU518" s="62">
        <f>SUM(AR518+AS518-AT518)</f>
        <v>1</v>
      </c>
      <c r="AV518" s="83">
        <f t="shared" ref="AV518" si="1574">SUM(L518+O518+R518+U518+X518+AA518+AD518+AG518+AJ518+AM518+AP518+AS518)</f>
        <v>0</v>
      </c>
      <c r="AW518" s="83">
        <f t="shared" si="1566"/>
        <v>0</v>
      </c>
      <c r="AX518" s="64">
        <f>SUM(M518,P518,S518,V518,Y518,AB518,AE518,AH518,AK518,AN518,AQ518,AT518)</f>
        <v>0</v>
      </c>
      <c r="AY518" s="65" t="e">
        <f>AVERAGE(M518,P518,S518,V518,Y518,AB518,AE518,AH518,AK518,AN518,AQ518,AT518)</f>
        <v>#DIV/0!</v>
      </c>
      <c r="AZ518" s="66">
        <f>COUNT(M518,P518,S518,V518,Y518,AB518,AE518,AH518,AK518,AN518,AQ518,AT518)</f>
        <v>0</v>
      </c>
      <c r="BA518" s="67">
        <v>1</v>
      </c>
      <c r="BB518" s="68">
        <v>0</v>
      </c>
      <c r="BC518" s="84">
        <f t="shared" si="1570"/>
        <v>1</v>
      </c>
      <c r="BD518" s="83">
        <f t="shared" si="1541"/>
        <v>1</v>
      </c>
      <c r="BE518" s="85">
        <v>2</v>
      </c>
      <c r="BF518" s="86">
        <v>45233.473090277781</v>
      </c>
      <c r="BG518" s="72" t="e">
        <f t="shared" si="1265"/>
        <v>#REF!</v>
      </c>
      <c r="BH518" s="107" t="e">
        <f>BG518-BF518</f>
        <v>#REF!</v>
      </c>
      <c r="BI518" s="80" t="e">
        <f t="shared" si="1543"/>
        <v>#REF!</v>
      </c>
      <c r="BJ518" s="238">
        <v>113000</v>
      </c>
    </row>
    <row r="519" spans="1:62" ht="13">
      <c r="A519" s="90"/>
      <c r="B519" s="91"/>
      <c r="C519" s="51">
        <v>517</v>
      </c>
      <c r="D519" s="53" t="s">
        <v>1914</v>
      </c>
      <c r="E519" s="53">
        <v>4</v>
      </c>
      <c r="F519" s="88" t="s">
        <v>1985</v>
      </c>
      <c r="G519" s="89" t="s">
        <v>1986</v>
      </c>
      <c r="H519" s="89" t="s">
        <v>292</v>
      </c>
      <c r="I519" s="80" t="s">
        <v>458</v>
      </c>
      <c r="J519" s="93">
        <f>AU519</f>
        <v>1</v>
      </c>
      <c r="K519" s="88">
        <v>0</v>
      </c>
      <c r="L519" s="58"/>
      <c r="M519" s="58"/>
      <c r="N519" s="62">
        <f>SUM(K519+L519-M519)</f>
        <v>0</v>
      </c>
      <c r="O519" s="60"/>
      <c r="P519" s="58"/>
      <c r="Q519" s="62">
        <f>SUM(N519+O519-P519)</f>
        <v>0</v>
      </c>
      <c r="R519" s="60"/>
      <c r="S519" s="58"/>
      <c r="T519" s="94">
        <f>SUM(Q519+R519-S519)</f>
        <v>0</v>
      </c>
      <c r="U519" s="60"/>
      <c r="V519" s="58"/>
      <c r="W519" s="62">
        <f>SUM(T519+U519-V519)</f>
        <v>0</v>
      </c>
      <c r="X519" s="60"/>
      <c r="Y519" s="58"/>
      <c r="Z519" s="94">
        <f>SUM(W519+X519-Y519)</f>
        <v>0</v>
      </c>
      <c r="AA519" s="60"/>
      <c r="AB519" s="58"/>
      <c r="AC519" s="62">
        <f>SUM(Z519+AA519-AB519)</f>
        <v>0</v>
      </c>
      <c r="AD519" s="57">
        <v>1</v>
      </c>
      <c r="AE519" s="58"/>
      <c r="AF519" s="165">
        <f>SUM(AC519+AD519-AE519)</f>
        <v>1</v>
      </c>
      <c r="AG519" s="60"/>
      <c r="AH519" s="58"/>
      <c r="AI519" s="62">
        <f>SUM(AF519+AG519-AH519)</f>
        <v>1</v>
      </c>
      <c r="AJ519" s="60"/>
      <c r="AK519" s="58"/>
      <c r="AL519" s="62">
        <f>SUM(AI519+AJ519-AK519)</f>
        <v>1</v>
      </c>
      <c r="AM519" s="60"/>
      <c r="AN519" s="58"/>
      <c r="AO519" s="62">
        <f>SUM(AL519+AM519-AN519)</f>
        <v>1</v>
      </c>
      <c r="AP519" s="60"/>
      <c r="AQ519" s="58"/>
      <c r="AR519" s="62">
        <f>SUM(AO519+AP519-AQ519)</f>
        <v>1</v>
      </c>
      <c r="AS519" s="60"/>
      <c r="AT519" s="58"/>
      <c r="AU519" s="62">
        <f>SUM(AR519+AS519-AT519)</f>
        <v>1</v>
      </c>
      <c r="AV519" s="96">
        <f t="shared" ref="AV519" si="1575">SUM(L519+O519+R519+U519+X519+AA519+AD519+AG519+AJ519+AM519+AP519+AS519)</f>
        <v>1</v>
      </c>
      <c r="AW519" s="83">
        <f>SUM(M519+P519+S519+V519+Y519+AB519+AE519+AH519+AK519+AN519+AQ519+AT519)</f>
        <v>0</v>
      </c>
      <c r="AX519" s="98">
        <f>SUM(M519,P519,S519,V519,Y519,AB519,AE519,AH519,AK519,AN519,AQ519,AT519)</f>
        <v>0</v>
      </c>
      <c r="AY519" s="99" t="e">
        <f>AVERAGE(M519,P519,S519,V519,Y519,AB519,AE519,AH519,AK519,AN519,AQ519,AT519)</f>
        <v>#DIV/0!</v>
      </c>
      <c r="AZ519" s="100">
        <f>COUNT(M519,P519,S519,V519,Y519,AB519,AE519,AH519,AK519,AN519,AQ519,AT519)</f>
        <v>0</v>
      </c>
      <c r="BA519" s="101">
        <v>1</v>
      </c>
      <c r="BB519" s="102">
        <v>0</v>
      </c>
      <c r="BC519" s="84">
        <f>J519</f>
        <v>1</v>
      </c>
      <c r="BD519" s="83">
        <f t="shared" si="1541"/>
        <v>1</v>
      </c>
      <c r="BE519" s="85">
        <v>2</v>
      </c>
      <c r="BF519" s="86">
        <v>46220</v>
      </c>
      <c r="BG519" s="72" t="e">
        <f t="shared" si="1265"/>
        <v>#REF!</v>
      </c>
      <c r="BH519" s="103" t="e">
        <f>BG519-BF519</f>
        <v>#REF!</v>
      </c>
      <c r="BI519" s="80" t="e">
        <f t="shared" si="1543"/>
        <v>#REF!</v>
      </c>
      <c r="BJ519" s="238">
        <v>4610.3999999999996</v>
      </c>
    </row>
    <row r="520" spans="1:62" ht="13">
      <c r="A520" s="49"/>
      <c r="B520" s="76"/>
      <c r="C520" s="77">
        <v>518</v>
      </c>
      <c r="D520" s="53" t="s">
        <v>1914</v>
      </c>
      <c r="E520" s="53">
        <v>5</v>
      </c>
      <c r="F520" s="88" t="s">
        <v>1961</v>
      </c>
      <c r="G520" s="89" t="s">
        <v>1962</v>
      </c>
      <c r="H520" s="89" t="s">
        <v>1963</v>
      </c>
      <c r="I520" s="80" t="s">
        <v>458</v>
      </c>
      <c r="J520" s="93">
        <f t="shared" ref="J520" si="1576">AU520</f>
        <v>1</v>
      </c>
      <c r="K520" s="80">
        <v>0</v>
      </c>
      <c r="L520" s="58"/>
      <c r="M520" s="58"/>
      <c r="N520" s="62">
        <f t="shared" ref="N520" si="1577">SUM(K520+L520-M520)</f>
        <v>0</v>
      </c>
      <c r="O520" s="60"/>
      <c r="P520" s="58"/>
      <c r="Q520" s="62">
        <f t="shared" ref="Q520" si="1578">SUM(N520+O520-P520)</f>
        <v>0</v>
      </c>
      <c r="R520" s="60"/>
      <c r="S520" s="58"/>
      <c r="T520" s="94">
        <f t="shared" ref="T520" si="1579">SUM(Q520+R520-S520)</f>
        <v>0</v>
      </c>
      <c r="U520" s="60"/>
      <c r="V520" s="58"/>
      <c r="W520" s="62">
        <f t="shared" ref="W520" si="1580">SUM(T520+U520-V520)</f>
        <v>0</v>
      </c>
      <c r="X520" s="60">
        <v>1</v>
      </c>
      <c r="Y520" s="58"/>
      <c r="Z520" s="94">
        <f t="shared" ref="Z520" si="1581">SUM(W520+X520-Y520)</f>
        <v>1</v>
      </c>
      <c r="AA520" s="60"/>
      <c r="AB520" s="58"/>
      <c r="AC520" s="62">
        <f t="shared" ref="AC520" si="1582">SUM(Z520+AA520-AB520)</f>
        <v>1</v>
      </c>
      <c r="AD520" s="57"/>
      <c r="AE520" s="58"/>
      <c r="AF520" s="165">
        <f t="shared" ref="AF520" si="1583">SUM(AC520+AD520-AE520)</f>
        <v>1</v>
      </c>
      <c r="AG520" s="60"/>
      <c r="AH520" s="58"/>
      <c r="AI520" s="62">
        <f t="shared" ref="AI520" si="1584">SUM(AF520+AG520-AH520)</f>
        <v>1</v>
      </c>
      <c r="AJ520" s="60"/>
      <c r="AK520" s="58"/>
      <c r="AL520" s="62">
        <f t="shared" ref="AL520" si="1585">SUM(AI520+AJ520-AK520)</f>
        <v>1</v>
      </c>
      <c r="AM520" s="60"/>
      <c r="AN520" s="58"/>
      <c r="AO520" s="62">
        <f t="shared" ref="AO520" si="1586">SUM(AL520+AM520-AN520)</f>
        <v>1</v>
      </c>
      <c r="AP520" s="60"/>
      <c r="AQ520" s="58"/>
      <c r="AR520" s="62">
        <f t="shared" ref="AR520" si="1587">SUM(AO520+AP520-AQ520)</f>
        <v>1</v>
      </c>
      <c r="AS520" s="60"/>
      <c r="AT520" s="58"/>
      <c r="AU520" s="62">
        <f t="shared" ref="AU520" si="1588">SUM(AR520+AS520-AT520)</f>
        <v>1</v>
      </c>
      <c r="AV520" s="96">
        <f t="shared" ref="AV520" si="1589">SUM(L520+O520+R520+U520+X520+AA520+AD520+AG520+AJ520+AM520+AP520+AS520)</f>
        <v>1</v>
      </c>
      <c r="AW520" s="83">
        <f t="shared" ref="AW520" si="1590">SUM(M520+P520+S520+V520+Y520+AB520+AE520+AH520+AK520+AN520+AQ520+AT520)</f>
        <v>0</v>
      </c>
      <c r="AX520" s="98">
        <f t="shared" ref="AX520" si="1591">SUM(M520,P520,S520,V520,Y520,AB520,AE520,AH520,AK520,AN520,AQ520,AT520)</f>
        <v>0</v>
      </c>
      <c r="AY520" s="99" t="e">
        <f t="shared" ref="AY520" si="1592">AVERAGE(M520,P520,S520,V520,Y520,AB520,AE520,AH520,AK520,AN520,AQ520,AT520)</f>
        <v>#DIV/0!</v>
      </c>
      <c r="AZ520" s="100">
        <f t="shared" ref="AZ520" si="1593">COUNT(M520,P520,S520,V520,Y520,AB520,AE520,AH520,AK520,AN520,AQ520,AT520)</f>
        <v>0</v>
      </c>
      <c r="BA520" s="101">
        <v>1</v>
      </c>
      <c r="BB520" s="102">
        <v>0</v>
      </c>
      <c r="BC520" s="84">
        <f>J520</f>
        <v>1</v>
      </c>
      <c r="BD520" s="83">
        <f>SUM(BC520-BB520)</f>
        <v>1</v>
      </c>
      <c r="BE520" s="85">
        <v>2</v>
      </c>
      <c r="BF520" s="86">
        <v>46169</v>
      </c>
      <c r="BG520" s="72" t="e">
        <f t="shared" si="1265"/>
        <v>#REF!</v>
      </c>
      <c r="BH520" s="103" t="e">
        <f t="shared" ref="BH520" si="1594">BG520-BF520</f>
        <v>#REF!</v>
      </c>
      <c r="BI520" s="80" t="e">
        <f>IF(AND(J520&gt;0,BH520&gt;365),"Dead Stock","")</f>
        <v>#REF!</v>
      </c>
      <c r="BJ520" s="238">
        <v>8800.7999999999993</v>
      </c>
    </row>
    <row r="521" spans="1:62" ht="13">
      <c r="A521" s="75"/>
      <c r="B521" s="76"/>
      <c r="C521" s="77">
        <v>519</v>
      </c>
      <c r="D521" s="79" t="s">
        <v>2071</v>
      </c>
      <c r="E521" s="79">
        <v>1</v>
      </c>
      <c r="F521" s="88" t="s">
        <v>489</v>
      </c>
      <c r="G521" s="81" t="s">
        <v>490</v>
      </c>
      <c r="H521" s="81" t="s">
        <v>464</v>
      </c>
      <c r="I521" s="88" t="s">
        <v>458</v>
      </c>
      <c r="J521" s="82">
        <f>AU521</f>
        <v>1</v>
      </c>
      <c r="K521" s="80">
        <v>1</v>
      </c>
      <c r="L521" s="57"/>
      <c r="M521" s="58"/>
      <c r="N521" s="59">
        <f>SUM(K521+L521-M521)</f>
        <v>1</v>
      </c>
      <c r="O521" s="60"/>
      <c r="P521" s="58"/>
      <c r="Q521" s="59">
        <f>SUM(N521+O521-P521)</f>
        <v>1</v>
      </c>
      <c r="R521" s="60"/>
      <c r="S521" s="58"/>
      <c r="T521" s="61">
        <f>SUM(Q521+R521-S521)</f>
        <v>1</v>
      </c>
      <c r="U521" s="60"/>
      <c r="V521" s="58"/>
      <c r="W521" s="59">
        <f>SUM(T521+U521-V521)</f>
        <v>1</v>
      </c>
      <c r="X521" s="60"/>
      <c r="Y521" s="58"/>
      <c r="Z521" s="61">
        <f>SUM(W521+X521-Y521)</f>
        <v>1</v>
      </c>
      <c r="AA521" s="60"/>
      <c r="AB521" s="58"/>
      <c r="AC521" s="59">
        <f>SUM(Z521+AA521-AB521)</f>
        <v>1</v>
      </c>
      <c r="AD521" s="57"/>
      <c r="AE521" s="58"/>
      <c r="AF521" s="243">
        <f>SUM(AC521+AD521-AE521)</f>
        <v>1</v>
      </c>
      <c r="AG521" s="60"/>
      <c r="AH521" s="58"/>
      <c r="AI521" s="62">
        <f>SUM(AF521+AG521-AH521)</f>
        <v>1</v>
      </c>
      <c r="AJ521" s="60"/>
      <c r="AK521" s="58"/>
      <c r="AL521" s="62">
        <f>SUM(AI521+AJ521-AK521)</f>
        <v>1</v>
      </c>
      <c r="AM521" s="60"/>
      <c r="AN521" s="58"/>
      <c r="AO521" s="62">
        <f>SUM(AL521+AM521-AN521)</f>
        <v>1</v>
      </c>
      <c r="AP521" s="60"/>
      <c r="AQ521" s="58"/>
      <c r="AR521" s="62">
        <f>SUM(AO521+AP521-AQ521)</f>
        <v>1</v>
      </c>
      <c r="AS521" s="60"/>
      <c r="AT521" s="58"/>
      <c r="AU521" s="62">
        <f>SUM(AR521+AS521-AT521)</f>
        <v>1</v>
      </c>
      <c r="AV521" s="83">
        <f>SUM(L521+O521+R521+U521+X521+AA521+AD521+AG521+AJ521+AM521+AP521+AS521)</f>
        <v>0</v>
      </c>
      <c r="AW521" s="83">
        <f t="shared" si="1566"/>
        <v>0</v>
      </c>
      <c r="AX521" s="64">
        <f>SUM(M521,P521,S521,V521,Y521,AB521,AE521,AH521,AK521,AN521,AQ521,AT521)</f>
        <v>0</v>
      </c>
      <c r="AY521" s="65" t="e">
        <f>AVERAGE(M521,P521,S521,V521,Y521,AB521,AE521,AH521,AK521,AN521,AQ521,AT521)</f>
        <v>#DIV/0!</v>
      </c>
      <c r="AZ521" s="66">
        <f>COUNT(M521,P521,S521,V521,Y521,AB521,AE521,AH521,AK521,AN521,AQ521,AT521)</f>
        <v>0</v>
      </c>
      <c r="BA521" s="67">
        <f>MAX(0, Table176252626[[#This Row],[Column6]])</f>
        <v>1</v>
      </c>
      <c r="BB521" s="68">
        <v>0</v>
      </c>
      <c r="BC521" s="84">
        <f t="shared" si="1570"/>
        <v>1</v>
      </c>
      <c r="BD521" s="83">
        <f t="shared" si="1541"/>
        <v>1</v>
      </c>
      <c r="BE521" s="85">
        <v>2</v>
      </c>
      <c r="BF521" s="86">
        <v>43327.689189814817</v>
      </c>
      <c r="BG521" s="72" t="e">
        <f t="shared" ref="BG521:BG584" si="1595">BG520</f>
        <v>#REF!</v>
      </c>
      <c r="BH521" s="107" t="e">
        <f>BG521-BF521</f>
        <v>#REF!</v>
      </c>
      <c r="BI521" s="80" t="e">
        <f t="shared" si="1543"/>
        <v>#REF!</v>
      </c>
      <c r="BJ521" s="238">
        <v>197000</v>
      </c>
    </row>
    <row r="522" spans="1:62" ht="13">
      <c r="A522" s="49"/>
      <c r="B522" s="50"/>
      <c r="C522" s="51">
        <v>520</v>
      </c>
      <c r="D522" s="79" t="s">
        <v>2071</v>
      </c>
      <c r="E522" s="79">
        <v>2</v>
      </c>
      <c r="F522" s="80" t="s">
        <v>365</v>
      </c>
      <c r="G522" s="81" t="s">
        <v>1911</v>
      </c>
      <c r="H522" s="81" t="s">
        <v>464</v>
      </c>
      <c r="I522" s="80" t="s">
        <v>458</v>
      </c>
      <c r="J522" s="82">
        <f t="shared" ref="J522:J524" si="1596">AU522</f>
        <v>1</v>
      </c>
      <c r="K522" s="88">
        <v>1</v>
      </c>
      <c r="L522" s="57"/>
      <c r="M522" s="58"/>
      <c r="N522" s="59">
        <f t="shared" ref="N522:N524" si="1597">SUM(K522+L522-M522)</f>
        <v>1</v>
      </c>
      <c r="O522" s="60"/>
      <c r="P522" s="58"/>
      <c r="Q522" s="59">
        <f t="shared" si="1572"/>
        <v>1</v>
      </c>
      <c r="R522" s="60"/>
      <c r="S522" s="58"/>
      <c r="T522" s="61">
        <f t="shared" ref="T522:T524" si="1598">SUM(Q522+R522-S522)</f>
        <v>1</v>
      </c>
      <c r="U522" s="60"/>
      <c r="V522" s="58"/>
      <c r="W522" s="59">
        <f t="shared" si="1573"/>
        <v>1</v>
      </c>
      <c r="X522" s="60"/>
      <c r="Y522" s="58"/>
      <c r="Z522" s="61">
        <f t="shared" ref="Z522:Z524" si="1599">SUM(W522+X522-Y522)</f>
        <v>1</v>
      </c>
      <c r="AA522" s="60"/>
      <c r="AB522" s="58"/>
      <c r="AC522" s="59">
        <f t="shared" ref="AC522:AC524" si="1600">SUM(Z522+AA522-AB522)</f>
        <v>1</v>
      </c>
      <c r="AD522" s="57"/>
      <c r="AE522" s="58"/>
      <c r="AF522" s="243">
        <f t="shared" ref="AF522:AF524" si="1601">SUM(AC522+AD522-AE522)</f>
        <v>1</v>
      </c>
      <c r="AG522" s="60"/>
      <c r="AH522" s="58"/>
      <c r="AI522" s="62">
        <f t="shared" ref="AI522:AI524" si="1602">SUM(AF522+AG522-AH522)</f>
        <v>1</v>
      </c>
      <c r="AJ522" s="60"/>
      <c r="AK522" s="58"/>
      <c r="AL522" s="62">
        <f t="shared" ref="AL522:AL524" si="1603">SUM(AI522+AJ522-AK522)</f>
        <v>1</v>
      </c>
      <c r="AM522" s="60"/>
      <c r="AN522" s="58"/>
      <c r="AO522" s="62">
        <f t="shared" ref="AO522:AO524" si="1604">SUM(AL522+AM522-AN522)</f>
        <v>1</v>
      </c>
      <c r="AP522" s="60"/>
      <c r="AQ522" s="58"/>
      <c r="AR522" s="62">
        <f t="shared" ref="AR522:AR524" si="1605">SUM(AO522+AP522-AQ522)</f>
        <v>1</v>
      </c>
      <c r="AS522" s="60"/>
      <c r="AT522" s="58"/>
      <c r="AU522" s="62">
        <f t="shared" ref="AU522:AU524" si="1606">SUM(AR522+AS522-AT522)</f>
        <v>1</v>
      </c>
      <c r="AV522" s="83">
        <f t="shared" ref="AV522:AV524" si="1607">SUM(L522+O522+R522+U522+X522+AA522+AD522+AG522+AJ522+AM522+AP522+AS522)</f>
        <v>0</v>
      </c>
      <c r="AW522" s="83">
        <f t="shared" si="1566"/>
        <v>0</v>
      </c>
      <c r="AX522" s="64">
        <f t="shared" ref="AX522:AX524" si="1608">SUM(M522,P522,S522,V522,Y522,AB522,AE522,AH522,AK522,AN522,AQ522,AT522)</f>
        <v>0</v>
      </c>
      <c r="AY522" s="65" t="e">
        <f t="shared" ref="AY522:AY524" si="1609">AVERAGE(M522,P522,S522,V522,Y522,AB522,AE522,AH522,AK522,AN522,AQ522,AT522)</f>
        <v>#DIV/0!</v>
      </c>
      <c r="AZ522" s="66">
        <f t="shared" ref="AZ522:AZ524" si="1610">COUNT(M522,P522,S522,V522,Y522,AB522,AE522,AH522,AK522,AN522,AQ522,AT522)</f>
        <v>0</v>
      </c>
      <c r="BA522" s="67">
        <f>MAX(0, Table176252626[[#This Row],[Column6]])</f>
        <v>1</v>
      </c>
      <c r="BB522" s="68">
        <v>0</v>
      </c>
      <c r="BC522" s="84">
        <f t="shared" si="1570"/>
        <v>1</v>
      </c>
      <c r="BD522" s="83">
        <f t="shared" si="1541"/>
        <v>1</v>
      </c>
      <c r="BE522" s="85">
        <v>2</v>
      </c>
      <c r="BF522" s="86">
        <v>43409.554814814815</v>
      </c>
      <c r="BG522" s="72" t="e">
        <f t="shared" si="1595"/>
        <v>#REF!</v>
      </c>
      <c r="BH522" s="87" t="e">
        <f t="shared" ref="BH522:BH524" si="1611">BG522-BF522</f>
        <v>#REF!</v>
      </c>
      <c r="BI522" s="80" t="e">
        <f t="shared" si="1543"/>
        <v>#REF!</v>
      </c>
      <c r="BJ522" s="238">
        <v>50000</v>
      </c>
    </row>
    <row r="523" spans="1:62" ht="13">
      <c r="A523" s="75"/>
      <c r="B523" s="76"/>
      <c r="C523" s="51">
        <v>521</v>
      </c>
      <c r="D523" s="79" t="s">
        <v>2071</v>
      </c>
      <c r="E523" s="79">
        <v>3</v>
      </c>
      <c r="F523" s="74" t="s">
        <v>597</v>
      </c>
      <c r="G523" s="81" t="s">
        <v>598</v>
      </c>
      <c r="H523" s="81" t="s">
        <v>464</v>
      </c>
      <c r="I523" s="80" t="s">
        <v>458</v>
      </c>
      <c r="J523" s="82">
        <f t="shared" si="1596"/>
        <v>1</v>
      </c>
      <c r="K523" s="80">
        <v>1</v>
      </c>
      <c r="L523" s="57"/>
      <c r="M523" s="58"/>
      <c r="N523" s="59">
        <f t="shared" si="1597"/>
        <v>1</v>
      </c>
      <c r="O523" s="60"/>
      <c r="P523" s="58"/>
      <c r="Q523" s="59">
        <f t="shared" si="1572"/>
        <v>1</v>
      </c>
      <c r="R523" s="60"/>
      <c r="S523" s="58"/>
      <c r="T523" s="61">
        <f t="shared" si="1598"/>
        <v>1</v>
      </c>
      <c r="U523" s="60"/>
      <c r="V523" s="58"/>
      <c r="W523" s="59">
        <f t="shared" si="1573"/>
        <v>1</v>
      </c>
      <c r="X523" s="60"/>
      <c r="Y523" s="58"/>
      <c r="Z523" s="61">
        <f t="shared" si="1599"/>
        <v>1</v>
      </c>
      <c r="AA523" s="60"/>
      <c r="AB523" s="58"/>
      <c r="AC523" s="59">
        <f t="shared" si="1600"/>
        <v>1</v>
      </c>
      <c r="AD523" s="57"/>
      <c r="AE523" s="58"/>
      <c r="AF523" s="243">
        <f t="shared" si="1601"/>
        <v>1</v>
      </c>
      <c r="AG523" s="60"/>
      <c r="AH523" s="58"/>
      <c r="AI523" s="62">
        <f t="shared" si="1602"/>
        <v>1</v>
      </c>
      <c r="AJ523" s="60"/>
      <c r="AK523" s="58"/>
      <c r="AL523" s="62">
        <f t="shared" si="1603"/>
        <v>1</v>
      </c>
      <c r="AM523" s="60"/>
      <c r="AN523" s="58"/>
      <c r="AO523" s="62">
        <f t="shared" si="1604"/>
        <v>1</v>
      </c>
      <c r="AP523" s="60"/>
      <c r="AQ523" s="58"/>
      <c r="AR523" s="62">
        <f t="shared" si="1605"/>
        <v>1</v>
      </c>
      <c r="AS523" s="60"/>
      <c r="AT523" s="58"/>
      <c r="AU523" s="62">
        <f t="shared" si="1606"/>
        <v>1</v>
      </c>
      <c r="AV523" s="83">
        <f t="shared" si="1607"/>
        <v>0</v>
      </c>
      <c r="AW523" s="83">
        <f t="shared" si="1566"/>
        <v>0</v>
      </c>
      <c r="AX523" s="64">
        <f t="shared" si="1608"/>
        <v>0</v>
      </c>
      <c r="AY523" s="65" t="e">
        <f t="shared" si="1609"/>
        <v>#DIV/0!</v>
      </c>
      <c r="AZ523" s="66">
        <f t="shared" si="1610"/>
        <v>0</v>
      </c>
      <c r="BA523" s="67">
        <f>MAX(0, Table176252626[[#This Row],[Column6]])</f>
        <v>1</v>
      </c>
      <c r="BB523" s="68">
        <v>0</v>
      </c>
      <c r="BC523" s="84">
        <f t="shared" si="1570"/>
        <v>1</v>
      </c>
      <c r="BD523" s="83">
        <f t="shared" si="1541"/>
        <v>1</v>
      </c>
      <c r="BE523" s="85">
        <v>2</v>
      </c>
      <c r="BF523" s="86">
        <v>43350.460081018522</v>
      </c>
      <c r="BG523" s="72" t="e">
        <f t="shared" si="1595"/>
        <v>#REF!</v>
      </c>
      <c r="BH523" s="87" t="e">
        <f t="shared" si="1611"/>
        <v>#REF!</v>
      </c>
      <c r="BI523" s="80" t="e">
        <f t="shared" si="1543"/>
        <v>#REF!</v>
      </c>
      <c r="BJ523" s="238">
        <v>78000</v>
      </c>
    </row>
    <row r="524" spans="1:62" ht="13">
      <c r="A524" s="49"/>
      <c r="B524" s="50"/>
      <c r="C524" s="51">
        <v>522</v>
      </c>
      <c r="D524" s="79" t="s">
        <v>2071</v>
      </c>
      <c r="E524" s="79">
        <v>4</v>
      </c>
      <c r="F524" s="90" t="s">
        <v>1269</v>
      </c>
      <c r="G524" s="134" t="s">
        <v>1270</v>
      </c>
      <c r="H524" s="134" t="s">
        <v>464</v>
      </c>
      <c r="I524" s="90" t="s">
        <v>458</v>
      </c>
      <c r="J524" s="56">
        <f t="shared" si="1596"/>
        <v>1</v>
      </c>
      <c r="K524" s="54">
        <v>1</v>
      </c>
      <c r="L524" s="58"/>
      <c r="M524" s="58"/>
      <c r="N524" s="62">
        <f t="shared" si="1597"/>
        <v>1</v>
      </c>
      <c r="O524" s="60"/>
      <c r="P524" s="58"/>
      <c r="Q524" s="62">
        <f t="shared" si="1572"/>
        <v>1</v>
      </c>
      <c r="R524" s="60"/>
      <c r="S524" s="58"/>
      <c r="T524" s="94">
        <f t="shared" si="1598"/>
        <v>1</v>
      </c>
      <c r="U524" s="60"/>
      <c r="V524" s="58"/>
      <c r="W524" s="62">
        <f t="shared" si="1573"/>
        <v>1</v>
      </c>
      <c r="X524" s="60"/>
      <c r="Y524" s="58"/>
      <c r="Z524" s="94">
        <f t="shared" si="1599"/>
        <v>1</v>
      </c>
      <c r="AA524" s="60"/>
      <c r="AB524" s="58"/>
      <c r="AC524" s="62">
        <f t="shared" si="1600"/>
        <v>1</v>
      </c>
      <c r="AD524" s="57"/>
      <c r="AE524" s="58"/>
      <c r="AF524" s="165">
        <f t="shared" si="1601"/>
        <v>1</v>
      </c>
      <c r="AG524" s="60"/>
      <c r="AH524" s="58"/>
      <c r="AI524" s="62">
        <f t="shared" si="1602"/>
        <v>1</v>
      </c>
      <c r="AJ524" s="60"/>
      <c r="AK524" s="58"/>
      <c r="AL524" s="62">
        <f t="shared" si="1603"/>
        <v>1</v>
      </c>
      <c r="AM524" s="60"/>
      <c r="AN524" s="58"/>
      <c r="AO524" s="62">
        <f t="shared" si="1604"/>
        <v>1</v>
      </c>
      <c r="AP524" s="60"/>
      <c r="AQ524" s="58"/>
      <c r="AR524" s="62">
        <f t="shared" si="1605"/>
        <v>1</v>
      </c>
      <c r="AS524" s="60"/>
      <c r="AT524" s="58"/>
      <c r="AU524" s="62">
        <f t="shared" si="1606"/>
        <v>1</v>
      </c>
      <c r="AV524" s="123">
        <f t="shared" si="1607"/>
        <v>0</v>
      </c>
      <c r="AW524" s="83">
        <f t="shared" si="1566"/>
        <v>0</v>
      </c>
      <c r="AX524" s="64">
        <f t="shared" si="1608"/>
        <v>0</v>
      </c>
      <c r="AY524" s="65" t="e">
        <f t="shared" si="1609"/>
        <v>#DIV/0!</v>
      </c>
      <c r="AZ524" s="66">
        <f t="shared" si="1610"/>
        <v>0</v>
      </c>
      <c r="BA524" s="67">
        <f>MAX(0, Table176252626[[#This Row],[Column6]])</f>
        <v>1</v>
      </c>
      <c r="BB524" s="68">
        <v>0</v>
      </c>
      <c r="BC524" s="84">
        <f t="shared" si="1570"/>
        <v>1</v>
      </c>
      <c r="BD524" s="83">
        <f t="shared" si="1541"/>
        <v>1</v>
      </c>
      <c r="BE524" s="85">
        <v>2</v>
      </c>
      <c r="BF524" s="86">
        <v>45000.568252314813</v>
      </c>
      <c r="BG524" s="72" t="e">
        <f t="shared" si="1595"/>
        <v>#REF!</v>
      </c>
      <c r="BH524" s="87" t="e">
        <f t="shared" si="1611"/>
        <v>#REF!</v>
      </c>
      <c r="BI524" s="80" t="e">
        <f t="shared" si="1543"/>
        <v>#REF!</v>
      </c>
      <c r="BJ524" s="238">
        <v>65700</v>
      </c>
    </row>
    <row r="525" spans="1:62" ht="13">
      <c r="A525" s="75"/>
      <c r="B525" s="76"/>
      <c r="C525" s="51">
        <v>523</v>
      </c>
      <c r="D525" s="135" t="s">
        <v>2072</v>
      </c>
      <c r="E525" s="110">
        <v>1</v>
      </c>
      <c r="F525" s="88" t="s">
        <v>1379</v>
      </c>
      <c r="G525" s="89" t="s">
        <v>1380</v>
      </c>
      <c r="H525" s="81" t="s">
        <v>1701</v>
      </c>
      <c r="I525" s="80" t="s">
        <v>458</v>
      </c>
      <c r="J525" s="93">
        <f t="shared" ref="J525:J527" si="1612">AU525</f>
        <v>10</v>
      </c>
      <c r="K525" s="88">
        <v>10</v>
      </c>
      <c r="L525" s="58"/>
      <c r="M525" s="58"/>
      <c r="N525" s="62">
        <f t="shared" ref="N525:N534" si="1613">SUM(K525+L525-M525)</f>
        <v>10</v>
      </c>
      <c r="O525" s="60"/>
      <c r="P525" s="58"/>
      <c r="Q525" s="62">
        <f t="shared" ref="Q525:Q534" si="1614">SUM(N525+O525-P525)</f>
        <v>10</v>
      </c>
      <c r="R525" s="60"/>
      <c r="S525" s="58"/>
      <c r="T525" s="94">
        <f t="shared" ref="T525:T534" si="1615">SUM(Q525+R525-S525)</f>
        <v>10</v>
      </c>
      <c r="U525" s="60"/>
      <c r="V525" s="58"/>
      <c r="W525" s="62">
        <f t="shared" ref="W525:W534" si="1616">SUM(T525+U525-V525)</f>
        <v>10</v>
      </c>
      <c r="X525" s="60"/>
      <c r="Y525" s="58"/>
      <c r="Z525" s="94">
        <f t="shared" ref="Z525:Z534" si="1617">SUM(W525+X525-Y525)</f>
        <v>10</v>
      </c>
      <c r="AA525" s="60"/>
      <c r="AB525" s="58"/>
      <c r="AC525" s="62">
        <f t="shared" ref="AC525:AC534" si="1618">SUM(Z525+AA525-AB525)</f>
        <v>10</v>
      </c>
      <c r="AD525" s="57"/>
      <c r="AE525" s="58"/>
      <c r="AF525" s="165">
        <f t="shared" ref="AF525:AF534" si="1619">SUM(AC525+AD525-AE525)</f>
        <v>10</v>
      </c>
      <c r="AG525" s="60"/>
      <c r="AH525" s="58"/>
      <c r="AI525" s="62">
        <f t="shared" ref="AI525:AI534" si="1620">SUM(AF525+AG525-AH525)</f>
        <v>10</v>
      </c>
      <c r="AJ525" s="60"/>
      <c r="AK525" s="58"/>
      <c r="AL525" s="62">
        <f t="shared" ref="AL525:AL534" si="1621">SUM(AI525+AJ525-AK525)</f>
        <v>10</v>
      </c>
      <c r="AM525" s="60"/>
      <c r="AN525" s="58"/>
      <c r="AO525" s="62">
        <f t="shared" ref="AO525:AO534" si="1622">SUM(AL525+AM525-AN525)</f>
        <v>10</v>
      </c>
      <c r="AP525" s="60"/>
      <c r="AQ525" s="58"/>
      <c r="AR525" s="62">
        <f t="shared" ref="AR525:AR534" si="1623">SUM(AO525+AP525-AQ525)</f>
        <v>10</v>
      </c>
      <c r="AS525" s="60"/>
      <c r="AT525" s="58"/>
      <c r="AU525" s="62">
        <f t="shared" ref="AU525:AU534" si="1624">SUM(AR525+AS525-AT525)</f>
        <v>10</v>
      </c>
      <c r="AV525" s="96">
        <f t="shared" si="1544"/>
        <v>0</v>
      </c>
      <c r="AW525" s="83">
        <f t="shared" si="1155"/>
        <v>0</v>
      </c>
      <c r="AX525" s="98">
        <f t="shared" ref="AX525:AX534" si="1625">SUM(M525,P525,S525,V525,Y525,AB525,AE525,AH525,AK525,AN525,AQ525,AT525)</f>
        <v>0</v>
      </c>
      <c r="AY525" s="99" t="e">
        <f t="shared" ref="AY525:AY534" si="1626">AVERAGE(M525,P525,S525,V525,Y525,AB525,AE525,AH525,AK525,AN525,AQ525,AT525)</f>
        <v>#DIV/0!</v>
      </c>
      <c r="AZ525" s="100">
        <f t="shared" ref="AZ525:AZ534" si="1627">COUNT(M525,P525,S525,V525,Y525,AB525,AE525,AH525,AK525,AN525,AQ525,AT525)</f>
        <v>0</v>
      </c>
      <c r="BA525" s="101">
        <v>10</v>
      </c>
      <c r="BB525" s="102">
        <v>1</v>
      </c>
      <c r="BC525" s="84">
        <f t="shared" si="1540"/>
        <v>10</v>
      </c>
      <c r="BD525" s="83">
        <f t="shared" si="1541"/>
        <v>9</v>
      </c>
      <c r="BE525" s="85">
        <v>2</v>
      </c>
      <c r="BF525" s="86">
        <v>44964.652881944443</v>
      </c>
      <c r="BG525" s="72" t="e">
        <f t="shared" si="1595"/>
        <v>#REF!</v>
      </c>
      <c r="BH525" s="109" t="e">
        <f t="shared" ref="BH525:BH534" si="1628">BG525-BF525</f>
        <v>#REF!</v>
      </c>
      <c r="BI525" s="80" t="e">
        <f t="shared" si="1543"/>
        <v>#REF!</v>
      </c>
      <c r="BJ525" s="238">
        <v>550</v>
      </c>
    </row>
    <row r="526" spans="1:62" ht="13">
      <c r="A526" s="49"/>
      <c r="B526" s="76"/>
      <c r="C526" s="77">
        <v>524</v>
      </c>
      <c r="D526" s="135" t="s">
        <v>2072</v>
      </c>
      <c r="E526" s="110">
        <v>2</v>
      </c>
      <c r="F526" s="88" t="s">
        <v>1389</v>
      </c>
      <c r="G526" s="89" t="s">
        <v>1390</v>
      </c>
      <c r="H526" s="81" t="s">
        <v>1701</v>
      </c>
      <c r="I526" s="80" t="s">
        <v>458</v>
      </c>
      <c r="J526" s="93">
        <f t="shared" si="1612"/>
        <v>10</v>
      </c>
      <c r="K526" s="88">
        <v>10</v>
      </c>
      <c r="L526" s="58"/>
      <c r="M526" s="58"/>
      <c r="N526" s="62">
        <f t="shared" si="1613"/>
        <v>10</v>
      </c>
      <c r="O526" s="60"/>
      <c r="P526" s="58"/>
      <c r="Q526" s="62">
        <f t="shared" si="1614"/>
        <v>10</v>
      </c>
      <c r="R526" s="60"/>
      <c r="S526" s="58"/>
      <c r="T526" s="94">
        <f t="shared" si="1615"/>
        <v>10</v>
      </c>
      <c r="U526" s="60"/>
      <c r="V526" s="58"/>
      <c r="W526" s="62">
        <f t="shared" si="1616"/>
        <v>10</v>
      </c>
      <c r="X526" s="60"/>
      <c r="Y526" s="58"/>
      <c r="Z526" s="94">
        <f t="shared" si="1617"/>
        <v>10</v>
      </c>
      <c r="AA526" s="60"/>
      <c r="AB526" s="58"/>
      <c r="AC526" s="62">
        <f t="shared" si="1618"/>
        <v>10</v>
      </c>
      <c r="AD526" s="57"/>
      <c r="AE526" s="58"/>
      <c r="AF526" s="165">
        <f t="shared" si="1619"/>
        <v>10</v>
      </c>
      <c r="AG526" s="60"/>
      <c r="AH526" s="58"/>
      <c r="AI526" s="62">
        <f t="shared" si="1620"/>
        <v>10</v>
      </c>
      <c r="AJ526" s="60"/>
      <c r="AK526" s="58"/>
      <c r="AL526" s="62">
        <f t="shared" si="1621"/>
        <v>10</v>
      </c>
      <c r="AM526" s="60"/>
      <c r="AN526" s="58"/>
      <c r="AO526" s="62">
        <f t="shared" si="1622"/>
        <v>10</v>
      </c>
      <c r="AP526" s="60"/>
      <c r="AQ526" s="58"/>
      <c r="AR526" s="62">
        <f t="shared" si="1623"/>
        <v>10</v>
      </c>
      <c r="AS526" s="60"/>
      <c r="AT526" s="58"/>
      <c r="AU526" s="62">
        <f t="shared" si="1624"/>
        <v>10</v>
      </c>
      <c r="AV526" s="96">
        <f t="shared" ref="AV526:AV528" si="1629">SUM(L526+O526+R526+U526+X526+AA526+AD526+AG526+AJ526+AM526+AP526+AS526)</f>
        <v>0</v>
      </c>
      <c r="AW526" s="83">
        <f t="shared" si="1155"/>
        <v>0</v>
      </c>
      <c r="AX526" s="98">
        <f t="shared" si="1625"/>
        <v>0</v>
      </c>
      <c r="AY526" s="99" t="e">
        <f t="shared" si="1626"/>
        <v>#DIV/0!</v>
      </c>
      <c r="AZ526" s="100">
        <f t="shared" si="1627"/>
        <v>0</v>
      </c>
      <c r="BA526" s="101">
        <v>10</v>
      </c>
      <c r="BB526" s="102">
        <v>1</v>
      </c>
      <c r="BC526" s="84">
        <f t="shared" si="1540"/>
        <v>10</v>
      </c>
      <c r="BD526" s="83">
        <f t="shared" si="1541"/>
        <v>9</v>
      </c>
      <c r="BE526" s="85">
        <v>2</v>
      </c>
      <c r="BF526" s="86">
        <v>44964.652881944443</v>
      </c>
      <c r="BG526" s="72" t="e">
        <f t="shared" si="1595"/>
        <v>#REF!</v>
      </c>
      <c r="BH526" s="109" t="e">
        <f t="shared" si="1628"/>
        <v>#REF!</v>
      </c>
      <c r="BI526" s="80" t="e">
        <f t="shared" si="1543"/>
        <v>#REF!</v>
      </c>
      <c r="BJ526" s="238">
        <v>550</v>
      </c>
    </row>
    <row r="527" spans="1:62" ht="13">
      <c r="A527" s="49"/>
      <c r="B527" s="76"/>
      <c r="C527" s="77">
        <v>525</v>
      </c>
      <c r="D527" s="135" t="s">
        <v>2072</v>
      </c>
      <c r="E527" s="110">
        <v>3</v>
      </c>
      <c r="F527" s="88" t="s">
        <v>1381</v>
      </c>
      <c r="G527" s="89" t="s">
        <v>1382</v>
      </c>
      <c r="H527" s="81" t="s">
        <v>1701</v>
      </c>
      <c r="I527" s="80" t="s">
        <v>458</v>
      </c>
      <c r="J527" s="93">
        <f t="shared" si="1612"/>
        <v>10</v>
      </c>
      <c r="K527" s="80">
        <v>10</v>
      </c>
      <c r="L527" s="58"/>
      <c r="M527" s="58"/>
      <c r="N527" s="62">
        <f t="shared" si="1613"/>
        <v>10</v>
      </c>
      <c r="O527" s="60"/>
      <c r="P527" s="58"/>
      <c r="Q527" s="62">
        <f t="shared" si="1614"/>
        <v>10</v>
      </c>
      <c r="R527" s="60"/>
      <c r="S527" s="58"/>
      <c r="T527" s="94">
        <f t="shared" si="1615"/>
        <v>10</v>
      </c>
      <c r="U527" s="60"/>
      <c r="V527" s="58"/>
      <c r="W527" s="62">
        <f t="shared" si="1616"/>
        <v>10</v>
      </c>
      <c r="X527" s="60"/>
      <c r="Y527" s="58"/>
      <c r="Z527" s="94">
        <f t="shared" si="1617"/>
        <v>10</v>
      </c>
      <c r="AA527" s="60"/>
      <c r="AB527" s="58"/>
      <c r="AC527" s="62">
        <f t="shared" si="1618"/>
        <v>10</v>
      </c>
      <c r="AD527" s="57"/>
      <c r="AE527" s="58"/>
      <c r="AF527" s="165">
        <f t="shared" si="1619"/>
        <v>10</v>
      </c>
      <c r="AG527" s="60"/>
      <c r="AH527" s="58"/>
      <c r="AI527" s="62">
        <f t="shared" si="1620"/>
        <v>10</v>
      </c>
      <c r="AJ527" s="60"/>
      <c r="AK527" s="58"/>
      <c r="AL527" s="62">
        <f t="shared" si="1621"/>
        <v>10</v>
      </c>
      <c r="AM527" s="60"/>
      <c r="AN527" s="58"/>
      <c r="AO527" s="62">
        <f t="shared" si="1622"/>
        <v>10</v>
      </c>
      <c r="AP527" s="60"/>
      <c r="AQ527" s="58"/>
      <c r="AR527" s="62">
        <f t="shared" si="1623"/>
        <v>10</v>
      </c>
      <c r="AS527" s="60"/>
      <c r="AT527" s="58"/>
      <c r="AU527" s="62">
        <f t="shared" si="1624"/>
        <v>10</v>
      </c>
      <c r="AV527" s="96">
        <f t="shared" si="1629"/>
        <v>0</v>
      </c>
      <c r="AW527" s="83">
        <f t="shared" si="1155"/>
        <v>0</v>
      </c>
      <c r="AX527" s="98">
        <f t="shared" si="1625"/>
        <v>0</v>
      </c>
      <c r="AY527" s="99" t="e">
        <f t="shared" si="1626"/>
        <v>#DIV/0!</v>
      </c>
      <c r="AZ527" s="100">
        <f t="shared" si="1627"/>
        <v>0</v>
      </c>
      <c r="BA527" s="101">
        <v>10</v>
      </c>
      <c r="BB527" s="102">
        <v>1</v>
      </c>
      <c r="BC527" s="84">
        <f t="shared" si="1540"/>
        <v>10</v>
      </c>
      <c r="BD527" s="83">
        <f t="shared" si="1541"/>
        <v>9</v>
      </c>
      <c r="BE527" s="85">
        <v>2</v>
      </c>
      <c r="BF527" s="86">
        <v>44964.652881944443</v>
      </c>
      <c r="BG527" s="72" t="e">
        <f t="shared" si="1595"/>
        <v>#REF!</v>
      </c>
      <c r="BH527" s="109" t="e">
        <f t="shared" si="1628"/>
        <v>#REF!</v>
      </c>
      <c r="BI527" s="80" t="e">
        <f t="shared" si="1543"/>
        <v>#REF!</v>
      </c>
      <c r="BJ527" s="238">
        <v>550</v>
      </c>
    </row>
    <row r="528" spans="1:62" ht="13">
      <c r="A528" s="49"/>
      <c r="B528" s="50"/>
      <c r="C528" s="51">
        <v>526</v>
      </c>
      <c r="D528" s="135" t="s">
        <v>2072</v>
      </c>
      <c r="E528" s="110">
        <v>4</v>
      </c>
      <c r="F528" s="88" t="s">
        <v>1387</v>
      </c>
      <c r="G528" s="89" t="s">
        <v>1388</v>
      </c>
      <c r="H528" s="81" t="s">
        <v>1701</v>
      </c>
      <c r="I528" s="80" t="s">
        <v>458</v>
      </c>
      <c r="J528" s="93">
        <f t="shared" ref="J528:J534" si="1630">AU528</f>
        <v>10</v>
      </c>
      <c r="K528" s="80">
        <v>10</v>
      </c>
      <c r="L528" s="58"/>
      <c r="M528" s="58"/>
      <c r="N528" s="62">
        <f t="shared" si="1613"/>
        <v>10</v>
      </c>
      <c r="O528" s="60"/>
      <c r="P528" s="58"/>
      <c r="Q528" s="62">
        <f t="shared" si="1614"/>
        <v>10</v>
      </c>
      <c r="R528" s="60"/>
      <c r="S528" s="58"/>
      <c r="T528" s="94">
        <f t="shared" si="1615"/>
        <v>10</v>
      </c>
      <c r="U528" s="60"/>
      <c r="V528" s="58"/>
      <c r="W528" s="62">
        <f t="shared" si="1616"/>
        <v>10</v>
      </c>
      <c r="X528" s="60"/>
      <c r="Y528" s="58"/>
      <c r="Z528" s="94">
        <f t="shared" si="1617"/>
        <v>10</v>
      </c>
      <c r="AA528" s="60"/>
      <c r="AB528" s="58"/>
      <c r="AC528" s="62">
        <f t="shared" si="1618"/>
        <v>10</v>
      </c>
      <c r="AD528" s="57"/>
      <c r="AE528" s="58"/>
      <c r="AF528" s="165">
        <f t="shared" si="1619"/>
        <v>10</v>
      </c>
      <c r="AG528" s="60"/>
      <c r="AH528" s="58"/>
      <c r="AI528" s="62">
        <f t="shared" si="1620"/>
        <v>10</v>
      </c>
      <c r="AJ528" s="60"/>
      <c r="AK528" s="58"/>
      <c r="AL528" s="62">
        <f t="shared" si="1621"/>
        <v>10</v>
      </c>
      <c r="AM528" s="60"/>
      <c r="AN528" s="58"/>
      <c r="AO528" s="62">
        <f t="shared" si="1622"/>
        <v>10</v>
      </c>
      <c r="AP528" s="60"/>
      <c r="AQ528" s="58"/>
      <c r="AR528" s="62">
        <f t="shared" si="1623"/>
        <v>10</v>
      </c>
      <c r="AS528" s="60"/>
      <c r="AT528" s="58"/>
      <c r="AU528" s="62">
        <f t="shared" si="1624"/>
        <v>10</v>
      </c>
      <c r="AV528" s="96">
        <f t="shared" si="1629"/>
        <v>0</v>
      </c>
      <c r="AW528" s="83">
        <f t="shared" si="1155"/>
        <v>0</v>
      </c>
      <c r="AX528" s="98">
        <f t="shared" si="1625"/>
        <v>0</v>
      </c>
      <c r="AY528" s="99" t="e">
        <f t="shared" si="1626"/>
        <v>#DIV/0!</v>
      </c>
      <c r="AZ528" s="100">
        <f t="shared" si="1627"/>
        <v>0</v>
      </c>
      <c r="BA528" s="101">
        <v>10</v>
      </c>
      <c r="BB528" s="102">
        <v>1</v>
      </c>
      <c r="BC528" s="84">
        <f t="shared" si="1540"/>
        <v>10</v>
      </c>
      <c r="BD528" s="83">
        <f t="shared" si="1541"/>
        <v>9</v>
      </c>
      <c r="BE528" s="85">
        <v>2</v>
      </c>
      <c r="BF528" s="86">
        <v>44964.62777777778</v>
      </c>
      <c r="BG528" s="72" t="e">
        <f t="shared" si="1595"/>
        <v>#REF!</v>
      </c>
      <c r="BH528" s="109" t="e">
        <f t="shared" si="1628"/>
        <v>#REF!</v>
      </c>
      <c r="BI528" s="80" t="e">
        <f t="shared" si="1543"/>
        <v>#REF!</v>
      </c>
      <c r="BJ528" s="238">
        <v>550</v>
      </c>
    </row>
    <row r="529" spans="1:62" ht="13">
      <c r="A529" s="49"/>
      <c r="B529" s="50"/>
      <c r="C529" s="51">
        <v>527</v>
      </c>
      <c r="D529" s="135" t="s">
        <v>2072</v>
      </c>
      <c r="E529" s="110">
        <v>6</v>
      </c>
      <c r="F529" s="88" t="s">
        <v>1395</v>
      </c>
      <c r="G529" s="89" t="s">
        <v>1396</v>
      </c>
      <c r="H529" s="81" t="s">
        <v>1701</v>
      </c>
      <c r="I529" s="80" t="s">
        <v>458</v>
      </c>
      <c r="J529" s="93">
        <f t="shared" si="1630"/>
        <v>1</v>
      </c>
      <c r="K529" s="80">
        <v>1</v>
      </c>
      <c r="L529" s="58"/>
      <c r="M529" s="58"/>
      <c r="N529" s="62">
        <f t="shared" si="1613"/>
        <v>1</v>
      </c>
      <c r="O529" s="60"/>
      <c r="P529" s="58"/>
      <c r="Q529" s="62">
        <f t="shared" si="1614"/>
        <v>1</v>
      </c>
      <c r="R529" s="60"/>
      <c r="S529" s="58"/>
      <c r="T529" s="94">
        <f t="shared" si="1615"/>
        <v>1</v>
      </c>
      <c r="U529" s="60"/>
      <c r="V529" s="58"/>
      <c r="W529" s="62">
        <f t="shared" si="1616"/>
        <v>1</v>
      </c>
      <c r="X529" s="60"/>
      <c r="Y529" s="58"/>
      <c r="Z529" s="94">
        <f t="shared" si="1617"/>
        <v>1</v>
      </c>
      <c r="AA529" s="60"/>
      <c r="AB529" s="58"/>
      <c r="AC529" s="62">
        <f t="shared" si="1618"/>
        <v>1</v>
      </c>
      <c r="AD529" s="57"/>
      <c r="AE529" s="58"/>
      <c r="AF529" s="165">
        <f t="shared" si="1619"/>
        <v>1</v>
      </c>
      <c r="AG529" s="60"/>
      <c r="AH529" s="58"/>
      <c r="AI529" s="62">
        <f t="shared" si="1620"/>
        <v>1</v>
      </c>
      <c r="AJ529" s="60"/>
      <c r="AK529" s="58"/>
      <c r="AL529" s="62">
        <f t="shared" si="1621"/>
        <v>1</v>
      </c>
      <c r="AM529" s="60"/>
      <c r="AN529" s="58"/>
      <c r="AO529" s="62">
        <f t="shared" si="1622"/>
        <v>1</v>
      </c>
      <c r="AP529" s="60"/>
      <c r="AQ529" s="58"/>
      <c r="AR529" s="62">
        <f t="shared" si="1623"/>
        <v>1</v>
      </c>
      <c r="AS529" s="60"/>
      <c r="AT529" s="58"/>
      <c r="AU529" s="62">
        <f t="shared" si="1624"/>
        <v>1</v>
      </c>
      <c r="AV529" s="96">
        <f t="shared" ref="AV529:AW542" si="1631">SUM(L529+O529+R529+U529+X529+AA529+AD529+AG529+AJ529+AM529+AP529+AS529)</f>
        <v>0</v>
      </c>
      <c r="AW529" s="83">
        <f t="shared" si="1155"/>
        <v>0</v>
      </c>
      <c r="AX529" s="98">
        <f t="shared" si="1625"/>
        <v>0</v>
      </c>
      <c r="AY529" s="99" t="e">
        <f t="shared" si="1626"/>
        <v>#DIV/0!</v>
      </c>
      <c r="AZ529" s="100">
        <f t="shared" si="1627"/>
        <v>0</v>
      </c>
      <c r="BA529" s="101">
        <v>1</v>
      </c>
      <c r="BB529" s="102">
        <v>0</v>
      </c>
      <c r="BC529" s="84">
        <f t="shared" si="1540"/>
        <v>1</v>
      </c>
      <c r="BD529" s="83">
        <f t="shared" si="1541"/>
        <v>1</v>
      </c>
      <c r="BE529" s="85">
        <v>2</v>
      </c>
      <c r="BF529" s="86">
        <v>44964.652881944443</v>
      </c>
      <c r="BG529" s="72" t="e">
        <f t="shared" si="1595"/>
        <v>#REF!</v>
      </c>
      <c r="BH529" s="109" t="e">
        <f t="shared" si="1628"/>
        <v>#REF!</v>
      </c>
      <c r="BI529" s="80" t="e">
        <f t="shared" si="1543"/>
        <v>#REF!</v>
      </c>
      <c r="BJ529" s="238">
        <v>5700</v>
      </c>
    </row>
    <row r="530" spans="1:62" ht="13">
      <c r="A530" s="90"/>
      <c r="B530" s="91"/>
      <c r="C530" s="51">
        <v>528</v>
      </c>
      <c r="D530" s="135" t="s">
        <v>2072</v>
      </c>
      <c r="E530" s="110">
        <v>7</v>
      </c>
      <c r="F530" s="88" t="s">
        <v>1401</v>
      </c>
      <c r="G530" s="89" t="s">
        <v>1402</v>
      </c>
      <c r="H530" s="81" t="s">
        <v>1701</v>
      </c>
      <c r="I530" s="80" t="s">
        <v>458</v>
      </c>
      <c r="J530" s="93">
        <f t="shared" si="1630"/>
        <v>1</v>
      </c>
      <c r="K530" s="88">
        <v>1</v>
      </c>
      <c r="L530" s="58"/>
      <c r="M530" s="58"/>
      <c r="N530" s="62">
        <f t="shared" si="1613"/>
        <v>1</v>
      </c>
      <c r="O530" s="60"/>
      <c r="P530" s="58"/>
      <c r="Q530" s="62">
        <f t="shared" si="1614"/>
        <v>1</v>
      </c>
      <c r="R530" s="60"/>
      <c r="S530" s="58"/>
      <c r="T530" s="94">
        <f t="shared" si="1615"/>
        <v>1</v>
      </c>
      <c r="U530" s="60"/>
      <c r="V530" s="58"/>
      <c r="W530" s="62">
        <f t="shared" si="1616"/>
        <v>1</v>
      </c>
      <c r="X530" s="60"/>
      <c r="Y530" s="58"/>
      <c r="Z530" s="94">
        <f t="shared" si="1617"/>
        <v>1</v>
      </c>
      <c r="AA530" s="60"/>
      <c r="AB530" s="58"/>
      <c r="AC530" s="62">
        <f t="shared" si="1618"/>
        <v>1</v>
      </c>
      <c r="AD530" s="57"/>
      <c r="AE530" s="58"/>
      <c r="AF530" s="165">
        <f t="shared" si="1619"/>
        <v>1</v>
      </c>
      <c r="AG530" s="60"/>
      <c r="AH530" s="58"/>
      <c r="AI530" s="62">
        <f t="shared" si="1620"/>
        <v>1</v>
      </c>
      <c r="AJ530" s="60"/>
      <c r="AK530" s="58"/>
      <c r="AL530" s="62">
        <f t="shared" si="1621"/>
        <v>1</v>
      </c>
      <c r="AM530" s="60"/>
      <c r="AN530" s="58"/>
      <c r="AO530" s="62">
        <f t="shared" si="1622"/>
        <v>1</v>
      </c>
      <c r="AP530" s="60"/>
      <c r="AQ530" s="58"/>
      <c r="AR530" s="62">
        <f t="shared" si="1623"/>
        <v>1</v>
      </c>
      <c r="AS530" s="60"/>
      <c r="AT530" s="58"/>
      <c r="AU530" s="62">
        <f t="shared" si="1624"/>
        <v>1</v>
      </c>
      <c r="AV530" s="96">
        <f t="shared" si="1631"/>
        <v>0</v>
      </c>
      <c r="AW530" s="83">
        <f t="shared" si="1631"/>
        <v>0</v>
      </c>
      <c r="AX530" s="98">
        <f t="shared" si="1625"/>
        <v>0</v>
      </c>
      <c r="AY530" s="99" t="e">
        <f t="shared" si="1626"/>
        <v>#DIV/0!</v>
      </c>
      <c r="AZ530" s="100">
        <f t="shared" si="1627"/>
        <v>0</v>
      </c>
      <c r="BA530" s="101">
        <v>1</v>
      </c>
      <c r="BB530" s="102">
        <v>0</v>
      </c>
      <c r="BC530" s="84">
        <f t="shared" si="1540"/>
        <v>1</v>
      </c>
      <c r="BD530" s="83">
        <f t="shared" si="1541"/>
        <v>1</v>
      </c>
      <c r="BE530" s="85">
        <v>2</v>
      </c>
      <c r="BF530" s="86">
        <v>44964.652881944443</v>
      </c>
      <c r="BG530" s="72" t="e">
        <f t="shared" si="1595"/>
        <v>#REF!</v>
      </c>
      <c r="BH530" s="109" t="e">
        <f t="shared" si="1628"/>
        <v>#REF!</v>
      </c>
      <c r="BI530" s="80" t="e">
        <f t="shared" si="1543"/>
        <v>#REF!</v>
      </c>
      <c r="BJ530" s="238">
        <v>5700</v>
      </c>
    </row>
    <row r="531" spans="1:62" ht="13.5" customHeight="1">
      <c r="A531" s="75"/>
      <c r="B531" s="76"/>
      <c r="C531" s="51">
        <v>529</v>
      </c>
      <c r="D531" s="135" t="s">
        <v>2072</v>
      </c>
      <c r="E531" s="110">
        <v>9</v>
      </c>
      <c r="F531" s="88" t="s">
        <v>1383</v>
      </c>
      <c r="G531" s="89" t="s">
        <v>1384</v>
      </c>
      <c r="H531" s="81" t="s">
        <v>1701</v>
      </c>
      <c r="I531" s="80" t="s">
        <v>458</v>
      </c>
      <c r="J531" s="93">
        <f t="shared" si="1630"/>
        <v>2</v>
      </c>
      <c r="K531" s="88">
        <v>2</v>
      </c>
      <c r="L531" s="58"/>
      <c r="M531" s="58"/>
      <c r="N531" s="62">
        <f t="shared" si="1613"/>
        <v>2</v>
      </c>
      <c r="O531" s="60"/>
      <c r="P531" s="58"/>
      <c r="Q531" s="62">
        <f t="shared" si="1614"/>
        <v>2</v>
      </c>
      <c r="R531" s="60"/>
      <c r="S531" s="58"/>
      <c r="T531" s="94">
        <f t="shared" si="1615"/>
        <v>2</v>
      </c>
      <c r="U531" s="60"/>
      <c r="V531" s="58"/>
      <c r="W531" s="62">
        <f t="shared" si="1616"/>
        <v>2</v>
      </c>
      <c r="X531" s="60"/>
      <c r="Y531" s="58"/>
      <c r="Z531" s="94">
        <f t="shared" si="1617"/>
        <v>2</v>
      </c>
      <c r="AA531" s="60"/>
      <c r="AB531" s="58"/>
      <c r="AC531" s="62">
        <f t="shared" si="1618"/>
        <v>2</v>
      </c>
      <c r="AD531" s="57"/>
      <c r="AE531" s="58"/>
      <c r="AF531" s="165">
        <f t="shared" si="1619"/>
        <v>2</v>
      </c>
      <c r="AG531" s="60"/>
      <c r="AH531" s="58"/>
      <c r="AI531" s="62">
        <f t="shared" si="1620"/>
        <v>2</v>
      </c>
      <c r="AJ531" s="60"/>
      <c r="AK531" s="58"/>
      <c r="AL531" s="62">
        <f t="shared" si="1621"/>
        <v>2</v>
      </c>
      <c r="AM531" s="60"/>
      <c r="AN531" s="58"/>
      <c r="AO531" s="62">
        <f t="shared" si="1622"/>
        <v>2</v>
      </c>
      <c r="AP531" s="60"/>
      <c r="AQ531" s="58"/>
      <c r="AR531" s="62">
        <f t="shared" si="1623"/>
        <v>2</v>
      </c>
      <c r="AS531" s="60"/>
      <c r="AT531" s="58"/>
      <c r="AU531" s="62">
        <f t="shared" si="1624"/>
        <v>2</v>
      </c>
      <c r="AV531" s="96">
        <f t="shared" si="1631"/>
        <v>0</v>
      </c>
      <c r="AW531" s="83">
        <f t="shared" si="1631"/>
        <v>0</v>
      </c>
      <c r="AX531" s="98">
        <f t="shared" si="1625"/>
        <v>0</v>
      </c>
      <c r="AY531" s="99" t="e">
        <f t="shared" si="1626"/>
        <v>#DIV/0!</v>
      </c>
      <c r="AZ531" s="100">
        <f t="shared" si="1627"/>
        <v>0</v>
      </c>
      <c r="BA531" s="101">
        <v>2</v>
      </c>
      <c r="BB531" s="102">
        <v>1</v>
      </c>
      <c r="BC531" s="84">
        <f t="shared" si="1540"/>
        <v>2</v>
      </c>
      <c r="BD531" s="83">
        <f t="shared" si="1541"/>
        <v>1</v>
      </c>
      <c r="BE531" s="85">
        <v>2</v>
      </c>
      <c r="BF531" s="86">
        <v>44964.652881944443</v>
      </c>
      <c r="BG531" s="72" t="e">
        <f t="shared" si="1595"/>
        <v>#REF!</v>
      </c>
      <c r="BH531" s="109" t="e">
        <f t="shared" si="1628"/>
        <v>#REF!</v>
      </c>
      <c r="BI531" s="80" t="e">
        <f t="shared" si="1543"/>
        <v>#REF!</v>
      </c>
      <c r="BJ531" s="238">
        <v>4300</v>
      </c>
    </row>
    <row r="532" spans="1:62" ht="13">
      <c r="A532" s="49"/>
      <c r="B532" s="76"/>
      <c r="C532" s="77">
        <v>530</v>
      </c>
      <c r="D532" s="135" t="s">
        <v>2072</v>
      </c>
      <c r="E532" s="110">
        <v>10</v>
      </c>
      <c r="F532" s="88" t="s">
        <v>1391</v>
      </c>
      <c r="G532" s="89" t="s">
        <v>1392</v>
      </c>
      <c r="H532" s="81" t="s">
        <v>1701</v>
      </c>
      <c r="I532" s="80" t="s">
        <v>458</v>
      </c>
      <c r="J532" s="93">
        <f t="shared" si="1630"/>
        <v>2</v>
      </c>
      <c r="K532" s="80">
        <v>2</v>
      </c>
      <c r="L532" s="58"/>
      <c r="M532" s="58"/>
      <c r="N532" s="62">
        <f t="shared" si="1613"/>
        <v>2</v>
      </c>
      <c r="O532" s="60"/>
      <c r="P532" s="58"/>
      <c r="Q532" s="62">
        <f t="shared" si="1614"/>
        <v>2</v>
      </c>
      <c r="R532" s="60"/>
      <c r="S532" s="58"/>
      <c r="T532" s="94">
        <f t="shared" si="1615"/>
        <v>2</v>
      </c>
      <c r="U532" s="60"/>
      <c r="V532" s="58"/>
      <c r="W532" s="62">
        <f t="shared" si="1616"/>
        <v>2</v>
      </c>
      <c r="X532" s="60"/>
      <c r="Y532" s="58"/>
      <c r="Z532" s="94">
        <f t="shared" si="1617"/>
        <v>2</v>
      </c>
      <c r="AA532" s="60"/>
      <c r="AB532" s="58"/>
      <c r="AC532" s="62">
        <f t="shared" si="1618"/>
        <v>2</v>
      </c>
      <c r="AD532" s="57"/>
      <c r="AE532" s="58"/>
      <c r="AF532" s="165">
        <f t="shared" si="1619"/>
        <v>2</v>
      </c>
      <c r="AG532" s="60"/>
      <c r="AH532" s="58"/>
      <c r="AI532" s="62">
        <f t="shared" si="1620"/>
        <v>2</v>
      </c>
      <c r="AJ532" s="60"/>
      <c r="AK532" s="58"/>
      <c r="AL532" s="62">
        <f t="shared" si="1621"/>
        <v>2</v>
      </c>
      <c r="AM532" s="60"/>
      <c r="AN532" s="58"/>
      <c r="AO532" s="62">
        <f t="shared" si="1622"/>
        <v>2</v>
      </c>
      <c r="AP532" s="60"/>
      <c r="AQ532" s="58"/>
      <c r="AR532" s="62">
        <f t="shared" si="1623"/>
        <v>2</v>
      </c>
      <c r="AS532" s="60"/>
      <c r="AT532" s="58"/>
      <c r="AU532" s="62">
        <f t="shared" si="1624"/>
        <v>2</v>
      </c>
      <c r="AV532" s="96">
        <f t="shared" ref="AV532:AV534" si="1632">SUM(L532+O532+R532+U532+X532+AA532+AD532+AG532+AJ532+AM532+AP532+AS532)</f>
        <v>0</v>
      </c>
      <c r="AW532" s="83">
        <f t="shared" si="1631"/>
        <v>0</v>
      </c>
      <c r="AX532" s="98">
        <f t="shared" si="1625"/>
        <v>0</v>
      </c>
      <c r="AY532" s="99" t="e">
        <f t="shared" si="1626"/>
        <v>#DIV/0!</v>
      </c>
      <c r="AZ532" s="100">
        <f t="shared" si="1627"/>
        <v>0</v>
      </c>
      <c r="BA532" s="101">
        <v>2</v>
      </c>
      <c r="BB532" s="102">
        <v>1</v>
      </c>
      <c r="BC532" s="84">
        <f t="shared" si="1540"/>
        <v>2</v>
      </c>
      <c r="BD532" s="83">
        <f t="shared" si="1541"/>
        <v>1</v>
      </c>
      <c r="BE532" s="85">
        <v>2</v>
      </c>
      <c r="BF532" s="86">
        <v>44964.652881944443</v>
      </c>
      <c r="BG532" s="72" t="e">
        <f t="shared" si="1595"/>
        <v>#REF!</v>
      </c>
      <c r="BH532" s="109" t="e">
        <f t="shared" si="1628"/>
        <v>#REF!</v>
      </c>
      <c r="BI532" s="80" t="e">
        <f t="shared" si="1543"/>
        <v>#REF!</v>
      </c>
      <c r="BJ532" s="238">
        <v>4300</v>
      </c>
    </row>
    <row r="533" spans="1:62" ht="13">
      <c r="A533" s="49"/>
      <c r="B533" s="76"/>
      <c r="C533" s="77">
        <v>531</v>
      </c>
      <c r="D533" s="135" t="s">
        <v>2072</v>
      </c>
      <c r="E533" s="110">
        <v>11</v>
      </c>
      <c r="F533" s="88" t="s">
        <v>1397</v>
      </c>
      <c r="G533" s="89" t="s">
        <v>1398</v>
      </c>
      <c r="H533" s="81" t="s">
        <v>1701</v>
      </c>
      <c r="I533" s="80" t="s">
        <v>458</v>
      </c>
      <c r="J533" s="93">
        <f t="shared" si="1630"/>
        <v>2</v>
      </c>
      <c r="K533" s="88">
        <v>2</v>
      </c>
      <c r="L533" s="58"/>
      <c r="M533" s="58"/>
      <c r="N533" s="62">
        <f t="shared" si="1613"/>
        <v>2</v>
      </c>
      <c r="O533" s="60"/>
      <c r="P533" s="58"/>
      <c r="Q533" s="62">
        <f t="shared" si="1614"/>
        <v>2</v>
      </c>
      <c r="R533" s="60"/>
      <c r="S533" s="58"/>
      <c r="T533" s="94">
        <f t="shared" si="1615"/>
        <v>2</v>
      </c>
      <c r="U533" s="60"/>
      <c r="V533" s="58"/>
      <c r="W533" s="62">
        <f t="shared" si="1616"/>
        <v>2</v>
      </c>
      <c r="X533" s="60"/>
      <c r="Y533" s="58"/>
      <c r="Z533" s="94">
        <f t="shared" si="1617"/>
        <v>2</v>
      </c>
      <c r="AA533" s="60"/>
      <c r="AB533" s="58"/>
      <c r="AC533" s="62">
        <f t="shared" si="1618"/>
        <v>2</v>
      </c>
      <c r="AD533" s="57"/>
      <c r="AE533" s="58"/>
      <c r="AF533" s="165">
        <f t="shared" si="1619"/>
        <v>2</v>
      </c>
      <c r="AG533" s="60"/>
      <c r="AH533" s="58"/>
      <c r="AI533" s="62">
        <f t="shared" si="1620"/>
        <v>2</v>
      </c>
      <c r="AJ533" s="60"/>
      <c r="AK533" s="58"/>
      <c r="AL533" s="62">
        <f t="shared" si="1621"/>
        <v>2</v>
      </c>
      <c r="AM533" s="60"/>
      <c r="AN533" s="58"/>
      <c r="AO533" s="62">
        <f t="shared" si="1622"/>
        <v>2</v>
      </c>
      <c r="AP533" s="60"/>
      <c r="AQ533" s="58"/>
      <c r="AR533" s="62">
        <f t="shared" si="1623"/>
        <v>2</v>
      </c>
      <c r="AS533" s="60"/>
      <c r="AT533" s="58"/>
      <c r="AU533" s="62">
        <f t="shared" si="1624"/>
        <v>2</v>
      </c>
      <c r="AV533" s="96">
        <f t="shared" si="1632"/>
        <v>0</v>
      </c>
      <c r="AW533" s="83">
        <f t="shared" si="1631"/>
        <v>0</v>
      </c>
      <c r="AX533" s="98">
        <f t="shared" si="1625"/>
        <v>0</v>
      </c>
      <c r="AY533" s="99" t="e">
        <f t="shared" si="1626"/>
        <v>#DIV/0!</v>
      </c>
      <c r="AZ533" s="100">
        <f t="shared" si="1627"/>
        <v>0</v>
      </c>
      <c r="BA533" s="101">
        <v>2</v>
      </c>
      <c r="BB533" s="102">
        <v>1</v>
      </c>
      <c r="BC533" s="84">
        <f t="shared" si="1540"/>
        <v>2</v>
      </c>
      <c r="BD533" s="83">
        <f t="shared" si="1541"/>
        <v>1</v>
      </c>
      <c r="BE533" s="85">
        <v>2</v>
      </c>
      <c r="BF533" s="86">
        <v>44964.652881944443</v>
      </c>
      <c r="BG533" s="72" t="e">
        <f t="shared" si="1595"/>
        <v>#REF!</v>
      </c>
      <c r="BH533" s="109" t="e">
        <f t="shared" si="1628"/>
        <v>#REF!</v>
      </c>
      <c r="BI533" s="80" t="e">
        <f t="shared" si="1543"/>
        <v>#REF!</v>
      </c>
      <c r="BJ533" s="238">
        <v>4300</v>
      </c>
    </row>
    <row r="534" spans="1:62" ht="13">
      <c r="A534" s="49"/>
      <c r="B534" s="50"/>
      <c r="C534" s="51">
        <v>532</v>
      </c>
      <c r="D534" s="135" t="s">
        <v>2072</v>
      </c>
      <c r="E534" s="110">
        <v>12</v>
      </c>
      <c r="F534" s="88" t="s">
        <v>1403</v>
      </c>
      <c r="G534" s="89" t="s">
        <v>1404</v>
      </c>
      <c r="H534" s="81" t="s">
        <v>1701</v>
      </c>
      <c r="I534" s="80" t="s">
        <v>458</v>
      </c>
      <c r="J534" s="93">
        <f t="shared" si="1630"/>
        <v>2</v>
      </c>
      <c r="K534" s="80">
        <v>2</v>
      </c>
      <c r="L534" s="58"/>
      <c r="M534" s="58"/>
      <c r="N534" s="62">
        <f t="shared" si="1613"/>
        <v>2</v>
      </c>
      <c r="O534" s="60"/>
      <c r="P534" s="58"/>
      <c r="Q534" s="62">
        <f t="shared" si="1614"/>
        <v>2</v>
      </c>
      <c r="R534" s="60"/>
      <c r="S534" s="58"/>
      <c r="T534" s="94">
        <f t="shared" si="1615"/>
        <v>2</v>
      </c>
      <c r="U534" s="60"/>
      <c r="V534" s="58"/>
      <c r="W534" s="62">
        <f t="shared" si="1616"/>
        <v>2</v>
      </c>
      <c r="X534" s="60"/>
      <c r="Y534" s="58"/>
      <c r="Z534" s="94">
        <f t="shared" si="1617"/>
        <v>2</v>
      </c>
      <c r="AA534" s="60"/>
      <c r="AB534" s="58"/>
      <c r="AC534" s="62">
        <f t="shared" si="1618"/>
        <v>2</v>
      </c>
      <c r="AD534" s="57"/>
      <c r="AE534" s="58"/>
      <c r="AF534" s="165">
        <f t="shared" si="1619"/>
        <v>2</v>
      </c>
      <c r="AG534" s="60"/>
      <c r="AH534" s="58"/>
      <c r="AI534" s="62">
        <f t="shared" si="1620"/>
        <v>2</v>
      </c>
      <c r="AJ534" s="60"/>
      <c r="AK534" s="58"/>
      <c r="AL534" s="62">
        <f t="shared" si="1621"/>
        <v>2</v>
      </c>
      <c r="AM534" s="60"/>
      <c r="AN534" s="58"/>
      <c r="AO534" s="62">
        <f t="shared" si="1622"/>
        <v>2</v>
      </c>
      <c r="AP534" s="60"/>
      <c r="AQ534" s="58"/>
      <c r="AR534" s="62">
        <f t="shared" si="1623"/>
        <v>2</v>
      </c>
      <c r="AS534" s="60"/>
      <c r="AT534" s="58"/>
      <c r="AU534" s="62">
        <f t="shared" si="1624"/>
        <v>2</v>
      </c>
      <c r="AV534" s="96">
        <f t="shared" si="1632"/>
        <v>0</v>
      </c>
      <c r="AW534" s="83">
        <f t="shared" si="1631"/>
        <v>0</v>
      </c>
      <c r="AX534" s="98">
        <f t="shared" si="1625"/>
        <v>0</v>
      </c>
      <c r="AY534" s="99" t="e">
        <f t="shared" si="1626"/>
        <v>#DIV/0!</v>
      </c>
      <c r="AZ534" s="100">
        <f t="shared" si="1627"/>
        <v>0</v>
      </c>
      <c r="BA534" s="101">
        <v>2</v>
      </c>
      <c r="BB534" s="102">
        <v>1</v>
      </c>
      <c r="BC534" s="84">
        <f t="shared" si="1540"/>
        <v>2</v>
      </c>
      <c r="BD534" s="83">
        <f t="shared" si="1541"/>
        <v>1</v>
      </c>
      <c r="BE534" s="85">
        <v>2</v>
      </c>
      <c r="BF534" s="86">
        <v>44964.652881944443</v>
      </c>
      <c r="BG534" s="72" t="e">
        <f t="shared" si="1595"/>
        <v>#REF!</v>
      </c>
      <c r="BH534" s="109" t="e">
        <f t="shared" si="1628"/>
        <v>#REF!</v>
      </c>
      <c r="BI534" s="80" t="e">
        <f t="shared" si="1543"/>
        <v>#REF!</v>
      </c>
      <c r="BJ534" s="238">
        <v>4300</v>
      </c>
    </row>
    <row r="535" spans="1:62" ht="13">
      <c r="A535" s="75"/>
      <c r="B535" s="76"/>
      <c r="C535" s="51">
        <v>533</v>
      </c>
      <c r="D535" s="135" t="s">
        <v>2072</v>
      </c>
      <c r="E535" s="110">
        <v>13</v>
      </c>
      <c r="F535" s="88" t="s">
        <v>1385</v>
      </c>
      <c r="G535" s="89" t="s">
        <v>1386</v>
      </c>
      <c r="H535" s="81" t="s">
        <v>1701</v>
      </c>
      <c r="I535" s="80" t="s">
        <v>458</v>
      </c>
      <c r="J535" s="93">
        <f t="shared" ref="J535:J542" si="1633">AU535</f>
        <v>3</v>
      </c>
      <c r="K535" s="80">
        <v>4</v>
      </c>
      <c r="L535" s="58"/>
      <c r="M535" s="58"/>
      <c r="N535" s="62">
        <f t="shared" ref="N535:N542" si="1634">SUM(K535+L535-M535)</f>
        <v>4</v>
      </c>
      <c r="O535" s="60"/>
      <c r="P535" s="58"/>
      <c r="Q535" s="62">
        <f t="shared" ref="Q535:Q542" si="1635">SUM(N535+O535-P535)</f>
        <v>4</v>
      </c>
      <c r="R535" s="60"/>
      <c r="S535" s="58">
        <v>1</v>
      </c>
      <c r="T535" s="94">
        <f t="shared" ref="T535:T542" si="1636">SUM(Q535+R535-S535)</f>
        <v>3</v>
      </c>
      <c r="U535" s="60"/>
      <c r="V535" s="58"/>
      <c r="W535" s="62">
        <f t="shared" ref="W535:W542" si="1637">SUM(T535+U535-V535)</f>
        <v>3</v>
      </c>
      <c r="X535" s="60"/>
      <c r="Y535" s="58"/>
      <c r="Z535" s="94">
        <f t="shared" ref="Z535:Z542" si="1638">SUM(W535+X535-Y535)</f>
        <v>3</v>
      </c>
      <c r="AA535" s="60"/>
      <c r="AB535" s="58"/>
      <c r="AC535" s="62">
        <f t="shared" ref="AC535:AC542" si="1639">SUM(Z535+AA535-AB535)</f>
        <v>3</v>
      </c>
      <c r="AD535" s="57"/>
      <c r="AE535" s="58"/>
      <c r="AF535" s="165">
        <f t="shared" ref="AF535:AF542" si="1640">SUM(AC535+AD535-AE535)</f>
        <v>3</v>
      </c>
      <c r="AG535" s="60"/>
      <c r="AH535" s="58"/>
      <c r="AI535" s="62">
        <f t="shared" ref="AI535:AI542" si="1641">SUM(AF535+AG535-AH535)</f>
        <v>3</v>
      </c>
      <c r="AJ535" s="60"/>
      <c r="AK535" s="58"/>
      <c r="AL535" s="62">
        <f t="shared" ref="AL535:AL542" si="1642">SUM(AI535+AJ535-AK535)</f>
        <v>3</v>
      </c>
      <c r="AM535" s="60"/>
      <c r="AN535" s="58"/>
      <c r="AO535" s="62">
        <f t="shared" ref="AO535:AO542" si="1643">SUM(AL535+AM535-AN535)</f>
        <v>3</v>
      </c>
      <c r="AP535" s="60"/>
      <c r="AQ535" s="58"/>
      <c r="AR535" s="62">
        <f t="shared" ref="AR535:AR542" si="1644">SUM(AO535+AP535-AQ535)</f>
        <v>3</v>
      </c>
      <c r="AS535" s="60"/>
      <c r="AT535" s="58"/>
      <c r="AU535" s="62">
        <f t="shared" ref="AU535:AU542" si="1645">SUM(AR535+AS535-AT535)</f>
        <v>3</v>
      </c>
      <c r="AV535" s="96">
        <f>SUM(L535+O535+R535+U535+X535+AA535+AD535+AG535+AJ535+AM535+AP535+AS535)</f>
        <v>0</v>
      </c>
      <c r="AW535" s="83">
        <f t="shared" si="1631"/>
        <v>1</v>
      </c>
      <c r="AX535" s="98">
        <f t="shared" ref="AX535:AX542" si="1646">SUM(M535,P535,S535,V535,Y535,AB535,AE535,AH535,AK535,AN535,AQ535,AT535)</f>
        <v>1</v>
      </c>
      <c r="AY535" s="99">
        <f>AVERAGE(M535,P535,S535,V535,Y535,AB535,AE535,AH535,AK535,AN535,AQ535,AT535)</f>
        <v>1</v>
      </c>
      <c r="AZ535" s="100">
        <f>COUNT(M535,P535,S535,V535,Y535,AB535,AE535,AH535,AK535,AN535,AQ535,AT535)</f>
        <v>1</v>
      </c>
      <c r="BA535" s="101">
        <v>3</v>
      </c>
      <c r="BB535" s="102">
        <f>MIN(M535,P535,S535,V535,Y535,AB535,AE535,AH535,AK535,AN535,AQ535,AT535)</f>
        <v>1</v>
      </c>
      <c r="BC535" s="84">
        <f t="shared" si="1540"/>
        <v>3</v>
      </c>
      <c r="BD535" s="83">
        <f t="shared" si="1541"/>
        <v>2</v>
      </c>
      <c r="BE535" s="85">
        <v>2</v>
      </c>
      <c r="BF535" s="86">
        <v>44964.652881944443</v>
      </c>
      <c r="BG535" s="72" t="e">
        <f t="shared" si="1595"/>
        <v>#REF!</v>
      </c>
      <c r="BH535" s="109" t="e">
        <f>BG535-BF535</f>
        <v>#REF!</v>
      </c>
      <c r="BI535" s="80" t="e">
        <f t="shared" si="1543"/>
        <v>#REF!</v>
      </c>
      <c r="BJ535" s="238">
        <v>8650</v>
      </c>
    </row>
    <row r="536" spans="1:62" ht="13">
      <c r="A536" s="49"/>
      <c r="B536" s="50"/>
      <c r="C536" s="51">
        <v>534</v>
      </c>
      <c r="D536" s="135" t="s">
        <v>2072</v>
      </c>
      <c r="E536" s="110">
        <v>14</v>
      </c>
      <c r="F536" s="88" t="s">
        <v>1393</v>
      </c>
      <c r="G536" s="89" t="s">
        <v>1394</v>
      </c>
      <c r="H536" s="81" t="s">
        <v>1701</v>
      </c>
      <c r="I536" s="80" t="s">
        <v>458</v>
      </c>
      <c r="J536" s="93">
        <f t="shared" si="1633"/>
        <v>2</v>
      </c>
      <c r="K536" s="88">
        <v>2</v>
      </c>
      <c r="L536" s="58"/>
      <c r="M536" s="58"/>
      <c r="N536" s="62">
        <f t="shared" si="1634"/>
        <v>2</v>
      </c>
      <c r="O536" s="60"/>
      <c r="P536" s="58"/>
      <c r="Q536" s="62">
        <f t="shared" si="1635"/>
        <v>2</v>
      </c>
      <c r="R536" s="60"/>
      <c r="S536" s="58"/>
      <c r="T536" s="94">
        <f t="shared" si="1636"/>
        <v>2</v>
      </c>
      <c r="U536" s="60"/>
      <c r="V536" s="58"/>
      <c r="W536" s="62">
        <f t="shared" si="1637"/>
        <v>2</v>
      </c>
      <c r="X536" s="60"/>
      <c r="Y536" s="58"/>
      <c r="Z536" s="94">
        <f t="shared" si="1638"/>
        <v>2</v>
      </c>
      <c r="AA536" s="60"/>
      <c r="AB536" s="58"/>
      <c r="AC536" s="62">
        <f t="shared" si="1639"/>
        <v>2</v>
      </c>
      <c r="AD536" s="57"/>
      <c r="AE536" s="58"/>
      <c r="AF536" s="165">
        <f t="shared" si="1640"/>
        <v>2</v>
      </c>
      <c r="AG536" s="60"/>
      <c r="AH536" s="58"/>
      <c r="AI536" s="62">
        <f t="shared" si="1641"/>
        <v>2</v>
      </c>
      <c r="AJ536" s="60"/>
      <c r="AK536" s="58"/>
      <c r="AL536" s="62">
        <f t="shared" si="1642"/>
        <v>2</v>
      </c>
      <c r="AM536" s="60"/>
      <c r="AN536" s="58"/>
      <c r="AO536" s="62">
        <f t="shared" si="1643"/>
        <v>2</v>
      </c>
      <c r="AP536" s="60"/>
      <c r="AQ536" s="58"/>
      <c r="AR536" s="62">
        <f t="shared" si="1644"/>
        <v>2</v>
      </c>
      <c r="AS536" s="60"/>
      <c r="AT536" s="58"/>
      <c r="AU536" s="62">
        <f t="shared" si="1645"/>
        <v>2</v>
      </c>
      <c r="AV536" s="96">
        <f t="shared" ref="AV536:AV538" si="1647">SUM(L536+O536+R536+U536+X536+AA536+AD536+AG536+AJ536+AM536+AP536+AS536)</f>
        <v>0</v>
      </c>
      <c r="AW536" s="83">
        <f t="shared" si="1631"/>
        <v>0</v>
      </c>
      <c r="AX536" s="98">
        <f t="shared" si="1646"/>
        <v>0</v>
      </c>
      <c r="AY536" s="99" t="e">
        <f>AVERAGE(M536,P536,S536,V536,Y536,AB536,AE536,AH536,AK536,AN536,AQ536,AT536)</f>
        <v>#DIV/0!</v>
      </c>
      <c r="AZ536" s="100">
        <f>COUNT(M536,P536,S536,V536,Y536,AB536,AE536,AH536,AK536,AN536,AQ536,AT536)</f>
        <v>0</v>
      </c>
      <c r="BA536" s="101">
        <v>2</v>
      </c>
      <c r="BB536" s="102">
        <v>1</v>
      </c>
      <c r="BC536" s="84">
        <f t="shared" si="1540"/>
        <v>2</v>
      </c>
      <c r="BD536" s="83">
        <f t="shared" si="1541"/>
        <v>1</v>
      </c>
      <c r="BE536" s="85">
        <v>2</v>
      </c>
      <c r="BF536" s="86">
        <v>44964.652881944443</v>
      </c>
      <c r="BG536" s="72" t="e">
        <f t="shared" si="1595"/>
        <v>#REF!</v>
      </c>
      <c r="BH536" s="109" t="e">
        <f>BG536-BF536</f>
        <v>#REF!</v>
      </c>
      <c r="BI536" s="80" t="e">
        <f t="shared" si="1543"/>
        <v>#REF!</v>
      </c>
      <c r="BJ536" s="238">
        <v>8650</v>
      </c>
    </row>
    <row r="537" spans="1:62" ht="13">
      <c r="A537" s="90"/>
      <c r="B537" s="91"/>
      <c r="C537" s="51">
        <v>535</v>
      </c>
      <c r="D537" s="135" t="s">
        <v>2072</v>
      </c>
      <c r="E537" s="110">
        <v>15</v>
      </c>
      <c r="F537" s="88" t="s">
        <v>1399</v>
      </c>
      <c r="G537" s="89" t="s">
        <v>1400</v>
      </c>
      <c r="H537" s="81" t="s">
        <v>1701</v>
      </c>
      <c r="I537" s="80" t="s">
        <v>458</v>
      </c>
      <c r="J537" s="93">
        <f t="shared" si="1633"/>
        <v>2</v>
      </c>
      <c r="K537" s="80">
        <v>2</v>
      </c>
      <c r="L537" s="58"/>
      <c r="M537" s="58"/>
      <c r="N537" s="62">
        <f t="shared" si="1634"/>
        <v>2</v>
      </c>
      <c r="O537" s="60"/>
      <c r="P537" s="58"/>
      <c r="Q537" s="62">
        <f t="shared" si="1635"/>
        <v>2</v>
      </c>
      <c r="R537" s="60"/>
      <c r="S537" s="58"/>
      <c r="T537" s="94">
        <f t="shared" si="1636"/>
        <v>2</v>
      </c>
      <c r="U537" s="60"/>
      <c r="V537" s="58"/>
      <c r="W537" s="62">
        <f t="shared" si="1637"/>
        <v>2</v>
      </c>
      <c r="X537" s="60"/>
      <c r="Y537" s="58"/>
      <c r="Z537" s="94">
        <f t="shared" si="1638"/>
        <v>2</v>
      </c>
      <c r="AA537" s="60"/>
      <c r="AB537" s="58"/>
      <c r="AC537" s="62">
        <f t="shared" si="1639"/>
        <v>2</v>
      </c>
      <c r="AD537" s="57"/>
      <c r="AE537" s="58"/>
      <c r="AF537" s="165">
        <f t="shared" si="1640"/>
        <v>2</v>
      </c>
      <c r="AG537" s="60"/>
      <c r="AH537" s="58"/>
      <c r="AI537" s="62">
        <f t="shared" si="1641"/>
        <v>2</v>
      </c>
      <c r="AJ537" s="60"/>
      <c r="AK537" s="58"/>
      <c r="AL537" s="62">
        <f t="shared" si="1642"/>
        <v>2</v>
      </c>
      <c r="AM537" s="60"/>
      <c r="AN537" s="58"/>
      <c r="AO537" s="62">
        <f t="shared" si="1643"/>
        <v>2</v>
      </c>
      <c r="AP537" s="60"/>
      <c r="AQ537" s="58"/>
      <c r="AR537" s="62">
        <f t="shared" si="1644"/>
        <v>2</v>
      </c>
      <c r="AS537" s="60"/>
      <c r="AT537" s="58"/>
      <c r="AU537" s="62">
        <f t="shared" si="1645"/>
        <v>2</v>
      </c>
      <c r="AV537" s="96">
        <f t="shared" si="1647"/>
        <v>0</v>
      </c>
      <c r="AW537" s="83">
        <f t="shared" si="1631"/>
        <v>0</v>
      </c>
      <c r="AX537" s="98">
        <f t="shared" si="1646"/>
        <v>0</v>
      </c>
      <c r="AY537" s="99" t="e">
        <f>AVERAGE(M537,P537,S537,V537,Y537,AB537,AE537,AH537,AK537,AN537,AQ537,AT537)</f>
        <v>#DIV/0!</v>
      </c>
      <c r="AZ537" s="100">
        <f>COUNT(M537,P537,S537,V537,Y537,AB537,AE537,AH537,AK537,AN537,AQ537,AT537)</f>
        <v>0</v>
      </c>
      <c r="BA537" s="101">
        <v>2</v>
      </c>
      <c r="BB537" s="102">
        <v>1</v>
      </c>
      <c r="BC537" s="84">
        <f t="shared" si="1540"/>
        <v>2</v>
      </c>
      <c r="BD537" s="83">
        <f t="shared" si="1541"/>
        <v>1</v>
      </c>
      <c r="BE537" s="85">
        <v>2</v>
      </c>
      <c r="BF537" s="86">
        <v>44964.652881944443</v>
      </c>
      <c r="BG537" s="72" t="e">
        <f t="shared" si="1595"/>
        <v>#REF!</v>
      </c>
      <c r="BH537" s="103" t="e">
        <f>BG537-BF537</f>
        <v>#REF!</v>
      </c>
      <c r="BI537" s="80" t="e">
        <f t="shared" si="1543"/>
        <v>#REF!</v>
      </c>
      <c r="BJ537" s="238">
        <v>10300</v>
      </c>
    </row>
    <row r="538" spans="1:62" ht="13">
      <c r="A538" s="49"/>
      <c r="B538" s="50"/>
      <c r="C538" s="77">
        <v>536</v>
      </c>
      <c r="D538" s="135" t="s">
        <v>2072</v>
      </c>
      <c r="E538" s="110">
        <v>16</v>
      </c>
      <c r="F538" s="88" t="s">
        <v>1405</v>
      </c>
      <c r="G538" s="89" t="s">
        <v>1406</v>
      </c>
      <c r="H538" s="81" t="s">
        <v>1701</v>
      </c>
      <c r="I538" s="80" t="s">
        <v>458</v>
      </c>
      <c r="J538" s="93">
        <f t="shared" si="1633"/>
        <v>1</v>
      </c>
      <c r="K538" s="88">
        <v>1</v>
      </c>
      <c r="L538" s="58"/>
      <c r="M538" s="58"/>
      <c r="N538" s="62">
        <f t="shared" si="1634"/>
        <v>1</v>
      </c>
      <c r="O538" s="60"/>
      <c r="P538" s="58"/>
      <c r="Q538" s="62">
        <f t="shared" si="1635"/>
        <v>1</v>
      </c>
      <c r="R538" s="60"/>
      <c r="S538" s="58"/>
      <c r="T538" s="94">
        <f t="shared" si="1636"/>
        <v>1</v>
      </c>
      <c r="U538" s="60"/>
      <c r="V538" s="58"/>
      <c r="W538" s="62">
        <f t="shared" si="1637"/>
        <v>1</v>
      </c>
      <c r="X538" s="60"/>
      <c r="Y538" s="58"/>
      <c r="Z538" s="94">
        <f t="shared" si="1638"/>
        <v>1</v>
      </c>
      <c r="AA538" s="60"/>
      <c r="AB538" s="58"/>
      <c r="AC538" s="62">
        <f t="shared" si="1639"/>
        <v>1</v>
      </c>
      <c r="AD538" s="57"/>
      <c r="AE538" s="58"/>
      <c r="AF538" s="165">
        <f t="shared" si="1640"/>
        <v>1</v>
      </c>
      <c r="AG538" s="60"/>
      <c r="AH538" s="58"/>
      <c r="AI538" s="62">
        <f t="shared" si="1641"/>
        <v>1</v>
      </c>
      <c r="AJ538" s="60"/>
      <c r="AK538" s="58"/>
      <c r="AL538" s="62">
        <f t="shared" si="1642"/>
        <v>1</v>
      </c>
      <c r="AM538" s="60"/>
      <c r="AN538" s="58"/>
      <c r="AO538" s="62">
        <f t="shared" si="1643"/>
        <v>1</v>
      </c>
      <c r="AP538" s="60"/>
      <c r="AQ538" s="58"/>
      <c r="AR538" s="62">
        <f t="shared" si="1644"/>
        <v>1</v>
      </c>
      <c r="AS538" s="60"/>
      <c r="AT538" s="58"/>
      <c r="AU538" s="62">
        <f t="shared" si="1645"/>
        <v>1</v>
      </c>
      <c r="AV538" s="96">
        <f t="shared" si="1647"/>
        <v>0</v>
      </c>
      <c r="AW538" s="83">
        <f t="shared" si="1631"/>
        <v>0</v>
      </c>
      <c r="AX538" s="98">
        <f t="shared" si="1646"/>
        <v>0</v>
      </c>
      <c r="AY538" s="99" t="e">
        <f>AVERAGE(M538,P538,S538,V538,Y538,AB538,AE538,AH538,AK538,AN538,AQ538,AT538)</f>
        <v>#DIV/0!</v>
      </c>
      <c r="AZ538" s="100">
        <f>COUNT(M538,P538,S538,V538,Y538,AB538,AE538,AH538,AK538,AN538,AQ538,AT538)</f>
        <v>0</v>
      </c>
      <c r="BA538" s="101">
        <v>1</v>
      </c>
      <c r="BB538" s="102">
        <v>0</v>
      </c>
      <c r="BC538" s="84">
        <f t="shared" si="1540"/>
        <v>1</v>
      </c>
      <c r="BD538" s="83">
        <f t="shared" si="1541"/>
        <v>1</v>
      </c>
      <c r="BE538" s="85">
        <v>2</v>
      </c>
      <c r="BF538" s="86">
        <v>44964.652881944443</v>
      </c>
      <c r="BG538" s="72" t="e">
        <f t="shared" si="1595"/>
        <v>#REF!</v>
      </c>
      <c r="BH538" s="103" t="e">
        <f>BG538-BF538</f>
        <v>#REF!</v>
      </c>
      <c r="BI538" s="80" t="e">
        <f t="shared" si="1543"/>
        <v>#REF!</v>
      </c>
      <c r="BJ538" s="238">
        <v>10000</v>
      </c>
    </row>
    <row r="539" spans="1:62" ht="13">
      <c r="A539" s="75"/>
      <c r="B539" s="76"/>
      <c r="C539" s="77">
        <v>537</v>
      </c>
      <c r="D539" s="146" t="s">
        <v>1784</v>
      </c>
      <c r="E539" s="145">
        <v>1</v>
      </c>
      <c r="F539" s="88" t="s">
        <v>1182</v>
      </c>
      <c r="G539" s="89" t="s">
        <v>1183</v>
      </c>
      <c r="H539" s="81" t="s">
        <v>1701</v>
      </c>
      <c r="I539" s="80" t="s">
        <v>458</v>
      </c>
      <c r="J539" s="82">
        <f t="shared" si="1633"/>
        <v>1</v>
      </c>
      <c r="K539" s="80">
        <v>1</v>
      </c>
      <c r="L539" s="57"/>
      <c r="M539" s="58"/>
      <c r="N539" s="59">
        <f t="shared" si="1634"/>
        <v>1</v>
      </c>
      <c r="O539" s="60"/>
      <c r="P539" s="58"/>
      <c r="Q539" s="59">
        <f t="shared" si="1635"/>
        <v>1</v>
      </c>
      <c r="R539" s="60"/>
      <c r="S539" s="58"/>
      <c r="T539" s="61">
        <f t="shared" si="1636"/>
        <v>1</v>
      </c>
      <c r="U539" s="60"/>
      <c r="V539" s="58"/>
      <c r="W539" s="59">
        <f t="shared" si="1637"/>
        <v>1</v>
      </c>
      <c r="X539" s="60"/>
      <c r="Y539" s="58"/>
      <c r="Z539" s="61">
        <f t="shared" si="1638"/>
        <v>1</v>
      </c>
      <c r="AA539" s="60"/>
      <c r="AB539" s="58"/>
      <c r="AC539" s="59">
        <f t="shared" si="1639"/>
        <v>1</v>
      </c>
      <c r="AD539" s="57"/>
      <c r="AE539" s="58"/>
      <c r="AF539" s="243">
        <f t="shared" si="1640"/>
        <v>1</v>
      </c>
      <c r="AG539" s="60"/>
      <c r="AH539" s="58"/>
      <c r="AI539" s="62">
        <f t="shared" si="1641"/>
        <v>1</v>
      </c>
      <c r="AJ539" s="60"/>
      <c r="AK539" s="58"/>
      <c r="AL539" s="62">
        <f t="shared" si="1642"/>
        <v>1</v>
      </c>
      <c r="AM539" s="60"/>
      <c r="AN539" s="58"/>
      <c r="AO539" s="62">
        <f t="shared" si="1643"/>
        <v>1</v>
      </c>
      <c r="AP539" s="60"/>
      <c r="AQ539" s="58"/>
      <c r="AR539" s="104">
        <f t="shared" si="1644"/>
        <v>1</v>
      </c>
      <c r="AS539" s="57"/>
      <c r="AT539" s="58"/>
      <c r="AU539" s="62">
        <f t="shared" si="1645"/>
        <v>1</v>
      </c>
      <c r="AV539" s="128">
        <f t="shared" ref="AV539:AV542" si="1648">SUM(L539+O539+R539+U539+X539+AA539+AD539+AG539+AJ539+AM539+AP539+AS539)</f>
        <v>0</v>
      </c>
      <c r="AW539" s="83">
        <f t="shared" si="1631"/>
        <v>0</v>
      </c>
      <c r="AX539" s="64">
        <f t="shared" si="1646"/>
        <v>0</v>
      </c>
      <c r="AY539" s="65" t="e">
        <f t="shared" ref="AY539:AY542" si="1649">AVERAGE(M539,P539,S539,V539,Y539,AB539,AE539,AH539,AK539,AN539,AQ539,AT539)</f>
        <v>#DIV/0!</v>
      </c>
      <c r="AZ539" s="66">
        <f t="shared" ref="AZ539:AZ542" si="1650">COUNT(M539,P539,S539,V539,Y539,AB539,AE539,AH539,AK539,AN539,AQ539,AT539)</f>
        <v>0</v>
      </c>
      <c r="BA539" s="67">
        <v>1</v>
      </c>
      <c r="BB539" s="68">
        <v>0</v>
      </c>
      <c r="BC539" s="84">
        <f t="shared" si="1540"/>
        <v>1</v>
      </c>
      <c r="BD539" s="83">
        <f t="shared" si="1541"/>
        <v>1</v>
      </c>
      <c r="BE539" s="85">
        <v>2</v>
      </c>
      <c r="BF539" s="86">
        <v>45301.383090277777</v>
      </c>
      <c r="BG539" s="72" t="e">
        <f t="shared" si="1595"/>
        <v>#REF!</v>
      </c>
      <c r="BH539" s="87" t="e">
        <f t="shared" ref="BH539:BH542" si="1651">BG539-BF539</f>
        <v>#REF!</v>
      </c>
      <c r="BI539" s="80" t="e">
        <f t="shared" si="1543"/>
        <v>#REF!</v>
      </c>
      <c r="BJ539" s="238">
        <v>6800</v>
      </c>
    </row>
    <row r="540" spans="1:62" ht="13">
      <c r="A540" s="49"/>
      <c r="B540" s="76"/>
      <c r="C540" s="51">
        <v>538</v>
      </c>
      <c r="D540" s="146" t="s">
        <v>1784</v>
      </c>
      <c r="E540" s="145">
        <v>2</v>
      </c>
      <c r="F540" s="88" t="s">
        <v>1184</v>
      </c>
      <c r="G540" s="89" t="s">
        <v>1185</v>
      </c>
      <c r="H540" s="81" t="s">
        <v>1701</v>
      </c>
      <c r="I540" s="80" t="s">
        <v>458</v>
      </c>
      <c r="J540" s="82">
        <f t="shared" si="1633"/>
        <v>1</v>
      </c>
      <c r="K540" s="80">
        <v>1</v>
      </c>
      <c r="L540" s="57"/>
      <c r="M540" s="58"/>
      <c r="N540" s="59">
        <f t="shared" si="1634"/>
        <v>1</v>
      </c>
      <c r="O540" s="60"/>
      <c r="P540" s="58"/>
      <c r="Q540" s="59">
        <f t="shared" si="1635"/>
        <v>1</v>
      </c>
      <c r="R540" s="60"/>
      <c r="S540" s="58"/>
      <c r="T540" s="61">
        <f t="shared" si="1636"/>
        <v>1</v>
      </c>
      <c r="U540" s="60"/>
      <c r="V540" s="58"/>
      <c r="W540" s="59">
        <f t="shared" si="1637"/>
        <v>1</v>
      </c>
      <c r="X540" s="60"/>
      <c r="Y540" s="58"/>
      <c r="Z540" s="61">
        <f t="shared" si="1638"/>
        <v>1</v>
      </c>
      <c r="AA540" s="60"/>
      <c r="AB540" s="58"/>
      <c r="AC540" s="59">
        <f t="shared" si="1639"/>
        <v>1</v>
      </c>
      <c r="AD540" s="57"/>
      <c r="AE540" s="58"/>
      <c r="AF540" s="243">
        <f t="shared" si="1640"/>
        <v>1</v>
      </c>
      <c r="AG540" s="60"/>
      <c r="AH540" s="58"/>
      <c r="AI540" s="62">
        <f t="shared" si="1641"/>
        <v>1</v>
      </c>
      <c r="AJ540" s="60"/>
      <c r="AK540" s="58"/>
      <c r="AL540" s="62">
        <f t="shared" si="1642"/>
        <v>1</v>
      </c>
      <c r="AM540" s="60"/>
      <c r="AN540" s="58"/>
      <c r="AO540" s="62">
        <f t="shared" si="1643"/>
        <v>1</v>
      </c>
      <c r="AP540" s="60"/>
      <c r="AQ540" s="58"/>
      <c r="AR540" s="104">
        <f t="shared" si="1644"/>
        <v>1</v>
      </c>
      <c r="AS540" s="57"/>
      <c r="AT540" s="58"/>
      <c r="AU540" s="62">
        <f t="shared" si="1645"/>
        <v>1</v>
      </c>
      <c r="AV540" s="128">
        <f t="shared" si="1648"/>
        <v>0</v>
      </c>
      <c r="AW540" s="83">
        <f t="shared" si="1631"/>
        <v>0</v>
      </c>
      <c r="AX540" s="64">
        <f t="shared" si="1646"/>
        <v>0</v>
      </c>
      <c r="AY540" s="65" t="e">
        <f t="shared" si="1649"/>
        <v>#DIV/0!</v>
      </c>
      <c r="AZ540" s="66">
        <f t="shared" si="1650"/>
        <v>0</v>
      </c>
      <c r="BA540" s="67">
        <f>MAX(0, Table176252626[[#This Row],[Column6]])</f>
        <v>1</v>
      </c>
      <c r="BB540" s="68">
        <v>0</v>
      </c>
      <c r="BC540" s="84">
        <f t="shared" si="1540"/>
        <v>1</v>
      </c>
      <c r="BD540" s="83">
        <f t="shared" si="1541"/>
        <v>1</v>
      </c>
      <c r="BE540" s="85">
        <v>2</v>
      </c>
      <c r="BF540" s="86">
        <v>44888.423391203702</v>
      </c>
      <c r="BG540" s="72" t="e">
        <f t="shared" si="1595"/>
        <v>#REF!</v>
      </c>
      <c r="BH540" s="107" t="e">
        <f t="shared" si="1651"/>
        <v>#REF!</v>
      </c>
      <c r="BI540" s="80" t="e">
        <f t="shared" si="1543"/>
        <v>#REF!</v>
      </c>
      <c r="BJ540" s="238">
        <v>3800</v>
      </c>
    </row>
    <row r="541" spans="1:62" ht="13">
      <c r="A541" s="49"/>
      <c r="B541" s="76"/>
      <c r="C541" s="51">
        <v>539</v>
      </c>
      <c r="D541" s="146" t="s">
        <v>1784</v>
      </c>
      <c r="E541" s="145">
        <v>3</v>
      </c>
      <c r="F541" s="88" t="s">
        <v>1186</v>
      </c>
      <c r="G541" s="89" t="s">
        <v>1187</v>
      </c>
      <c r="H541" s="81" t="s">
        <v>1701</v>
      </c>
      <c r="I541" s="80" t="s">
        <v>458</v>
      </c>
      <c r="J541" s="82">
        <f t="shared" si="1633"/>
        <v>1</v>
      </c>
      <c r="K541" s="80">
        <v>1</v>
      </c>
      <c r="L541" s="57"/>
      <c r="M541" s="58"/>
      <c r="N541" s="59">
        <f t="shared" si="1634"/>
        <v>1</v>
      </c>
      <c r="O541" s="60"/>
      <c r="P541" s="58"/>
      <c r="Q541" s="59">
        <f t="shared" si="1635"/>
        <v>1</v>
      </c>
      <c r="R541" s="60"/>
      <c r="S541" s="58"/>
      <c r="T541" s="61">
        <f t="shared" si="1636"/>
        <v>1</v>
      </c>
      <c r="U541" s="60"/>
      <c r="V541" s="58"/>
      <c r="W541" s="59">
        <f t="shared" si="1637"/>
        <v>1</v>
      </c>
      <c r="X541" s="60"/>
      <c r="Y541" s="58"/>
      <c r="Z541" s="61">
        <f t="shared" si="1638"/>
        <v>1</v>
      </c>
      <c r="AA541" s="60"/>
      <c r="AB541" s="58"/>
      <c r="AC541" s="59">
        <f t="shared" si="1639"/>
        <v>1</v>
      </c>
      <c r="AD541" s="57"/>
      <c r="AE541" s="58"/>
      <c r="AF541" s="243">
        <f t="shared" si="1640"/>
        <v>1</v>
      </c>
      <c r="AG541" s="60"/>
      <c r="AH541" s="58"/>
      <c r="AI541" s="62">
        <f t="shared" si="1641"/>
        <v>1</v>
      </c>
      <c r="AJ541" s="60"/>
      <c r="AK541" s="58"/>
      <c r="AL541" s="62">
        <f t="shared" si="1642"/>
        <v>1</v>
      </c>
      <c r="AM541" s="60"/>
      <c r="AN541" s="58"/>
      <c r="AO541" s="62">
        <f t="shared" si="1643"/>
        <v>1</v>
      </c>
      <c r="AP541" s="60"/>
      <c r="AQ541" s="58"/>
      <c r="AR541" s="104">
        <f t="shared" si="1644"/>
        <v>1</v>
      </c>
      <c r="AS541" s="57"/>
      <c r="AT541" s="58"/>
      <c r="AU541" s="62">
        <f t="shared" si="1645"/>
        <v>1</v>
      </c>
      <c r="AV541" s="128">
        <f t="shared" si="1648"/>
        <v>0</v>
      </c>
      <c r="AW541" s="83">
        <f t="shared" si="1631"/>
        <v>0</v>
      </c>
      <c r="AX541" s="64">
        <f t="shared" si="1646"/>
        <v>0</v>
      </c>
      <c r="AY541" s="65" t="e">
        <f t="shared" si="1649"/>
        <v>#DIV/0!</v>
      </c>
      <c r="AZ541" s="66">
        <f t="shared" si="1650"/>
        <v>0</v>
      </c>
      <c r="BA541" s="67">
        <f>MAX(0, Table176252626[[#This Row],[Column6]])</f>
        <v>1</v>
      </c>
      <c r="BB541" s="68">
        <v>0</v>
      </c>
      <c r="BC541" s="84">
        <f t="shared" si="1540"/>
        <v>1</v>
      </c>
      <c r="BD541" s="83">
        <f t="shared" si="1541"/>
        <v>1</v>
      </c>
      <c r="BE541" s="85">
        <v>2</v>
      </c>
      <c r="BF541" s="86">
        <v>44888.423391203702</v>
      </c>
      <c r="BG541" s="72" t="e">
        <f t="shared" si="1595"/>
        <v>#REF!</v>
      </c>
      <c r="BH541" s="87" t="e">
        <f t="shared" si="1651"/>
        <v>#REF!</v>
      </c>
      <c r="BI541" s="80" t="e">
        <f t="shared" si="1543"/>
        <v>#REF!</v>
      </c>
      <c r="BJ541" s="238">
        <v>3800</v>
      </c>
    </row>
    <row r="542" spans="1:62" ht="13">
      <c r="A542" s="49"/>
      <c r="B542" s="50"/>
      <c r="C542" s="51">
        <v>540</v>
      </c>
      <c r="D542" s="146" t="s">
        <v>1784</v>
      </c>
      <c r="E542" s="145">
        <v>4</v>
      </c>
      <c r="F542" s="88" t="s">
        <v>1188</v>
      </c>
      <c r="G542" s="89" t="s">
        <v>1189</v>
      </c>
      <c r="H542" s="81" t="s">
        <v>1701</v>
      </c>
      <c r="I542" s="80" t="s">
        <v>458</v>
      </c>
      <c r="J542" s="82">
        <f t="shared" si="1633"/>
        <v>1</v>
      </c>
      <c r="K542" s="80">
        <v>1</v>
      </c>
      <c r="L542" s="57"/>
      <c r="M542" s="58"/>
      <c r="N542" s="59">
        <f t="shared" si="1634"/>
        <v>1</v>
      </c>
      <c r="O542" s="60"/>
      <c r="P542" s="58"/>
      <c r="Q542" s="59">
        <f t="shared" si="1635"/>
        <v>1</v>
      </c>
      <c r="R542" s="60"/>
      <c r="S542" s="58"/>
      <c r="T542" s="61">
        <f t="shared" si="1636"/>
        <v>1</v>
      </c>
      <c r="U542" s="60"/>
      <c r="V542" s="58"/>
      <c r="W542" s="59">
        <f t="shared" si="1637"/>
        <v>1</v>
      </c>
      <c r="X542" s="60"/>
      <c r="Y542" s="58"/>
      <c r="Z542" s="61">
        <f t="shared" si="1638"/>
        <v>1</v>
      </c>
      <c r="AA542" s="60"/>
      <c r="AB542" s="58"/>
      <c r="AC542" s="59">
        <f t="shared" si="1639"/>
        <v>1</v>
      </c>
      <c r="AD542" s="57"/>
      <c r="AE542" s="58"/>
      <c r="AF542" s="243">
        <f t="shared" si="1640"/>
        <v>1</v>
      </c>
      <c r="AG542" s="60"/>
      <c r="AH542" s="58"/>
      <c r="AI542" s="62">
        <f t="shared" si="1641"/>
        <v>1</v>
      </c>
      <c r="AJ542" s="60"/>
      <c r="AK542" s="58"/>
      <c r="AL542" s="62">
        <f t="shared" si="1642"/>
        <v>1</v>
      </c>
      <c r="AM542" s="60"/>
      <c r="AN542" s="58"/>
      <c r="AO542" s="62">
        <f t="shared" si="1643"/>
        <v>1</v>
      </c>
      <c r="AP542" s="60"/>
      <c r="AQ542" s="58"/>
      <c r="AR542" s="62">
        <f t="shared" si="1644"/>
        <v>1</v>
      </c>
      <c r="AS542" s="60"/>
      <c r="AT542" s="58"/>
      <c r="AU542" s="62">
        <f t="shared" si="1645"/>
        <v>1</v>
      </c>
      <c r="AV542" s="83">
        <f t="shared" si="1648"/>
        <v>0</v>
      </c>
      <c r="AW542" s="83">
        <f t="shared" si="1631"/>
        <v>0</v>
      </c>
      <c r="AX542" s="64">
        <f t="shared" si="1646"/>
        <v>0</v>
      </c>
      <c r="AY542" s="65" t="e">
        <f t="shared" si="1649"/>
        <v>#DIV/0!</v>
      </c>
      <c r="AZ542" s="66">
        <f t="shared" si="1650"/>
        <v>0</v>
      </c>
      <c r="BA542" s="67">
        <v>1</v>
      </c>
      <c r="BB542" s="68">
        <v>0</v>
      </c>
      <c r="BC542" s="84">
        <f t="shared" si="1540"/>
        <v>1</v>
      </c>
      <c r="BD542" s="83">
        <f t="shared" si="1541"/>
        <v>1</v>
      </c>
      <c r="BE542" s="85">
        <v>2</v>
      </c>
      <c r="BF542" s="86">
        <v>45071.586342592593</v>
      </c>
      <c r="BG542" s="72" t="e">
        <f t="shared" si="1595"/>
        <v>#REF!</v>
      </c>
      <c r="BH542" s="87" t="e">
        <f t="shared" si="1651"/>
        <v>#REF!</v>
      </c>
      <c r="BI542" s="80" t="e">
        <f t="shared" si="1543"/>
        <v>#REF!</v>
      </c>
      <c r="BJ542" s="238">
        <v>3800</v>
      </c>
    </row>
    <row r="543" spans="1:62" ht="13">
      <c r="A543" s="90"/>
      <c r="B543" s="91"/>
      <c r="C543" s="51">
        <v>541</v>
      </c>
      <c r="D543" s="147" t="s">
        <v>1689</v>
      </c>
      <c r="E543" s="114">
        <v>1</v>
      </c>
      <c r="F543" s="80" t="s">
        <v>395</v>
      </c>
      <c r="G543" s="81" t="s">
        <v>396</v>
      </c>
      <c r="H543" s="81" t="s">
        <v>296</v>
      </c>
      <c r="I543" s="80" t="s">
        <v>458</v>
      </c>
      <c r="J543" s="82">
        <f t="shared" ref="J543:J570" si="1652">AU543</f>
        <v>15</v>
      </c>
      <c r="K543" s="80">
        <v>15</v>
      </c>
      <c r="L543" s="57"/>
      <c r="M543" s="58"/>
      <c r="N543" s="59">
        <f>SUM(K543+L543-M543)</f>
        <v>15</v>
      </c>
      <c r="O543" s="60"/>
      <c r="P543" s="58"/>
      <c r="Q543" s="59">
        <f t="shared" ref="Q543:Q570" si="1653">SUM(N543+O543-P543)</f>
        <v>15</v>
      </c>
      <c r="R543" s="60"/>
      <c r="S543" s="58"/>
      <c r="T543" s="61">
        <f t="shared" ref="T543:T570" si="1654">SUM(Q543+R543-S543)</f>
        <v>15</v>
      </c>
      <c r="U543" s="60"/>
      <c r="V543" s="58"/>
      <c r="W543" s="59">
        <f t="shared" ref="W543:W570" si="1655">SUM(T543+U543-V543)</f>
        <v>15</v>
      </c>
      <c r="X543" s="60"/>
      <c r="Y543" s="58"/>
      <c r="Z543" s="61">
        <f t="shared" ref="Z543:Z570" si="1656">SUM(W543+X543-Y543)</f>
        <v>15</v>
      </c>
      <c r="AA543" s="60"/>
      <c r="AB543" s="58"/>
      <c r="AC543" s="59">
        <f t="shared" ref="AC543:AC570" si="1657">SUM(Z543+AA543-AB543)</f>
        <v>15</v>
      </c>
      <c r="AD543" s="57"/>
      <c r="AE543" s="58"/>
      <c r="AF543" s="243">
        <f t="shared" ref="AF543:AF570" si="1658">SUM(AC543+AD543-AE543)</f>
        <v>15</v>
      </c>
      <c r="AG543" s="60"/>
      <c r="AH543" s="58"/>
      <c r="AI543" s="62">
        <f t="shared" ref="AI543:AI570" si="1659">SUM(AF543+AG543-AH543)</f>
        <v>15</v>
      </c>
      <c r="AJ543" s="60"/>
      <c r="AK543" s="58"/>
      <c r="AL543" s="62">
        <f t="shared" ref="AL543:AL570" si="1660">SUM(AI543+AJ543-AK543)</f>
        <v>15</v>
      </c>
      <c r="AM543" s="60"/>
      <c r="AN543" s="58"/>
      <c r="AO543" s="62">
        <f>SUM(AL543+AM543-AN543)</f>
        <v>15</v>
      </c>
      <c r="AP543" s="60"/>
      <c r="AQ543" s="58"/>
      <c r="AR543" s="62">
        <f>SUM(AO543+AP543-AQ543)</f>
        <v>15</v>
      </c>
      <c r="AS543" s="60"/>
      <c r="AT543" s="58"/>
      <c r="AU543" s="62">
        <f t="shared" ref="AU543:AU570" si="1661">SUM(AR543+AS543-AT543)</f>
        <v>15</v>
      </c>
      <c r="AV543" s="83">
        <f t="shared" ref="AV543:AW570" si="1662">SUM(L543+O543+R543+U543+X543+AA543+AD543+AG543+AJ543+AM543+AP543+AS543)</f>
        <v>0</v>
      </c>
      <c r="AW543" s="83">
        <f t="shared" ref="AW543:AW552" si="1663">SUM(M543+P543+S543+V543+Y543+AB543+AE543+AH543+AK543+AN543+AQ543+AT543)</f>
        <v>0</v>
      </c>
      <c r="AX543" s="64">
        <f t="shared" ref="AX543:AX570" si="1664">SUM(M543,P543,S543,V543,Y543,AB543,AE543,AH543,AK543,AN543,AQ543,AT543)</f>
        <v>0</v>
      </c>
      <c r="AY543" s="65" t="e">
        <f t="shared" ref="AY543:AY570" si="1665">AVERAGE(M543,P543,S543,V543,Y543,AB543,AE543,AH543,AK543,AN543,AQ543,AT543)</f>
        <v>#DIV/0!</v>
      </c>
      <c r="AZ543" s="66">
        <f t="shared" ref="AZ543:AZ570" si="1666">COUNT(M543,P543,S543,V543,Y543,AB543,AE543,AH543,AK543,AN543,AQ543,AT543)</f>
        <v>0</v>
      </c>
      <c r="BA543" s="67">
        <f>MAX(0, Table176252626[[#This Row],[Column6]])</f>
        <v>15</v>
      </c>
      <c r="BB543" s="68">
        <v>1</v>
      </c>
      <c r="BC543" s="84">
        <f t="shared" si="1540"/>
        <v>15</v>
      </c>
      <c r="BD543" s="83">
        <f t="shared" si="1541"/>
        <v>14</v>
      </c>
      <c r="BE543" s="85">
        <v>2</v>
      </c>
      <c r="BF543" s="86">
        <v>43084.463807870372</v>
      </c>
      <c r="BG543" s="72" t="e">
        <f t="shared" si="1595"/>
        <v>#REF!</v>
      </c>
      <c r="BH543" s="87" t="e">
        <f>BG543-BF543</f>
        <v>#REF!</v>
      </c>
      <c r="BI543" s="80" t="e">
        <f t="shared" si="1543"/>
        <v>#REF!</v>
      </c>
      <c r="BJ543" s="238">
        <v>423</v>
      </c>
    </row>
    <row r="544" spans="1:62" ht="13">
      <c r="A544" s="49"/>
      <c r="B544" s="50"/>
      <c r="C544" s="77">
        <v>542</v>
      </c>
      <c r="D544" s="147" t="s">
        <v>764</v>
      </c>
      <c r="E544" s="114">
        <v>2</v>
      </c>
      <c r="F544" s="80" t="s">
        <v>397</v>
      </c>
      <c r="G544" s="81" t="s">
        <v>398</v>
      </c>
      <c r="H544" s="81" t="s">
        <v>296</v>
      </c>
      <c r="I544" s="80" t="s">
        <v>458</v>
      </c>
      <c r="J544" s="82">
        <f t="shared" si="1652"/>
        <v>14</v>
      </c>
      <c r="K544" s="80">
        <v>14</v>
      </c>
      <c r="L544" s="57"/>
      <c r="M544" s="58"/>
      <c r="N544" s="59">
        <f>SUM(K544+L544-M544)</f>
        <v>14</v>
      </c>
      <c r="O544" s="60"/>
      <c r="P544" s="58"/>
      <c r="Q544" s="59">
        <f t="shared" si="1653"/>
        <v>14</v>
      </c>
      <c r="R544" s="60"/>
      <c r="S544" s="58"/>
      <c r="T544" s="61">
        <f t="shared" si="1654"/>
        <v>14</v>
      </c>
      <c r="U544" s="60"/>
      <c r="V544" s="58"/>
      <c r="W544" s="59">
        <f t="shared" si="1655"/>
        <v>14</v>
      </c>
      <c r="X544" s="60"/>
      <c r="Y544" s="58"/>
      <c r="Z544" s="61">
        <f t="shared" si="1656"/>
        <v>14</v>
      </c>
      <c r="AA544" s="60"/>
      <c r="AB544" s="58"/>
      <c r="AC544" s="59">
        <f t="shared" si="1657"/>
        <v>14</v>
      </c>
      <c r="AD544" s="57"/>
      <c r="AE544" s="58"/>
      <c r="AF544" s="243">
        <f t="shared" si="1658"/>
        <v>14</v>
      </c>
      <c r="AG544" s="60"/>
      <c r="AH544" s="58"/>
      <c r="AI544" s="62">
        <f t="shared" si="1659"/>
        <v>14</v>
      </c>
      <c r="AJ544" s="60"/>
      <c r="AK544" s="58"/>
      <c r="AL544" s="62">
        <f t="shared" si="1660"/>
        <v>14</v>
      </c>
      <c r="AM544" s="60"/>
      <c r="AN544" s="58"/>
      <c r="AO544" s="62">
        <f>SUM(AL544+AM544-AN544)</f>
        <v>14</v>
      </c>
      <c r="AP544" s="60"/>
      <c r="AQ544" s="58"/>
      <c r="AR544" s="62">
        <f>SUM(AO544+AP544-AQ544)</f>
        <v>14</v>
      </c>
      <c r="AS544" s="60"/>
      <c r="AT544" s="58"/>
      <c r="AU544" s="62">
        <f t="shared" si="1661"/>
        <v>14</v>
      </c>
      <c r="AV544" s="83">
        <f t="shared" si="1662"/>
        <v>0</v>
      </c>
      <c r="AW544" s="83">
        <f t="shared" si="1663"/>
        <v>0</v>
      </c>
      <c r="AX544" s="64">
        <f t="shared" si="1664"/>
        <v>0</v>
      </c>
      <c r="AY544" s="65" t="e">
        <f t="shared" si="1665"/>
        <v>#DIV/0!</v>
      </c>
      <c r="AZ544" s="66">
        <f t="shared" si="1666"/>
        <v>0</v>
      </c>
      <c r="BA544" s="67">
        <f>MAX(0, Table176252626[[#This Row],[Column6]])</f>
        <v>14</v>
      </c>
      <c r="BB544" s="68">
        <v>1</v>
      </c>
      <c r="BC544" s="84">
        <f t="shared" si="1540"/>
        <v>14</v>
      </c>
      <c r="BD544" s="83">
        <f t="shared" si="1541"/>
        <v>13</v>
      </c>
      <c r="BE544" s="85">
        <v>2</v>
      </c>
      <c r="BF544" s="86">
        <v>43084.463807870372</v>
      </c>
      <c r="BG544" s="72" t="e">
        <f t="shared" si="1595"/>
        <v>#REF!</v>
      </c>
      <c r="BH544" s="87" t="e">
        <f>BG544-BF544</f>
        <v>#REF!</v>
      </c>
      <c r="BI544" s="80" t="e">
        <f t="shared" si="1543"/>
        <v>#REF!</v>
      </c>
      <c r="BJ544" s="238">
        <v>468</v>
      </c>
    </row>
    <row r="545" spans="1:293" ht="13">
      <c r="A545" s="49"/>
      <c r="B545" s="50"/>
      <c r="C545" s="77">
        <v>543</v>
      </c>
      <c r="D545" s="147" t="s">
        <v>764</v>
      </c>
      <c r="E545" s="114">
        <v>3</v>
      </c>
      <c r="F545" s="80" t="s">
        <v>144</v>
      </c>
      <c r="G545" s="81" t="s">
        <v>145</v>
      </c>
      <c r="H545" s="81" t="s">
        <v>296</v>
      </c>
      <c r="I545" s="80" t="s">
        <v>458</v>
      </c>
      <c r="J545" s="82">
        <f t="shared" si="1652"/>
        <v>13</v>
      </c>
      <c r="K545" s="80">
        <v>6</v>
      </c>
      <c r="L545" s="57"/>
      <c r="M545" s="58"/>
      <c r="N545" s="59">
        <f>SUM(K545+L545-M545)</f>
        <v>6</v>
      </c>
      <c r="O545" s="60"/>
      <c r="P545" s="58"/>
      <c r="Q545" s="59">
        <f t="shared" si="1653"/>
        <v>6</v>
      </c>
      <c r="R545" s="60"/>
      <c r="S545" s="58"/>
      <c r="T545" s="61">
        <f t="shared" si="1654"/>
        <v>6</v>
      </c>
      <c r="U545" s="60"/>
      <c r="V545" s="58"/>
      <c r="W545" s="59">
        <f t="shared" si="1655"/>
        <v>6</v>
      </c>
      <c r="X545" s="60"/>
      <c r="Y545" s="58">
        <v>2</v>
      </c>
      <c r="Z545" s="61">
        <f t="shared" si="1656"/>
        <v>4</v>
      </c>
      <c r="AA545" s="60"/>
      <c r="AB545" s="58">
        <v>1</v>
      </c>
      <c r="AC545" s="59">
        <f t="shared" si="1657"/>
        <v>3</v>
      </c>
      <c r="AD545" s="57">
        <v>10</v>
      </c>
      <c r="AE545" s="58"/>
      <c r="AF545" s="243">
        <f t="shared" si="1658"/>
        <v>13</v>
      </c>
      <c r="AG545" s="60"/>
      <c r="AH545" s="58"/>
      <c r="AI545" s="62">
        <f t="shared" si="1659"/>
        <v>13</v>
      </c>
      <c r="AJ545" s="60"/>
      <c r="AK545" s="58"/>
      <c r="AL545" s="62">
        <f t="shared" si="1660"/>
        <v>13</v>
      </c>
      <c r="AM545" s="60"/>
      <c r="AN545" s="58"/>
      <c r="AO545" s="62">
        <f>SUM(AL545+AM545-AN545)</f>
        <v>13</v>
      </c>
      <c r="AP545" s="60"/>
      <c r="AQ545" s="58"/>
      <c r="AR545" s="62">
        <f>SUM(AO545+AP545-AQ545)</f>
        <v>13</v>
      </c>
      <c r="AS545" s="60"/>
      <c r="AT545" s="58"/>
      <c r="AU545" s="62">
        <f t="shared" si="1661"/>
        <v>13</v>
      </c>
      <c r="AV545" s="83">
        <f t="shared" si="1662"/>
        <v>10</v>
      </c>
      <c r="AW545" s="83">
        <f t="shared" si="1663"/>
        <v>3</v>
      </c>
      <c r="AX545" s="64">
        <f t="shared" si="1664"/>
        <v>3</v>
      </c>
      <c r="AY545" s="65">
        <f t="shared" si="1665"/>
        <v>1.5</v>
      </c>
      <c r="AZ545" s="66">
        <f t="shared" si="1666"/>
        <v>2</v>
      </c>
      <c r="BA545" s="67">
        <f>MAX(0, Table176252626[[#This Row],[Column6]])</f>
        <v>13</v>
      </c>
      <c r="BB545" s="68">
        <v>1</v>
      </c>
      <c r="BC545" s="84">
        <f t="shared" si="1540"/>
        <v>13</v>
      </c>
      <c r="BD545" s="83">
        <f t="shared" si="1541"/>
        <v>12</v>
      </c>
      <c r="BE545" s="85">
        <v>2</v>
      </c>
      <c r="BF545" s="86">
        <v>46221</v>
      </c>
      <c r="BG545" s="72" t="e">
        <f t="shared" si="1595"/>
        <v>#REF!</v>
      </c>
      <c r="BH545" s="87" t="e">
        <f>BG545-BF545</f>
        <v>#REF!</v>
      </c>
      <c r="BI545" s="80" t="e">
        <f t="shared" si="1543"/>
        <v>#REF!</v>
      </c>
      <c r="BJ545" s="238">
        <v>315</v>
      </c>
    </row>
    <row r="546" spans="1:293" ht="13">
      <c r="A546" s="90"/>
      <c r="B546" s="91"/>
      <c r="C546" s="51">
        <v>544</v>
      </c>
      <c r="D546" s="147" t="s">
        <v>764</v>
      </c>
      <c r="E546" s="114">
        <v>4</v>
      </c>
      <c r="F546" s="80" t="s">
        <v>49</v>
      </c>
      <c r="G546" s="81" t="s">
        <v>50</v>
      </c>
      <c r="H546" s="81" t="s">
        <v>296</v>
      </c>
      <c r="I546" s="80" t="s">
        <v>458</v>
      </c>
      <c r="J546" s="82">
        <f t="shared" si="1652"/>
        <v>9</v>
      </c>
      <c r="K546" s="80">
        <v>9</v>
      </c>
      <c r="L546" s="57"/>
      <c r="M546" s="58"/>
      <c r="N546" s="59">
        <f>SUM(K546+L546-M546)</f>
        <v>9</v>
      </c>
      <c r="O546" s="60"/>
      <c r="P546" s="58"/>
      <c r="Q546" s="59">
        <f t="shared" si="1653"/>
        <v>9</v>
      </c>
      <c r="R546" s="60"/>
      <c r="S546" s="58"/>
      <c r="T546" s="61">
        <f t="shared" si="1654"/>
        <v>9</v>
      </c>
      <c r="U546" s="60"/>
      <c r="V546" s="58"/>
      <c r="W546" s="59">
        <f t="shared" si="1655"/>
        <v>9</v>
      </c>
      <c r="X546" s="60"/>
      <c r="Y546" s="58"/>
      <c r="Z546" s="61">
        <f t="shared" si="1656"/>
        <v>9</v>
      </c>
      <c r="AA546" s="60"/>
      <c r="AB546" s="58"/>
      <c r="AC546" s="59">
        <f t="shared" si="1657"/>
        <v>9</v>
      </c>
      <c r="AD546" s="57"/>
      <c r="AE546" s="58"/>
      <c r="AF546" s="243">
        <f t="shared" si="1658"/>
        <v>9</v>
      </c>
      <c r="AG546" s="60"/>
      <c r="AH546" s="58"/>
      <c r="AI546" s="62">
        <f t="shared" si="1659"/>
        <v>9</v>
      </c>
      <c r="AJ546" s="60"/>
      <c r="AK546" s="58"/>
      <c r="AL546" s="62">
        <f t="shared" si="1660"/>
        <v>9</v>
      </c>
      <c r="AM546" s="60"/>
      <c r="AN546" s="58"/>
      <c r="AO546" s="62">
        <f>SUM(AL546+AM546-AN546)</f>
        <v>9</v>
      </c>
      <c r="AP546" s="60"/>
      <c r="AQ546" s="58"/>
      <c r="AR546" s="62">
        <f>SUM(AO546+AP546-AQ546)</f>
        <v>9</v>
      </c>
      <c r="AS546" s="60"/>
      <c r="AT546" s="58"/>
      <c r="AU546" s="62">
        <f t="shared" si="1661"/>
        <v>9</v>
      </c>
      <c r="AV546" s="83">
        <f t="shared" si="1662"/>
        <v>0</v>
      </c>
      <c r="AW546" s="83">
        <f t="shared" si="1663"/>
        <v>0</v>
      </c>
      <c r="AX546" s="64">
        <f t="shared" si="1664"/>
        <v>0</v>
      </c>
      <c r="AY546" s="65" t="e">
        <f t="shared" si="1665"/>
        <v>#DIV/0!</v>
      </c>
      <c r="AZ546" s="66">
        <f t="shared" si="1666"/>
        <v>0</v>
      </c>
      <c r="BA546" s="67">
        <v>9</v>
      </c>
      <c r="BB546" s="68">
        <v>1</v>
      </c>
      <c r="BC546" s="84">
        <f t="shared" si="1540"/>
        <v>9</v>
      </c>
      <c r="BD546" s="83">
        <f t="shared" si="1541"/>
        <v>8</v>
      </c>
      <c r="BE546" s="85">
        <v>2</v>
      </c>
      <c r="BF546" s="86">
        <v>42830.450497685182</v>
      </c>
      <c r="BG546" s="72" t="e">
        <f t="shared" si="1595"/>
        <v>#REF!</v>
      </c>
      <c r="BH546" s="87" t="e">
        <f>BG546-BF546</f>
        <v>#REF!</v>
      </c>
      <c r="BI546" s="80" t="e">
        <f t="shared" si="1543"/>
        <v>#REF!</v>
      </c>
      <c r="BJ546" s="238">
        <v>1200</v>
      </c>
    </row>
    <row r="547" spans="1:293" ht="13">
      <c r="A547" s="49"/>
      <c r="B547" s="76"/>
      <c r="C547" s="51">
        <v>545</v>
      </c>
      <c r="D547" s="147" t="s">
        <v>764</v>
      </c>
      <c r="E547" s="114">
        <v>5</v>
      </c>
      <c r="F547" s="80" t="s">
        <v>41</v>
      </c>
      <c r="G547" s="81" t="s">
        <v>42</v>
      </c>
      <c r="H547" s="81" t="s">
        <v>296</v>
      </c>
      <c r="I547" s="80" t="s">
        <v>458</v>
      </c>
      <c r="J547" s="82">
        <f t="shared" si="1652"/>
        <v>3</v>
      </c>
      <c r="K547" s="80">
        <v>3</v>
      </c>
      <c r="L547" s="57"/>
      <c r="M547" s="58"/>
      <c r="N547" s="59">
        <f>SUM(K547+L547-M547)</f>
        <v>3</v>
      </c>
      <c r="O547" s="60"/>
      <c r="P547" s="58"/>
      <c r="Q547" s="59">
        <f t="shared" si="1653"/>
        <v>3</v>
      </c>
      <c r="R547" s="60"/>
      <c r="S547" s="58"/>
      <c r="T547" s="61">
        <f t="shared" si="1654"/>
        <v>3</v>
      </c>
      <c r="U547" s="60"/>
      <c r="V547" s="58"/>
      <c r="W547" s="59">
        <f t="shared" si="1655"/>
        <v>3</v>
      </c>
      <c r="X547" s="60"/>
      <c r="Y547" s="58"/>
      <c r="Z547" s="61">
        <f t="shared" si="1656"/>
        <v>3</v>
      </c>
      <c r="AA547" s="60"/>
      <c r="AB547" s="58"/>
      <c r="AC547" s="59">
        <f t="shared" si="1657"/>
        <v>3</v>
      </c>
      <c r="AD547" s="57"/>
      <c r="AE547" s="58"/>
      <c r="AF547" s="243">
        <f t="shared" si="1658"/>
        <v>3</v>
      </c>
      <c r="AG547" s="60"/>
      <c r="AH547" s="58"/>
      <c r="AI547" s="62">
        <f t="shared" si="1659"/>
        <v>3</v>
      </c>
      <c r="AJ547" s="60"/>
      <c r="AK547" s="58"/>
      <c r="AL547" s="62">
        <f t="shared" si="1660"/>
        <v>3</v>
      </c>
      <c r="AM547" s="60"/>
      <c r="AN547" s="58"/>
      <c r="AO547" s="62">
        <f>SUM(AL547+AM547-AN547)</f>
        <v>3</v>
      </c>
      <c r="AP547" s="60"/>
      <c r="AQ547" s="58"/>
      <c r="AR547" s="62">
        <f>SUM(AO547+AP547-AQ547)</f>
        <v>3</v>
      </c>
      <c r="AS547" s="60"/>
      <c r="AT547" s="58"/>
      <c r="AU547" s="62">
        <f t="shared" si="1661"/>
        <v>3</v>
      </c>
      <c r="AV547" s="83">
        <f t="shared" si="1662"/>
        <v>0</v>
      </c>
      <c r="AW547" s="83">
        <f t="shared" si="1663"/>
        <v>0</v>
      </c>
      <c r="AX547" s="64">
        <f t="shared" si="1664"/>
        <v>0</v>
      </c>
      <c r="AY547" s="65" t="e">
        <f t="shared" si="1665"/>
        <v>#DIV/0!</v>
      </c>
      <c r="AZ547" s="66">
        <f t="shared" si="1666"/>
        <v>0</v>
      </c>
      <c r="BA547" s="67">
        <v>3</v>
      </c>
      <c r="BB547" s="68">
        <v>1</v>
      </c>
      <c r="BC547" s="84">
        <f t="shared" si="1540"/>
        <v>3</v>
      </c>
      <c r="BD547" s="83">
        <f t="shared" si="1541"/>
        <v>2</v>
      </c>
      <c r="BE547" s="85">
        <v>2</v>
      </c>
      <c r="BF547" s="86">
        <v>42949.468287037038</v>
      </c>
      <c r="BG547" s="72" t="e">
        <f t="shared" si="1595"/>
        <v>#REF!</v>
      </c>
      <c r="BH547" s="87" t="e">
        <f>BG547-BF547</f>
        <v>#REF!</v>
      </c>
      <c r="BI547" s="80" t="e">
        <f t="shared" si="1543"/>
        <v>#REF!</v>
      </c>
      <c r="BJ547" s="238">
        <v>400</v>
      </c>
    </row>
    <row r="548" spans="1:293" ht="13">
      <c r="A548" s="49"/>
      <c r="B548" s="50"/>
      <c r="C548" s="51">
        <v>546</v>
      </c>
      <c r="D548" s="147" t="s">
        <v>764</v>
      </c>
      <c r="E548" s="114">
        <v>6</v>
      </c>
      <c r="F548" s="80" t="s">
        <v>485</v>
      </c>
      <c r="G548" s="81" t="s">
        <v>486</v>
      </c>
      <c r="H548" s="81" t="s">
        <v>296</v>
      </c>
      <c r="I548" s="80" t="s">
        <v>458</v>
      </c>
      <c r="J548" s="82">
        <f t="shared" si="1652"/>
        <v>2</v>
      </c>
      <c r="K548" s="80">
        <v>3</v>
      </c>
      <c r="L548" s="57"/>
      <c r="M548" s="58"/>
      <c r="N548" s="59">
        <f t="shared" ref="N548" si="1667">SUM(K548+L548-M548)</f>
        <v>3</v>
      </c>
      <c r="O548" s="60"/>
      <c r="P548" s="58"/>
      <c r="Q548" s="59">
        <f t="shared" si="1653"/>
        <v>3</v>
      </c>
      <c r="R548" s="60"/>
      <c r="S548" s="58"/>
      <c r="T548" s="61">
        <f t="shared" si="1654"/>
        <v>3</v>
      </c>
      <c r="U548" s="60"/>
      <c r="V548" s="58"/>
      <c r="W548" s="59">
        <f t="shared" si="1655"/>
        <v>3</v>
      </c>
      <c r="X548" s="60"/>
      <c r="Y548" s="58"/>
      <c r="Z548" s="61">
        <f t="shared" si="1656"/>
        <v>3</v>
      </c>
      <c r="AA548" s="60"/>
      <c r="AB548" s="58"/>
      <c r="AC548" s="59">
        <f t="shared" si="1657"/>
        <v>3</v>
      </c>
      <c r="AD548" s="57"/>
      <c r="AE548" s="58"/>
      <c r="AF548" s="243">
        <f t="shared" si="1658"/>
        <v>3</v>
      </c>
      <c r="AG548" s="60"/>
      <c r="AH548" s="58">
        <v>1</v>
      </c>
      <c r="AI548" s="62">
        <f t="shared" si="1659"/>
        <v>2</v>
      </c>
      <c r="AJ548" s="60"/>
      <c r="AK548" s="58"/>
      <c r="AL548" s="62">
        <f t="shared" si="1660"/>
        <v>2</v>
      </c>
      <c r="AM548" s="60"/>
      <c r="AN548" s="58"/>
      <c r="AO548" s="62">
        <f t="shared" ref="AO548" si="1668">SUM(AL548+AM548-AN548)</f>
        <v>2</v>
      </c>
      <c r="AP548" s="60"/>
      <c r="AQ548" s="58"/>
      <c r="AR548" s="62">
        <f t="shared" ref="AR548" si="1669">SUM(AO548+AP548-AQ548)</f>
        <v>2</v>
      </c>
      <c r="AS548" s="60"/>
      <c r="AT548" s="58"/>
      <c r="AU548" s="62">
        <f t="shared" si="1661"/>
        <v>2</v>
      </c>
      <c r="AV548" s="83">
        <f t="shared" si="1662"/>
        <v>0</v>
      </c>
      <c r="AW548" s="83">
        <f t="shared" si="1663"/>
        <v>1</v>
      </c>
      <c r="AX548" s="64">
        <f t="shared" si="1664"/>
        <v>1</v>
      </c>
      <c r="AY548" s="65">
        <f t="shared" si="1665"/>
        <v>1</v>
      </c>
      <c r="AZ548" s="66">
        <f t="shared" si="1666"/>
        <v>1</v>
      </c>
      <c r="BA548" s="67">
        <v>3</v>
      </c>
      <c r="BB548" s="68">
        <v>1</v>
      </c>
      <c r="BC548" s="84">
        <f t="shared" si="1540"/>
        <v>2</v>
      </c>
      <c r="BD548" s="83">
        <f t="shared" si="1541"/>
        <v>1</v>
      </c>
      <c r="BE548" s="85">
        <v>2</v>
      </c>
      <c r="BF548" s="86">
        <v>43669.479710648149</v>
      </c>
      <c r="BG548" s="72" t="e">
        <f t="shared" si="1595"/>
        <v>#REF!</v>
      </c>
      <c r="BH548" s="87" t="e">
        <f t="shared" ref="BH548" si="1670">BG548-BF548</f>
        <v>#REF!</v>
      </c>
      <c r="BI548" s="80" t="e">
        <f t="shared" si="1543"/>
        <v>#REF!</v>
      </c>
      <c r="BJ548" s="238">
        <v>2200</v>
      </c>
    </row>
    <row r="549" spans="1:293" s="48" customFormat="1" ht="13">
      <c r="A549" s="75"/>
      <c r="B549" s="76"/>
      <c r="C549" s="51">
        <v>547</v>
      </c>
      <c r="D549" s="147" t="s">
        <v>764</v>
      </c>
      <c r="E549" s="114">
        <v>7</v>
      </c>
      <c r="F549" s="80" t="s">
        <v>149</v>
      </c>
      <c r="G549" s="81" t="s">
        <v>150</v>
      </c>
      <c r="H549" s="81" t="s">
        <v>296</v>
      </c>
      <c r="I549" s="80" t="s">
        <v>458</v>
      </c>
      <c r="J549" s="82">
        <f t="shared" si="1652"/>
        <v>14</v>
      </c>
      <c r="K549" s="80">
        <v>14</v>
      </c>
      <c r="L549" s="57"/>
      <c r="M549" s="58"/>
      <c r="N549" s="59">
        <f t="shared" ref="N549:N570" si="1671">SUM(K549+L549-M549)</f>
        <v>14</v>
      </c>
      <c r="O549" s="60"/>
      <c r="P549" s="58"/>
      <c r="Q549" s="59">
        <f t="shared" si="1653"/>
        <v>14</v>
      </c>
      <c r="R549" s="60"/>
      <c r="S549" s="58"/>
      <c r="T549" s="61">
        <f t="shared" si="1654"/>
        <v>14</v>
      </c>
      <c r="U549" s="60"/>
      <c r="V549" s="58"/>
      <c r="W549" s="59">
        <f t="shared" si="1655"/>
        <v>14</v>
      </c>
      <c r="X549" s="60"/>
      <c r="Y549" s="58"/>
      <c r="Z549" s="61">
        <f t="shared" si="1656"/>
        <v>14</v>
      </c>
      <c r="AA549" s="60"/>
      <c r="AB549" s="58"/>
      <c r="AC549" s="59">
        <f t="shared" si="1657"/>
        <v>14</v>
      </c>
      <c r="AD549" s="57"/>
      <c r="AE549" s="58"/>
      <c r="AF549" s="243">
        <f t="shared" si="1658"/>
        <v>14</v>
      </c>
      <c r="AG549" s="60"/>
      <c r="AH549" s="58"/>
      <c r="AI549" s="62">
        <f t="shared" si="1659"/>
        <v>14</v>
      </c>
      <c r="AJ549" s="60"/>
      <c r="AK549" s="58"/>
      <c r="AL549" s="62">
        <f t="shared" si="1660"/>
        <v>14</v>
      </c>
      <c r="AM549" s="60"/>
      <c r="AN549" s="58"/>
      <c r="AO549" s="62">
        <f t="shared" ref="AO549:AO570" si="1672">SUM(AL549+AM549-AN549)</f>
        <v>14</v>
      </c>
      <c r="AP549" s="60"/>
      <c r="AQ549" s="58"/>
      <c r="AR549" s="62">
        <f t="shared" ref="AR549:AR570" si="1673">SUM(AO549+AP549-AQ549)</f>
        <v>14</v>
      </c>
      <c r="AS549" s="60"/>
      <c r="AT549" s="58"/>
      <c r="AU549" s="62">
        <f t="shared" si="1661"/>
        <v>14</v>
      </c>
      <c r="AV549" s="83">
        <f t="shared" si="1662"/>
        <v>0</v>
      </c>
      <c r="AW549" s="83">
        <f t="shared" si="1663"/>
        <v>0</v>
      </c>
      <c r="AX549" s="64">
        <f t="shared" si="1664"/>
        <v>0</v>
      </c>
      <c r="AY549" s="65" t="e">
        <f t="shared" si="1665"/>
        <v>#DIV/0!</v>
      </c>
      <c r="AZ549" s="66">
        <f t="shared" si="1666"/>
        <v>0</v>
      </c>
      <c r="BA549" s="67">
        <f>MAX(0, Table176252626[[#This Row],[Column6]])</f>
        <v>14</v>
      </c>
      <c r="BB549" s="68">
        <v>1</v>
      </c>
      <c r="BC549" s="84">
        <f t="shared" si="1540"/>
        <v>14</v>
      </c>
      <c r="BD549" s="83">
        <f t="shared" si="1541"/>
        <v>13</v>
      </c>
      <c r="BE549" s="85">
        <v>2</v>
      </c>
      <c r="BF549" s="86">
        <v>42711.660856481481</v>
      </c>
      <c r="BG549" s="72" t="e">
        <f t="shared" si="1595"/>
        <v>#REF!</v>
      </c>
      <c r="BH549" s="87" t="e">
        <f t="shared" ref="BH549:BH570" si="1674">BG549-BF549</f>
        <v>#REF!</v>
      </c>
      <c r="BI549" s="80" t="e">
        <f t="shared" si="1543"/>
        <v>#REF!</v>
      </c>
      <c r="BJ549" s="238">
        <v>210</v>
      </c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  <c r="FS549" s="30"/>
      <c r="FT549" s="30"/>
      <c r="FU549" s="30"/>
      <c r="FV549" s="30"/>
      <c r="FW549" s="30"/>
      <c r="FX549" s="30"/>
      <c r="FY549" s="30"/>
      <c r="FZ549" s="30"/>
      <c r="GA549" s="30"/>
      <c r="GB549" s="30"/>
      <c r="GC549" s="30"/>
      <c r="GD549" s="30"/>
      <c r="GE549" s="30"/>
      <c r="GF549" s="30"/>
      <c r="GG549" s="30"/>
      <c r="GH549" s="30"/>
      <c r="GI549" s="30"/>
      <c r="GJ549" s="30"/>
      <c r="GK549" s="30"/>
      <c r="GL549" s="30"/>
      <c r="GM549" s="30"/>
      <c r="GN549" s="30"/>
      <c r="GO549" s="30"/>
      <c r="GP549" s="30"/>
      <c r="GQ549" s="30"/>
      <c r="GR549" s="30"/>
      <c r="GS549" s="30"/>
      <c r="GT549" s="30"/>
      <c r="GU549" s="30"/>
      <c r="GV549" s="30"/>
      <c r="GW549" s="30"/>
      <c r="GX549" s="30"/>
      <c r="GY549" s="30"/>
      <c r="GZ549" s="30"/>
      <c r="HA549" s="30"/>
      <c r="HB549" s="30"/>
      <c r="HC549" s="30"/>
      <c r="HD549" s="30"/>
      <c r="HE549" s="30"/>
      <c r="HF549" s="30"/>
      <c r="HG549" s="30"/>
      <c r="HH549" s="30"/>
      <c r="HI549" s="30"/>
      <c r="HJ549" s="30"/>
      <c r="HK549" s="30"/>
      <c r="HL549" s="30"/>
      <c r="HM549" s="30"/>
      <c r="HN549" s="30"/>
      <c r="HO549" s="30"/>
      <c r="HP549" s="30"/>
      <c r="HQ549" s="30"/>
      <c r="HR549" s="30"/>
      <c r="HS549" s="30"/>
      <c r="HT549" s="30"/>
      <c r="HU549" s="30"/>
      <c r="HV549" s="30"/>
      <c r="HW549" s="30"/>
      <c r="HX549" s="30"/>
      <c r="HY549" s="30"/>
      <c r="HZ549" s="30"/>
      <c r="IA549" s="30"/>
      <c r="IB549" s="30"/>
      <c r="IC549" s="30"/>
      <c r="ID549" s="30"/>
      <c r="IE549" s="30"/>
      <c r="IF549" s="30"/>
      <c r="IG549" s="30"/>
      <c r="IH549" s="30"/>
      <c r="II549" s="30"/>
      <c r="IJ549" s="30"/>
      <c r="IK549" s="30"/>
      <c r="IL549" s="30"/>
      <c r="IM549" s="30"/>
      <c r="IN549" s="30"/>
      <c r="IO549" s="30"/>
      <c r="IP549" s="30"/>
      <c r="IQ549" s="30"/>
      <c r="IR549" s="30"/>
      <c r="IS549" s="30"/>
      <c r="IT549" s="30"/>
      <c r="IU549" s="30"/>
      <c r="IV549" s="30"/>
      <c r="IW549" s="30"/>
      <c r="IX549" s="30"/>
      <c r="IY549" s="30"/>
      <c r="IZ549" s="30"/>
      <c r="JA549" s="30"/>
      <c r="JB549" s="30"/>
      <c r="JC549" s="30"/>
      <c r="JD549" s="30"/>
      <c r="JE549" s="30"/>
      <c r="JF549" s="30"/>
      <c r="JG549" s="30"/>
      <c r="JH549" s="30"/>
      <c r="JI549" s="30"/>
      <c r="JJ549" s="30"/>
      <c r="JK549" s="30"/>
      <c r="JL549" s="30"/>
      <c r="JM549" s="30"/>
      <c r="JN549" s="30"/>
      <c r="JO549" s="30"/>
      <c r="JP549" s="30"/>
      <c r="JQ549" s="30"/>
      <c r="JR549" s="30"/>
      <c r="JS549" s="30"/>
      <c r="JT549" s="30"/>
      <c r="JU549" s="30"/>
      <c r="JV549" s="30"/>
      <c r="JW549" s="30"/>
      <c r="JX549" s="30"/>
      <c r="JY549" s="30"/>
      <c r="JZ549" s="30"/>
      <c r="KA549" s="30"/>
      <c r="KB549" s="30"/>
      <c r="KC549" s="30"/>
      <c r="KD549" s="30"/>
      <c r="KE549" s="30"/>
      <c r="KF549" s="30"/>
      <c r="KG549" s="30"/>
    </row>
    <row r="550" spans="1:293" ht="13">
      <c r="A550" s="49"/>
      <c r="B550" s="50"/>
      <c r="C550" s="77">
        <v>548</v>
      </c>
      <c r="D550" s="147" t="s">
        <v>764</v>
      </c>
      <c r="E550" s="114">
        <v>8</v>
      </c>
      <c r="F550" s="80" t="s">
        <v>153</v>
      </c>
      <c r="G550" s="81" t="s">
        <v>154</v>
      </c>
      <c r="H550" s="81" t="s">
        <v>296</v>
      </c>
      <c r="I550" s="80" t="s">
        <v>458</v>
      </c>
      <c r="J550" s="82">
        <f t="shared" si="1652"/>
        <v>4</v>
      </c>
      <c r="K550" s="80">
        <v>4</v>
      </c>
      <c r="L550" s="57"/>
      <c r="M550" s="58"/>
      <c r="N550" s="59">
        <f t="shared" si="1671"/>
        <v>4</v>
      </c>
      <c r="O550" s="60"/>
      <c r="P550" s="58"/>
      <c r="Q550" s="59">
        <f t="shared" si="1653"/>
        <v>4</v>
      </c>
      <c r="R550" s="60"/>
      <c r="S550" s="58"/>
      <c r="T550" s="61">
        <f t="shared" si="1654"/>
        <v>4</v>
      </c>
      <c r="U550" s="60"/>
      <c r="V550" s="58"/>
      <c r="W550" s="59">
        <f t="shared" si="1655"/>
        <v>4</v>
      </c>
      <c r="X550" s="60"/>
      <c r="Y550" s="58"/>
      <c r="Z550" s="61">
        <f t="shared" si="1656"/>
        <v>4</v>
      </c>
      <c r="AA550" s="60"/>
      <c r="AB550" s="58"/>
      <c r="AC550" s="59">
        <f t="shared" si="1657"/>
        <v>4</v>
      </c>
      <c r="AD550" s="57"/>
      <c r="AE550" s="58"/>
      <c r="AF550" s="243">
        <f t="shared" si="1658"/>
        <v>4</v>
      </c>
      <c r="AG550" s="60"/>
      <c r="AH550" s="58"/>
      <c r="AI550" s="62">
        <f t="shared" si="1659"/>
        <v>4</v>
      </c>
      <c r="AJ550" s="60"/>
      <c r="AK550" s="58"/>
      <c r="AL550" s="62">
        <f t="shared" si="1660"/>
        <v>4</v>
      </c>
      <c r="AM550" s="60"/>
      <c r="AN550" s="58"/>
      <c r="AO550" s="62">
        <f t="shared" si="1672"/>
        <v>4</v>
      </c>
      <c r="AP550" s="60"/>
      <c r="AQ550" s="58"/>
      <c r="AR550" s="62">
        <f t="shared" si="1673"/>
        <v>4</v>
      </c>
      <c r="AS550" s="60"/>
      <c r="AT550" s="58"/>
      <c r="AU550" s="62">
        <f t="shared" si="1661"/>
        <v>4</v>
      </c>
      <c r="AV550" s="83">
        <f t="shared" si="1662"/>
        <v>0</v>
      </c>
      <c r="AW550" s="83">
        <f t="shared" si="1663"/>
        <v>0</v>
      </c>
      <c r="AX550" s="64">
        <f t="shared" si="1664"/>
        <v>0</v>
      </c>
      <c r="AY550" s="65" t="e">
        <f t="shared" si="1665"/>
        <v>#DIV/0!</v>
      </c>
      <c r="AZ550" s="66">
        <f t="shared" si="1666"/>
        <v>0</v>
      </c>
      <c r="BA550" s="67">
        <f>MAX(0, Table176252626[[#This Row],[Column6]])</f>
        <v>4</v>
      </c>
      <c r="BB550" s="68">
        <v>1</v>
      </c>
      <c r="BC550" s="84">
        <f t="shared" si="1540"/>
        <v>4</v>
      </c>
      <c r="BD550" s="83">
        <f t="shared" si="1541"/>
        <v>3</v>
      </c>
      <c r="BE550" s="85">
        <v>2</v>
      </c>
      <c r="BF550" s="86">
        <v>41856.429664351854</v>
      </c>
      <c r="BG550" s="72" t="e">
        <f t="shared" si="1595"/>
        <v>#REF!</v>
      </c>
      <c r="BH550" s="87" t="e">
        <f t="shared" si="1674"/>
        <v>#REF!</v>
      </c>
      <c r="BI550" s="80" t="e">
        <f t="shared" si="1543"/>
        <v>#REF!</v>
      </c>
      <c r="BJ550" s="238">
        <v>1057.5</v>
      </c>
    </row>
    <row r="551" spans="1:293" ht="13">
      <c r="A551" s="49"/>
      <c r="B551" s="50"/>
      <c r="C551" s="77">
        <v>549</v>
      </c>
      <c r="D551" s="147" t="s">
        <v>764</v>
      </c>
      <c r="E551" s="114">
        <v>9</v>
      </c>
      <c r="F551" s="80" t="s">
        <v>165</v>
      </c>
      <c r="G551" s="81" t="s">
        <v>166</v>
      </c>
      <c r="H551" s="81" t="s">
        <v>296</v>
      </c>
      <c r="I551" s="80" t="s">
        <v>458</v>
      </c>
      <c r="J551" s="82">
        <f t="shared" si="1652"/>
        <v>8</v>
      </c>
      <c r="K551" s="80">
        <v>5</v>
      </c>
      <c r="L551" s="57"/>
      <c r="M551" s="58">
        <f>2</f>
        <v>2</v>
      </c>
      <c r="N551" s="59">
        <f t="shared" si="1671"/>
        <v>3</v>
      </c>
      <c r="O551" s="60"/>
      <c r="P551" s="58"/>
      <c r="Q551" s="59">
        <f t="shared" si="1653"/>
        <v>3</v>
      </c>
      <c r="R551" s="60"/>
      <c r="S551" s="58"/>
      <c r="T551" s="61">
        <f t="shared" si="1654"/>
        <v>3</v>
      </c>
      <c r="U551" s="60"/>
      <c r="V551" s="58"/>
      <c r="W551" s="59">
        <f t="shared" si="1655"/>
        <v>3</v>
      </c>
      <c r="X551" s="60">
        <v>5</v>
      </c>
      <c r="Y551" s="58"/>
      <c r="Z551" s="61">
        <f t="shared" si="1656"/>
        <v>8</v>
      </c>
      <c r="AA551" s="60"/>
      <c r="AB551" s="58"/>
      <c r="AC551" s="59">
        <f t="shared" si="1657"/>
        <v>8</v>
      </c>
      <c r="AD551" s="57"/>
      <c r="AE551" s="58"/>
      <c r="AF551" s="243">
        <f t="shared" si="1658"/>
        <v>8</v>
      </c>
      <c r="AG551" s="60"/>
      <c r="AH551" s="58"/>
      <c r="AI551" s="62">
        <f t="shared" si="1659"/>
        <v>8</v>
      </c>
      <c r="AJ551" s="60"/>
      <c r="AK551" s="58"/>
      <c r="AL551" s="62">
        <f t="shared" si="1660"/>
        <v>8</v>
      </c>
      <c r="AM551" s="60"/>
      <c r="AN551" s="58"/>
      <c r="AO551" s="62">
        <f t="shared" si="1672"/>
        <v>8</v>
      </c>
      <c r="AP551" s="60"/>
      <c r="AQ551" s="58"/>
      <c r="AR551" s="62">
        <f t="shared" si="1673"/>
        <v>8</v>
      </c>
      <c r="AS551" s="60"/>
      <c r="AT551" s="58"/>
      <c r="AU551" s="62">
        <f t="shared" si="1661"/>
        <v>8</v>
      </c>
      <c r="AV551" s="83">
        <f t="shared" si="1662"/>
        <v>5</v>
      </c>
      <c r="AW551" s="83">
        <f t="shared" si="1663"/>
        <v>2</v>
      </c>
      <c r="AX551" s="64">
        <f t="shared" si="1664"/>
        <v>2</v>
      </c>
      <c r="AY551" s="65">
        <f t="shared" si="1665"/>
        <v>2</v>
      </c>
      <c r="AZ551" s="66">
        <f t="shared" si="1666"/>
        <v>1</v>
      </c>
      <c r="BA551" s="67">
        <f>MAX(0, Table176252626[[#This Row],[Column6]])</f>
        <v>8</v>
      </c>
      <c r="BB551" s="68">
        <v>1</v>
      </c>
      <c r="BC551" s="84">
        <f t="shared" si="1540"/>
        <v>8</v>
      </c>
      <c r="BD551" s="83">
        <f t="shared" si="1541"/>
        <v>7</v>
      </c>
      <c r="BE551" s="85">
        <v>2</v>
      </c>
      <c r="BF551" s="86">
        <v>46170</v>
      </c>
      <c r="BG551" s="72" t="e">
        <f t="shared" si="1595"/>
        <v>#REF!</v>
      </c>
      <c r="BH551" s="87" t="e">
        <f t="shared" si="1674"/>
        <v>#REF!</v>
      </c>
      <c r="BI551" s="80" t="e">
        <f t="shared" si="1543"/>
        <v>#REF!</v>
      </c>
      <c r="BJ551" s="238">
        <v>1100</v>
      </c>
    </row>
    <row r="552" spans="1:293" ht="13">
      <c r="A552" s="75"/>
      <c r="B552" s="76"/>
      <c r="C552" s="51">
        <v>550</v>
      </c>
      <c r="D552" s="147" t="s">
        <v>764</v>
      </c>
      <c r="E552" s="114">
        <v>10</v>
      </c>
      <c r="F552" s="105" t="s">
        <v>136</v>
      </c>
      <c r="G552" s="112" t="s">
        <v>1294</v>
      </c>
      <c r="H552" s="81" t="s">
        <v>296</v>
      </c>
      <c r="I552" s="80" t="s">
        <v>458</v>
      </c>
      <c r="J552" s="82">
        <f t="shared" si="1652"/>
        <v>6</v>
      </c>
      <c r="K552" s="80">
        <v>6</v>
      </c>
      <c r="L552" s="57"/>
      <c r="M552" s="58"/>
      <c r="N552" s="59">
        <f t="shared" si="1671"/>
        <v>6</v>
      </c>
      <c r="O552" s="60"/>
      <c r="P552" s="58"/>
      <c r="Q552" s="59">
        <f t="shared" si="1653"/>
        <v>6</v>
      </c>
      <c r="R552" s="60"/>
      <c r="S552" s="58"/>
      <c r="T552" s="61">
        <f t="shared" si="1654"/>
        <v>6</v>
      </c>
      <c r="U552" s="60"/>
      <c r="V552" s="58"/>
      <c r="W552" s="59">
        <f t="shared" si="1655"/>
        <v>6</v>
      </c>
      <c r="X552" s="60"/>
      <c r="Y552" s="58"/>
      <c r="Z552" s="61">
        <f t="shared" si="1656"/>
        <v>6</v>
      </c>
      <c r="AA552" s="60"/>
      <c r="AB552" s="58"/>
      <c r="AC552" s="59">
        <f t="shared" si="1657"/>
        <v>6</v>
      </c>
      <c r="AD552" s="57"/>
      <c r="AE552" s="58"/>
      <c r="AF552" s="243">
        <f t="shared" si="1658"/>
        <v>6</v>
      </c>
      <c r="AG552" s="60"/>
      <c r="AH552" s="58"/>
      <c r="AI552" s="62">
        <f t="shared" si="1659"/>
        <v>6</v>
      </c>
      <c r="AJ552" s="60"/>
      <c r="AK552" s="58"/>
      <c r="AL552" s="62">
        <f t="shared" si="1660"/>
        <v>6</v>
      </c>
      <c r="AM552" s="60"/>
      <c r="AN552" s="58"/>
      <c r="AO552" s="62">
        <f t="shared" si="1672"/>
        <v>6</v>
      </c>
      <c r="AP552" s="60"/>
      <c r="AQ552" s="58"/>
      <c r="AR552" s="62">
        <f t="shared" si="1673"/>
        <v>6</v>
      </c>
      <c r="AS552" s="60"/>
      <c r="AT552" s="58"/>
      <c r="AU552" s="62">
        <f t="shared" si="1661"/>
        <v>6</v>
      </c>
      <c r="AV552" s="83">
        <f t="shared" si="1662"/>
        <v>0</v>
      </c>
      <c r="AW552" s="83">
        <f t="shared" si="1663"/>
        <v>0</v>
      </c>
      <c r="AX552" s="64">
        <f t="shared" si="1664"/>
        <v>0</v>
      </c>
      <c r="AY552" s="65" t="e">
        <f t="shared" si="1665"/>
        <v>#DIV/0!</v>
      </c>
      <c r="AZ552" s="66">
        <f t="shared" si="1666"/>
        <v>0</v>
      </c>
      <c r="BA552" s="67">
        <f>MAX(0, Table176252626[[#This Row],[Column6]])</f>
        <v>6</v>
      </c>
      <c r="BB552" s="68">
        <v>1</v>
      </c>
      <c r="BC552" s="84">
        <f t="shared" si="1540"/>
        <v>6</v>
      </c>
      <c r="BD552" s="83">
        <f t="shared" si="1541"/>
        <v>5</v>
      </c>
      <c r="BE552" s="85">
        <v>2</v>
      </c>
      <c r="BF552" s="86">
        <v>44567.497395833336</v>
      </c>
      <c r="BG552" s="72" t="e">
        <f t="shared" si="1595"/>
        <v>#REF!</v>
      </c>
      <c r="BH552" s="87" t="e">
        <f t="shared" si="1674"/>
        <v>#REF!</v>
      </c>
      <c r="BI552" s="80" t="e">
        <f t="shared" si="1543"/>
        <v>#REF!</v>
      </c>
      <c r="BJ552" s="238">
        <v>3060</v>
      </c>
    </row>
    <row r="553" spans="1:293" ht="13">
      <c r="A553" s="49"/>
      <c r="B553" s="76"/>
      <c r="C553" s="51">
        <v>551</v>
      </c>
      <c r="D553" s="147" t="s">
        <v>764</v>
      </c>
      <c r="E553" s="114">
        <v>11</v>
      </c>
      <c r="F553" s="80" t="s">
        <v>187</v>
      </c>
      <c r="G553" s="81" t="s">
        <v>188</v>
      </c>
      <c r="H553" s="81" t="s">
        <v>296</v>
      </c>
      <c r="I553" s="80" t="s">
        <v>458</v>
      </c>
      <c r="J553" s="82">
        <f t="shared" si="1652"/>
        <v>8</v>
      </c>
      <c r="K553" s="80">
        <v>8</v>
      </c>
      <c r="L553" s="57"/>
      <c r="M553" s="58"/>
      <c r="N553" s="59">
        <f t="shared" si="1671"/>
        <v>8</v>
      </c>
      <c r="O553" s="60"/>
      <c r="P553" s="58"/>
      <c r="Q553" s="59">
        <f t="shared" si="1653"/>
        <v>8</v>
      </c>
      <c r="R553" s="60"/>
      <c r="S553" s="58"/>
      <c r="T553" s="61">
        <f t="shared" si="1654"/>
        <v>8</v>
      </c>
      <c r="U553" s="60"/>
      <c r="V553" s="58"/>
      <c r="W553" s="59">
        <f t="shared" si="1655"/>
        <v>8</v>
      </c>
      <c r="X553" s="60"/>
      <c r="Y553" s="58"/>
      <c r="Z553" s="61">
        <f t="shared" si="1656"/>
        <v>8</v>
      </c>
      <c r="AA553" s="60"/>
      <c r="AB553" s="58"/>
      <c r="AC553" s="59">
        <f t="shared" si="1657"/>
        <v>8</v>
      </c>
      <c r="AD553" s="57"/>
      <c r="AE553" s="58"/>
      <c r="AF553" s="243">
        <f t="shared" si="1658"/>
        <v>8</v>
      </c>
      <c r="AG553" s="60"/>
      <c r="AH553" s="58"/>
      <c r="AI553" s="62">
        <f t="shared" si="1659"/>
        <v>8</v>
      </c>
      <c r="AJ553" s="60"/>
      <c r="AK553" s="58"/>
      <c r="AL553" s="62">
        <f t="shared" si="1660"/>
        <v>8</v>
      </c>
      <c r="AM553" s="60"/>
      <c r="AN553" s="58"/>
      <c r="AO553" s="62">
        <f t="shared" si="1672"/>
        <v>8</v>
      </c>
      <c r="AP553" s="60"/>
      <c r="AQ553" s="58"/>
      <c r="AR553" s="62">
        <f t="shared" si="1673"/>
        <v>8</v>
      </c>
      <c r="AS553" s="60"/>
      <c r="AT553" s="58"/>
      <c r="AU553" s="62">
        <f t="shared" si="1661"/>
        <v>8</v>
      </c>
      <c r="AV553" s="83">
        <f t="shared" si="1662"/>
        <v>0</v>
      </c>
      <c r="AW553" s="83">
        <f t="shared" si="1662"/>
        <v>0</v>
      </c>
      <c r="AX553" s="64">
        <f t="shared" si="1664"/>
        <v>0</v>
      </c>
      <c r="AY553" s="65" t="e">
        <f t="shared" si="1665"/>
        <v>#DIV/0!</v>
      </c>
      <c r="AZ553" s="66">
        <f t="shared" si="1666"/>
        <v>0</v>
      </c>
      <c r="BA553" s="67">
        <f>MAX(0, Table176252626[[#This Row],[Column6]])</f>
        <v>8</v>
      </c>
      <c r="BB553" s="68">
        <v>1</v>
      </c>
      <c r="BC553" s="84">
        <f t="shared" si="1540"/>
        <v>8</v>
      </c>
      <c r="BD553" s="83">
        <f t="shared" si="1541"/>
        <v>7</v>
      </c>
      <c r="BE553" s="85">
        <v>2</v>
      </c>
      <c r="BF553" s="86">
        <v>42949.468287037038</v>
      </c>
      <c r="BG553" s="72" t="e">
        <f t="shared" si="1595"/>
        <v>#REF!</v>
      </c>
      <c r="BH553" s="87" t="e">
        <f t="shared" si="1674"/>
        <v>#REF!</v>
      </c>
      <c r="BI553" s="80" t="e">
        <f t="shared" si="1543"/>
        <v>#REF!</v>
      </c>
      <c r="BJ553" s="238">
        <v>200</v>
      </c>
    </row>
    <row r="554" spans="1:293" ht="13">
      <c r="A554" s="49"/>
      <c r="B554" s="76"/>
      <c r="C554" s="51">
        <v>552</v>
      </c>
      <c r="D554" s="147" t="s">
        <v>764</v>
      </c>
      <c r="E554" s="114">
        <v>12</v>
      </c>
      <c r="F554" s="80" t="s">
        <v>677</v>
      </c>
      <c r="G554" s="81" t="s">
        <v>678</v>
      </c>
      <c r="H554" s="81" t="s">
        <v>296</v>
      </c>
      <c r="I554" s="80" t="s">
        <v>458</v>
      </c>
      <c r="J554" s="82">
        <f t="shared" si="1652"/>
        <v>19</v>
      </c>
      <c r="K554" s="80">
        <v>19</v>
      </c>
      <c r="L554" s="57"/>
      <c r="M554" s="58"/>
      <c r="N554" s="59">
        <f t="shared" si="1671"/>
        <v>19</v>
      </c>
      <c r="O554" s="60"/>
      <c r="P554" s="58"/>
      <c r="Q554" s="59">
        <f t="shared" si="1653"/>
        <v>19</v>
      </c>
      <c r="R554" s="60"/>
      <c r="S554" s="58"/>
      <c r="T554" s="61">
        <f t="shared" si="1654"/>
        <v>19</v>
      </c>
      <c r="U554" s="60"/>
      <c r="V554" s="58"/>
      <c r="W554" s="59">
        <f t="shared" si="1655"/>
        <v>19</v>
      </c>
      <c r="X554" s="60"/>
      <c r="Y554" s="58"/>
      <c r="Z554" s="61">
        <f t="shared" si="1656"/>
        <v>19</v>
      </c>
      <c r="AA554" s="60"/>
      <c r="AB554" s="58"/>
      <c r="AC554" s="59">
        <f t="shared" si="1657"/>
        <v>19</v>
      </c>
      <c r="AD554" s="57"/>
      <c r="AE554" s="58"/>
      <c r="AF554" s="243">
        <f t="shared" si="1658"/>
        <v>19</v>
      </c>
      <c r="AG554" s="60"/>
      <c r="AH554" s="58"/>
      <c r="AI554" s="62">
        <f t="shared" si="1659"/>
        <v>19</v>
      </c>
      <c r="AJ554" s="60"/>
      <c r="AK554" s="58"/>
      <c r="AL554" s="62">
        <f t="shared" si="1660"/>
        <v>19</v>
      </c>
      <c r="AM554" s="60"/>
      <c r="AN554" s="58"/>
      <c r="AO554" s="62">
        <f t="shared" si="1672"/>
        <v>19</v>
      </c>
      <c r="AP554" s="60"/>
      <c r="AQ554" s="58"/>
      <c r="AR554" s="62">
        <f t="shared" si="1673"/>
        <v>19</v>
      </c>
      <c r="AS554" s="60"/>
      <c r="AT554" s="58"/>
      <c r="AU554" s="62">
        <f t="shared" si="1661"/>
        <v>19</v>
      </c>
      <c r="AV554" s="83">
        <f t="shared" si="1662"/>
        <v>0</v>
      </c>
      <c r="AW554" s="83">
        <f t="shared" si="1662"/>
        <v>0</v>
      </c>
      <c r="AX554" s="64">
        <f t="shared" si="1664"/>
        <v>0</v>
      </c>
      <c r="AY554" s="65" t="e">
        <f t="shared" si="1665"/>
        <v>#DIV/0!</v>
      </c>
      <c r="AZ554" s="66">
        <f t="shared" si="1666"/>
        <v>0</v>
      </c>
      <c r="BA554" s="67">
        <f>MAX(0, Table176252626[[#This Row],[Column6]])</f>
        <v>19</v>
      </c>
      <c r="BB554" s="68">
        <v>1</v>
      </c>
      <c r="BC554" s="84">
        <f t="shared" si="1540"/>
        <v>19</v>
      </c>
      <c r="BD554" s="83">
        <f t="shared" si="1541"/>
        <v>18</v>
      </c>
      <c r="BE554" s="85">
        <v>2</v>
      </c>
      <c r="BF554" s="86">
        <v>43475.404363425929</v>
      </c>
      <c r="BG554" s="72" t="e">
        <f t="shared" si="1595"/>
        <v>#REF!</v>
      </c>
      <c r="BH554" s="87" t="e">
        <f t="shared" si="1674"/>
        <v>#REF!</v>
      </c>
      <c r="BI554" s="80" t="e">
        <f t="shared" si="1543"/>
        <v>#REF!</v>
      </c>
      <c r="BJ554" s="238">
        <v>657</v>
      </c>
    </row>
    <row r="555" spans="1:293" ht="13">
      <c r="A555" s="49"/>
      <c r="B555" s="50"/>
      <c r="C555" s="51">
        <v>553</v>
      </c>
      <c r="D555" s="147" t="s">
        <v>764</v>
      </c>
      <c r="E555" s="114">
        <v>13</v>
      </c>
      <c r="F555" s="80" t="s">
        <v>370</v>
      </c>
      <c r="G555" s="81" t="s">
        <v>369</v>
      </c>
      <c r="H555" s="81" t="s">
        <v>296</v>
      </c>
      <c r="I555" s="80" t="s">
        <v>458</v>
      </c>
      <c r="J555" s="82">
        <f t="shared" si="1652"/>
        <v>7</v>
      </c>
      <c r="K555" s="129">
        <v>9</v>
      </c>
      <c r="L555" s="57"/>
      <c r="M555" s="58"/>
      <c r="N555" s="59">
        <f t="shared" si="1671"/>
        <v>9</v>
      </c>
      <c r="O555" s="60"/>
      <c r="P555" s="58"/>
      <c r="Q555" s="59">
        <f t="shared" si="1653"/>
        <v>9</v>
      </c>
      <c r="R555" s="60"/>
      <c r="S555" s="58"/>
      <c r="T555" s="61">
        <f t="shared" si="1654"/>
        <v>9</v>
      </c>
      <c r="U555" s="60"/>
      <c r="V555" s="58"/>
      <c r="W555" s="59">
        <f t="shared" si="1655"/>
        <v>9</v>
      </c>
      <c r="X555" s="60"/>
      <c r="Y555" s="58"/>
      <c r="Z555" s="61">
        <f t="shared" si="1656"/>
        <v>9</v>
      </c>
      <c r="AA555" s="60"/>
      <c r="AB555" s="58"/>
      <c r="AC555" s="59">
        <f t="shared" si="1657"/>
        <v>9</v>
      </c>
      <c r="AD555" s="57"/>
      <c r="AE555" s="58"/>
      <c r="AF555" s="243">
        <f t="shared" si="1658"/>
        <v>9</v>
      </c>
      <c r="AG555" s="60"/>
      <c r="AH555" s="58">
        <v>2</v>
      </c>
      <c r="AI555" s="62">
        <f t="shared" si="1659"/>
        <v>7</v>
      </c>
      <c r="AJ555" s="60"/>
      <c r="AK555" s="58"/>
      <c r="AL555" s="62">
        <f t="shared" si="1660"/>
        <v>7</v>
      </c>
      <c r="AM555" s="60"/>
      <c r="AN555" s="58"/>
      <c r="AO555" s="62">
        <f t="shared" si="1672"/>
        <v>7</v>
      </c>
      <c r="AP555" s="60"/>
      <c r="AQ555" s="58"/>
      <c r="AR555" s="62">
        <f t="shared" si="1673"/>
        <v>7</v>
      </c>
      <c r="AS555" s="60"/>
      <c r="AT555" s="58"/>
      <c r="AU555" s="62">
        <f t="shared" si="1661"/>
        <v>7</v>
      </c>
      <c r="AV555" s="83">
        <f t="shared" si="1662"/>
        <v>0</v>
      </c>
      <c r="AW555" s="83">
        <f t="shared" si="1662"/>
        <v>2</v>
      </c>
      <c r="AX555" s="64">
        <f t="shared" si="1664"/>
        <v>2</v>
      </c>
      <c r="AY555" s="65">
        <f t="shared" si="1665"/>
        <v>2</v>
      </c>
      <c r="AZ555" s="66">
        <f t="shared" si="1666"/>
        <v>1</v>
      </c>
      <c r="BA555" s="67">
        <v>9</v>
      </c>
      <c r="BB555" s="68">
        <v>1</v>
      </c>
      <c r="BC555" s="84">
        <f t="shared" si="1540"/>
        <v>7</v>
      </c>
      <c r="BD555" s="83">
        <f t="shared" si="1541"/>
        <v>6</v>
      </c>
      <c r="BE555" s="85">
        <v>2</v>
      </c>
      <c r="BF555" s="86">
        <v>45055.599143518521</v>
      </c>
      <c r="BG555" s="72" t="e">
        <f t="shared" si="1595"/>
        <v>#REF!</v>
      </c>
      <c r="BH555" s="107" t="e">
        <f t="shared" si="1674"/>
        <v>#REF!</v>
      </c>
      <c r="BI555" s="80" t="e">
        <f t="shared" si="1543"/>
        <v>#REF!</v>
      </c>
      <c r="BJ555" s="238">
        <v>54</v>
      </c>
    </row>
    <row r="556" spans="1:293" ht="13">
      <c r="A556" s="75"/>
      <c r="B556" s="76"/>
      <c r="C556" s="77">
        <v>554</v>
      </c>
      <c r="D556" s="147" t="s">
        <v>764</v>
      </c>
      <c r="E556" s="114">
        <v>14</v>
      </c>
      <c r="F556" s="80" t="s">
        <v>34</v>
      </c>
      <c r="G556" s="81" t="s">
        <v>35</v>
      </c>
      <c r="H556" s="81" t="s">
        <v>296</v>
      </c>
      <c r="I556" s="80" t="s">
        <v>458</v>
      </c>
      <c r="J556" s="82">
        <f t="shared" si="1652"/>
        <v>22</v>
      </c>
      <c r="K556" s="80">
        <v>6</v>
      </c>
      <c r="L556" s="57"/>
      <c r="M556" s="58">
        <f>2</f>
        <v>2</v>
      </c>
      <c r="N556" s="59">
        <f t="shared" si="1671"/>
        <v>4</v>
      </c>
      <c r="O556" s="60"/>
      <c r="P556" s="58"/>
      <c r="Q556" s="59">
        <f t="shared" si="1653"/>
        <v>4</v>
      </c>
      <c r="R556" s="60"/>
      <c r="S556" s="58"/>
      <c r="T556" s="61">
        <f t="shared" si="1654"/>
        <v>4</v>
      </c>
      <c r="U556" s="60"/>
      <c r="V556" s="58"/>
      <c r="W556" s="59">
        <f t="shared" si="1655"/>
        <v>4</v>
      </c>
      <c r="X556" s="60">
        <v>10</v>
      </c>
      <c r="Y556" s="58">
        <v>2</v>
      </c>
      <c r="Z556" s="61">
        <f t="shared" si="1656"/>
        <v>12</v>
      </c>
      <c r="AA556" s="60"/>
      <c r="AB556" s="58"/>
      <c r="AC556" s="59">
        <f t="shared" si="1657"/>
        <v>12</v>
      </c>
      <c r="AD556" s="57">
        <v>10</v>
      </c>
      <c r="AE556" s="58"/>
      <c r="AF556" s="243">
        <f t="shared" si="1658"/>
        <v>22</v>
      </c>
      <c r="AG556" s="60"/>
      <c r="AH556" s="58"/>
      <c r="AI556" s="62">
        <f t="shared" si="1659"/>
        <v>22</v>
      </c>
      <c r="AJ556" s="60"/>
      <c r="AK556" s="58"/>
      <c r="AL556" s="62">
        <f t="shared" si="1660"/>
        <v>22</v>
      </c>
      <c r="AM556" s="60"/>
      <c r="AN556" s="58"/>
      <c r="AO556" s="62">
        <f t="shared" si="1672"/>
        <v>22</v>
      </c>
      <c r="AP556" s="60"/>
      <c r="AQ556" s="58"/>
      <c r="AR556" s="62">
        <f t="shared" si="1673"/>
        <v>22</v>
      </c>
      <c r="AS556" s="60"/>
      <c r="AT556" s="58"/>
      <c r="AU556" s="62">
        <f t="shared" si="1661"/>
        <v>22</v>
      </c>
      <c r="AV556" s="83">
        <f t="shared" si="1662"/>
        <v>20</v>
      </c>
      <c r="AW556" s="83">
        <f t="shared" si="1662"/>
        <v>4</v>
      </c>
      <c r="AX556" s="64">
        <f t="shared" si="1664"/>
        <v>4</v>
      </c>
      <c r="AY556" s="65">
        <f t="shared" si="1665"/>
        <v>2</v>
      </c>
      <c r="AZ556" s="66">
        <f t="shared" si="1666"/>
        <v>2</v>
      </c>
      <c r="BA556" s="67">
        <f>MAX(0, Table176252626[[#This Row],[Column6]])</f>
        <v>22</v>
      </c>
      <c r="BB556" s="68">
        <v>1</v>
      </c>
      <c r="BC556" s="84">
        <f t="shared" si="1540"/>
        <v>22</v>
      </c>
      <c r="BD556" s="83">
        <f t="shared" si="1541"/>
        <v>21</v>
      </c>
      <c r="BE556" s="85">
        <v>2</v>
      </c>
      <c r="BF556" s="86">
        <v>46221</v>
      </c>
      <c r="BG556" s="72" t="e">
        <f t="shared" si="1595"/>
        <v>#REF!</v>
      </c>
      <c r="BH556" s="107" t="e">
        <f t="shared" si="1674"/>
        <v>#REF!</v>
      </c>
      <c r="BI556" s="80" t="e">
        <f t="shared" si="1543"/>
        <v>#REF!</v>
      </c>
      <c r="BJ556" s="238">
        <v>207</v>
      </c>
    </row>
    <row r="557" spans="1:293" ht="13">
      <c r="A557" s="49"/>
      <c r="B557" s="50"/>
      <c r="C557" s="77">
        <v>555</v>
      </c>
      <c r="D557" s="147" t="s">
        <v>764</v>
      </c>
      <c r="E557" s="114">
        <v>15</v>
      </c>
      <c r="F557" s="88" t="s">
        <v>368</v>
      </c>
      <c r="G557" s="89" t="s">
        <v>367</v>
      </c>
      <c r="H557" s="81" t="s">
        <v>296</v>
      </c>
      <c r="I557" s="80" t="s">
        <v>458</v>
      </c>
      <c r="J557" s="82">
        <f t="shared" si="1652"/>
        <v>3</v>
      </c>
      <c r="K557" s="80">
        <v>3</v>
      </c>
      <c r="L557" s="57"/>
      <c r="M557" s="58"/>
      <c r="N557" s="59">
        <f t="shared" si="1671"/>
        <v>3</v>
      </c>
      <c r="O557" s="60"/>
      <c r="P557" s="58"/>
      <c r="Q557" s="59">
        <f t="shared" si="1653"/>
        <v>3</v>
      </c>
      <c r="R557" s="60"/>
      <c r="S557" s="58"/>
      <c r="T557" s="61">
        <f t="shared" si="1654"/>
        <v>3</v>
      </c>
      <c r="U557" s="60"/>
      <c r="V557" s="58"/>
      <c r="W557" s="59">
        <f t="shared" si="1655"/>
        <v>3</v>
      </c>
      <c r="X557" s="60"/>
      <c r="Y557" s="58"/>
      <c r="Z557" s="61">
        <f t="shared" si="1656"/>
        <v>3</v>
      </c>
      <c r="AA557" s="60"/>
      <c r="AB557" s="58"/>
      <c r="AC557" s="59">
        <f t="shared" si="1657"/>
        <v>3</v>
      </c>
      <c r="AD557" s="57"/>
      <c r="AE557" s="58"/>
      <c r="AF557" s="243">
        <f t="shared" si="1658"/>
        <v>3</v>
      </c>
      <c r="AG557" s="60"/>
      <c r="AH557" s="58"/>
      <c r="AI557" s="62">
        <f t="shared" si="1659"/>
        <v>3</v>
      </c>
      <c r="AJ557" s="60"/>
      <c r="AK557" s="58"/>
      <c r="AL557" s="62">
        <f t="shared" si="1660"/>
        <v>3</v>
      </c>
      <c r="AM557" s="60"/>
      <c r="AN557" s="58"/>
      <c r="AO557" s="62">
        <f t="shared" si="1672"/>
        <v>3</v>
      </c>
      <c r="AP557" s="60"/>
      <c r="AQ557" s="58"/>
      <c r="AR557" s="62">
        <f t="shared" si="1673"/>
        <v>3</v>
      </c>
      <c r="AS557" s="60"/>
      <c r="AT557" s="58"/>
      <c r="AU557" s="62">
        <f t="shared" si="1661"/>
        <v>3</v>
      </c>
      <c r="AV557" s="83">
        <f t="shared" si="1662"/>
        <v>0</v>
      </c>
      <c r="AW557" s="83">
        <f t="shared" si="1662"/>
        <v>0</v>
      </c>
      <c r="AX557" s="64">
        <f t="shared" si="1664"/>
        <v>0</v>
      </c>
      <c r="AY557" s="65" t="e">
        <f t="shared" si="1665"/>
        <v>#DIV/0!</v>
      </c>
      <c r="AZ557" s="66">
        <f t="shared" si="1666"/>
        <v>0</v>
      </c>
      <c r="BA557" s="67">
        <v>3</v>
      </c>
      <c r="BB557" s="68">
        <v>1</v>
      </c>
      <c r="BC557" s="84">
        <f t="shared" si="1540"/>
        <v>3</v>
      </c>
      <c r="BD557" s="83">
        <f t="shared" si="1541"/>
        <v>2</v>
      </c>
      <c r="BE557" s="85">
        <v>2</v>
      </c>
      <c r="BF557" s="86">
        <v>43084.469293981485</v>
      </c>
      <c r="BG557" s="72" t="e">
        <f t="shared" si="1595"/>
        <v>#REF!</v>
      </c>
      <c r="BH557" s="87" t="e">
        <f t="shared" si="1674"/>
        <v>#REF!</v>
      </c>
      <c r="BI557" s="80" t="e">
        <f t="shared" si="1543"/>
        <v>#REF!</v>
      </c>
      <c r="BJ557" s="238">
        <v>3825</v>
      </c>
    </row>
    <row r="558" spans="1:293" ht="13">
      <c r="A558" s="49"/>
      <c r="B558" s="76"/>
      <c r="C558" s="51">
        <v>556</v>
      </c>
      <c r="D558" s="147" t="s">
        <v>764</v>
      </c>
      <c r="E558" s="114">
        <v>16</v>
      </c>
      <c r="F558" s="80" t="s">
        <v>675</v>
      </c>
      <c r="G558" s="81" t="s">
        <v>676</v>
      </c>
      <c r="H558" s="81" t="s">
        <v>296</v>
      </c>
      <c r="I558" s="80" t="s">
        <v>458</v>
      </c>
      <c r="J558" s="82">
        <f t="shared" si="1652"/>
        <v>14</v>
      </c>
      <c r="K558" s="80">
        <v>14</v>
      </c>
      <c r="L558" s="57"/>
      <c r="M558" s="58"/>
      <c r="N558" s="59">
        <f t="shared" si="1671"/>
        <v>14</v>
      </c>
      <c r="O558" s="60"/>
      <c r="P558" s="58"/>
      <c r="Q558" s="59">
        <f t="shared" si="1653"/>
        <v>14</v>
      </c>
      <c r="R558" s="60"/>
      <c r="S558" s="58"/>
      <c r="T558" s="61">
        <f t="shared" si="1654"/>
        <v>14</v>
      </c>
      <c r="U558" s="60"/>
      <c r="V558" s="58"/>
      <c r="W558" s="59">
        <f t="shared" si="1655"/>
        <v>14</v>
      </c>
      <c r="X558" s="60"/>
      <c r="Y558" s="58"/>
      <c r="Z558" s="61">
        <f t="shared" si="1656"/>
        <v>14</v>
      </c>
      <c r="AA558" s="60"/>
      <c r="AB558" s="58"/>
      <c r="AC558" s="59">
        <f t="shared" si="1657"/>
        <v>14</v>
      </c>
      <c r="AD558" s="57"/>
      <c r="AE558" s="58"/>
      <c r="AF558" s="243">
        <f t="shared" si="1658"/>
        <v>14</v>
      </c>
      <c r="AG558" s="60"/>
      <c r="AH558" s="58"/>
      <c r="AI558" s="62">
        <f t="shared" si="1659"/>
        <v>14</v>
      </c>
      <c r="AJ558" s="60"/>
      <c r="AK558" s="58"/>
      <c r="AL558" s="62">
        <f t="shared" si="1660"/>
        <v>14</v>
      </c>
      <c r="AM558" s="60"/>
      <c r="AN558" s="58"/>
      <c r="AO558" s="62">
        <f t="shared" si="1672"/>
        <v>14</v>
      </c>
      <c r="AP558" s="60"/>
      <c r="AQ558" s="58"/>
      <c r="AR558" s="62">
        <f t="shared" si="1673"/>
        <v>14</v>
      </c>
      <c r="AS558" s="60"/>
      <c r="AT558" s="58"/>
      <c r="AU558" s="62">
        <f t="shared" si="1661"/>
        <v>14</v>
      </c>
      <c r="AV558" s="83">
        <f t="shared" si="1662"/>
        <v>0</v>
      </c>
      <c r="AW558" s="83">
        <f t="shared" si="1662"/>
        <v>0</v>
      </c>
      <c r="AX558" s="64">
        <f t="shared" si="1664"/>
        <v>0</v>
      </c>
      <c r="AY558" s="65" t="e">
        <f t="shared" si="1665"/>
        <v>#DIV/0!</v>
      </c>
      <c r="AZ558" s="66">
        <f t="shared" si="1666"/>
        <v>0</v>
      </c>
      <c r="BA558" s="67">
        <f>MAX(0, Table176252626[[#This Row],[Column6]])</f>
        <v>14</v>
      </c>
      <c r="BB558" s="68">
        <v>1</v>
      </c>
      <c r="BC558" s="84">
        <f t="shared" si="1540"/>
        <v>14</v>
      </c>
      <c r="BD558" s="83">
        <f t="shared" si="1541"/>
        <v>13</v>
      </c>
      <c r="BE558" s="85">
        <v>2</v>
      </c>
      <c r="BF558" s="86">
        <v>43475.404363425929</v>
      </c>
      <c r="BG558" s="72" t="e">
        <f t="shared" si="1595"/>
        <v>#REF!</v>
      </c>
      <c r="BH558" s="87" t="e">
        <f t="shared" si="1674"/>
        <v>#REF!</v>
      </c>
      <c r="BI558" s="80" t="e">
        <f t="shared" si="1543"/>
        <v>#REF!</v>
      </c>
      <c r="BJ558" s="238">
        <v>351</v>
      </c>
    </row>
    <row r="559" spans="1:293" ht="13">
      <c r="A559" s="49"/>
      <c r="B559" s="50"/>
      <c r="C559" s="51">
        <v>557</v>
      </c>
      <c r="D559" s="147" t="s">
        <v>764</v>
      </c>
      <c r="E559" s="114">
        <v>17</v>
      </c>
      <c r="F559" s="80" t="s">
        <v>399</v>
      </c>
      <c r="G559" s="81" t="s">
        <v>400</v>
      </c>
      <c r="H559" s="81" t="s">
        <v>296</v>
      </c>
      <c r="I559" s="80" t="s">
        <v>458</v>
      </c>
      <c r="J559" s="82">
        <f t="shared" si="1652"/>
        <v>14</v>
      </c>
      <c r="K559" s="80">
        <v>14</v>
      </c>
      <c r="L559" s="57"/>
      <c r="M559" s="58"/>
      <c r="N559" s="59">
        <f t="shared" si="1671"/>
        <v>14</v>
      </c>
      <c r="O559" s="60"/>
      <c r="P559" s="58"/>
      <c r="Q559" s="59">
        <f t="shared" si="1653"/>
        <v>14</v>
      </c>
      <c r="R559" s="60"/>
      <c r="S559" s="58"/>
      <c r="T559" s="61">
        <f t="shared" si="1654"/>
        <v>14</v>
      </c>
      <c r="U559" s="60"/>
      <c r="V559" s="58"/>
      <c r="W559" s="59">
        <f t="shared" si="1655"/>
        <v>14</v>
      </c>
      <c r="X559" s="60"/>
      <c r="Y559" s="58"/>
      <c r="Z559" s="61">
        <f t="shared" si="1656"/>
        <v>14</v>
      </c>
      <c r="AA559" s="60"/>
      <c r="AB559" s="58"/>
      <c r="AC559" s="59">
        <f t="shared" si="1657"/>
        <v>14</v>
      </c>
      <c r="AD559" s="57"/>
      <c r="AE559" s="58"/>
      <c r="AF559" s="243">
        <f t="shared" si="1658"/>
        <v>14</v>
      </c>
      <c r="AG559" s="60"/>
      <c r="AH559" s="58"/>
      <c r="AI559" s="62">
        <f t="shared" si="1659"/>
        <v>14</v>
      </c>
      <c r="AJ559" s="60"/>
      <c r="AK559" s="58"/>
      <c r="AL559" s="62">
        <f t="shared" si="1660"/>
        <v>14</v>
      </c>
      <c r="AM559" s="60"/>
      <c r="AN559" s="58"/>
      <c r="AO559" s="62">
        <f t="shared" si="1672"/>
        <v>14</v>
      </c>
      <c r="AP559" s="60"/>
      <c r="AQ559" s="58"/>
      <c r="AR559" s="62">
        <f t="shared" si="1673"/>
        <v>14</v>
      </c>
      <c r="AS559" s="60"/>
      <c r="AT559" s="58"/>
      <c r="AU559" s="62">
        <f t="shared" si="1661"/>
        <v>14</v>
      </c>
      <c r="AV559" s="83">
        <f t="shared" si="1662"/>
        <v>0</v>
      </c>
      <c r="AW559" s="83">
        <f t="shared" si="1662"/>
        <v>0</v>
      </c>
      <c r="AX559" s="64">
        <f t="shared" si="1664"/>
        <v>0</v>
      </c>
      <c r="AY559" s="65" t="e">
        <f t="shared" si="1665"/>
        <v>#DIV/0!</v>
      </c>
      <c r="AZ559" s="66">
        <f t="shared" si="1666"/>
        <v>0</v>
      </c>
      <c r="BA559" s="67">
        <f>MAX(0, Table176252626[[#This Row],[Column6]])</f>
        <v>14</v>
      </c>
      <c r="BB559" s="68">
        <v>1</v>
      </c>
      <c r="BC559" s="84">
        <f t="shared" si="1540"/>
        <v>14</v>
      </c>
      <c r="BD559" s="83">
        <f t="shared" si="1541"/>
        <v>13</v>
      </c>
      <c r="BE559" s="85">
        <v>2</v>
      </c>
      <c r="BF559" s="86">
        <v>43084.463807870372</v>
      </c>
      <c r="BG559" s="72" t="e">
        <f t="shared" si="1595"/>
        <v>#REF!</v>
      </c>
      <c r="BH559" s="87" t="e">
        <f t="shared" si="1674"/>
        <v>#REF!</v>
      </c>
      <c r="BI559" s="80" t="e">
        <f t="shared" si="1543"/>
        <v>#REF!</v>
      </c>
      <c r="BJ559" s="238">
        <v>198</v>
      </c>
    </row>
    <row r="560" spans="1:293" ht="13">
      <c r="A560" s="75"/>
      <c r="B560" s="76"/>
      <c r="C560" s="51">
        <v>558</v>
      </c>
      <c r="D560" s="147" t="s">
        <v>764</v>
      </c>
      <c r="E560" s="114">
        <v>18</v>
      </c>
      <c r="F560" s="80" t="s">
        <v>69</v>
      </c>
      <c r="G560" s="81" t="s">
        <v>70</v>
      </c>
      <c r="H560" s="81" t="s">
        <v>296</v>
      </c>
      <c r="I560" s="80" t="s">
        <v>458</v>
      </c>
      <c r="J560" s="82">
        <f t="shared" si="1652"/>
        <v>19</v>
      </c>
      <c r="K560" s="80">
        <v>19</v>
      </c>
      <c r="L560" s="57"/>
      <c r="M560" s="58"/>
      <c r="N560" s="59">
        <f t="shared" si="1671"/>
        <v>19</v>
      </c>
      <c r="O560" s="60"/>
      <c r="P560" s="58"/>
      <c r="Q560" s="59">
        <f t="shared" si="1653"/>
        <v>19</v>
      </c>
      <c r="R560" s="60"/>
      <c r="S560" s="58"/>
      <c r="T560" s="61">
        <f t="shared" si="1654"/>
        <v>19</v>
      </c>
      <c r="U560" s="60"/>
      <c r="V560" s="58"/>
      <c r="W560" s="59">
        <f t="shared" si="1655"/>
        <v>19</v>
      </c>
      <c r="X560" s="60"/>
      <c r="Y560" s="58"/>
      <c r="Z560" s="61">
        <f t="shared" si="1656"/>
        <v>19</v>
      </c>
      <c r="AA560" s="60"/>
      <c r="AB560" s="58"/>
      <c r="AC560" s="59">
        <f t="shared" si="1657"/>
        <v>19</v>
      </c>
      <c r="AD560" s="57"/>
      <c r="AE560" s="58"/>
      <c r="AF560" s="243">
        <f t="shared" si="1658"/>
        <v>19</v>
      </c>
      <c r="AG560" s="60"/>
      <c r="AH560" s="58"/>
      <c r="AI560" s="62">
        <f t="shared" si="1659"/>
        <v>19</v>
      </c>
      <c r="AJ560" s="60"/>
      <c r="AK560" s="58"/>
      <c r="AL560" s="62">
        <f t="shared" si="1660"/>
        <v>19</v>
      </c>
      <c r="AM560" s="60"/>
      <c r="AN560" s="58"/>
      <c r="AO560" s="62">
        <f t="shared" si="1672"/>
        <v>19</v>
      </c>
      <c r="AP560" s="60"/>
      <c r="AQ560" s="58"/>
      <c r="AR560" s="62">
        <f t="shared" si="1673"/>
        <v>19</v>
      </c>
      <c r="AS560" s="60"/>
      <c r="AT560" s="58"/>
      <c r="AU560" s="62">
        <f t="shared" si="1661"/>
        <v>19</v>
      </c>
      <c r="AV560" s="83">
        <f t="shared" si="1662"/>
        <v>0</v>
      </c>
      <c r="AW560" s="83">
        <f t="shared" si="1662"/>
        <v>0</v>
      </c>
      <c r="AX560" s="64">
        <f t="shared" si="1664"/>
        <v>0</v>
      </c>
      <c r="AY560" s="65" t="e">
        <f t="shared" si="1665"/>
        <v>#DIV/0!</v>
      </c>
      <c r="AZ560" s="66">
        <f t="shared" si="1666"/>
        <v>0</v>
      </c>
      <c r="BA560" s="67">
        <f>MAX(0, Table176252626[[#This Row],[Column6]])</f>
        <v>19</v>
      </c>
      <c r="BB560" s="68">
        <v>1</v>
      </c>
      <c r="BC560" s="84">
        <f t="shared" si="1540"/>
        <v>19</v>
      </c>
      <c r="BD560" s="83">
        <f t="shared" si="1541"/>
        <v>18</v>
      </c>
      <c r="BE560" s="85">
        <v>2</v>
      </c>
      <c r="BF560" s="86">
        <v>42923.475543981483</v>
      </c>
      <c r="BG560" s="72" t="e">
        <f t="shared" si="1595"/>
        <v>#REF!</v>
      </c>
      <c r="BH560" s="87" t="e">
        <f t="shared" si="1674"/>
        <v>#REF!</v>
      </c>
      <c r="BI560" s="80" t="e">
        <f t="shared" si="1543"/>
        <v>#REF!</v>
      </c>
      <c r="BJ560" s="238">
        <v>42</v>
      </c>
    </row>
    <row r="561" spans="1:62" ht="13">
      <c r="A561" s="49"/>
      <c r="B561" s="76"/>
      <c r="C561" s="51">
        <v>559</v>
      </c>
      <c r="D561" s="147" t="s">
        <v>764</v>
      </c>
      <c r="E561" s="114">
        <v>19</v>
      </c>
      <c r="F561" s="54" t="s">
        <v>513</v>
      </c>
      <c r="G561" s="55" t="s">
        <v>518</v>
      </c>
      <c r="H561" s="81" t="s">
        <v>296</v>
      </c>
      <c r="I561" s="80" t="s">
        <v>458</v>
      </c>
      <c r="J561" s="82">
        <f t="shared" si="1652"/>
        <v>6</v>
      </c>
      <c r="K561" s="80">
        <v>10</v>
      </c>
      <c r="L561" s="57"/>
      <c r="M561" s="58"/>
      <c r="N561" s="59">
        <f t="shared" si="1671"/>
        <v>10</v>
      </c>
      <c r="O561" s="60"/>
      <c r="P561" s="58"/>
      <c r="Q561" s="59">
        <f t="shared" si="1653"/>
        <v>10</v>
      </c>
      <c r="R561" s="60"/>
      <c r="S561" s="58"/>
      <c r="T561" s="61">
        <f t="shared" si="1654"/>
        <v>10</v>
      </c>
      <c r="U561" s="60"/>
      <c r="V561" s="58"/>
      <c r="W561" s="59">
        <f t="shared" si="1655"/>
        <v>10</v>
      </c>
      <c r="X561" s="60"/>
      <c r="Y561" s="58"/>
      <c r="Z561" s="61">
        <f t="shared" si="1656"/>
        <v>10</v>
      </c>
      <c r="AA561" s="60"/>
      <c r="AB561" s="58"/>
      <c r="AC561" s="59">
        <f t="shared" si="1657"/>
        <v>10</v>
      </c>
      <c r="AD561" s="57"/>
      <c r="AE561" s="58"/>
      <c r="AF561" s="243">
        <f t="shared" si="1658"/>
        <v>10</v>
      </c>
      <c r="AG561" s="60"/>
      <c r="AH561" s="58">
        <v>4</v>
      </c>
      <c r="AI561" s="62">
        <f t="shared" si="1659"/>
        <v>6</v>
      </c>
      <c r="AJ561" s="60"/>
      <c r="AK561" s="58"/>
      <c r="AL561" s="62">
        <f t="shared" si="1660"/>
        <v>6</v>
      </c>
      <c r="AM561" s="60"/>
      <c r="AN561" s="58"/>
      <c r="AO561" s="62">
        <f t="shared" si="1672"/>
        <v>6</v>
      </c>
      <c r="AP561" s="60"/>
      <c r="AQ561" s="58"/>
      <c r="AR561" s="62">
        <f t="shared" si="1673"/>
        <v>6</v>
      </c>
      <c r="AS561" s="60"/>
      <c r="AT561" s="58"/>
      <c r="AU561" s="62">
        <f t="shared" si="1661"/>
        <v>6</v>
      </c>
      <c r="AV561" s="83">
        <f t="shared" si="1662"/>
        <v>0</v>
      </c>
      <c r="AW561" s="83">
        <f t="shared" si="1662"/>
        <v>4</v>
      </c>
      <c r="AX561" s="64">
        <f t="shared" si="1664"/>
        <v>4</v>
      </c>
      <c r="AY561" s="65">
        <f t="shared" si="1665"/>
        <v>4</v>
      </c>
      <c r="AZ561" s="66">
        <f t="shared" si="1666"/>
        <v>1</v>
      </c>
      <c r="BA561" s="67">
        <f>MAX(0, Table176252626[[#This Row],[Column6]])</f>
        <v>6</v>
      </c>
      <c r="BB561" s="68">
        <v>1</v>
      </c>
      <c r="BC561" s="84">
        <f t="shared" si="1540"/>
        <v>6</v>
      </c>
      <c r="BD561" s="83">
        <f t="shared" si="1541"/>
        <v>5</v>
      </c>
      <c r="BE561" s="85">
        <v>2</v>
      </c>
      <c r="BF561" s="86">
        <v>43291.467222222222</v>
      </c>
      <c r="BG561" s="72" t="e">
        <f t="shared" si="1595"/>
        <v>#REF!</v>
      </c>
      <c r="BH561" s="87" t="e">
        <f t="shared" si="1674"/>
        <v>#REF!</v>
      </c>
      <c r="BI561" s="80" t="e">
        <f t="shared" si="1543"/>
        <v>#REF!</v>
      </c>
      <c r="BJ561" s="238">
        <v>67.5</v>
      </c>
    </row>
    <row r="562" spans="1:62" ht="13">
      <c r="A562" s="75"/>
      <c r="B562" s="76"/>
      <c r="C562" s="77">
        <v>560</v>
      </c>
      <c r="D562" s="147" t="s">
        <v>764</v>
      </c>
      <c r="E562" s="114">
        <v>20</v>
      </c>
      <c r="F562" s="80" t="s">
        <v>93</v>
      </c>
      <c r="G562" s="81" t="s">
        <v>94</v>
      </c>
      <c r="H562" s="81" t="s">
        <v>296</v>
      </c>
      <c r="I562" s="80" t="s">
        <v>458</v>
      </c>
      <c r="J562" s="82">
        <f t="shared" si="1652"/>
        <v>9</v>
      </c>
      <c r="K562" s="80">
        <v>9</v>
      </c>
      <c r="L562" s="57"/>
      <c r="M562" s="58"/>
      <c r="N562" s="59">
        <f t="shared" si="1671"/>
        <v>9</v>
      </c>
      <c r="O562" s="60"/>
      <c r="P562" s="58"/>
      <c r="Q562" s="59">
        <f t="shared" si="1653"/>
        <v>9</v>
      </c>
      <c r="R562" s="60"/>
      <c r="S562" s="58"/>
      <c r="T562" s="61">
        <f t="shared" si="1654"/>
        <v>9</v>
      </c>
      <c r="U562" s="60"/>
      <c r="V562" s="58"/>
      <c r="W562" s="59">
        <f t="shared" si="1655"/>
        <v>9</v>
      </c>
      <c r="X562" s="60"/>
      <c r="Y562" s="58"/>
      <c r="Z562" s="61">
        <f t="shared" si="1656"/>
        <v>9</v>
      </c>
      <c r="AA562" s="60"/>
      <c r="AB562" s="58"/>
      <c r="AC562" s="59">
        <f t="shared" si="1657"/>
        <v>9</v>
      </c>
      <c r="AD562" s="57"/>
      <c r="AE562" s="58"/>
      <c r="AF562" s="243">
        <f t="shared" si="1658"/>
        <v>9</v>
      </c>
      <c r="AG562" s="60"/>
      <c r="AH562" s="58"/>
      <c r="AI562" s="62">
        <f t="shared" si="1659"/>
        <v>9</v>
      </c>
      <c r="AJ562" s="60"/>
      <c r="AK562" s="58"/>
      <c r="AL562" s="62">
        <f t="shared" si="1660"/>
        <v>9</v>
      </c>
      <c r="AM562" s="60"/>
      <c r="AN562" s="58"/>
      <c r="AO562" s="62">
        <f t="shared" si="1672"/>
        <v>9</v>
      </c>
      <c r="AP562" s="60"/>
      <c r="AQ562" s="58"/>
      <c r="AR562" s="62">
        <f t="shared" si="1673"/>
        <v>9</v>
      </c>
      <c r="AS562" s="60"/>
      <c r="AT562" s="58"/>
      <c r="AU562" s="62">
        <f t="shared" si="1661"/>
        <v>9</v>
      </c>
      <c r="AV562" s="83">
        <f t="shared" si="1662"/>
        <v>0</v>
      </c>
      <c r="AW562" s="83">
        <f t="shared" si="1662"/>
        <v>0</v>
      </c>
      <c r="AX562" s="64">
        <f t="shared" si="1664"/>
        <v>0</v>
      </c>
      <c r="AY562" s="65" t="e">
        <f t="shared" si="1665"/>
        <v>#DIV/0!</v>
      </c>
      <c r="AZ562" s="66">
        <f t="shared" si="1666"/>
        <v>0</v>
      </c>
      <c r="BA562" s="67">
        <v>9</v>
      </c>
      <c r="BB562" s="68">
        <v>1</v>
      </c>
      <c r="BC562" s="84">
        <f t="shared" si="1540"/>
        <v>9</v>
      </c>
      <c r="BD562" s="83">
        <f t="shared" si="1541"/>
        <v>8</v>
      </c>
      <c r="BE562" s="85">
        <v>2</v>
      </c>
      <c r="BF562" s="86">
        <v>42858.573333333334</v>
      </c>
      <c r="BG562" s="72" t="e">
        <f t="shared" si="1595"/>
        <v>#REF!</v>
      </c>
      <c r="BH562" s="87" t="e">
        <f t="shared" si="1674"/>
        <v>#REF!</v>
      </c>
      <c r="BI562" s="80" t="e">
        <f t="shared" si="1543"/>
        <v>#REF!</v>
      </c>
      <c r="BJ562" s="238">
        <v>59.17</v>
      </c>
    </row>
    <row r="563" spans="1:62" ht="13">
      <c r="A563" s="49"/>
      <c r="B563" s="50"/>
      <c r="C563" s="77">
        <v>561</v>
      </c>
      <c r="D563" s="147" t="s">
        <v>764</v>
      </c>
      <c r="E563" s="114">
        <v>21</v>
      </c>
      <c r="F563" s="54" t="s">
        <v>515</v>
      </c>
      <c r="G563" s="55" t="s">
        <v>520</v>
      </c>
      <c r="H563" s="81" t="s">
        <v>296</v>
      </c>
      <c r="I563" s="80" t="s">
        <v>458</v>
      </c>
      <c r="J563" s="82">
        <f t="shared" si="1652"/>
        <v>3</v>
      </c>
      <c r="K563" s="80">
        <v>7</v>
      </c>
      <c r="L563" s="57"/>
      <c r="M563" s="58"/>
      <c r="N563" s="59">
        <f t="shared" si="1671"/>
        <v>7</v>
      </c>
      <c r="O563" s="60"/>
      <c r="P563" s="58"/>
      <c r="Q563" s="59">
        <f t="shared" si="1653"/>
        <v>7</v>
      </c>
      <c r="R563" s="60"/>
      <c r="S563" s="58"/>
      <c r="T563" s="61">
        <f t="shared" si="1654"/>
        <v>7</v>
      </c>
      <c r="U563" s="60"/>
      <c r="V563" s="58"/>
      <c r="W563" s="59">
        <f t="shared" si="1655"/>
        <v>7</v>
      </c>
      <c r="X563" s="60"/>
      <c r="Y563" s="58"/>
      <c r="Z563" s="61">
        <f t="shared" si="1656"/>
        <v>7</v>
      </c>
      <c r="AA563" s="60"/>
      <c r="AB563" s="58"/>
      <c r="AC563" s="59">
        <f t="shared" si="1657"/>
        <v>7</v>
      </c>
      <c r="AD563" s="57"/>
      <c r="AE563" s="58"/>
      <c r="AF563" s="243">
        <f t="shared" si="1658"/>
        <v>7</v>
      </c>
      <c r="AG563" s="60"/>
      <c r="AH563" s="58">
        <v>4</v>
      </c>
      <c r="AI563" s="62">
        <f t="shared" si="1659"/>
        <v>3</v>
      </c>
      <c r="AJ563" s="60"/>
      <c r="AK563" s="58"/>
      <c r="AL563" s="62">
        <f t="shared" si="1660"/>
        <v>3</v>
      </c>
      <c r="AM563" s="60"/>
      <c r="AN563" s="58"/>
      <c r="AO563" s="62">
        <f t="shared" si="1672"/>
        <v>3</v>
      </c>
      <c r="AP563" s="60"/>
      <c r="AQ563" s="58"/>
      <c r="AR563" s="62">
        <f t="shared" si="1673"/>
        <v>3</v>
      </c>
      <c r="AS563" s="60"/>
      <c r="AT563" s="58"/>
      <c r="AU563" s="62">
        <f t="shared" si="1661"/>
        <v>3</v>
      </c>
      <c r="AV563" s="83">
        <f t="shared" si="1662"/>
        <v>0</v>
      </c>
      <c r="AW563" s="83">
        <f t="shared" si="1662"/>
        <v>4</v>
      </c>
      <c r="AX563" s="64">
        <f t="shared" si="1664"/>
        <v>4</v>
      </c>
      <c r="AY563" s="65">
        <f t="shared" si="1665"/>
        <v>4</v>
      </c>
      <c r="AZ563" s="66">
        <f t="shared" si="1666"/>
        <v>1</v>
      </c>
      <c r="BA563" s="67">
        <v>7</v>
      </c>
      <c r="BB563" s="68">
        <v>1</v>
      </c>
      <c r="BC563" s="84">
        <f t="shared" si="1540"/>
        <v>3</v>
      </c>
      <c r="BD563" s="83">
        <f t="shared" si="1541"/>
        <v>2</v>
      </c>
      <c r="BE563" s="85">
        <v>2</v>
      </c>
      <c r="BF563" s="86">
        <v>43291.467222222222</v>
      </c>
      <c r="BG563" s="72" t="e">
        <f t="shared" si="1595"/>
        <v>#REF!</v>
      </c>
      <c r="BH563" s="87" t="e">
        <f t="shared" si="1674"/>
        <v>#REF!</v>
      </c>
      <c r="BI563" s="80" t="e">
        <f t="shared" si="1543"/>
        <v>#REF!</v>
      </c>
      <c r="BJ563" s="238">
        <v>855</v>
      </c>
    </row>
    <row r="564" spans="1:62" ht="13">
      <c r="A564" s="75"/>
      <c r="B564" s="76"/>
      <c r="C564" s="51">
        <v>562</v>
      </c>
      <c r="D564" s="147" t="s">
        <v>764</v>
      </c>
      <c r="E564" s="114">
        <v>22</v>
      </c>
      <c r="F564" s="54" t="s">
        <v>516</v>
      </c>
      <c r="G564" s="55" t="s">
        <v>521</v>
      </c>
      <c r="H564" s="81" t="s">
        <v>296</v>
      </c>
      <c r="I564" s="80" t="s">
        <v>458</v>
      </c>
      <c r="J564" s="82">
        <f t="shared" si="1652"/>
        <v>10</v>
      </c>
      <c r="K564" s="80">
        <v>10</v>
      </c>
      <c r="L564" s="57"/>
      <c r="M564" s="58"/>
      <c r="N564" s="59">
        <f t="shared" si="1671"/>
        <v>10</v>
      </c>
      <c r="O564" s="60"/>
      <c r="P564" s="58"/>
      <c r="Q564" s="59">
        <f t="shared" si="1653"/>
        <v>10</v>
      </c>
      <c r="R564" s="60"/>
      <c r="S564" s="58"/>
      <c r="T564" s="61">
        <f t="shared" si="1654"/>
        <v>10</v>
      </c>
      <c r="U564" s="60"/>
      <c r="V564" s="58"/>
      <c r="W564" s="59">
        <f t="shared" si="1655"/>
        <v>10</v>
      </c>
      <c r="X564" s="60"/>
      <c r="Y564" s="58"/>
      <c r="Z564" s="61">
        <f t="shared" si="1656"/>
        <v>10</v>
      </c>
      <c r="AA564" s="60"/>
      <c r="AB564" s="58"/>
      <c r="AC564" s="59">
        <f t="shared" si="1657"/>
        <v>10</v>
      </c>
      <c r="AD564" s="57"/>
      <c r="AE564" s="58"/>
      <c r="AF564" s="243">
        <f t="shared" si="1658"/>
        <v>10</v>
      </c>
      <c r="AG564" s="60"/>
      <c r="AH564" s="58"/>
      <c r="AI564" s="62">
        <f t="shared" si="1659"/>
        <v>10</v>
      </c>
      <c r="AJ564" s="60"/>
      <c r="AK564" s="58"/>
      <c r="AL564" s="62">
        <f t="shared" si="1660"/>
        <v>10</v>
      </c>
      <c r="AM564" s="60"/>
      <c r="AN564" s="58"/>
      <c r="AO564" s="62">
        <f t="shared" si="1672"/>
        <v>10</v>
      </c>
      <c r="AP564" s="60"/>
      <c r="AQ564" s="58"/>
      <c r="AR564" s="104">
        <f t="shared" si="1673"/>
        <v>10</v>
      </c>
      <c r="AS564" s="57"/>
      <c r="AT564" s="58"/>
      <c r="AU564" s="62">
        <f t="shared" si="1661"/>
        <v>10</v>
      </c>
      <c r="AV564" s="83">
        <f t="shared" si="1662"/>
        <v>0</v>
      </c>
      <c r="AW564" s="83">
        <f t="shared" si="1662"/>
        <v>0</v>
      </c>
      <c r="AX564" s="64">
        <f t="shared" si="1664"/>
        <v>0</v>
      </c>
      <c r="AY564" s="65" t="e">
        <f t="shared" si="1665"/>
        <v>#DIV/0!</v>
      </c>
      <c r="AZ564" s="66">
        <f t="shared" si="1666"/>
        <v>0</v>
      </c>
      <c r="BA564" s="67">
        <f>MAX(0, Table176252626[[#This Row],[Column6]])</f>
        <v>10</v>
      </c>
      <c r="BB564" s="68">
        <v>1</v>
      </c>
      <c r="BC564" s="84">
        <f t="shared" si="1540"/>
        <v>10</v>
      </c>
      <c r="BD564" s="83">
        <f t="shared" si="1541"/>
        <v>9</v>
      </c>
      <c r="BE564" s="85">
        <v>2</v>
      </c>
      <c r="BF564" s="86">
        <v>43291.467222222222</v>
      </c>
      <c r="BG564" s="72" t="e">
        <f t="shared" si="1595"/>
        <v>#REF!</v>
      </c>
      <c r="BH564" s="87" t="e">
        <f t="shared" si="1674"/>
        <v>#REF!</v>
      </c>
      <c r="BI564" s="80" t="e">
        <f t="shared" si="1543"/>
        <v>#REF!</v>
      </c>
      <c r="BJ564" s="238">
        <v>67.5</v>
      </c>
    </row>
    <row r="565" spans="1:62" ht="13">
      <c r="A565" s="49"/>
      <c r="B565" s="50"/>
      <c r="C565" s="51">
        <v>563</v>
      </c>
      <c r="D565" s="147" t="s">
        <v>764</v>
      </c>
      <c r="E565" s="114">
        <v>23</v>
      </c>
      <c r="F565" s="54" t="s">
        <v>514</v>
      </c>
      <c r="G565" s="55" t="s">
        <v>519</v>
      </c>
      <c r="H565" s="81" t="s">
        <v>296</v>
      </c>
      <c r="I565" s="80" t="s">
        <v>458</v>
      </c>
      <c r="J565" s="82">
        <f t="shared" si="1652"/>
        <v>5</v>
      </c>
      <c r="K565" s="80">
        <v>7</v>
      </c>
      <c r="L565" s="57"/>
      <c r="M565" s="58"/>
      <c r="N565" s="59">
        <f t="shared" si="1671"/>
        <v>7</v>
      </c>
      <c r="O565" s="60"/>
      <c r="P565" s="58"/>
      <c r="Q565" s="59">
        <f t="shared" si="1653"/>
        <v>7</v>
      </c>
      <c r="R565" s="60"/>
      <c r="S565" s="58"/>
      <c r="T565" s="61">
        <f t="shared" si="1654"/>
        <v>7</v>
      </c>
      <c r="U565" s="60"/>
      <c r="V565" s="58"/>
      <c r="W565" s="59">
        <f t="shared" si="1655"/>
        <v>7</v>
      </c>
      <c r="X565" s="60"/>
      <c r="Y565" s="58"/>
      <c r="Z565" s="61">
        <f t="shared" si="1656"/>
        <v>7</v>
      </c>
      <c r="AA565" s="60"/>
      <c r="AB565" s="58"/>
      <c r="AC565" s="59">
        <f t="shared" si="1657"/>
        <v>7</v>
      </c>
      <c r="AD565" s="57"/>
      <c r="AE565" s="58"/>
      <c r="AF565" s="243">
        <f t="shared" si="1658"/>
        <v>7</v>
      </c>
      <c r="AG565" s="60"/>
      <c r="AH565" s="58">
        <v>2</v>
      </c>
      <c r="AI565" s="62">
        <f t="shared" si="1659"/>
        <v>5</v>
      </c>
      <c r="AJ565" s="60"/>
      <c r="AK565" s="58"/>
      <c r="AL565" s="62">
        <f t="shared" si="1660"/>
        <v>5</v>
      </c>
      <c r="AM565" s="60"/>
      <c r="AN565" s="58"/>
      <c r="AO565" s="62">
        <f t="shared" si="1672"/>
        <v>5</v>
      </c>
      <c r="AP565" s="60"/>
      <c r="AQ565" s="58"/>
      <c r="AR565" s="62">
        <f t="shared" si="1673"/>
        <v>5</v>
      </c>
      <c r="AS565" s="60"/>
      <c r="AT565" s="58"/>
      <c r="AU565" s="62">
        <f t="shared" si="1661"/>
        <v>5</v>
      </c>
      <c r="AV565" s="83">
        <f t="shared" si="1662"/>
        <v>0</v>
      </c>
      <c r="AW565" s="83">
        <f t="shared" si="1662"/>
        <v>2</v>
      </c>
      <c r="AX565" s="64">
        <f t="shared" si="1664"/>
        <v>2</v>
      </c>
      <c r="AY565" s="65">
        <f t="shared" si="1665"/>
        <v>2</v>
      </c>
      <c r="AZ565" s="66">
        <f t="shared" si="1666"/>
        <v>1</v>
      </c>
      <c r="BA565" s="67">
        <v>7</v>
      </c>
      <c r="BB565" s="68">
        <v>1</v>
      </c>
      <c r="BC565" s="84">
        <f t="shared" si="1540"/>
        <v>5</v>
      </c>
      <c r="BD565" s="83">
        <f t="shared" si="1541"/>
        <v>4</v>
      </c>
      <c r="BE565" s="85">
        <v>2</v>
      </c>
      <c r="BF565" s="86">
        <v>43291.467222222222</v>
      </c>
      <c r="BG565" s="72" t="e">
        <f t="shared" si="1595"/>
        <v>#REF!</v>
      </c>
      <c r="BH565" s="87" t="e">
        <f t="shared" si="1674"/>
        <v>#REF!</v>
      </c>
      <c r="BI565" s="80" t="e">
        <f t="shared" si="1543"/>
        <v>#REF!</v>
      </c>
      <c r="BJ565" s="238">
        <v>108</v>
      </c>
    </row>
    <row r="566" spans="1:62" ht="13">
      <c r="A566" s="90"/>
      <c r="B566" s="91"/>
      <c r="C566" s="51">
        <v>564</v>
      </c>
      <c r="D566" s="147" t="s">
        <v>764</v>
      </c>
      <c r="E566" s="114">
        <v>24</v>
      </c>
      <c r="F566" s="80" t="s">
        <v>401</v>
      </c>
      <c r="G566" s="81" t="s">
        <v>402</v>
      </c>
      <c r="H566" s="81" t="s">
        <v>296</v>
      </c>
      <c r="I566" s="80" t="s">
        <v>458</v>
      </c>
      <c r="J566" s="82">
        <f t="shared" si="1652"/>
        <v>13</v>
      </c>
      <c r="K566" s="80">
        <v>4</v>
      </c>
      <c r="L566" s="57"/>
      <c r="M566" s="58">
        <v>1</v>
      </c>
      <c r="N566" s="59">
        <f t="shared" si="1671"/>
        <v>3</v>
      </c>
      <c r="O566" s="60"/>
      <c r="P566" s="58"/>
      <c r="Q566" s="59">
        <f t="shared" si="1653"/>
        <v>3</v>
      </c>
      <c r="R566" s="60"/>
      <c r="S566" s="58"/>
      <c r="T566" s="61">
        <f t="shared" si="1654"/>
        <v>3</v>
      </c>
      <c r="U566" s="60"/>
      <c r="V566" s="58"/>
      <c r="W566" s="59">
        <f t="shared" si="1655"/>
        <v>3</v>
      </c>
      <c r="X566" s="60">
        <v>10</v>
      </c>
      <c r="Y566" s="58"/>
      <c r="Z566" s="61">
        <f t="shared" si="1656"/>
        <v>13</v>
      </c>
      <c r="AA566" s="60"/>
      <c r="AB566" s="58"/>
      <c r="AC566" s="59">
        <f t="shared" si="1657"/>
        <v>13</v>
      </c>
      <c r="AD566" s="57"/>
      <c r="AE566" s="58"/>
      <c r="AF566" s="243">
        <f t="shared" si="1658"/>
        <v>13</v>
      </c>
      <c r="AG566" s="60"/>
      <c r="AH566" s="58"/>
      <c r="AI566" s="62">
        <f t="shared" si="1659"/>
        <v>13</v>
      </c>
      <c r="AJ566" s="60"/>
      <c r="AK566" s="58"/>
      <c r="AL566" s="62">
        <f t="shared" si="1660"/>
        <v>13</v>
      </c>
      <c r="AM566" s="60"/>
      <c r="AN566" s="58"/>
      <c r="AO566" s="62">
        <f t="shared" si="1672"/>
        <v>13</v>
      </c>
      <c r="AP566" s="60"/>
      <c r="AQ566" s="58"/>
      <c r="AR566" s="62">
        <f t="shared" si="1673"/>
        <v>13</v>
      </c>
      <c r="AS566" s="60"/>
      <c r="AT566" s="58"/>
      <c r="AU566" s="62">
        <f t="shared" si="1661"/>
        <v>13</v>
      </c>
      <c r="AV566" s="83">
        <f t="shared" si="1662"/>
        <v>10</v>
      </c>
      <c r="AW566" s="83">
        <f t="shared" si="1662"/>
        <v>1</v>
      </c>
      <c r="AX566" s="64">
        <f t="shared" si="1664"/>
        <v>1</v>
      </c>
      <c r="AY566" s="65">
        <f t="shared" si="1665"/>
        <v>1</v>
      </c>
      <c r="AZ566" s="66">
        <f t="shared" si="1666"/>
        <v>1</v>
      </c>
      <c r="BA566" s="67">
        <f>MAX(0, Table176252626[[#This Row],[Column6]])</f>
        <v>13</v>
      </c>
      <c r="BB566" s="68">
        <v>1</v>
      </c>
      <c r="BC566" s="84">
        <f t="shared" si="1540"/>
        <v>13</v>
      </c>
      <c r="BD566" s="83">
        <f t="shared" si="1541"/>
        <v>12</v>
      </c>
      <c r="BE566" s="85">
        <v>2</v>
      </c>
      <c r="BF566" s="86">
        <v>46149</v>
      </c>
      <c r="BG566" s="72" t="e">
        <f t="shared" si="1595"/>
        <v>#REF!</v>
      </c>
      <c r="BH566" s="87" t="e">
        <f t="shared" si="1674"/>
        <v>#REF!</v>
      </c>
      <c r="BI566" s="80" t="e">
        <f t="shared" si="1543"/>
        <v>#REF!</v>
      </c>
      <c r="BJ566" s="238">
        <v>3600</v>
      </c>
    </row>
    <row r="567" spans="1:62" ht="13">
      <c r="A567" s="49"/>
      <c r="B567" s="50"/>
      <c r="C567" s="51">
        <v>565</v>
      </c>
      <c r="D567" s="147" t="s">
        <v>764</v>
      </c>
      <c r="E567" s="114">
        <v>25</v>
      </c>
      <c r="F567" s="80" t="s">
        <v>99</v>
      </c>
      <c r="G567" s="81" t="s">
        <v>1293</v>
      </c>
      <c r="H567" s="81" t="s">
        <v>296</v>
      </c>
      <c r="I567" s="80" t="s">
        <v>458</v>
      </c>
      <c r="J567" s="82">
        <f t="shared" si="1652"/>
        <v>7</v>
      </c>
      <c r="K567" s="80">
        <v>0</v>
      </c>
      <c r="L567" s="57">
        <v>10</v>
      </c>
      <c r="M567" s="58">
        <f>1</f>
        <v>1</v>
      </c>
      <c r="N567" s="59">
        <f t="shared" si="1671"/>
        <v>9</v>
      </c>
      <c r="O567" s="60"/>
      <c r="P567" s="58"/>
      <c r="Q567" s="59">
        <f t="shared" si="1653"/>
        <v>9</v>
      </c>
      <c r="R567" s="60"/>
      <c r="S567" s="58">
        <v>1</v>
      </c>
      <c r="T567" s="61">
        <f t="shared" si="1654"/>
        <v>8</v>
      </c>
      <c r="U567" s="60"/>
      <c r="V567" s="58"/>
      <c r="W567" s="59">
        <f t="shared" si="1655"/>
        <v>8</v>
      </c>
      <c r="X567" s="60"/>
      <c r="Y567" s="58">
        <v>1</v>
      </c>
      <c r="Z567" s="61">
        <f t="shared" si="1656"/>
        <v>7</v>
      </c>
      <c r="AA567" s="60"/>
      <c r="AB567" s="58"/>
      <c r="AC567" s="59">
        <f t="shared" si="1657"/>
        <v>7</v>
      </c>
      <c r="AD567" s="57"/>
      <c r="AE567" s="58"/>
      <c r="AF567" s="243">
        <f t="shared" si="1658"/>
        <v>7</v>
      </c>
      <c r="AG567" s="60"/>
      <c r="AH567" s="58"/>
      <c r="AI567" s="62">
        <f t="shared" si="1659"/>
        <v>7</v>
      </c>
      <c r="AJ567" s="60"/>
      <c r="AK567" s="58"/>
      <c r="AL567" s="62">
        <f t="shared" si="1660"/>
        <v>7</v>
      </c>
      <c r="AM567" s="60"/>
      <c r="AN567" s="58"/>
      <c r="AO567" s="62">
        <f t="shared" si="1672"/>
        <v>7</v>
      </c>
      <c r="AP567" s="60"/>
      <c r="AQ567" s="58"/>
      <c r="AR567" s="62">
        <f t="shared" si="1673"/>
        <v>7</v>
      </c>
      <c r="AS567" s="60"/>
      <c r="AT567" s="58"/>
      <c r="AU567" s="62">
        <f t="shared" si="1661"/>
        <v>7</v>
      </c>
      <c r="AV567" s="83">
        <f t="shared" si="1662"/>
        <v>10</v>
      </c>
      <c r="AW567" s="83">
        <f t="shared" si="1662"/>
        <v>3</v>
      </c>
      <c r="AX567" s="64">
        <f t="shared" si="1664"/>
        <v>3</v>
      </c>
      <c r="AY567" s="65">
        <f t="shared" si="1665"/>
        <v>1</v>
      </c>
      <c r="AZ567" s="66">
        <f t="shared" si="1666"/>
        <v>3</v>
      </c>
      <c r="BA567" s="67">
        <v>7</v>
      </c>
      <c r="BB567" s="68">
        <v>1</v>
      </c>
      <c r="BC567" s="84">
        <f t="shared" si="1540"/>
        <v>7</v>
      </c>
      <c r="BD567" s="83">
        <f t="shared" si="1541"/>
        <v>6</v>
      </c>
      <c r="BE567" s="85">
        <v>2</v>
      </c>
      <c r="BF567" s="86">
        <v>46242</v>
      </c>
      <c r="BG567" s="72" t="e">
        <f t="shared" si="1595"/>
        <v>#REF!</v>
      </c>
      <c r="BH567" s="87" t="e">
        <f t="shared" si="1674"/>
        <v>#REF!</v>
      </c>
      <c r="BI567" s="80" t="e">
        <f t="shared" si="1543"/>
        <v>#REF!</v>
      </c>
      <c r="BJ567" s="238">
        <v>778.5</v>
      </c>
    </row>
    <row r="568" spans="1:62" ht="13">
      <c r="A568" s="75"/>
      <c r="B568" s="76"/>
      <c r="C568" s="77">
        <v>566</v>
      </c>
      <c r="D568" s="147" t="s">
        <v>764</v>
      </c>
      <c r="E568" s="114">
        <v>26</v>
      </c>
      <c r="F568" s="80" t="s">
        <v>603</v>
      </c>
      <c r="G568" s="81" t="s">
        <v>604</v>
      </c>
      <c r="H568" s="81" t="s">
        <v>464</v>
      </c>
      <c r="I568" s="80" t="s">
        <v>458</v>
      </c>
      <c r="J568" s="82">
        <f t="shared" si="1652"/>
        <v>7</v>
      </c>
      <c r="K568" s="88">
        <v>7</v>
      </c>
      <c r="L568" s="57"/>
      <c r="M568" s="58"/>
      <c r="N568" s="59">
        <f t="shared" si="1671"/>
        <v>7</v>
      </c>
      <c r="O568" s="60"/>
      <c r="P568" s="58"/>
      <c r="Q568" s="59">
        <f t="shared" si="1653"/>
        <v>7</v>
      </c>
      <c r="R568" s="60"/>
      <c r="S568" s="58"/>
      <c r="T568" s="61">
        <f t="shared" si="1654"/>
        <v>7</v>
      </c>
      <c r="U568" s="60"/>
      <c r="V568" s="58"/>
      <c r="W568" s="59">
        <f t="shared" si="1655"/>
        <v>7</v>
      </c>
      <c r="X568" s="60"/>
      <c r="Y568" s="58"/>
      <c r="Z568" s="61">
        <f t="shared" si="1656"/>
        <v>7</v>
      </c>
      <c r="AA568" s="60"/>
      <c r="AB568" s="58"/>
      <c r="AC568" s="59">
        <f t="shared" si="1657"/>
        <v>7</v>
      </c>
      <c r="AD568" s="57"/>
      <c r="AE568" s="58"/>
      <c r="AF568" s="243">
        <f t="shared" si="1658"/>
        <v>7</v>
      </c>
      <c r="AG568" s="60"/>
      <c r="AH568" s="58"/>
      <c r="AI568" s="62">
        <f t="shared" si="1659"/>
        <v>7</v>
      </c>
      <c r="AJ568" s="60"/>
      <c r="AK568" s="58"/>
      <c r="AL568" s="62">
        <f t="shared" si="1660"/>
        <v>7</v>
      </c>
      <c r="AM568" s="60"/>
      <c r="AN568" s="58"/>
      <c r="AO568" s="62">
        <f t="shared" si="1672"/>
        <v>7</v>
      </c>
      <c r="AP568" s="60"/>
      <c r="AQ568" s="58"/>
      <c r="AR568" s="62">
        <f t="shared" si="1673"/>
        <v>7</v>
      </c>
      <c r="AS568" s="60"/>
      <c r="AT568" s="58"/>
      <c r="AU568" s="62">
        <f t="shared" si="1661"/>
        <v>7</v>
      </c>
      <c r="AV568" s="83">
        <f t="shared" si="1662"/>
        <v>0</v>
      </c>
      <c r="AW568" s="83">
        <f t="shared" si="1662"/>
        <v>0</v>
      </c>
      <c r="AX568" s="64">
        <f t="shared" si="1664"/>
        <v>0</v>
      </c>
      <c r="AY568" s="65" t="e">
        <f t="shared" si="1665"/>
        <v>#DIV/0!</v>
      </c>
      <c r="AZ568" s="66">
        <f t="shared" si="1666"/>
        <v>0</v>
      </c>
      <c r="BA568" s="67">
        <v>7</v>
      </c>
      <c r="BB568" s="68">
        <v>1</v>
      </c>
      <c r="BC568" s="84">
        <f t="shared" si="1540"/>
        <v>7</v>
      </c>
      <c r="BD568" s="83">
        <f t="shared" si="1541"/>
        <v>6</v>
      </c>
      <c r="BE568" s="85">
        <v>2</v>
      </c>
      <c r="BF568" s="86">
        <v>43350.467638888891</v>
      </c>
      <c r="BG568" s="72" t="e">
        <f t="shared" si="1595"/>
        <v>#REF!</v>
      </c>
      <c r="BH568" s="87" t="e">
        <f t="shared" si="1674"/>
        <v>#REF!</v>
      </c>
      <c r="BI568" s="80" t="e">
        <f t="shared" si="1543"/>
        <v>#REF!</v>
      </c>
      <c r="BJ568" s="238">
        <v>135</v>
      </c>
    </row>
    <row r="569" spans="1:62" ht="13">
      <c r="A569" s="49"/>
      <c r="B569" s="76"/>
      <c r="C569" s="77">
        <v>567</v>
      </c>
      <c r="D569" s="147" t="s">
        <v>764</v>
      </c>
      <c r="E569" s="114">
        <v>27</v>
      </c>
      <c r="F569" s="80" t="s">
        <v>680</v>
      </c>
      <c r="G569" s="81" t="s">
        <v>605</v>
      </c>
      <c r="H569" s="81" t="s">
        <v>464</v>
      </c>
      <c r="I569" s="80" t="s">
        <v>458</v>
      </c>
      <c r="J569" s="82">
        <f t="shared" si="1652"/>
        <v>16</v>
      </c>
      <c r="K569" s="88">
        <v>16</v>
      </c>
      <c r="L569" s="57"/>
      <c r="M569" s="58"/>
      <c r="N569" s="59">
        <f t="shared" si="1671"/>
        <v>16</v>
      </c>
      <c r="O569" s="60"/>
      <c r="P569" s="58"/>
      <c r="Q569" s="59">
        <f t="shared" si="1653"/>
        <v>16</v>
      </c>
      <c r="R569" s="60"/>
      <c r="S569" s="58"/>
      <c r="T569" s="61">
        <f t="shared" si="1654"/>
        <v>16</v>
      </c>
      <c r="U569" s="60"/>
      <c r="V569" s="58"/>
      <c r="W569" s="59">
        <f t="shared" si="1655"/>
        <v>16</v>
      </c>
      <c r="X569" s="60"/>
      <c r="Y569" s="58"/>
      <c r="Z569" s="61">
        <f t="shared" si="1656"/>
        <v>16</v>
      </c>
      <c r="AA569" s="60"/>
      <c r="AB569" s="58"/>
      <c r="AC569" s="59">
        <f t="shared" si="1657"/>
        <v>16</v>
      </c>
      <c r="AD569" s="57"/>
      <c r="AE569" s="58"/>
      <c r="AF569" s="243">
        <f t="shared" si="1658"/>
        <v>16</v>
      </c>
      <c r="AG569" s="60"/>
      <c r="AH569" s="58"/>
      <c r="AI569" s="62">
        <f t="shared" si="1659"/>
        <v>16</v>
      </c>
      <c r="AJ569" s="60"/>
      <c r="AK569" s="58"/>
      <c r="AL569" s="62">
        <f t="shared" si="1660"/>
        <v>16</v>
      </c>
      <c r="AM569" s="60"/>
      <c r="AN569" s="58"/>
      <c r="AO569" s="62">
        <f t="shared" si="1672"/>
        <v>16</v>
      </c>
      <c r="AP569" s="60"/>
      <c r="AQ569" s="58"/>
      <c r="AR569" s="62">
        <f t="shared" si="1673"/>
        <v>16</v>
      </c>
      <c r="AS569" s="60"/>
      <c r="AT569" s="58"/>
      <c r="AU569" s="62">
        <f t="shared" si="1661"/>
        <v>16</v>
      </c>
      <c r="AV569" s="83">
        <f t="shared" si="1662"/>
        <v>0</v>
      </c>
      <c r="AW569" s="83">
        <f t="shared" si="1662"/>
        <v>0</v>
      </c>
      <c r="AX569" s="64">
        <f t="shared" si="1664"/>
        <v>0</v>
      </c>
      <c r="AY569" s="65" t="e">
        <f t="shared" si="1665"/>
        <v>#DIV/0!</v>
      </c>
      <c r="AZ569" s="66">
        <f t="shared" si="1666"/>
        <v>0</v>
      </c>
      <c r="BA569" s="67">
        <f>MAX(0, Table176252626[[#This Row],[Column6]])</f>
        <v>16</v>
      </c>
      <c r="BB569" s="68">
        <v>1</v>
      </c>
      <c r="BC569" s="84">
        <f t="shared" si="1540"/>
        <v>16</v>
      </c>
      <c r="BD569" s="83">
        <f t="shared" si="1541"/>
        <v>15</v>
      </c>
      <c r="BE569" s="85">
        <v>2</v>
      </c>
      <c r="BF569" s="86">
        <v>43350.467638888891</v>
      </c>
      <c r="BG569" s="72" t="e">
        <f t="shared" si="1595"/>
        <v>#REF!</v>
      </c>
      <c r="BH569" s="87" t="e">
        <f t="shared" si="1674"/>
        <v>#REF!</v>
      </c>
      <c r="BI569" s="80" t="e">
        <f t="shared" si="1543"/>
        <v>#REF!</v>
      </c>
      <c r="BJ569" s="238">
        <v>135</v>
      </c>
    </row>
    <row r="570" spans="1:62" ht="13">
      <c r="A570" s="49"/>
      <c r="B570" s="50"/>
      <c r="C570" s="51">
        <v>568</v>
      </c>
      <c r="D570" s="148" t="s">
        <v>765</v>
      </c>
      <c r="E570" s="149">
        <v>1</v>
      </c>
      <c r="F570" s="80" t="s">
        <v>73</v>
      </c>
      <c r="G570" s="81" t="s">
        <v>74</v>
      </c>
      <c r="H570" s="81" t="s">
        <v>296</v>
      </c>
      <c r="I570" s="80" t="s">
        <v>458</v>
      </c>
      <c r="J570" s="82">
        <f t="shared" si="1652"/>
        <v>17</v>
      </c>
      <c r="K570" s="80">
        <v>18</v>
      </c>
      <c r="L570" s="57"/>
      <c r="M570" s="58"/>
      <c r="N570" s="59">
        <f t="shared" si="1671"/>
        <v>18</v>
      </c>
      <c r="O570" s="60"/>
      <c r="P570" s="58">
        <v>1</v>
      </c>
      <c r="Q570" s="59">
        <f t="shared" si="1653"/>
        <v>17</v>
      </c>
      <c r="R570" s="60"/>
      <c r="S570" s="58"/>
      <c r="T570" s="61">
        <f t="shared" si="1654"/>
        <v>17</v>
      </c>
      <c r="U570" s="60"/>
      <c r="V570" s="58"/>
      <c r="W570" s="59">
        <f t="shared" si="1655"/>
        <v>17</v>
      </c>
      <c r="X570" s="60"/>
      <c r="Y570" s="58"/>
      <c r="Z570" s="61">
        <f t="shared" si="1656"/>
        <v>17</v>
      </c>
      <c r="AA570" s="60"/>
      <c r="AB570" s="58"/>
      <c r="AC570" s="59">
        <f t="shared" si="1657"/>
        <v>17</v>
      </c>
      <c r="AD570" s="57"/>
      <c r="AE570" s="58"/>
      <c r="AF570" s="243">
        <f t="shared" si="1658"/>
        <v>17</v>
      </c>
      <c r="AG570" s="60"/>
      <c r="AH570" s="58"/>
      <c r="AI570" s="62">
        <f t="shared" si="1659"/>
        <v>17</v>
      </c>
      <c r="AJ570" s="60"/>
      <c r="AK570" s="58"/>
      <c r="AL570" s="62">
        <f t="shared" si="1660"/>
        <v>17</v>
      </c>
      <c r="AM570" s="60"/>
      <c r="AN570" s="58"/>
      <c r="AO570" s="62">
        <f t="shared" si="1672"/>
        <v>17</v>
      </c>
      <c r="AP570" s="60"/>
      <c r="AQ570" s="58"/>
      <c r="AR570" s="62">
        <f t="shared" si="1673"/>
        <v>17</v>
      </c>
      <c r="AS570" s="60"/>
      <c r="AT570" s="58"/>
      <c r="AU570" s="62">
        <f t="shared" si="1661"/>
        <v>17</v>
      </c>
      <c r="AV570" s="83">
        <f t="shared" si="1662"/>
        <v>0</v>
      </c>
      <c r="AW570" s="83">
        <f t="shared" si="1662"/>
        <v>1</v>
      </c>
      <c r="AX570" s="64">
        <f t="shared" si="1664"/>
        <v>1</v>
      </c>
      <c r="AY570" s="65">
        <f t="shared" si="1665"/>
        <v>1</v>
      </c>
      <c r="AZ570" s="66">
        <f t="shared" si="1666"/>
        <v>1</v>
      </c>
      <c r="BA570" s="67">
        <f>MAX(0, Table176252626[[#This Row],[Column6]])</f>
        <v>17</v>
      </c>
      <c r="BB570" s="68">
        <v>1</v>
      </c>
      <c r="BC570" s="84">
        <f t="shared" si="1540"/>
        <v>17</v>
      </c>
      <c r="BD570" s="83">
        <f t="shared" si="1541"/>
        <v>16</v>
      </c>
      <c r="BE570" s="85">
        <v>2</v>
      </c>
      <c r="BF570" s="86">
        <v>44440.463414351849</v>
      </c>
      <c r="BG570" s="72" t="e">
        <f t="shared" si="1595"/>
        <v>#REF!</v>
      </c>
      <c r="BH570" s="87" t="e">
        <f t="shared" si="1674"/>
        <v>#REF!</v>
      </c>
      <c r="BI570" s="80" t="e">
        <f t="shared" si="1543"/>
        <v>#REF!</v>
      </c>
      <c r="BJ570" s="238">
        <v>54.86</v>
      </c>
    </row>
    <row r="571" spans="1:62" ht="13">
      <c r="A571" s="75"/>
      <c r="B571" s="76"/>
      <c r="C571" s="51">
        <v>569</v>
      </c>
      <c r="D571" s="148" t="s">
        <v>765</v>
      </c>
      <c r="E571" s="149">
        <v>2</v>
      </c>
      <c r="F571" s="54" t="s">
        <v>732</v>
      </c>
      <c r="G571" s="55" t="s">
        <v>733</v>
      </c>
      <c r="H571" s="81" t="s">
        <v>296</v>
      </c>
      <c r="I571" s="80" t="s">
        <v>458</v>
      </c>
      <c r="J571" s="82">
        <f t="shared" ref="J571" si="1675">AU571</f>
        <v>10</v>
      </c>
      <c r="K571" s="80">
        <v>10</v>
      </c>
      <c r="L571" s="124"/>
      <c r="M571" s="125"/>
      <c r="N571" s="59">
        <f t="shared" ref="N571" si="1676">SUM(K571+L571-M571)</f>
        <v>10</v>
      </c>
      <c r="O571" s="126"/>
      <c r="P571" s="125"/>
      <c r="Q571" s="59">
        <f t="shared" ref="Q571" si="1677">SUM(N571+O571-P571)</f>
        <v>10</v>
      </c>
      <c r="R571" s="126"/>
      <c r="S571" s="125"/>
      <c r="T571" s="61">
        <f t="shared" ref="T571" si="1678">SUM(Q571+R571-S571)</f>
        <v>10</v>
      </c>
      <c r="U571" s="126"/>
      <c r="V571" s="125"/>
      <c r="W571" s="59">
        <f t="shared" ref="W571" si="1679">SUM(T571+U571-V571)</f>
        <v>10</v>
      </c>
      <c r="X571" s="126"/>
      <c r="Y571" s="125"/>
      <c r="Z571" s="61">
        <f t="shared" ref="Z571" si="1680">SUM(W571+X571-Y571)</f>
        <v>10</v>
      </c>
      <c r="AA571" s="126"/>
      <c r="AB571" s="125"/>
      <c r="AC571" s="59">
        <f t="shared" ref="AC571" si="1681">SUM(Z571+AA571-AB571)</f>
        <v>10</v>
      </c>
      <c r="AD571" s="124"/>
      <c r="AE571" s="125"/>
      <c r="AF571" s="243">
        <f t="shared" ref="AF571" si="1682">SUM(AC571+AD571-AE571)</f>
        <v>10</v>
      </c>
      <c r="AG571" s="126"/>
      <c r="AH571" s="125"/>
      <c r="AI571" s="62">
        <f t="shared" ref="AI571" si="1683">SUM(AF571+AG571-AH571)</f>
        <v>10</v>
      </c>
      <c r="AJ571" s="126"/>
      <c r="AK571" s="125"/>
      <c r="AL571" s="62">
        <f t="shared" ref="AL571" si="1684">SUM(AI571+AJ571-AK571)</f>
        <v>10</v>
      </c>
      <c r="AM571" s="126"/>
      <c r="AN571" s="125"/>
      <c r="AO571" s="59">
        <f t="shared" ref="AO571" si="1685">SUM(AL571+AM571-AN571)</f>
        <v>10</v>
      </c>
      <c r="AP571" s="126"/>
      <c r="AQ571" s="125"/>
      <c r="AR571" s="59">
        <f t="shared" ref="AR571" si="1686">SUM(AO571+AP571-AQ571)</f>
        <v>10</v>
      </c>
      <c r="AS571" s="126"/>
      <c r="AT571" s="125"/>
      <c r="AU571" s="59">
        <f t="shared" ref="AU571" si="1687">SUM(AR571+AS571-AT571)</f>
        <v>10</v>
      </c>
      <c r="AV571" s="83">
        <f t="shared" ref="AV571:AW586" si="1688">SUM(L571+O571+R571+U571+X571+AA571+AD571+AG571+AJ571+AM571+AP571+AS571)</f>
        <v>0</v>
      </c>
      <c r="AW571" s="83">
        <f t="shared" si="1688"/>
        <v>0</v>
      </c>
      <c r="AX571" s="64">
        <f t="shared" ref="AX571" si="1689">SUM(M571,P571,S571,V571,Y571,AB571,AE571,AH571,AK571,AN571,AQ571,AT571)</f>
        <v>0</v>
      </c>
      <c r="AY571" s="65" t="e">
        <f t="shared" ref="AY571" si="1690">AVERAGE(M571,P571,S571,V571,Y571,AB571,AE571,AH571,AK571,AN571,AQ571,AT571)</f>
        <v>#DIV/0!</v>
      </c>
      <c r="AZ571" s="66">
        <f t="shared" ref="AZ571" si="1691">COUNT(M571,P571,S571,V571,Y571,AB571,AE571,AH571,AK571,AN571,AQ571,AT571)</f>
        <v>0</v>
      </c>
      <c r="BA571" s="67">
        <f>MAX(0, Table176252626[[#This Row],[Column6]])</f>
        <v>10</v>
      </c>
      <c r="BB571" s="68">
        <v>1</v>
      </c>
      <c r="BC571" s="84">
        <f t="shared" si="1540"/>
        <v>10</v>
      </c>
      <c r="BD571" s="83">
        <f t="shared" ref="BD571:BD852" si="1692">SUM(BC571-BB571)</f>
        <v>9</v>
      </c>
      <c r="BE571" s="85">
        <v>2</v>
      </c>
      <c r="BF571" s="86">
        <v>44732.54483796296</v>
      </c>
      <c r="BG571" s="72" t="e">
        <f t="shared" si="1595"/>
        <v>#REF!</v>
      </c>
      <c r="BH571" s="87" t="e">
        <f t="shared" ref="BH571" si="1693">BG571-BF571</f>
        <v>#REF!</v>
      </c>
      <c r="BI571" s="80" t="e">
        <f t="shared" ref="BI571:BI852" si="1694">IF(AND(J571&gt;0,BH571&gt;365),"Dead Stock","")</f>
        <v>#REF!</v>
      </c>
      <c r="BJ571" s="238">
        <v>891</v>
      </c>
    </row>
    <row r="572" spans="1:62" ht="13">
      <c r="A572" s="90"/>
      <c r="B572" s="91"/>
      <c r="C572" s="51">
        <v>570</v>
      </c>
      <c r="D572" s="148" t="s">
        <v>765</v>
      </c>
      <c r="E572" s="149">
        <v>3</v>
      </c>
      <c r="F572" s="80" t="s">
        <v>91</v>
      </c>
      <c r="G572" s="81" t="s">
        <v>92</v>
      </c>
      <c r="H572" s="81" t="s">
        <v>296</v>
      </c>
      <c r="I572" s="80" t="s">
        <v>458</v>
      </c>
      <c r="J572" s="82">
        <f>AU572</f>
        <v>6</v>
      </c>
      <c r="K572" s="80">
        <v>6</v>
      </c>
      <c r="L572" s="57"/>
      <c r="M572" s="58"/>
      <c r="N572" s="59">
        <f>SUM(K572+L572-M572)</f>
        <v>6</v>
      </c>
      <c r="O572" s="60"/>
      <c r="P572" s="58"/>
      <c r="Q572" s="59">
        <f>SUM(N572+O572-P572)</f>
        <v>6</v>
      </c>
      <c r="R572" s="60"/>
      <c r="S572" s="58"/>
      <c r="T572" s="61">
        <f>SUM(Q572+R572-S572)</f>
        <v>6</v>
      </c>
      <c r="U572" s="60"/>
      <c r="V572" s="58"/>
      <c r="W572" s="59">
        <f>SUM(T572+U572-V572)</f>
        <v>6</v>
      </c>
      <c r="X572" s="60"/>
      <c r="Y572" s="58"/>
      <c r="Z572" s="61">
        <f>SUM(W572+X572-Y572)</f>
        <v>6</v>
      </c>
      <c r="AA572" s="60"/>
      <c r="AB572" s="58"/>
      <c r="AC572" s="59">
        <f>SUM(Z572+AA572-AB572)</f>
        <v>6</v>
      </c>
      <c r="AD572" s="57"/>
      <c r="AE572" s="58"/>
      <c r="AF572" s="243">
        <f>SUM(AC572+AD572-AE572)</f>
        <v>6</v>
      </c>
      <c r="AG572" s="60"/>
      <c r="AH572" s="58"/>
      <c r="AI572" s="62">
        <f>SUM(AF572+AG572-AH572)</f>
        <v>6</v>
      </c>
      <c r="AJ572" s="60"/>
      <c r="AK572" s="58"/>
      <c r="AL572" s="62">
        <f>SUM(AI572+AJ572-AK572)</f>
        <v>6</v>
      </c>
      <c r="AM572" s="60"/>
      <c r="AN572" s="58"/>
      <c r="AO572" s="62">
        <f>SUM(AL572+AM572-AN572)</f>
        <v>6</v>
      </c>
      <c r="AP572" s="60"/>
      <c r="AQ572" s="58"/>
      <c r="AR572" s="62">
        <f>SUM(AO572+AP572-AQ572)</f>
        <v>6</v>
      </c>
      <c r="AS572" s="60"/>
      <c r="AT572" s="58"/>
      <c r="AU572" s="62">
        <f>SUM(AR572+AS572-AT572)</f>
        <v>6</v>
      </c>
      <c r="AV572" s="83">
        <f>SUM(L572+O572+R572+U572+X572+AA572+AD572+AG572+AJ572+AM572+AP572+AS572)</f>
        <v>0</v>
      </c>
      <c r="AW572" s="83">
        <f t="shared" si="1688"/>
        <v>0</v>
      </c>
      <c r="AX572" s="64">
        <f>SUM(M572,P572,S572,V572,Y572,AB572,AE572,AH572,AK572,AN572,AQ572,AT572)</f>
        <v>0</v>
      </c>
      <c r="AY572" s="65" t="e">
        <f>AVERAGE(M572,P572,S572,V572,Y572,AB572,AE572,AH572,AK572,AN572,AQ572,AT572)</f>
        <v>#DIV/0!</v>
      </c>
      <c r="AZ572" s="66">
        <f>COUNT(M572,P572,S572,V572,Y572,AB572,AE572,AH572,AK572,AN572,AQ572,AT572)</f>
        <v>0</v>
      </c>
      <c r="BA572" s="67">
        <f>MAX(0, Table176252626[[#This Row],[Column6]])</f>
        <v>6</v>
      </c>
      <c r="BB572" s="68">
        <v>1</v>
      </c>
      <c r="BC572" s="84">
        <f t="shared" ref="BC572:BC852" si="1695">J572</f>
        <v>6</v>
      </c>
      <c r="BD572" s="83">
        <f t="shared" si="1692"/>
        <v>5</v>
      </c>
      <c r="BE572" s="85">
        <v>2</v>
      </c>
      <c r="BF572" s="86">
        <v>45530.656724537039</v>
      </c>
      <c r="BG572" s="72" t="e">
        <f t="shared" si="1595"/>
        <v>#REF!</v>
      </c>
      <c r="BH572" s="87" t="e">
        <f>BG572-BF572</f>
        <v>#REF!</v>
      </c>
      <c r="BI572" s="80" t="e">
        <f t="shared" si="1694"/>
        <v>#REF!</v>
      </c>
      <c r="BJ572" s="238">
        <v>3690</v>
      </c>
    </row>
    <row r="573" spans="1:62" ht="13">
      <c r="A573" s="49"/>
      <c r="B573" s="50"/>
      <c r="C573" s="51">
        <v>571</v>
      </c>
      <c r="D573" s="148" t="s">
        <v>765</v>
      </c>
      <c r="E573" s="149">
        <v>4</v>
      </c>
      <c r="F573" s="80" t="s">
        <v>151</v>
      </c>
      <c r="G573" s="81" t="s">
        <v>152</v>
      </c>
      <c r="H573" s="81" t="s">
        <v>296</v>
      </c>
      <c r="I573" s="80" t="s">
        <v>458</v>
      </c>
      <c r="J573" s="82">
        <f>AU573</f>
        <v>3</v>
      </c>
      <c r="K573" s="80">
        <v>4</v>
      </c>
      <c r="L573" s="57"/>
      <c r="M573" s="58"/>
      <c r="N573" s="59">
        <f>SUM(K573+L573-M573)</f>
        <v>4</v>
      </c>
      <c r="O573" s="60"/>
      <c r="P573" s="58">
        <v>1</v>
      </c>
      <c r="Q573" s="59">
        <f>SUM(N573+O573-P573)</f>
        <v>3</v>
      </c>
      <c r="R573" s="60"/>
      <c r="S573" s="58"/>
      <c r="T573" s="61">
        <f>SUM(Q573+R573-S573)</f>
        <v>3</v>
      </c>
      <c r="U573" s="60"/>
      <c r="V573" s="58"/>
      <c r="W573" s="59">
        <f>SUM(T573+U573-V573)</f>
        <v>3</v>
      </c>
      <c r="X573" s="60"/>
      <c r="Y573" s="58"/>
      <c r="Z573" s="61">
        <f>SUM(W573+X573-Y573)</f>
        <v>3</v>
      </c>
      <c r="AA573" s="60"/>
      <c r="AB573" s="58"/>
      <c r="AC573" s="59">
        <f>SUM(Z573+AA573-AB573)</f>
        <v>3</v>
      </c>
      <c r="AD573" s="57"/>
      <c r="AE573" s="58"/>
      <c r="AF573" s="243">
        <f>SUM(AC573+AD573-AE573)</f>
        <v>3</v>
      </c>
      <c r="AG573" s="60"/>
      <c r="AH573" s="58"/>
      <c r="AI573" s="62">
        <f>SUM(AF573+AG573-AH573)</f>
        <v>3</v>
      </c>
      <c r="AJ573" s="60"/>
      <c r="AK573" s="58"/>
      <c r="AL573" s="62">
        <f>SUM(AI573+AJ573-AK573)</f>
        <v>3</v>
      </c>
      <c r="AM573" s="60"/>
      <c r="AN573" s="58"/>
      <c r="AO573" s="62">
        <f>SUM(AL573+AM573-AN573)</f>
        <v>3</v>
      </c>
      <c r="AP573" s="60"/>
      <c r="AQ573" s="58"/>
      <c r="AR573" s="62">
        <f>SUM(AO573+AP573-AQ573)</f>
        <v>3</v>
      </c>
      <c r="AS573" s="60"/>
      <c r="AT573" s="58"/>
      <c r="AU573" s="62">
        <f>SUM(AR573+AS573-AT573)</f>
        <v>3</v>
      </c>
      <c r="AV573" s="83">
        <f t="shared" ref="AV573" si="1696">SUM(L573+O573+R573+U573+X573+AA573+AD573+AG573+AJ573+AM573+AP573+AS573)</f>
        <v>0</v>
      </c>
      <c r="AW573" s="83">
        <f t="shared" si="1688"/>
        <v>1</v>
      </c>
      <c r="AX573" s="64">
        <f>SUM(M573,P573,S573,V573,Y573,AB573,AE573,AH573,AK573,AN573,AQ573,AT573)</f>
        <v>1</v>
      </c>
      <c r="AY573" s="65">
        <f>AVERAGE(M573,P573,S573,V573,Y573,AB573,AE573,AH573,AK573,AN573,AQ573,AT573)</f>
        <v>1</v>
      </c>
      <c r="AZ573" s="66">
        <f>COUNT(M573,P573,S573,V573,Y573,AB573,AE573,AH573,AK573,AN573,AQ573,AT573)</f>
        <v>1</v>
      </c>
      <c r="BA573" s="67">
        <f>MAX(0, Table176252626[[#This Row],[Column6]])</f>
        <v>3</v>
      </c>
      <c r="BB573" s="68">
        <v>1</v>
      </c>
      <c r="BC573" s="84">
        <f t="shared" si="1695"/>
        <v>3</v>
      </c>
      <c r="BD573" s="83">
        <f t="shared" si="1692"/>
        <v>2</v>
      </c>
      <c r="BE573" s="85">
        <v>2</v>
      </c>
      <c r="BF573" s="86">
        <v>45558.796747685185</v>
      </c>
      <c r="BG573" s="72" t="e">
        <f t="shared" si="1595"/>
        <v>#REF!</v>
      </c>
      <c r="BH573" s="87" t="e">
        <f>BG573-BF573</f>
        <v>#REF!</v>
      </c>
      <c r="BI573" s="80" t="e">
        <f t="shared" si="1694"/>
        <v>#REF!</v>
      </c>
      <c r="BJ573" s="238">
        <v>2880</v>
      </c>
    </row>
    <row r="574" spans="1:62" ht="13">
      <c r="A574" s="75"/>
      <c r="B574" s="76"/>
      <c r="C574" s="77">
        <v>572</v>
      </c>
      <c r="D574" s="148" t="s">
        <v>765</v>
      </c>
      <c r="E574" s="149">
        <v>5</v>
      </c>
      <c r="F574" s="150" t="s">
        <v>110</v>
      </c>
      <c r="G574" s="112" t="s">
        <v>1258</v>
      </c>
      <c r="H574" s="81" t="s">
        <v>296</v>
      </c>
      <c r="I574" s="80" t="s">
        <v>458</v>
      </c>
      <c r="J574" s="82">
        <f>AU574</f>
        <v>2</v>
      </c>
      <c r="K574" s="80">
        <v>2</v>
      </c>
      <c r="L574" s="57"/>
      <c r="M574" s="58"/>
      <c r="N574" s="59">
        <f>SUM(K574+L574-M574)</f>
        <v>2</v>
      </c>
      <c r="O574" s="60"/>
      <c r="P574" s="58"/>
      <c r="Q574" s="59">
        <f>SUM(N574+O574-P574)</f>
        <v>2</v>
      </c>
      <c r="R574" s="60"/>
      <c r="S574" s="58"/>
      <c r="T574" s="61">
        <f>SUM(Q574+R574-S574)</f>
        <v>2</v>
      </c>
      <c r="U574" s="60"/>
      <c r="V574" s="58"/>
      <c r="W574" s="59">
        <f>SUM(T574+U574-V574)</f>
        <v>2</v>
      </c>
      <c r="X574" s="60"/>
      <c r="Y574" s="58"/>
      <c r="Z574" s="61">
        <f>SUM(W574+X574-Y574)</f>
        <v>2</v>
      </c>
      <c r="AA574" s="60"/>
      <c r="AB574" s="58"/>
      <c r="AC574" s="59">
        <f>SUM(Z574+AA574-AB574)</f>
        <v>2</v>
      </c>
      <c r="AD574" s="57"/>
      <c r="AE574" s="58"/>
      <c r="AF574" s="243">
        <f>SUM(AC574+AD574-AE574)</f>
        <v>2</v>
      </c>
      <c r="AG574" s="60"/>
      <c r="AH574" s="58"/>
      <c r="AI574" s="62">
        <f>SUM(AF574+AG574-AH574)</f>
        <v>2</v>
      </c>
      <c r="AJ574" s="60"/>
      <c r="AK574" s="58"/>
      <c r="AL574" s="62">
        <f>SUM(AI574+AJ574-AK574)</f>
        <v>2</v>
      </c>
      <c r="AM574" s="60"/>
      <c r="AN574" s="58"/>
      <c r="AO574" s="62">
        <f>SUM(AL574+AM574-AN574)</f>
        <v>2</v>
      </c>
      <c r="AP574" s="60"/>
      <c r="AQ574" s="58"/>
      <c r="AR574" s="62">
        <f>SUM(AO574+AP574-AQ574)</f>
        <v>2</v>
      </c>
      <c r="AS574" s="60"/>
      <c r="AT574" s="58"/>
      <c r="AU574" s="62">
        <f>SUM(AR574+AS574-AT574)</f>
        <v>2</v>
      </c>
      <c r="AV574" s="151">
        <f>SUM(L574+O574+R574+U574+X574+AA574+AD574+AG574+AJ574+AM574+AP574+AS574)</f>
        <v>0</v>
      </c>
      <c r="AW574" s="83">
        <f t="shared" si="1688"/>
        <v>0</v>
      </c>
      <c r="AX574" s="64">
        <f>SUM(M574,P574,S574,V574,Y574,AB574,AE574,AH574,AK574,AN574,AQ574,AT574)</f>
        <v>0</v>
      </c>
      <c r="AY574" s="65" t="e">
        <f>AVERAGE(M574,P574,S574,V574,Y574,AB574,AE574,AH574,AK574,AN574,AQ574,AT574)</f>
        <v>#DIV/0!</v>
      </c>
      <c r="AZ574" s="66">
        <f>COUNT(M574,P574,S574,V574,Y574,AB574,AE574,AH574,AK574,AN574,AQ574,AT574)</f>
        <v>0</v>
      </c>
      <c r="BA574" s="67">
        <f>MAX(0, Table176252626[[#This Row],[Column6]])</f>
        <v>2</v>
      </c>
      <c r="BB574" s="68">
        <v>1</v>
      </c>
      <c r="BC574" s="84">
        <f t="shared" si="1695"/>
        <v>2</v>
      </c>
      <c r="BD574" s="83">
        <f t="shared" si="1692"/>
        <v>1</v>
      </c>
      <c r="BE574" s="85">
        <v>2</v>
      </c>
      <c r="BF574" s="86">
        <v>45582.569826388892</v>
      </c>
      <c r="BG574" s="72" t="e">
        <f t="shared" si="1595"/>
        <v>#REF!</v>
      </c>
      <c r="BH574" s="87" t="e">
        <f>BG574-BF574</f>
        <v>#REF!</v>
      </c>
      <c r="BI574" s="80" t="e">
        <f t="shared" si="1694"/>
        <v>#REF!</v>
      </c>
      <c r="BJ574" s="238">
        <v>8550</v>
      </c>
    </row>
    <row r="575" spans="1:62" ht="13">
      <c r="A575" s="90"/>
      <c r="B575" s="91"/>
      <c r="C575" s="77">
        <v>573</v>
      </c>
      <c r="D575" s="148" t="s">
        <v>765</v>
      </c>
      <c r="E575" s="149">
        <v>6</v>
      </c>
      <c r="F575" s="88" t="s">
        <v>1718</v>
      </c>
      <c r="G575" s="89" t="s">
        <v>1719</v>
      </c>
      <c r="H575" s="81" t="s">
        <v>296</v>
      </c>
      <c r="I575" s="80" t="s">
        <v>458</v>
      </c>
      <c r="J575" s="93">
        <f t="shared" ref="J575" si="1697">AU575</f>
        <v>12</v>
      </c>
      <c r="K575" s="88">
        <v>4</v>
      </c>
      <c r="L575" s="58"/>
      <c r="M575" s="58">
        <f>2+2</f>
        <v>4</v>
      </c>
      <c r="N575" s="62">
        <f t="shared" ref="N575" si="1698">SUM(K575+L575-M575)</f>
        <v>0</v>
      </c>
      <c r="O575" s="60">
        <v>10</v>
      </c>
      <c r="P575" s="58"/>
      <c r="Q575" s="62">
        <f t="shared" ref="Q575" si="1699">SUM(N575+O575-P575)</f>
        <v>10</v>
      </c>
      <c r="R575" s="60"/>
      <c r="S575" s="58"/>
      <c r="T575" s="94">
        <f t="shared" ref="T575" si="1700">SUM(Q575+R575-S575)</f>
        <v>10</v>
      </c>
      <c r="U575" s="60"/>
      <c r="V575" s="58">
        <f>2+2</f>
        <v>4</v>
      </c>
      <c r="W575" s="62">
        <f t="shared" ref="W575" si="1701">SUM(T575+U575-V575)</f>
        <v>6</v>
      </c>
      <c r="X575" s="60"/>
      <c r="Y575" s="58">
        <v>2</v>
      </c>
      <c r="Z575" s="94">
        <f t="shared" ref="Z575" si="1702">SUM(W575+X575-Y575)</f>
        <v>4</v>
      </c>
      <c r="AA575" s="60">
        <v>10</v>
      </c>
      <c r="AB575" s="58"/>
      <c r="AC575" s="62">
        <f t="shared" ref="AC575" si="1703">SUM(Z575+AA575-AB575)</f>
        <v>14</v>
      </c>
      <c r="AD575" s="57"/>
      <c r="AE575" s="58"/>
      <c r="AF575" s="165">
        <f t="shared" ref="AF575" si="1704">SUM(AC575+AD575-AE575)</f>
        <v>14</v>
      </c>
      <c r="AG575" s="60"/>
      <c r="AH575" s="58">
        <v>2</v>
      </c>
      <c r="AI575" s="62">
        <f t="shared" ref="AI575" si="1705">SUM(AF575+AG575-AH575)</f>
        <v>12</v>
      </c>
      <c r="AJ575" s="60"/>
      <c r="AK575" s="58"/>
      <c r="AL575" s="62">
        <f t="shared" ref="AL575" si="1706">SUM(AI575+AJ575-AK575)</f>
        <v>12</v>
      </c>
      <c r="AM575" s="60"/>
      <c r="AN575" s="58"/>
      <c r="AO575" s="62">
        <f t="shared" ref="AO575" si="1707">SUM(AL575+AM575-AN575)</f>
        <v>12</v>
      </c>
      <c r="AP575" s="60"/>
      <c r="AQ575" s="58"/>
      <c r="AR575" s="62">
        <f t="shared" ref="AR575" si="1708">SUM(AO575+AP575-AQ575)</f>
        <v>12</v>
      </c>
      <c r="AS575" s="60"/>
      <c r="AT575" s="58"/>
      <c r="AU575" s="62">
        <f t="shared" ref="AU575" si="1709">SUM(AR575+AS575-AT575)</f>
        <v>12</v>
      </c>
      <c r="AV575" s="96">
        <f t="shared" ref="AV575" si="1710">SUM(L575+O575+R575+U575+X575+AA575+AD575+AG575+AJ575+AM575+AP575+AS575)</f>
        <v>20</v>
      </c>
      <c r="AW575" s="83">
        <f t="shared" si="1688"/>
        <v>12</v>
      </c>
      <c r="AX575" s="98">
        <f t="shared" ref="AX575" si="1711">SUM(M575,P575,S575,V575,Y575,AB575,AE575,AH575,AK575,AN575,AQ575,AT575)</f>
        <v>12</v>
      </c>
      <c r="AY575" s="99">
        <f t="shared" ref="AY575" si="1712">AVERAGE(M575,P575,S575,V575,Y575,AB575,AE575,AH575,AK575,AN575,AQ575,AT575)</f>
        <v>3</v>
      </c>
      <c r="AZ575" s="100">
        <f t="shared" ref="AZ575" si="1713">COUNT(M575,P575,S575,V575,Y575,AB575,AE575,AH575,AK575,AN575,AQ575,AT575)</f>
        <v>4</v>
      </c>
      <c r="BA575" s="101">
        <v>14</v>
      </c>
      <c r="BB575" s="102">
        <v>1</v>
      </c>
      <c r="BC575" s="84">
        <f t="shared" si="1695"/>
        <v>12</v>
      </c>
      <c r="BD575" s="83">
        <f t="shared" si="1692"/>
        <v>11</v>
      </c>
      <c r="BE575" s="85">
        <v>2</v>
      </c>
      <c r="BF575" s="86">
        <v>46188</v>
      </c>
      <c r="BG575" s="72" t="e">
        <f t="shared" si="1595"/>
        <v>#REF!</v>
      </c>
      <c r="BH575" s="109" t="e">
        <f t="shared" ref="BH575" si="1714">BG575-BF575</f>
        <v>#REF!</v>
      </c>
      <c r="BI575" s="80" t="e">
        <f t="shared" si="1694"/>
        <v>#REF!</v>
      </c>
      <c r="BJ575" s="238">
        <v>2160</v>
      </c>
    </row>
    <row r="576" spans="1:62" ht="13">
      <c r="A576" s="49"/>
      <c r="B576" s="76"/>
      <c r="C576" s="51">
        <v>574</v>
      </c>
      <c r="D576" s="148" t="s">
        <v>765</v>
      </c>
      <c r="E576" s="149">
        <v>7</v>
      </c>
      <c r="F576" s="80" t="s">
        <v>167</v>
      </c>
      <c r="G576" s="81" t="s">
        <v>168</v>
      </c>
      <c r="H576" s="81" t="s">
        <v>296</v>
      </c>
      <c r="I576" s="80" t="s">
        <v>458</v>
      </c>
      <c r="J576" s="82">
        <f>AU576</f>
        <v>4</v>
      </c>
      <c r="K576" s="80">
        <v>4</v>
      </c>
      <c r="L576" s="57"/>
      <c r="M576" s="58"/>
      <c r="N576" s="59">
        <f>SUM(K576+L576-M576)</f>
        <v>4</v>
      </c>
      <c r="O576" s="60"/>
      <c r="P576" s="58"/>
      <c r="Q576" s="59">
        <f>SUM(N576+O576-P576)</f>
        <v>4</v>
      </c>
      <c r="R576" s="60"/>
      <c r="S576" s="58"/>
      <c r="T576" s="61">
        <f>SUM(Q576+R576-S576)</f>
        <v>4</v>
      </c>
      <c r="U576" s="60"/>
      <c r="V576" s="58"/>
      <c r="W576" s="59">
        <f>SUM(T576+U576-V576)</f>
        <v>4</v>
      </c>
      <c r="X576" s="60"/>
      <c r="Y576" s="58"/>
      <c r="Z576" s="61">
        <f>SUM(W576+X576-Y576)</f>
        <v>4</v>
      </c>
      <c r="AA576" s="60"/>
      <c r="AB576" s="58"/>
      <c r="AC576" s="59">
        <f>SUM(Z576+AA576-AB576)</f>
        <v>4</v>
      </c>
      <c r="AD576" s="57"/>
      <c r="AE576" s="58"/>
      <c r="AF576" s="243">
        <f>SUM(AC576+AD576-AE576)</f>
        <v>4</v>
      </c>
      <c r="AG576" s="60"/>
      <c r="AH576" s="58"/>
      <c r="AI576" s="62">
        <f>SUM(AF576+AG576-AH576)</f>
        <v>4</v>
      </c>
      <c r="AJ576" s="60"/>
      <c r="AK576" s="58"/>
      <c r="AL576" s="62">
        <f>SUM(AI576+AJ576-AK576)</f>
        <v>4</v>
      </c>
      <c r="AM576" s="60"/>
      <c r="AN576" s="58"/>
      <c r="AO576" s="62">
        <f>SUM(AL576+AM576-AN576)</f>
        <v>4</v>
      </c>
      <c r="AP576" s="60"/>
      <c r="AQ576" s="58"/>
      <c r="AR576" s="62">
        <f>SUM(AO576+AP576-AQ576)</f>
        <v>4</v>
      </c>
      <c r="AS576" s="60"/>
      <c r="AT576" s="58"/>
      <c r="AU576" s="62">
        <f>SUM(AR576+AS576-AT576)</f>
        <v>4</v>
      </c>
      <c r="AV576" s="83">
        <f>SUM(L576+O576+R576+U576+X576+AA576+AD576+AG576+AJ576+AM576+AP576+AS576)</f>
        <v>0</v>
      </c>
      <c r="AW576" s="83">
        <f t="shared" si="1688"/>
        <v>0</v>
      </c>
      <c r="AX576" s="64">
        <f>SUM(M576,P576,S576,V576,Y576,AB576,AE576,AH576,AK576,AN576,AQ576,AT576)</f>
        <v>0</v>
      </c>
      <c r="AY576" s="65" t="e">
        <f>AVERAGE(M576,P576,S576,V576,Y576,AB576,AE576,AH576,AK576,AN576,AQ576,AT576)</f>
        <v>#DIV/0!</v>
      </c>
      <c r="AZ576" s="66">
        <f>COUNT(M576,P576,S576,V576,Y576,AB576,AE576,AH576,AK576,AN576,AQ576,AT576)</f>
        <v>0</v>
      </c>
      <c r="BA576" s="67">
        <f>MAX(0, Table176252626[[#This Row],[Column6]])</f>
        <v>4</v>
      </c>
      <c r="BB576" s="68">
        <v>1</v>
      </c>
      <c r="BC576" s="84">
        <f t="shared" si="1695"/>
        <v>4</v>
      </c>
      <c r="BD576" s="83">
        <f t="shared" si="1692"/>
        <v>3</v>
      </c>
      <c r="BE576" s="85">
        <v>2</v>
      </c>
      <c r="BF576" s="86">
        <v>42949.458877314813</v>
      </c>
      <c r="BG576" s="72" t="e">
        <f t="shared" si="1595"/>
        <v>#REF!</v>
      </c>
      <c r="BH576" s="87" t="e">
        <f>BG576-BF576</f>
        <v>#REF!</v>
      </c>
      <c r="BI576" s="80" t="e">
        <f t="shared" si="1694"/>
        <v>#REF!</v>
      </c>
      <c r="BJ576" s="238">
        <v>5400</v>
      </c>
    </row>
    <row r="577" spans="1:293" ht="13">
      <c r="A577" s="49"/>
      <c r="B577" s="50"/>
      <c r="C577" s="51">
        <v>575</v>
      </c>
      <c r="D577" s="148" t="s">
        <v>765</v>
      </c>
      <c r="E577" s="149">
        <v>8</v>
      </c>
      <c r="F577" s="133" t="s">
        <v>757</v>
      </c>
      <c r="G577" s="130" t="s">
        <v>758</v>
      </c>
      <c r="H577" s="81" t="s">
        <v>296</v>
      </c>
      <c r="I577" s="80" t="s">
        <v>458</v>
      </c>
      <c r="J577" s="82">
        <f t="shared" ref="J577" si="1715">AU577</f>
        <v>1</v>
      </c>
      <c r="K577" s="80">
        <v>2</v>
      </c>
      <c r="L577" s="124"/>
      <c r="M577" s="125">
        <v>1</v>
      </c>
      <c r="N577" s="59">
        <f t="shared" ref="N577" si="1716">SUM(K577+L577-M577)</f>
        <v>1</v>
      </c>
      <c r="O577" s="126"/>
      <c r="P577" s="125"/>
      <c r="Q577" s="59">
        <f t="shared" ref="Q577" si="1717">SUM(N577+O577-P577)</f>
        <v>1</v>
      </c>
      <c r="R577" s="126"/>
      <c r="S577" s="125"/>
      <c r="T577" s="61">
        <f t="shared" ref="T577" si="1718">SUM(Q577+R577-S577)</f>
        <v>1</v>
      </c>
      <c r="U577" s="126"/>
      <c r="V577" s="125"/>
      <c r="W577" s="59">
        <f t="shared" ref="W577" si="1719">SUM(T577+U577-V577)</f>
        <v>1</v>
      </c>
      <c r="X577" s="126"/>
      <c r="Y577" s="125"/>
      <c r="Z577" s="61">
        <f t="shared" ref="Z577" si="1720">SUM(W577+X577-Y577)</f>
        <v>1</v>
      </c>
      <c r="AA577" s="126"/>
      <c r="AB577" s="125"/>
      <c r="AC577" s="59">
        <f t="shared" ref="AC577" si="1721">SUM(Z577+AA577-AB577)</f>
        <v>1</v>
      </c>
      <c r="AD577" s="124"/>
      <c r="AE577" s="125"/>
      <c r="AF577" s="243">
        <f t="shared" ref="AF577" si="1722">SUM(AC577+AD577-AE577)</f>
        <v>1</v>
      </c>
      <c r="AG577" s="126"/>
      <c r="AH577" s="125"/>
      <c r="AI577" s="62">
        <f t="shared" ref="AI577" si="1723">SUM(AF577+AG577-AH577)</f>
        <v>1</v>
      </c>
      <c r="AJ577" s="126"/>
      <c r="AK577" s="125"/>
      <c r="AL577" s="62">
        <f t="shared" ref="AL577" si="1724">SUM(AI577+AJ577-AK577)</f>
        <v>1</v>
      </c>
      <c r="AM577" s="126"/>
      <c r="AN577" s="125"/>
      <c r="AO577" s="59">
        <f t="shared" ref="AO577" si="1725">SUM(AL577+AM577-AN577)</f>
        <v>1</v>
      </c>
      <c r="AP577" s="126"/>
      <c r="AQ577" s="125"/>
      <c r="AR577" s="59">
        <f t="shared" ref="AR577" si="1726">SUM(AO577+AP577-AQ577)</f>
        <v>1</v>
      </c>
      <c r="AS577" s="126"/>
      <c r="AT577" s="125"/>
      <c r="AU577" s="59">
        <f t="shared" ref="AU577" si="1727">SUM(AR577+AS577-AT577)</f>
        <v>1</v>
      </c>
      <c r="AV577" s="83">
        <f t="shared" ref="AV577" si="1728">SUM(L577+O577+R577+U577+X577+AA577+AD577+AG577+AJ577+AM577+AP577+AS577)</f>
        <v>0</v>
      </c>
      <c r="AW577" s="83">
        <f t="shared" si="1688"/>
        <v>1</v>
      </c>
      <c r="AX577" s="64">
        <f t="shared" ref="AX577" si="1729">SUM(M577,P577,S577,V577,Y577,AB577,AE577,AH577,AK577,AN577,AQ577,AT577)</f>
        <v>1</v>
      </c>
      <c r="AY577" s="65">
        <f t="shared" ref="AY577" si="1730">AVERAGE(M577,P577,S577,V577,Y577,AB577,AE577,AH577,AK577,AN577,AQ577,AT577)</f>
        <v>1</v>
      </c>
      <c r="AZ577" s="66">
        <f t="shared" ref="AZ577" si="1731">COUNT(M577,P577,S577,V577,Y577,AB577,AE577,AH577,AK577,AN577,AQ577,AT577)</f>
        <v>1</v>
      </c>
      <c r="BA577" s="67">
        <f>MAX(0, Table176252626[[#This Row],[Column6]])</f>
        <v>1</v>
      </c>
      <c r="BB577" s="68">
        <v>0</v>
      </c>
      <c r="BC577" s="84">
        <f t="shared" si="1695"/>
        <v>1</v>
      </c>
      <c r="BD577" s="83">
        <f t="shared" si="1692"/>
        <v>1</v>
      </c>
      <c r="BE577" s="85">
        <v>2</v>
      </c>
      <c r="BF577" s="86">
        <v>44523.422291666669</v>
      </c>
      <c r="BG577" s="72" t="e">
        <f t="shared" si="1595"/>
        <v>#REF!</v>
      </c>
      <c r="BH577" s="87" t="e">
        <f t="shared" ref="BH577" si="1732">BG577-BF577</f>
        <v>#REF!</v>
      </c>
      <c r="BI577" s="80" t="e">
        <f t="shared" si="1694"/>
        <v>#REF!</v>
      </c>
      <c r="BJ577" s="238">
        <v>4000</v>
      </c>
    </row>
    <row r="578" spans="1:293" ht="13">
      <c r="A578" s="75"/>
      <c r="B578" s="76"/>
      <c r="C578" s="51">
        <v>576</v>
      </c>
      <c r="D578" s="148" t="s">
        <v>765</v>
      </c>
      <c r="E578" s="149">
        <v>9</v>
      </c>
      <c r="F578" s="80" t="s">
        <v>249</v>
      </c>
      <c r="G578" s="81" t="s">
        <v>250</v>
      </c>
      <c r="H578" s="81" t="s">
        <v>296</v>
      </c>
      <c r="I578" s="80" t="s">
        <v>458</v>
      </c>
      <c r="J578" s="82">
        <f>AU578</f>
        <v>11</v>
      </c>
      <c r="K578" s="80">
        <v>5</v>
      </c>
      <c r="L578" s="57"/>
      <c r="M578" s="58">
        <f>1</f>
        <v>1</v>
      </c>
      <c r="N578" s="59">
        <f>SUM(K578+L578-M578)</f>
        <v>4</v>
      </c>
      <c r="O578" s="60"/>
      <c r="P578" s="58"/>
      <c r="Q578" s="59">
        <f>SUM(N578+O578-P578)</f>
        <v>4</v>
      </c>
      <c r="R578" s="60"/>
      <c r="S578" s="58">
        <v>2</v>
      </c>
      <c r="T578" s="61">
        <f>SUM(Q578+R578-S578)</f>
        <v>2</v>
      </c>
      <c r="U578" s="60">
        <v>10</v>
      </c>
      <c r="V578" s="58"/>
      <c r="W578" s="59">
        <f>SUM(T578+U578-V578)</f>
        <v>12</v>
      </c>
      <c r="X578" s="60"/>
      <c r="Y578" s="58"/>
      <c r="Z578" s="61">
        <f>SUM(W578+X578-Y578)</f>
        <v>12</v>
      </c>
      <c r="AA578" s="60"/>
      <c r="AB578" s="58"/>
      <c r="AC578" s="59">
        <f>SUM(Z578+AA578-AB578)</f>
        <v>12</v>
      </c>
      <c r="AD578" s="57"/>
      <c r="AE578" s="58"/>
      <c r="AF578" s="243">
        <f>SUM(AC578+AD578-AE578)</f>
        <v>12</v>
      </c>
      <c r="AG578" s="60"/>
      <c r="AH578" s="58">
        <v>1</v>
      </c>
      <c r="AI578" s="62">
        <f>SUM(AF578+AG578-AH578)</f>
        <v>11</v>
      </c>
      <c r="AJ578" s="60"/>
      <c r="AK578" s="58"/>
      <c r="AL578" s="62">
        <f>SUM(AI578+AJ578-AK578)</f>
        <v>11</v>
      </c>
      <c r="AM578" s="60"/>
      <c r="AN578" s="58"/>
      <c r="AO578" s="62">
        <f>SUM(AL578+AM578-AN578)</f>
        <v>11</v>
      </c>
      <c r="AP578" s="60"/>
      <c r="AQ578" s="58"/>
      <c r="AR578" s="62">
        <f>SUM(AO578+AP578-AQ578)</f>
        <v>11</v>
      </c>
      <c r="AS578" s="60"/>
      <c r="AT578" s="58"/>
      <c r="AU578" s="62">
        <f>SUM(AR578+AS578-AT578)</f>
        <v>11</v>
      </c>
      <c r="AV578" s="83">
        <f t="shared" ref="AV578:AV582" si="1733">SUM(L578+O578+R578+U578+X578+AA578+AD578+AG578+AJ578+AM578+AP578+AS578)</f>
        <v>10</v>
      </c>
      <c r="AW578" s="83">
        <f t="shared" si="1688"/>
        <v>4</v>
      </c>
      <c r="AX578" s="64">
        <f>SUM(M578,P578,S578,V578,Y578,AB578,AE578,AH578,AK578,AN578,AQ578,AT578)</f>
        <v>4</v>
      </c>
      <c r="AY578" s="65">
        <f>AVERAGE(M578,P578,S578,V578,Y578,AB578,AE578,AH578,AK578,AN578,AQ578,AT578)</f>
        <v>1.3333333333333333</v>
      </c>
      <c r="AZ578" s="66">
        <f>COUNT(M578,P578,S578,V578,Y578,AB578,AE578,AH578,AK578,AN578,AQ578,AT578)</f>
        <v>3</v>
      </c>
      <c r="BA578" s="67">
        <f>MAX(0, Table176252626[[#This Row],[Column6]])</f>
        <v>11</v>
      </c>
      <c r="BB578" s="68">
        <v>1</v>
      </c>
      <c r="BC578" s="84">
        <f t="shared" si="1695"/>
        <v>11</v>
      </c>
      <c r="BD578" s="83">
        <f t="shared" si="1692"/>
        <v>10</v>
      </c>
      <c r="BE578" s="85">
        <v>2</v>
      </c>
      <c r="BF578" s="86">
        <v>46140</v>
      </c>
      <c r="BG578" s="72" t="e">
        <f t="shared" si="1595"/>
        <v>#REF!</v>
      </c>
      <c r="BH578" s="87" t="e">
        <f>BG578-BF578</f>
        <v>#REF!</v>
      </c>
      <c r="BI578" s="80" t="e">
        <f t="shared" si="1694"/>
        <v>#REF!</v>
      </c>
      <c r="BJ578" s="238">
        <v>1000</v>
      </c>
    </row>
    <row r="579" spans="1:293" ht="13">
      <c r="A579" s="49"/>
      <c r="B579" s="50"/>
      <c r="C579" s="51">
        <v>577</v>
      </c>
      <c r="D579" s="148" t="s">
        <v>765</v>
      </c>
      <c r="E579" s="149">
        <v>10</v>
      </c>
      <c r="F579" s="80" t="s">
        <v>193</v>
      </c>
      <c r="G579" s="81" t="s">
        <v>1500</v>
      </c>
      <c r="H579" s="81" t="s">
        <v>296</v>
      </c>
      <c r="I579" s="80" t="s">
        <v>458</v>
      </c>
      <c r="J579" s="82">
        <f>AU579</f>
        <v>12</v>
      </c>
      <c r="K579" s="80">
        <v>7</v>
      </c>
      <c r="L579" s="57"/>
      <c r="M579" s="58">
        <f>2</f>
        <v>2</v>
      </c>
      <c r="N579" s="59">
        <f>SUM(K579+L579-M579)</f>
        <v>5</v>
      </c>
      <c r="O579" s="60"/>
      <c r="P579" s="58"/>
      <c r="Q579" s="59">
        <f>SUM(N579+O579-P579)</f>
        <v>5</v>
      </c>
      <c r="R579" s="60"/>
      <c r="S579" s="58">
        <v>2</v>
      </c>
      <c r="T579" s="61">
        <f>SUM(Q579+R579-S579)</f>
        <v>3</v>
      </c>
      <c r="U579" s="60">
        <v>10</v>
      </c>
      <c r="V579" s="58"/>
      <c r="W579" s="59">
        <f>SUM(T579+U579-V579)</f>
        <v>13</v>
      </c>
      <c r="X579" s="60"/>
      <c r="Y579" s="58"/>
      <c r="Z579" s="61">
        <f>SUM(W579+X579-Y579)</f>
        <v>13</v>
      </c>
      <c r="AA579" s="60"/>
      <c r="AB579" s="58"/>
      <c r="AC579" s="59">
        <f>SUM(Z579+AA579-AB579)</f>
        <v>13</v>
      </c>
      <c r="AD579" s="57"/>
      <c r="AE579" s="58"/>
      <c r="AF579" s="243">
        <f>SUM(AC579+AD579-AE579)</f>
        <v>13</v>
      </c>
      <c r="AG579" s="60"/>
      <c r="AH579" s="58">
        <v>1</v>
      </c>
      <c r="AI579" s="62">
        <f>SUM(AF579+AG579-AH579)</f>
        <v>12</v>
      </c>
      <c r="AJ579" s="60"/>
      <c r="AK579" s="58"/>
      <c r="AL579" s="62">
        <f>SUM(AI579+AJ579-AK579)</f>
        <v>12</v>
      </c>
      <c r="AM579" s="60"/>
      <c r="AN579" s="58"/>
      <c r="AO579" s="62">
        <f>SUM(AL579+AM579-AN579)</f>
        <v>12</v>
      </c>
      <c r="AP579" s="60"/>
      <c r="AQ579" s="58"/>
      <c r="AR579" s="62">
        <f>SUM(AO579+AP579-AQ579)</f>
        <v>12</v>
      </c>
      <c r="AS579" s="60"/>
      <c r="AT579" s="58"/>
      <c r="AU579" s="62">
        <f>SUM(AR579+AS579-AT579)</f>
        <v>12</v>
      </c>
      <c r="AV579" s="83">
        <f t="shared" si="1733"/>
        <v>10</v>
      </c>
      <c r="AW579" s="83">
        <f t="shared" si="1688"/>
        <v>5</v>
      </c>
      <c r="AX579" s="64">
        <f>SUM(M579,P579,S579,V579,Y579,AB579,AE579,AH579,AK579,AN579,AQ579,AT579)</f>
        <v>5</v>
      </c>
      <c r="AY579" s="65">
        <f>AVERAGE(M579,P579,S579,V579,Y579,AB579,AE579,AH579,AK579,AN579,AQ579,AT579)</f>
        <v>1.6666666666666667</v>
      </c>
      <c r="AZ579" s="66">
        <f>COUNT(M579,P579,S579,V579,Y579,AB579,AE579,AH579,AK579,AN579,AQ579,AT579)</f>
        <v>3</v>
      </c>
      <c r="BA579" s="67">
        <f>MAX(0, Table176252626[[#This Row],[Column6]])</f>
        <v>12</v>
      </c>
      <c r="BB579" s="68">
        <v>1</v>
      </c>
      <c r="BC579" s="84">
        <f t="shared" si="1695"/>
        <v>12</v>
      </c>
      <c r="BD579" s="83">
        <f t="shared" si="1692"/>
        <v>11</v>
      </c>
      <c r="BE579" s="85">
        <v>2</v>
      </c>
      <c r="BF579" s="86">
        <v>46140</v>
      </c>
      <c r="BG579" s="72" t="e">
        <f t="shared" si="1595"/>
        <v>#REF!</v>
      </c>
      <c r="BH579" s="87" t="e">
        <f>BG579-BF579</f>
        <v>#REF!</v>
      </c>
      <c r="BI579" s="80" t="e">
        <f t="shared" si="1694"/>
        <v>#REF!</v>
      </c>
      <c r="BJ579" s="238">
        <v>1000</v>
      </c>
    </row>
    <row r="580" spans="1:293" ht="13">
      <c r="A580" s="49"/>
      <c r="B580" s="76"/>
      <c r="C580" s="77">
        <v>578</v>
      </c>
      <c r="D580" s="148" t="s">
        <v>765</v>
      </c>
      <c r="E580" s="149">
        <v>11</v>
      </c>
      <c r="F580" s="80" t="s">
        <v>48</v>
      </c>
      <c r="G580" s="81" t="s">
        <v>1248</v>
      </c>
      <c r="H580" s="81" t="s">
        <v>296</v>
      </c>
      <c r="I580" s="80" t="s">
        <v>458</v>
      </c>
      <c r="J580" s="82">
        <f>AU580</f>
        <v>9</v>
      </c>
      <c r="K580" s="80">
        <v>11</v>
      </c>
      <c r="L580" s="57"/>
      <c r="M580" s="58">
        <f>1+1</f>
        <v>2</v>
      </c>
      <c r="N580" s="59">
        <f>SUM(K580+L580-M580)</f>
        <v>9</v>
      </c>
      <c r="O580" s="60"/>
      <c r="P580" s="58">
        <f>2+1</f>
        <v>3</v>
      </c>
      <c r="Q580" s="59">
        <f>SUM(N580+O580-P580)</f>
        <v>6</v>
      </c>
      <c r="R580" s="60"/>
      <c r="S580" s="58">
        <f>1+1</f>
        <v>2</v>
      </c>
      <c r="T580" s="61">
        <f>SUM(Q580+R580-S580)</f>
        <v>4</v>
      </c>
      <c r="U580" s="60">
        <v>10</v>
      </c>
      <c r="V580" s="58">
        <f>1+1+1</f>
        <v>3</v>
      </c>
      <c r="W580" s="59">
        <f>SUM(T580+U580-V580)</f>
        <v>11</v>
      </c>
      <c r="X580" s="60"/>
      <c r="Y580" s="58"/>
      <c r="Z580" s="61">
        <f>SUM(W580+X580-Y580)</f>
        <v>11</v>
      </c>
      <c r="AA580" s="60"/>
      <c r="AB580" s="58"/>
      <c r="AC580" s="59">
        <f>SUM(Z580+AA580-AB580)</f>
        <v>11</v>
      </c>
      <c r="AD580" s="57"/>
      <c r="AE580" s="58">
        <f>1+1</f>
        <v>2</v>
      </c>
      <c r="AF580" s="243">
        <f>SUM(AC580+AD580-AE580)</f>
        <v>9</v>
      </c>
      <c r="AG580" s="60"/>
      <c r="AH580" s="58"/>
      <c r="AI580" s="62">
        <f>SUM(AF580+AG580-AH580)</f>
        <v>9</v>
      </c>
      <c r="AJ580" s="60"/>
      <c r="AK580" s="58"/>
      <c r="AL580" s="62">
        <f>SUM(AI580+AJ580-AK580)</f>
        <v>9</v>
      </c>
      <c r="AM580" s="60"/>
      <c r="AN580" s="58"/>
      <c r="AO580" s="62">
        <f>SUM(AL580+AM580-AN580)</f>
        <v>9</v>
      </c>
      <c r="AP580" s="60"/>
      <c r="AQ580" s="58"/>
      <c r="AR580" s="62">
        <f>SUM(AO580+AP580-AQ580)</f>
        <v>9</v>
      </c>
      <c r="AS580" s="60"/>
      <c r="AT580" s="58"/>
      <c r="AU580" s="62">
        <f>SUM(AR580+AS580-AT580)</f>
        <v>9</v>
      </c>
      <c r="AV580" s="83">
        <f t="shared" si="1733"/>
        <v>10</v>
      </c>
      <c r="AW580" s="83">
        <f t="shared" si="1688"/>
        <v>12</v>
      </c>
      <c r="AX580" s="64">
        <f>SUM(M580,P580,S580,V580,Y580,AB580,AE580,AH580,AK580,AN580,AQ580,AT580)</f>
        <v>12</v>
      </c>
      <c r="AY580" s="65">
        <f>AVERAGE(M580,P580,S580,V580,Y580,AB580,AE580,AH580,AK580,AN580,AQ580,AT580)</f>
        <v>2.4</v>
      </c>
      <c r="AZ580" s="66">
        <f>COUNT(M580,P580,S580,V580,Y580,AB580,AE580,AH580,AK580,AN580,AQ580,AT580)</f>
        <v>5</v>
      </c>
      <c r="BA580" s="67">
        <v>9</v>
      </c>
      <c r="BB580" s="68">
        <v>1</v>
      </c>
      <c r="BC580" s="84">
        <f t="shared" si="1695"/>
        <v>9</v>
      </c>
      <c r="BD580" s="83">
        <f t="shared" si="1692"/>
        <v>8</v>
      </c>
      <c r="BE580" s="85">
        <v>2</v>
      </c>
      <c r="BF580" s="86">
        <v>46140</v>
      </c>
      <c r="BG580" s="72" t="e">
        <f t="shared" si="1595"/>
        <v>#REF!</v>
      </c>
      <c r="BH580" s="87" t="e">
        <f>BG580-BF580</f>
        <v>#REF!</v>
      </c>
      <c r="BI580" s="80" t="e">
        <f t="shared" si="1694"/>
        <v>#REF!</v>
      </c>
      <c r="BJ580" s="238">
        <v>218</v>
      </c>
    </row>
    <row r="581" spans="1:293" ht="13">
      <c r="A581" s="49"/>
      <c r="B581" s="76"/>
      <c r="C581" s="77">
        <v>579</v>
      </c>
      <c r="D581" s="148" t="s">
        <v>765</v>
      </c>
      <c r="E581" s="149">
        <v>12</v>
      </c>
      <c r="F581" s="54" t="s">
        <v>425</v>
      </c>
      <c r="G581" s="55" t="s">
        <v>698</v>
      </c>
      <c r="H581" s="81" t="s">
        <v>296</v>
      </c>
      <c r="I581" s="80" t="s">
        <v>458</v>
      </c>
      <c r="J581" s="82">
        <f>AU581</f>
        <v>6</v>
      </c>
      <c r="K581" s="80">
        <v>4</v>
      </c>
      <c r="L581" s="57"/>
      <c r="M581" s="58">
        <v>1</v>
      </c>
      <c r="N581" s="59">
        <f>SUM(K581+L581-M581)</f>
        <v>3</v>
      </c>
      <c r="O581" s="60"/>
      <c r="P581" s="58"/>
      <c r="Q581" s="59">
        <f>SUM(N581+O581-P581)</f>
        <v>3</v>
      </c>
      <c r="R581" s="60"/>
      <c r="S581" s="58"/>
      <c r="T581" s="61">
        <f>SUM(Q581+R581-S581)</f>
        <v>3</v>
      </c>
      <c r="U581" s="60"/>
      <c r="V581" s="58"/>
      <c r="W581" s="59">
        <f>SUM(T581+U581-V581)</f>
        <v>3</v>
      </c>
      <c r="X581" s="60"/>
      <c r="Y581" s="58">
        <v>1</v>
      </c>
      <c r="Z581" s="61">
        <f>SUM(W581+X581-Y581)</f>
        <v>2</v>
      </c>
      <c r="AA581" s="60"/>
      <c r="AB581" s="58"/>
      <c r="AC581" s="59">
        <f>SUM(Z581+AA581-AB581)</f>
        <v>2</v>
      </c>
      <c r="AD581" s="57">
        <v>5</v>
      </c>
      <c r="AE581" s="58"/>
      <c r="AF581" s="243">
        <f>SUM(AC581+AD581-AE581)</f>
        <v>7</v>
      </c>
      <c r="AG581" s="60"/>
      <c r="AH581" s="58">
        <v>1</v>
      </c>
      <c r="AI581" s="62">
        <f>SUM(AF581+AG581-AH581)</f>
        <v>6</v>
      </c>
      <c r="AJ581" s="60"/>
      <c r="AK581" s="58"/>
      <c r="AL581" s="62">
        <f>SUM(AI581+AJ581-AK581)</f>
        <v>6</v>
      </c>
      <c r="AM581" s="60"/>
      <c r="AN581" s="58"/>
      <c r="AO581" s="62">
        <f>SUM(AL581+AM581-AN581)</f>
        <v>6</v>
      </c>
      <c r="AP581" s="60"/>
      <c r="AQ581" s="58"/>
      <c r="AR581" s="62">
        <f>SUM(AO581+AP581-AQ581)</f>
        <v>6</v>
      </c>
      <c r="AS581" s="60"/>
      <c r="AT581" s="58"/>
      <c r="AU581" s="62">
        <f>SUM(AR581+AS581-AT581)</f>
        <v>6</v>
      </c>
      <c r="AV581" s="83">
        <f t="shared" si="1733"/>
        <v>5</v>
      </c>
      <c r="AW581" s="83">
        <f t="shared" si="1688"/>
        <v>3</v>
      </c>
      <c r="AX581" s="64">
        <f>SUM(M581,P581,S581,V581,Y581,AB581,AE581,AH581,AK581,AN581,AQ581,AT581)</f>
        <v>3</v>
      </c>
      <c r="AY581" s="65">
        <f>AVERAGE(M581,P581,S581,V581,Y581,AB581,AE581,AH581,AK581,AN581,AQ581,AT581)</f>
        <v>1</v>
      </c>
      <c r="AZ581" s="66">
        <f>COUNT(M581,P581,S581,V581,Y581,AB581,AE581,AH581,AK581,AN581,AQ581,AT581)</f>
        <v>3</v>
      </c>
      <c r="BA581" s="67">
        <v>7</v>
      </c>
      <c r="BB581" s="68">
        <v>1</v>
      </c>
      <c r="BC581" s="84">
        <f t="shared" si="1695"/>
        <v>6</v>
      </c>
      <c r="BD581" s="83">
        <f t="shared" si="1692"/>
        <v>5</v>
      </c>
      <c r="BE581" s="85">
        <v>2</v>
      </c>
      <c r="BF581" s="86">
        <v>46221</v>
      </c>
      <c r="BG581" s="72" t="e">
        <f t="shared" si="1595"/>
        <v>#REF!</v>
      </c>
      <c r="BH581" s="87" t="e">
        <f>BG581-BF581</f>
        <v>#REF!</v>
      </c>
      <c r="BI581" s="80" t="e">
        <f t="shared" si="1694"/>
        <v>#REF!</v>
      </c>
      <c r="BJ581" s="238">
        <v>4600</v>
      </c>
    </row>
    <row r="582" spans="1:293" ht="13">
      <c r="A582" s="49"/>
      <c r="B582" s="76"/>
      <c r="C582" s="51">
        <v>580</v>
      </c>
      <c r="D582" s="148" t="s">
        <v>765</v>
      </c>
      <c r="E582" s="149">
        <v>13</v>
      </c>
      <c r="F582" s="80" t="s">
        <v>275</v>
      </c>
      <c r="G582" s="81" t="s">
        <v>276</v>
      </c>
      <c r="H582" s="81" t="s">
        <v>296</v>
      </c>
      <c r="I582" s="80" t="s">
        <v>458</v>
      </c>
      <c r="J582" s="82">
        <f>AU582</f>
        <v>2</v>
      </c>
      <c r="K582" s="80">
        <v>2</v>
      </c>
      <c r="L582" s="57"/>
      <c r="M582" s="58"/>
      <c r="N582" s="59">
        <f>SUM(K582+L582-M582)</f>
        <v>2</v>
      </c>
      <c r="O582" s="60"/>
      <c r="P582" s="58">
        <v>2</v>
      </c>
      <c r="Q582" s="59">
        <f>SUM(N582+O582-P582)</f>
        <v>0</v>
      </c>
      <c r="R582" s="60"/>
      <c r="S582" s="58"/>
      <c r="T582" s="61">
        <f>SUM(Q582+R582-S582)</f>
        <v>0</v>
      </c>
      <c r="U582" s="60"/>
      <c r="V582" s="58"/>
      <c r="W582" s="59">
        <f>SUM(T582+U582-V582)</f>
        <v>0</v>
      </c>
      <c r="X582" s="60">
        <v>2</v>
      </c>
      <c r="Y582" s="58"/>
      <c r="Z582" s="61">
        <f>SUM(W582+X582-Y582)</f>
        <v>2</v>
      </c>
      <c r="AA582" s="60"/>
      <c r="AB582" s="58"/>
      <c r="AC582" s="59">
        <f>SUM(Z582+AA582-AB582)</f>
        <v>2</v>
      </c>
      <c r="AD582" s="57"/>
      <c r="AE582" s="58"/>
      <c r="AF582" s="243">
        <f>SUM(AC582+AD582-AE582)</f>
        <v>2</v>
      </c>
      <c r="AG582" s="60"/>
      <c r="AH582" s="58"/>
      <c r="AI582" s="62">
        <f>SUM(AF582+AG582-AH582)</f>
        <v>2</v>
      </c>
      <c r="AJ582" s="60"/>
      <c r="AK582" s="58"/>
      <c r="AL582" s="62">
        <f>SUM(AI582+AJ582-AK582)</f>
        <v>2</v>
      </c>
      <c r="AM582" s="60"/>
      <c r="AN582" s="58"/>
      <c r="AO582" s="62">
        <f>SUM(AL582+AM582-AN582)</f>
        <v>2</v>
      </c>
      <c r="AP582" s="60"/>
      <c r="AQ582" s="58"/>
      <c r="AR582" s="62">
        <f>SUM(AO582+AP582-AQ582)</f>
        <v>2</v>
      </c>
      <c r="AS582" s="60"/>
      <c r="AT582" s="58"/>
      <c r="AU582" s="62">
        <f>SUM(AR582+AS582-AT582)</f>
        <v>2</v>
      </c>
      <c r="AV582" s="83">
        <f t="shared" si="1733"/>
        <v>2</v>
      </c>
      <c r="AW582" s="83">
        <f t="shared" si="1688"/>
        <v>2</v>
      </c>
      <c r="AX582" s="64">
        <f>SUM(M582,P582,S582,V582,Y582,AB582,AE582,AH582,AK582,AN582,AQ582,AT582)</f>
        <v>2</v>
      </c>
      <c r="AY582" s="65">
        <f>AVERAGE(M582,P582,S582,V582,Y582,AB582,AE582,AH582,AK582,AN582,AQ582,AT582)</f>
        <v>2</v>
      </c>
      <c r="AZ582" s="66">
        <f>COUNT(M582,P582,S582,V582,Y582,AB582,AE582,AH582,AK582,AN582,AQ582,AT582)</f>
        <v>1</v>
      </c>
      <c r="BA582" s="67">
        <f>MAX(0, Table176252626[[#This Row],[Column6]])</f>
        <v>2</v>
      </c>
      <c r="BB582" s="68">
        <v>1</v>
      </c>
      <c r="BC582" s="84">
        <f t="shared" si="1695"/>
        <v>2</v>
      </c>
      <c r="BD582" s="83">
        <f t="shared" si="1692"/>
        <v>1</v>
      </c>
      <c r="BE582" s="85">
        <v>2</v>
      </c>
      <c r="BF582" s="86">
        <v>46160</v>
      </c>
      <c r="BG582" s="72" t="e">
        <f t="shared" si="1595"/>
        <v>#REF!</v>
      </c>
      <c r="BH582" s="87" t="e">
        <f>BG582-BF582</f>
        <v>#REF!</v>
      </c>
      <c r="BI582" s="80" t="e">
        <f t="shared" si="1694"/>
        <v>#REF!</v>
      </c>
      <c r="BJ582" s="238">
        <v>5670</v>
      </c>
    </row>
    <row r="583" spans="1:293" ht="13">
      <c r="A583" s="49"/>
      <c r="B583" s="50"/>
      <c r="C583" s="51">
        <v>581</v>
      </c>
      <c r="D583" s="148" t="s">
        <v>765</v>
      </c>
      <c r="E583" s="149">
        <v>14</v>
      </c>
      <c r="F583" s="80" t="s">
        <v>80</v>
      </c>
      <c r="G583" s="81" t="s">
        <v>81</v>
      </c>
      <c r="H583" s="81" t="s">
        <v>296</v>
      </c>
      <c r="I583" s="80" t="s">
        <v>458</v>
      </c>
      <c r="J583" s="82">
        <f t="shared" ref="J583" si="1734">AU583</f>
        <v>14</v>
      </c>
      <c r="K583" s="80">
        <v>10</v>
      </c>
      <c r="L583" s="57"/>
      <c r="M583" s="58">
        <f>2</f>
        <v>2</v>
      </c>
      <c r="N583" s="59">
        <f t="shared" ref="N583" si="1735">SUM(K583+L583-M583)</f>
        <v>8</v>
      </c>
      <c r="O583" s="60"/>
      <c r="P583" s="58"/>
      <c r="Q583" s="59">
        <f t="shared" ref="Q583" si="1736">SUM(N583+O583-P583)</f>
        <v>8</v>
      </c>
      <c r="R583" s="60">
        <v>10</v>
      </c>
      <c r="S583" s="58">
        <v>2</v>
      </c>
      <c r="T583" s="61">
        <f t="shared" ref="T583" si="1737">SUM(Q583+R583-S583)</f>
        <v>16</v>
      </c>
      <c r="U583" s="60"/>
      <c r="V583" s="58"/>
      <c r="W583" s="59">
        <f t="shared" ref="W583" si="1738">SUM(T583+U583-V583)</f>
        <v>16</v>
      </c>
      <c r="X583" s="60"/>
      <c r="Y583" s="58"/>
      <c r="Z583" s="61">
        <f t="shared" ref="Z583" si="1739">SUM(W583+X583-Y583)</f>
        <v>16</v>
      </c>
      <c r="AA583" s="60"/>
      <c r="AB583" s="58"/>
      <c r="AC583" s="59">
        <f t="shared" ref="AC583" si="1740">SUM(Z583+AA583-AB583)</f>
        <v>16</v>
      </c>
      <c r="AD583" s="57"/>
      <c r="AE583" s="58"/>
      <c r="AF583" s="243">
        <f t="shared" ref="AF583" si="1741">SUM(AC583+AD583-AE583)</f>
        <v>16</v>
      </c>
      <c r="AG583" s="60"/>
      <c r="AH583" s="58">
        <f>1+1</f>
        <v>2</v>
      </c>
      <c r="AI583" s="62">
        <f t="shared" ref="AI583" si="1742">SUM(AF583+AG583-AH583)</f>
        <v>14</v>
      </c>
      <c r="AJ583" s="60"/>
      <c r="AK583" s="58"/>
      <c r="AL583" s="62">
        <f t="shared" ref="AL583" si="1743">SUM(AI583+AJ583-AK583)</f>
        <v>14</v>
      </c>
      <c r="AM583" s="60"/>
      <c r="AN583" s="58"/>
      <c r="AO583" s="62">
        <f t="shared" ref="AO583" si="1744">SUM(AL583+AM583-AN583)</f>
        <v>14</v>
      </c>
      <c r="AP583" s="60"/>
      <c r="AQ583" s="58"/>
      <c r="AR583" s="62">
        <f t="shared" ref="AR583" si="1745">SUM(AO583+AP583-AQ583)</f>
        <v>14</v>
      </c>
      <c r="AS583" s="60"/>
      <c r="AT583" s="58"/>
      <c r="AU583" s="62">
        <f t="shared" ref="AU583" si="1746">SUM(AR583+AS583-AT583)</f>
        <v>14</v>
      </c>
      <c r="AV583" s="83">
        <f t="shared" ref="AV583" si="1747">SUM(L583+O583+R583+U583+X583+AA583+AD583+AG583+AJ583+AM583+AP583+AS583)</f>
        <v>10</v>
      </c>
      <c r="AW583" s="83">
        <f t="shared" si="1688"/>
        <v>6</v>
      </c>
      <c r="AX583" s="64">
        <f t="shared" ref="AX583" si="1748">SUM(M583,P583,S583,V583,Y583,AB583,AE583,AH583,AK583,AN583,AQ583,AT583)</f>
        <v>6</v>
      </c>
      <c r="AY583" s="65">
        <f t="shared" ref="AY583" si="1749">AVERAGE(M583,P583,S583,V583,Y583,AB583,AE583,AH583,AK583,AN583,AQ583,AT583)</f>
        <v>2</v>
      </c>
      <c r="AZ583" s="66">
        <f t="shared" ref="AZ583" si="1750">COUNT(M583,P583,S583,V583,Y583,AB583,AE583,AH583,AK583,AN583,AQ583,AT583)</f>
        <v>3</v>
      </c>
      <c r="BA583" s="67">
        <f>MAX(0, Table176252626[[#This Row],[Column6]])</f>
        <v>14</v>
      </c>
      <c r="BB583" s="68">
        <v>1</v>
      </c>
      <c r="BC583" s="84">
        <f t="shared" si="1695"/>
        <v>14</v>
      </c>
      <c r="BD583" s="83">
        <f t="shared" si="1692"/>
        <v>13</v>
      </c>
      <c r="BE583" s="85">
        <v>2</v>
      </c>
      <c r="BF583" s="86">
        <v>46101</v>
      </c>
      <c r="BG583" s="72" t="e">
        <f t="shared" si="1595"/>
        <v>#REF!</v>
      </c>
      <c r="BH583" s="87" t="e">
        <f t="shared" ref="BH583" si="1751">BG583-BF583</f>
        <v>#REF!</v>
      </c>
      <c r="BI583" s="80" t="e">
        <f t="shared" si="1694"/>
        <v>#REF!</v>
      </c>
      <c r="BJ583" s="238">
        <v>800</v>
      </c>
    </row>
    <row r="584" spans="1:293" ht="13">
      <c r="A584" s="75"/>
      <c r="B584" s="76"/>
      <c r="C584" s="51">
        <v>582</v>
      </c>
      <c r="D584" s="127" t="s">
        <v>1690</v>
      </c>
      <c r="E584" s="127">
        <v>1</v>
      </c>
      <c r="F584" s="88" t="s">
        <v>1164</v>
      </c>
      <c r="G584" s="89" t="s">
        <v>1165</v>
      </c>
      <c r="H584" s="89" t="s">
        <v>294</v>
      </c>
      <c r="I584" s="80" t="s">
        <v>458</v>
      </c>
      <c r="J584" s="82">
        <f>AU584</f>
        <v>2</v>
      </c>
      <c r="K584" s="80">
        <v>2</v>
      </c>
      <c r="L584" s="57"/>
      <c r="M584" s="58"/>
      <c r="N584" s="59">
        <f>SUM(K584+L584-M584)</f>
        <v>2</v>
      </c>
      <c r="O584" s="60"/>
      <c r="P584" s="58"/>
      <c r="Q584" s="59">
        <f>SUM(N584+O584-P584)</f>
        <v>2</v>
      </c>
      <c r="R584" s="60"/>
      <c r="S584" s="58"/>
      <c r="T584" s="61">
        <f>SUM(Q584+R584-S584)</f>
        <v>2</v>
      </c>
      <c r="U584" s="60"/>
      <c r="V584" s="58"/>
      <c r="W584" s="59">
        <f>SUM(T584+U584-V584)</f>
        <v>2</v>
      </c>
      <c r="X584" s="60"/>
      <c r="Y584" s="58"/>
      <c r="Z584" s="61">
        <f>SUM(W584+X584-Y584)</f>
        <v>2</v>
      </c>
      <c r="AA584" s="60"/>
      <c r="AB584" s="58"/>
      <c r="AC584" s="59">
        <f>SUM(Z584+AA584-AB584)</f>
        <v>2</v>
      </c>
      <c r="AD584" s="57"/>
      <c r="AE584" s="58"/>
      <c r="AF584" s="243">
        <f>SUM(AC584+AD584-AE584)</f>
        <v>2</v>
      </c>
      <c r="AG584" s="60"/>
      <c r="AH584" s="58"/>
      <c r="AI584" s="62">
        <f>SUM(AF584+AG584-AH584)</f>
        <v>2</v>
      </c>
      <c r="AJ584" s="60"/>
      <c r="AK584" s="58"/>
      <c r="AL584" s="62">
        <f>SUM(AI584+AJ584-AK584)</f>
        <v>2</v>
      </c>
      <c r="AM584" s="60"/>
      <c r="AN584" s="58"/>
      <c r="AO584" s="62">
        <f>SUM(AL584+AM584-AN584)</f>
        <v>2</v>
      </c>
      <c r="AP584" s="60"/>
      <c r="AQ584" s="58"/>
      <c r="AR584" s="62">
        <f>SUM(AO584+AP584-AQ584)</f>
        <v>2</v>
      </c>
      <c r="AS584" s="60"/>
      <c r="AT584" s="58"/>
      <c r="AU584" s="62">
        <f>SUM(AR584+AS584-AT584)</f>
        <v>2</v>
      </c>
      <c r="AV584" s="83">
        <f>SUM(L584+O584+R584+U584+X584+AA584+AD584+AG584+AJ584+AM584+AP584+AS584)</f>
        <v>0</v>
      </c>
      <c r="AW584" s="83">
        <f t="shared" si="1688"/>
        <v>0</v>
      </c>
      <c r="AX584" s="64">
        <f>SUM(M584,P584,S584,V584,Y584,AB584,AE584,AH584,AK584,AN584,AQ584,AT584)</f>
        <v>0</v>
      </c>
      <c r="AY584" s="65" t="e">
        <f>AVERAGE(M584,P584,S584,V584,Y584,AB584,AE584,AH584,AK584,AN584,AQ584,AT584)</f>
        <v>#DIV/0!</v>
      </c>
      <c r="AZ584" s="66">
        <f>COUNT(M584,P584,S584,V584,Y584,AB584,AE584,AH584,AK584,AN584,AQ584,AT584)</f>
        <v>0</v>
      </c>
      <c r="BA584" s="67">
        <f>MAX(0, Table176252626[[#This Row],[Column6]])</f>
        <v>2</v>
      </c>
      <c r="BB584" s="68">
        <v>1</v>
      </c>
      <c r="BC584" s="84">
        <f t="shared" si="1695"/>
        <v>2</v>
      </c>
      <c r="BD584" s="83">
        <f t="shared" si="1692"/>
        <v>1</v>
      </c>
      <c r="BE584" s="85">
        <v>2</v>
      </c>
      <c r="BF584" s="86">
        <v>44851.54178240741</v>
      </c>
      <c r="BG584" s="72" t="e">
        <f t="shared" si="1595"/>
        <v>#REF!</v>
      </c>
      <c r="BH584" s="107" t="e">
        <f>BG584-BF584</f>
        <v>#REF!</v>
      </c>
      <c r="BI584" s="80" t="e">
        <f t="shared" si="1694"/>
        <v>#REF!</v>
      </c>
      <c r="BJ584" s="238">
        <v>640</v>
      </c>
    </row>
    <row r="585" spans="1:293" ht="13">
      <c r="A585" s="49"/>
      <c r="B585" s="76"/>
      <c r="C585" s="51">
        <v>583</v>
      </c>
      <c r="D585" s="127" t="s">
        <v>1690</v>
      </c>
      <c r="E585" s="127">
        <v>1</v>
      </c>
      <c r="F585" s="80" t="s">
        <v>403</v>
      </c>
      <c r="G585" s="81" t="s">
        <v>404</v>
      </c>
      <c r="H585" s="81" t="s">
        <v>290</v>
      </c>
      <c r="I585" s="80" t="s">
        <v>458</v>
      </c>
      <c r="J585" s="82">
        <f t="shared" ref="J585:J595" si="1752">AU585</f>
        <v>3</v>
      </c>
      <c r="K585" s="80">
        <v>3</v>
      </c>
      <c r="L585" s="57"/>
      <c r="M585" s="58"/>
      <c r="N585" s="59">
        <f t="shared" ref="N585:N595" si="1753">SUM(K585+L585-M585)</f>
        <v>3</v>
      </c>
      <c r="O585" s="60"/>
      <c r="P585" s="58"/>
      <c r="Q585" s="59">
        <f t="shared" ref="Q585:Q595" si="1754">SUM(N585+O585-P585)</f>
        <v>3</v>
      </c>
      <c r="R585" s="60"/>
      <c r="S585" s="58"/>
      <c r="T585" s="61">
        <f t="shared" ref="T585:T595" si="1755">SUM(Q585+R585-S585)</f>
        <v>3</v>
      </c>
      <c r="U585" s="60"/>
      <c r="V585" s="58"/>
      <c r="W585" s="59">
        <f t="shared" ref="W585:W595" si="1756">SUM(T585+U585-V585)</f>
        <v>3</v>
      </c>
      <c r="X585" s="60"/>
      <c r="Y585" s="58"/>
      <c r="Z585" s="61">
        <f t="shared" ref="Z585:Z595" si="1757">SUM(W585+X585-Y585)</f>
        <v>3</v>
      </c>
      <c r="AA585" s="60"/>
      <c r="AB585" s="58"/>
      <c r="AC585" s="59">
        <f t="shared" ref="AC585:AC595" si="1758">SUM(Z585+AA585-AB585)</f>
        <v>3</v>
      </c>
      <c r="AD585" s="57"/>
      <c r="AE585" s="58"/>
      <c r="AF585" s="243">
        <f t="shared" ref="AF585:AF595" si="1759">SUM(AC585+AD585-AE585)</f>
        <v>3</v>
      </c>
      <c r="AG585" s="60"/>
      <c r="AH585" s="58"/>
      <c r="AI585" s="62">
        <f t="shared" ref="AI585:AI595" si="1760">SUM(AF585+AG585-AH585)</f>
        <v>3</v>
      </c>
      <c r="AJ585" s="60"/>
      <c r="AK585" s="58"/>
      <c r="AL585" s="62">
        <f t="shared" ref="AL585:AL595" si="1761">SUM(AI585+AJ585-AK585)</f>
        <v>3</v>
      </c>
      <c r="AM585" s="60"/>
      <c r="AN585" s="58"/>
      <c r="AO585" s="62">
        <f t="shared" ref="AO585:AO595" si="1762">SUM(AL585+AM585-AN585)</f>
        <v>3</v>
      </c>
      <c r="AP585" s="60"/>
      <c r="AQ585" s="58"/>
      <c r="AR585" s="62">
        <f t="shared" ref="AR585:AR595" si="1763">SUM(AO585+AP585-AQ585)</f>
        <v>3</v>
      </c>
      <c r="AS585" s="60"/>
      <c r="AT585" s="58"/>
      <c r="AU585" s="62">
        <f t="shared" ref="AU585:AU595" si="1764">SUM(AR585+AS585-AT585)</f>
        <v>3</v>
      </c>
      <c r="AV585" s="83">
        <f t="shared" ref="AV585:AW595" si="1765">SUM(L585+O585+R585+U585+X585+AA585+AD585+AG585+AJ585+AM585+AP585+AS585)</f>
        <v>0</v>
      </c>
      <c r="AW585" s="83">
        <f t="shared" si="1688"/>
        <v>0</v>
      </c>
      <c r="AX585" s="64">
        <f t="shared" ref="AX585:AX595" si="1766">SUM(M585,P585,S585,V585,Y585,AB585,AE585,AH585,AK585,AN585,AQ585,AT585)</f>
        <v>0</v>
      </c>
      <c r="AY585" s="65" t="e">
        <f t="shared" ref="AY585:AY595" si="1767">AVERAGE(M585,P585,S585,V585,Y585,AB585,AE585,AH585,AK585,AN585,AQ585,AT585)</f>
        <v>#DIV/0!</v>
      </c>
      <c r="AZ585" s="66">
        <f t="shared" ref="AZ585:AZ595" si="1768">COUNT(M585,P585,S585,V585,Y585,AB585,AE585,AH585,AK585,AN585,AQ585,AT585)</f>
        <v>0</v>
      </c>
      <c r="BA585" s="67">
        <v>3</v>
      </c>
      <c r="BB585" s="68">
        <v>1</v>
      </c>
      <c r="BC585" s="84">
        <f t="shared" si="1695"/>
        <v>3</v>
      </c>
      <c r="BD585" s="83">
        <f t="shared" si="1692"/>
        <v>2</v>
      </c>
      <c r="BE585" s="85">
        <v>2</v>
      </c>
      <c r="BF585" s="86">
        <v>43084.437673611108</v>
      </c>
      <c r="BG585" s="72" t="e">
        <f t="shared" ref="BG585:BG648" si="1769">BG584</f>
        <v>#REF!</v>
      </c>
      <c r="BH585" s="87" t="e">
        <f t="shared" ref="BH585:BH595" si="1770">BG585-BF585</f>
        <v>#REF!</v>
      </c>
      <c r="BI585" s="80" t="e">
        <f t="shared" si="1694"/>
        <v>#REF!</v>
      </c>
      <c r="BJ585" s="238">
        <v>110</v>
      </c>
    </row>
    <row r="586" spans="1:293" ht="13">
      <c r="A586" s="49"/>
      <c r="B586" s="76"/>
      <c r="C586" s="77">
        <v>584</v>
      </c>
      <c r="D586" s="127" t="s">
        <v>1690</v>
      </c>
      <c r="E586" s="127">
        <v>1</v>
      </c>
      <c r="F586" s="80" t="s">
        <v>409</v>
      </c>
      <c r="G586" s="81" t="s">
        <v>410</v>
      </c>
      <c r="H586" s="81" t="s">
        <v>290</v>
      </c>
      <c r="I586" s="80" t="s">
        <v>458</v>
      </c>
      <c r="J586" s="82">
        <f t="shared" si="1752"/>
        <v>1</v>
      </c>
      <c r="K586" s="80">
        <v>3</v>
      </c>
      <c r="L586" s="57"/>
      <c r="M586" s="58"/>
      <c r="N586" s="59">
        <f t="shared" si="1753"/>
        <v>3</v>
      </c>
      <c r="O586" s="60"/>
      <c r="P586" s="58"/>
      <c r="Q586" s="59">
        <f t="shared" si="1754"/>
        <v>3</v>
      </c>
      <c r="R586" s="60"/>
      <c r="S586" s="58"/>
      <c r="T586" s="61">
        <f t="shared" si="1755"/>
        <v>3</v>
      </c>
      <c r="U586" s="60"/>
      <c r="V586" s="58"/>
      <c r="W586" s="59">
        <f t="shared" si="1756"/>
        <v>3</v>
      </c>
      <c r="X586" s="60"/>
      <c r="Y586" s="58"/>
      <c r="Z586" s="61">
        <f t="shared" si="1757"/>
        <v>3</v>
      </c>
      <c r="AA586" s="60"/>
      <c r="AB586" s="58"/>
      <c r="AC586" s="59">
        <f t="shared" si="1758"/>
        <v>3</v>
      </c>
      <c r="AD586" s="57"/>
      <c r="AE586" s="58"/>
      <c r="AF586" s="243">
        <f t="shared" si="1759"/>
        <v>3</v>
      </c>
      <c r="AG586" s="60"/>
      <c r="AH586" s="58">
        <v>2</v>
      </c>
      <c r="AI586" s="62">
        <f t="shared" si="1760"/>
        <v>1</v>
      </c>
      <c r="AJ586" s="60"/>
      <c r="AK586" s="58"/>
      <c r="AL586" s="62">
        <f t="shared" si="1761"/>
        <v>1</v>
      </c>
      <c r="AM586" s="60"/>
      <c r="AN586" s="58"/>
      <c r="AO586" s="62">
        <f t="shared" si="1762"/>
        <v>1</v>
      </c>
      <c r="AP586" s="60"/>
      <c r="AQ586" s="58"/>
      <c r="AR586" s="62">
        <f t="shared" si="1763"/>
        <v>1</v>
      </c>
      <c r="AS586" s="60"/>
      <c r="AT586" s="58"/>
      <c r="AU586" s="62">
        <f t="shared" si="1764"/>
        <v>1</v>
      </c>
      <c r="AV586" s="83">
        <f t="shared" si="1765"/>
        <v>0</v>
      </c>
      <c r="AW586" s="83">
        <f t="shared" si="1688"/>
        <v>2</v>
      </c>
      <c r="AX586" s="64">
        <f t="shared" si="1766"/>
        <v>2</v>
      </c>
      <c r="AY586" s="65">
        <f t="shared" si="1767"/>
        <v>2</v>
      </c>
      <c r="AZ586" s="66">
        <f t="shared" si="1768"/>
        <v>1</v>
      </c>
      <c r="BA586" s="67">
        <v>3</v>
      </c>
      <c r="BB586" s="68">
        <v>1</v>
      </c>
      <c r="BC586" s="84">
        <f t="shared" si="1695"/>
        <v>1</v>
      </c>
      <c r="BD586" s="83">
        <f t="shared" si="1692"/>
        <v>0</v>
      </c>
      <c r="BE586" s="85">
        <v>2</v>
      </c>
      <c r="BF586" s="86">
        <v>45208.568807870368</v>
      </c>
      <c r="BG586" s="72" t="e">
        <f t="shared" si="1769"/>
        <v>#REF!</v>
      </c>
      <c r="BH586" s="87" t="e">
        <f t="shared" si="1770"/>
        <v>#REF!</v>
      </c>
      <c r="BI586" s="80" t="e">
        <f t="shared" si="1694"/>
        <v>#REF!</v>
      </c>
      <c r="BJ586" s="238">
        <v>110</v>
      </c>
    </row>
    <row r="587" spans="1:293" ht="13">
      <c r="A587" s="49"/>
      <c r="B587" s="50"/>
      <c r="C587" s="77">
        <v>585</v>
      </c>
      <c r="D587" s="127" t="s">
        <v>1690</v>
      </c>
      <c r="E587" s="127">
        <v>1</v>
      </c>
      <c r="F587" s="80" t="s">
        <v>579</v>
      </c>
      <c r="G587" s="81" t="s">
        <v>580</v>
      </c>
      <c r="H587" s="81" t="s">
        <v>290</v>
      </c>
      <c r="I587" s="80" t="s">
        <v>458</v>
      </c>
      <c r="J587" s="82">
        <f t="shared" si="1752"/>
        <v>1</v>
      </c>
      <c r="K587" s="80">
        <v>1</v>
      </c>
      <c r="L587" s="57"/>
      <c r="M587" s="58"/>
      <c r="N587" s="59">
        <f t="shared" si="1753"/>
        <v>1</v>
      </c>
      <c r="O587" s="60"/>
      <c r="P587" s="58"/>
      <c r="Q587" s="59">
        <f t="shared" si="1754"/>
        <v>1</v>
      </c>
      <c r="R587" s="60"/>
      <c r="S587" s="58"/>
      <c r="T587" s="61">
        <f t="shared" si="1755"/>
        <v>1</v>
      </c>
      <c r="U587" s="60"/>
      <c r="V587" s="58"/>
      <c r="W587" s="59">
        <f t="shared" si="1756"/>
        <v>1</v>
      </c>
      <c r="X587" s="60"/>
      <c r="Y587" s="58"/>
      <c r="Z587" s="61">
        <f t="shared" si="1757"/>
        <v>1</v>
      </c>
      <c r="AA587" s="60"/>
      <c r="AB587" s="58"/>
      <c r="AC587" s="59">
        <f t="shared" si="1758"/>
        <v>1</v>
      </c>
      <c r="AD587" s="57"/>
      <c r="AE587" s="58"/>
      <c r="AF587" s="243">
        <f t="shared" si="1759"/>
        <v>1</v>
      </c>
      <c r="AG587" s="60"/>
      <c r="AH587" s="58"/>
      <c r="AI587" s="62">
        <f t="shared" si="1760"/>
        <v>1</v>
      </c>
      <c r="AJ587" s="60"/>
      <c r="AK587" s="58"/>
      <c r="AL587" s="62">
        <f t="shared" si="1761"/>
        <v>1</v>
      </c>
      <c r="AM587" s="60"/>
      <c r="AN587" s="58"/>
      <c r="AO587" s="62">
        <f t="shared" si="1762"/>
        <v>1</v>
      </c>
      <c r="AP587" s="60"/>
      <c r="AQ587" s="58"/>
      <c r="AR587" s="62">
        <f t="shared" si="1763"/>
        <v>1</v>
      </c>
      <c r="AS587" s="60"/>
      <c r="AT587" s="58"/>
      <c r="AU587" s="62">
        <f t="shared" si="1764"/>
        <v>1</v>
      </c>
      <c r="AV587" s="83">
        <f t="shared" si="1765"/>
        <v>0</v>
      </c>
      <c r="AW587" s="83">
        <f t="shared" si="1765"/>
        <v>0</v>
      </c>
      <c r="AX587" s="64">
        <f t="shared" si="1766"/>
        <v>0</v>
      </c>
      <c r="AY587" s="65" t="e">
        <f t="shared" si="1767"/>
        <v>#DIV/0!</v>
      </c>
      <c r="AZ587" s="66">
        <f t="shared" si="1768"/>
        <v>0</v>
      </c>
      <c r="BA587" s="67">
        <f>MAX(0, Table176252626[[#This Row],[Column6]])</f>
        <v>1</v>
      </c>
      <c r="BB587" s="68">
        <v>0</v>
      </c>
      <c r="BC587" s="84">
        <f t="shared" si="1695"/>
        <v>1</v>
      </c>
      <c r="BD587" s="83">
        <f t="shared" si="1692"/>
        <v>1</v>
      </c>
      <c r="BE587" s="85">
        <v>2</v>
      </c>
      <c r="BF587" s="86">
        <v>43035.365891203706</v>
      </c>
      <c r="BG587" s="72" t="e">
        <f t="shared" si="1769"/>
        <v>#REF!</v>
      </c>
      <c r="BH587" s="87" t="e">
        <f t="shared" si="1770"/>
        <v>#REF!</v>
      </c>
      <c r="BI587" s="80" t="e">
        <f t="shared" si="1694"/>
        <v>#REF!</v>
      </c>
      <c r="BJ587" s="238">
        <v>198</v>
      </c>
    </row>
    <row r="588" spans="1:293" ht="13">
      <c r="A588" s="75"/>
      <c r="B588" s="76"/>
      <c r="C588" s="51">
        <v>586</v>
      </c>
      <c r="D588" s="127" t="s">
        <v>1690</v>
      </c>
      <c r="E588" s="127">
        <v>1</v>
      </c>
      <c r="F588" s="80" t="s">
        <v>407</v>
      </c>
      <c r="G588" s="81" t="s">
        <v>408</v>
      </c>
      <c r="H588" s="81" t="s">
        <v>290</v>
      </c>
      <c r="I588" s="80" t="s">
        <v>458</v>
      </c>
      <c r="J588" s="82">
        <f t="shared" si="1752"/>
        <v>1</v>
      </c>
      <c r="K588" s="80">
        <v>1</v>
      </c>
      <c r="L588" s="57"/>
      <c r="M588" s="58"/>
      <c r="N588" s="59">
        <f t="shared" si="1753"/>
        <v>1</v>
      </c>
      <c r="O588" s="60"/>
      <c r="P588" s="58"/>
      <c r="Q588" s="59">
        <f t="shared" si="1754"/>
        <v>1</v>
      </c>
      <c r="R588" s="60"/>
      <c r="S588" s="58"/>
      <c r="T588" s="61">
        <f t="shared" si="1755"/>
        <v>1</v>
      </c>
      <c r="U588" s="60"/>
      <c r="V588" s="58"/>
      <c r="W588" s="59">
        <f t="shared" si="1756"/>
        <v>1</v>
      </c>
      <c r="X588" s="60"/>
      <c r="Y588" s="58"/>
      <c r="Z588" s="61">
        <f t="shared" si="1757"/>
        <v>1</v>
      </c>
      <c r="AA588" s="60"/>
      <c r="AB588" s="58"/>
      <c r="AC588" s="59">
        <f t="shared" si="1758"/>
        <v>1</v>
      </c>
      <c r="AD588" s="57"/>
      <c r="AE588" s="58"/>
      <c r="AF588" s="243">
        <f t="shared" si="1759"/>
        <v>1</v>
      </c>
      <c r="AG588" s="60"/>
      <c r="AH588" s="58"/>
      <c r="AI588" s="62">
        <f t="shared" si="1760"/>
        <v>1</v>
      </c>
      <c r="AJ588" s="60"/>
      <c r="AK588" s="58"/>
      <c r="AL588" s="62">
        <f t="shared" si="1761"/>
        <v>1</v>
      </c>
      <c r="AM588" s="60"/>
      <c r="AN588" s="58"/>
      <c r="AO588" s="62">
        <f t="shared" si="1762"/>
        <v>1</v>
      </c>
      <c r="AP588" s="60"/>
      <c r="AQ588" s="58"/>
      <c r="AR588" s="62">
        <f t="shared" si="1763"/>
        <v>1</v>
      </c>
      <c r="AS588" s="60"/>
      <c r="AT588" s="58"/>
      <c r="AU588" s="62">
        <f t="shared" si="1764"/>
        <v>1</v>
      </c>
      <c r="AV588" s="83">
        <f t="shared" si="1765"/>
        <v>0</v>
      </c>
      <c r="AW588" s="83">
        <f t="shared" si="1765"/>
        <v>0</v>
      </c>
      <c r="AX588" s="64">
        <f t="shared" si="1766"/>
        <v>0</v>
      </c>
      <c r="AY588" s="65" t="e">
        <f t="shared" si="1767"/>
        <v>#DIV/0!</v>
      </c>
      <c r="AZ588" s="66">
        <f t="shared" si="1768"/>
        <v>0</v>
      </c>
      <c r="BA588" s="67">
        <f>MAX(0, Table176252626[[#This Row],[Column6]])</f>
        <v>1</v>
      </c>
      <c r="BB588" s="68">
        <v>0</v>
      </c>
      <c r="BC588" s="84">
        <f t="shared" si="1695"/>
        <v>1</v>
      </c>
      <c r="BD588" s="83">
        <f t="shared" si="1692"/>
        <v>1</v>
      </c>
      <c r="BE588" s="85">
        <v>2</v>
      </c>
      <c r="BF588" s="86">
        <v>43084.437673611108</v>
      </c>
      <c r="BG588" s="72" t="e">
        <f t="shared" si="1769"/>
        <v>#REF!</v>
      </c>
      <c r="BH588" s="87" t="e">
        <f t="shared" si="1770"/>
        <v>#REF!</v>
      </c>
      <c r="BI588" s="80" t="e">
        <f t="shared" si="1694"/>
        <v>#REF!</v>
      </c>
      <c r="BJ588" s="238">
        <v>110</v>
      </c>
    </row>
    <row r="589" spans="1:293" s="48" customFormat="1" ht="13">
      <c r="A589" s="49"/>
      <c r="B589" s="50"/>
      <c r="C589" s="51">
        <v>587</v>
      </c>
      <c r="D589" s="127" t="s">
        <v>1690</v>
      </c>
      <c r="E589" s="127">
        <v>1</v>
      </c>
      <c r="F589" s="80" t="s">
        <v>231</v>
      </c>
      <c r="G589" s="81" t="s">
        <v>232</v>
      </c>
      <c r="H589" s="81" t="s">
        <v>290</v>
      </c>
      <c r="I589" s="80" t="s">
        <v>799</v>
      </c>
      <c r="J589" s="82">
        <f>AU589</f>
        <v>1</v>
      </c>
      <c r="K589" s="80">
        <v>2</v>
      </c>
      <c r="L589" s="57"/>
      <c r="M589" s="58"/>
      <c r="N589" s="59">
        <f>SUM(K589+L589-M589)</f>
        <v>2</v>
      </c>
      <c r="O589" s="60"/>
      <c r="P589" s="58">
        <v>1</v>
      </c>
      <c r="Q589" s="59">
        <f>SUM(N589+O589-P589)</f>
        <v>1</v>
      </c>
      <c r="R589" s="60"/>
      <c r="S589" s="58"/>
      <c r="T589" s="61">
        <f>SUM(Q589+R589-S589)</f>
        <v>1</v>
      </c>
      <c r="U589" s="60"/>
      <c r="V589" s="58"/>
      <c r="W589" s="59">
        <f>SUM(T589+U589-V589)</f>
        <v>1</v>
      </c>
      <c r="X589" s="60"/>
      <c r="Y589" s="58"/>
      <c r="Z589" s="61">
        <f>SUM(W589+X589-Y589)</f>
        <v>1</v>
      </c>
      <c r="AA589" s="60"/>
      <c r="AB589" s="58"/>
      <c r="AC589" s="59">
        <f>SUM(Z589+AA589-AB589)</f>
        <v>1</v>
      </c>
      <c r="AD589" s="57"/>
      <c r="AE589" s="58"/>
      <c r="AF589" s="243">
        <f>SUM(AC589+AD589-AE589)</f>
        <v>1</v>
      </c>
      <c r="AG589" s="60"/>
      <c r="AH589" s="58"/>
      <c r="AI589" s="62">
        <f>SUM(AF589+AG589-AH589)</f>
        <v>1</v>
      </c>
      <c r="AJ589" s="60"/>
      <c r="AK589" s="58"/>
      <c r="AL589" s="62">
        <f>SUM(AI589+AJ589-AK589)</f>
        <v>1</v>
      </c>
      <c r="AM589" s="60"/>
      <c r="AN589" s="58"/>
      <c r="AO589" s="62">
        <f>SUM(AL589+AM589-AN589)</f>
        <v>1</v>
      </c>
      <c r="AP589" s="60"/>
      <c r="AQ589" s="58"/>
      <c r="AR589" s="62">
        <f>SUM(AO589+AP589-AQ589)</f>
        <v>1</v>
      </c>
      <c r="AS589" s="60"/>
      <c r="AT589" s="58"/>
      <c r="AU589" s="62">
        <f>SUM(AR589+AS589-AT589)</f>
        <v>1</v>
      </c>
      <c r="AV589" s="83">
        <f>SUM(L589+O589+R589+U589+X589+AA589+AD589+AG589+AJ589+AM589+AP589+AS589)</f>
        <v>0</v>
      </c>
      <c r="AW589" s="83">
        <f t="shared" si="1765"/>
        <v>1</v>
      </c>
      <c r="AX589" s="64">
        <f>SUM(M589,P589,S589,V589,Y589,AB589,AE589,AH589,AK589,AN589,AQ589,AT589)</f>
        <v>1</v>
      </c>
      <c r="AY589" s="65">
        <f t="shared" si="1767"/>
        <v>1</v>
      </c>
      <c r="AZ589" s="66">
        <f t="shared" si="1768"/>
        <v>1</v>
      </c>
      <c r="BA589" s="67">
        <f>MAX(0, Table176252626[[#This Row],[Column6]])</f>
        <v>1</v>
      </c>
      <c r="BB589" s="68">
        <v>0</v>
      </c>
      <c r="BC589" s="84">
        <f t="shared" si="1695"/>
        <v>1</v>
      </c>
      <c r="BD589" s="83">
        <f t="shared" si="1692"/>
        <v>1</v>
      </c>
      <c r="BE589" s="85">
        <v>2</v>
      </c>
      <c r="BF589" s="86">
        <v>42949.747291666667</v>
      </c>
      <c r="BG589" s="72" t="e">
        <f t="shared" si="1769"/>
        <v>#REF!</v>
      </c>
      <c r="BH589" s="87" t="e">
        <f t="shared" si="1770"/>
        <v>#REF!</v>
      </c>
      <c r="BI589" s="80" t="e">
        <f t="shared" si="1694"/>
        <v>#REF!</v>
      </c>
      <c r="BJ589" s="238">
        <v>470</v>
      </c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  <c r="FS589" s="30"/>
      <c r="FT589" s="30"/>
      <c r="FU589" s="30"/>
      <c r="FV589" s="30"/>
      <c r="FW589" s="30"/>
      <c r="FX589" s="30"/>
      <c r="FY589" s="30"/>
      <c r="FZ589" s="30"/>
      <c r="GA589" s="30"/>
      <c r="GB589" s="30"/>
      <c r="GC589" s="30"/>
      <c r="GD589" s="30"/>
      <c r="GE589" s="30"/>
      <c r="GF589" s="30"/>
      <c r="GG589" s="30"/>
      <c r="GH589" s="30"/>
      <c r="GI589" s="30"/>
      <c r="GJ589" s="30"/>
      <c r="GK589" s="30"/>
      <c r="GL589" s="30"/>
      <c r="GM589" s="30"/>
      <c r="GN589" s="30"/>
      <c r="GO589" s="30"/>
      <c r="GP589" s="30"/>
      <c r="GQ589" s="30"/>
      <c r="GR589" s="30"/>
      <c r="GS589" s="30"/>
      <c r="GT589" s="30"/>
      <c r="GU589" s="30"/>
      <c r="GV589" s="30"/>
      <c r="GW589" s="30"/>
      <c r="GX589" s="30"/>
      <c r="GY589" s="30"/>
      <c r="GZ589" s="30"/>
      <c r="HA589" s="30"/>
      <c r="HB589" s="30"/>
      <c r="HC589" s="30"/>
      <c r="HD589" s="30"/>
      <c r="HE589" s="30"/>
      <c r="HF589" s="30"/>
      <c r="HG589" s="30"/>
      <c r="HH589" s="30"/>
      <c r="HI589" s="30"/>
      <c r="HJ589" s="30"/>
      <c r="HK589" s="30"/>
      <c r="HL589" s="30"/>
      <c r="HM589" s="30"/>
      <c r="HN589" s="30"/>
      <c r="HO589" s="30"/>
      <c r="HP589" s="30"/>
      <c r="HQ589" s="30"/>
      <c r="HR589" s="30"/>
      <c r="HS589" s="30"/>
      <c r="HT589" s="30"/>
      <c r="HU589" s="30"/>
      <c r="HV589" s="30"/>
      <c r="HW589" s="30"/>
      <c r="HX589" s="30"/>
      <c r="HY589" s="30"/>
      <c r="HZ589" s="30"/>
      <c r="IA589" s="30"/>
      <c r="IB589" s="30"/>
      <c r="IC589" s="30"/>
      <c r="ID589" s="30"/>
      <c r="IE589" s="30"/>
      <c r="IF589" s="30"/>
      <c r="IG589" s="30"/>
      <c r="IH589" s="30"/>
      <c r="II589" s="30"/>
      <c r="IJ589" s="30"/>
      <c r="IK589" s="30"/>
      <c r="IL589" s="30"/>
      <c r="IM589" s="30"/>
      <c r="IN589" s="30"/>
      <c r="IO589" s="30"/>
      <c r="IP589" s="30"/>
      <c r="IQ589" s="30"/>
      <c r="IR589" s="30"/>
      <c r="IS589" s="30"/>
      <c r="IT589" s="30"/>
      <c r="IU589" s="30"/>
      <c r="IV589" s="30"/>
      <c r="IW589" s="30"/>
      <c r="IX589" s="30"/>
      <c r="IY589" s="30"/>
      <c r="IZ589" s="30"/>
      <c r="JA589" s="30"/>
      <c r="JB589" s="30"/>
      <c r="JC589" s="30"/>
      <c r="JD589" s="30"/>
      <c r="JE589" s="30"/>
      <c r="JF589" s="30"/>
      <c r="JG589" s="30"/>
      <c r="JH589" s="30"/>
      <c r="JI589" s="30"/>
      <c r="JJ589" s="30"/>
      <c r="JK589" s="30"/>
      <c r="JL589" s="30"/>
      <c r="JM589" s="30"/>
      <c r="JN589" s="30"/>
      <c r="JO589" s="30"/>
      <c r="JP589" s="30"/>
      <c r="JQ589" s="30"/>
      <c r="JR589" s="30"/>
      <c r="JS589" s="30"/>
      <c r="JT589" s="30"/>
      <c r="JU589" s="30"/>
      <c r="JV589" s="30"/>
      <c r="JW589" s="30"/>
      <c r="JX589" s="30"/>
      <c r="JY589" s="30"/>
      <c r="JZ589" s="30"/>
      <c r="KA589" s="30"/>
      <c r="KB589" s="30"/>
      <c r="KC589" s="30"/>
      <c r="KD589" s="30"/>
      <c r="KE589" s="30"/>
      <c r="KF589" s="30"/>
      <c r="KG589" s="30"/>
    </row>
    <row r="590" spans="1:293" ht="13">
      <c r="A590" s="90"/>
      <c r="B590" s="91"/>
      <c r="C590" s="51">
        <v>588</v>
      </c>
      <c r="D590" s="127" t="s">
        <v>1690</v>
      </c>
      <c r="E590" s="127">
        <v>1</v>
      </c>
      <c r="F590" s="80" t="s">
        <v>405</v>
      </c>
      <c r="G590" s="81" t="s">
        <v>406</v>
      </c>
      <c r="H590" s="81" t="s">
        <v>290</v>
      </c>
      <c r="I590" s="80" t="s">
        <v>458</v>
      </c>
      <c r="J590" s="82">
        <f t="shared" si="1752"/>
        <v>4</v>
      </c>
      <c r="K590" s="80">
        <v>4</v>
      </c>
      <c r="L590" s="57"/>
      <c r="M590" s="58"/>
      <c r="N590" s="59">
        <f t="shared" si="1753"/>
        <v>4</v>
      </c>
      <c r="O590" s="60"/>
      <c r="P590" s="58"/>
      <c r="Q590" s="59">
        <f t="shared" si="1754"/>
        <v>4</v>
      </c>
      <c r="R590" s="60"/>
      <c r="S590" s="58"/>
      <c r="T590" s="61">
        <f t="shared" si="1755"/>
        <v>4</v>
      </c>
      <c r="U590" s="60"/>
      <c r="V590" s="58"/>
      <c r="W590" s="59">
        <f t="shared" si="1756"/>
        <v>4</v>
      </c>
      <c r="X590" s="60"/>
      <c r="Y590" s="58"/>
      <c r="Z590" s="61">
        <f t="shared" si="1757"/>
        <v>4</v>
      </c>
      <c r="AA590" s="60"/>
      <c r="AB590" s="58"/>
      <c r="AC590" s="59">
        <f t="shared" si="1758"/>
        <v>4</v>
      </c>
      <c r="AD590" s="57"/>
      <c r="AE590" s="58"/>
      <c r="AF590" s="243">
        <f t="shared" si="1759"/>
        <v>4</v>
      </c>
      <c r="AG590" s="60"/>
      <c r="AH590" s="58"/>
      <c r="AI590" s="62">
        <f t="shared" si="1760"/>
        <v>4</v>
      </c>
      <c r="AJ590" s="60"/>
      <c r="AK590" s="58"/>
      <c r="AL590" s="62">
        <f t="shared" si="1761"/>
        <v>4</v>
      </c>
      <c r="AM590" s="60"/>
      <c r="AN590" s="58"/>
      <c r="AO590" s="62">
        <f t="shared" si="1762"/>
        <v>4</v>
      </c>
      <c r="AP590" s="60"/>
      <c r="AQ590" s="58"/>
      <c r="AR590" s="62">
        <f t="shared" si="1763"/>
        <v>4</v>
      </c>
      <c r="AS590" s="60"/>
      <c r="AT590" s="58"/>
      <c r="AU590" s="62">
        <f t="shared" si="1764"/>
        <v>4</v>
      </c>
      <c r="AV590" s="83">
        <f t="shared" si="1765"/>
        <v>0</v>
      </c>
      <c r="AW590" s="83">
        <f t="shared" si="1765"/>
        <v>0</v>
      </c>
      <c r="AX590" s="64">
        <f t="shared" si="1766"/>
        <v>0</v>
      </c>
      <c r="AY590" s="65" t="e">
        <f t="shared" si="1767"/>
        <v>#DIV/0!</v>
      </c>
      <c r="AZ590" s="66">
        <f t="shared" si="1768"/>
        <v>0</v>
      </c>
      <c r="BA590" s="67">
        <v>3</v>
      </c>
      <c r="BB590" s="68">
        <v>1</v>
      </c>
      <c r="BC590" s="84">
        <f t="shared" si="1695"/>
        <v>4</v>
      </c>
      <c r="BD590" s="83">
        <f t="shared" si="1692"/>
        <v>3</v>
      </c>
      <c r="BE590" s="85">
        <v>2</v>
      </c>
      <c r="BF590" s="86">
        <v>44489.392523148148</v>
      </c>
      <c r="BG590" s="72" t="e">
        <f t="shared" si="1769"/>
        <v>#REF!</v>
      </c>
      <c r="BH590" s="87" t="e">
        <f t="shared" si="1770"/>
        <v>#REF!</v>
      </c>
      <c r="BI590" s="80" t="e">
        <f t="shared" si="1694"/>
        <v>#REF!</v>
      </c>
      <c r="BJ590" s="238">
        <v>122</v>
      </c>
    </row>
    <row r="591" spans="1:293" ht="13">
      <c r="A591" s="49"/>
      <c r="B591" s="50"/>
      <c r="C591" s="51">
        <v>589</v>
      </c>
      <c r="D591" s="127" t="s">
        <v>1690</v>
      </c>
      <c r="E591" s="127">
        <v>1</v>
      </c>
      <c r="F591" s="80" t="s">
        <v>502</v>
      </c>
      <c r="G591" s="81" t="s">
        <v>503</v>
      </c>
      <c r="H591" s="81" t="s">
        <v>289</v>
      </c>
      <c r="I591" s="80" t="s">
        <v>458</v>
      </c>
      <c r="J591" s="82">
        <f t="shared" si="1752"/>
        <v>1</v>
      </c>
      <c r="K591" s="80">
        <v>4</v>
      </c>
      <c r="L591" s="57"/>
      <c r="M591" s="58"/>
      <c r="N591" s="59">
        <f t="shared" si="1753"/>
        <v>4</v>
      </c>
      <c r="O591" s="60"/>
      <c r="P591" s="58"/>
      <c r="Q591" s="59">
        <f t="shared" si="1754"/>
        <v>4</v>
      </c>
      <c r="R591" s="60"/>
      <c r="S591" s="58"/>
      <c r="T591" s="61">
        <f t="shared" si="1755"/>
        <v>4</v>
      </c>
      <c r="U591" s="60"/>
      <c r="V591" s="58"/>
      <c r="W591" s="59">
        <f t="shared" si="1756"/>
        <v>4</v>
      </c>
      <c r="X591" s="60"/>
      <c r="Y591" s="58"/>
      <c r="Z591" s="61">
        <f t="shared" si="1757"/>
        <v>4</v>
      </c>
      <c r="AA591" s="60"/>
      <c r="AB591" s="58"/>
      <c r="AC591" s="59">
        <f t="shared" si="1758"/>
        <v>4</v>
      </c>
      <c r="AD591" s="57"/>
      <c r="AE591" s="58"/>
      <c r="AF591" s="243">
        <f t="shared" si="1759"/>
        <v>4</v>
      </c>
      <c r="AG591" s="60"/>
      <c r="AH591" s="58">
        <v>3</v>
      </c>
      <c r="AI591" s="62">
        <f t="shared" si="1760"/>
        <v>1</v>
      </c>
      <c r="AJ591" s="60"/>
      <c r="AK591" s="58"/>
      <c r="AL591" s="62">
        <f t="shared" si="1761"/>
        <v>1</v>
      </c>
      <c r="AM591" s="60"/>
      <c r="AN591" s="58"/>
      <c r="AO591" s="62">
        <f t="shared" si="1762"/>
        <v>1</v>
      </c>
      <c r="AP591" s="60"/>
      <c r="AQ591" s="58"/>
      <c r="AR591" s="62">
        <f t="shared" si="1763"/>
        <v>1</v>
      </c>
      <c r="AS591" s="60"/>
      <c r="AT591" s="58"/>
      <c r="AU591" s="62">
        <f t="shared" si="1764"/>
        <v>1</v>
      </c>
      <c r="AV591" s="83">
        <f t="shared" si="1765"/>
        <v>0</v>
      </c>
      <c r="AW591" s="83">
        <f t="shared" si="1765"/>
        <v>3</v>
      </c>
      <c r="AX591" s="64">
        <f t="shared" si="1766"/>
        <v>3</v>
      </c>
      <c r="AY591" s="65">
        <f t="shared" si="1767"/>
        <v>3</v>
      </c>
      <c r="AZ591" s="66">
        <f t="shared" si="1768"/>
        <v>1</v>
      </c>
      <c r="BA591" s="67">
        <f>MAX(0, Table176252626[[#This Row],[Column6]])</f>
        <v>1</v>
      </c>
      <c r="BB591" s="68">
        <v>1</v>
      </c>
      <c r="BC591" s="84">
        <f t="shared" si="1695"/>
        <v>1</v>
      </c>
      <c r="BD591" s="83">
        <f t="shared" si="1692"/>
        <v>0</v>
      </c>
      <c r="BE591" s="85">
        <v>2</v>
      </c>
      <c r="BF591" s="86">
        <v>43290.690104166664</v>
      </c>
      <c r="BG591" s="72" t="e">
        <f t="shared" si="1769"/>
        <v>#REF!</v>
      </c>
      <c r="BH591" s="87" t="e">
        <f t="shared" si="1770"/>
        <v>#REF!</v>
      </c>
      <c r="BI591" s="80" t="e">
        <f t="shared" si="1694"/>
        <v>#REF!</v>
      </c>
      <c r="BJ591" s="238">
        <v>188</v>
      </c>
    </row>
    <row r="592" spans="1:293" ht="13">
      <c r="A592" s="75"/>
      <c r="B592" s="76"/>
      <c r="C592" s="77">
        <v>590</v>
      </c>
      <c r="D592" s="127" t="s">
        <v>1690</v>
      </c>
      <c r="E592" s="127">
        <v>1</v>
      </c>
      <c r="F592" s="80" t="s">
        <v>661</v>
      </c>
      <c r="G592" s="81" t="s">
        <v>662</v>
      </c>
      <c r="H592" s="81" t="s">
        <v>294</v>
      </c>
      <c r="I592" s="80" t="s">
        <v>458</v>
      </c>
      <c r="J592" s="82">
        <f t="shared" si="1752"/>
        <v>2</v>
      </c>
      <c r="K592" s="80">
        <v>2</v>
      </c>
      <c r="L592" s="57"/>
      <c r="M592" s="58"/>
      <c r="N592" s="59">
        <f t="shared" si="1753"/>
        <v>2</v>
      </c>
      <c r="O592" s="60"/>
      <c r="P592" s="58"/>
      <c r="Q592" s="59">
        <f t="shared" si="1754"/>
        <v>2</v>
      </c>
      <c r="R592" s="60"/>
      <c r="S592" s="58"/>
      <c r="T592" s="61">
        <f t="shared" si="1755"/>
        <v>2</v>
      </c>
      <c r="U592" s="60"/>
      <c r="V592" s="58"/>
      <c r="W592" s="59">
        <f t="shared" si="1756"/>
        <v>2</v>
      </c>
      <c r="X592" s="60"/>
      <c r="Y592" s="58"/>
      <c r="Z592" s="61">
        <f t="shared" si="1757"/>
        <v>2</v>
      </c>
      <c r="AA592" s="60"/>
      <c r="AB592" s="58"/>
      <c r="AC592" s="59">
        <f t="shared" si="1758"/>
        <v>2</v>
      </c>
      <c r="AD592" s="57"/>
      <c r="AE592" s="58"/>
      <c r="AF592" s="243">
        <f t="shared" si="1759"/>
        <v>2</v>
      </c>
      <c r="AG592" s="60"/>
      <c r="AH592" s="58"/>
      <c r="AI592" s="62">
        <f t="shared" si="1760"/>
        <v>2</v>
      </c>
      <c r="AJ592" s="60"/>
      <c r="AK592" s="58"/>
      <c r="AL592" s="62">
        <f t="shared" si="1761"/>
        <v>2</v>
      </c>
      <c r="AM592" s="60"/>
      <c r="AN592" s="58"/>
      <c r="AO592" s="62">
        <f t="shared" si="1762"/>
        <v>2</v>
      </c>
      <c r="AP592" s="60"/>
      <c r="AQ592" s="58"/>
      <c r="AR592" s="104">
        <f t="shared" si="1763"/>
        <v>2</v>
      </c>
      <c r="AS592" s="57"/>
      <c r="AT592" s="58"/>
      <c r="AU592" s="62">
        <f t="shared" si="1764"/>
        <v>2</v>
      </c>
      <c r="AV592" s="83">
        <f t="shared" si="1765"/>
        <v>0</v>
      </c>
      <c r="AW592" s="83">
        <f t="shared" si="1765"/>
        <v>0</v>
      </c>
      <c r="AX592" s="64">
        <f t="shared" si="1766"/>
        <v>0</v>
      </c>
      <c r="AY592" s="65" t="e">
        <f t="shared" si="1767"/>
        <v>#DIV/0!</v>
      </c>
      <c r="AZ592" s="66">
        <f t="shared" si="1768"/>
        <v>0</v>
      </c>
      <c r="BA592" s="67">
        <f>MAX(0, Table176252626[[#This Row],[Column6]])</f>
        <v>2</v>
      </c>
      <c r="BB592" s="68">
        <v>1</v>
      </c>
      <c r="BC592" s="84">
        <f t="shared" si="1695"/>
        <v>2</v>
      </c>
      <c r="BD592" s="83">
        <f t="shared" si="1692"/>
        <v>1</v>
      </c>
      <c r="BE592" s="85">
        <v>2</v>
      </c>
      <c r="BF592" s="86">
        <v>43601.598240740743</v>
      </c>
      <c r="BG592" s="72" t="e">
        <f t="shared" si="1769"/>
        <v>#REF!</v>
      </c>
      <c r="BH592" s="87" t="e">
        <f t="shared" si="1770"/>
        <v>#REF!</v>
      </c>
      <c r="BI592" s="80" t="e">
        <f t="shared" si="1694"/>
        <v>#REF!</v>
      </c>
      <c r="BJ592" s="238">
        <v>950</v>
      </c>
    </row>
    <row r="593" spans="1:62" ht="13">
      <c r="A593" s="49"/>
      <c r="B593" s="76"/>
      <c r="C593" s="77">
        <v>591</v>
      </c>
      <c r="D593" s="127" t="s">
        <v>1690</v>
      </c>
      <c r="E593" s="127">
        <v>1</v>
      </c>
      <c r="F593" s="80" t="s">
        <v>421</v>
      </c>
      <c r="G593" s="81" t="s">
        <v>422</v>
      </c>
      <c r="H593" s="81" t="s">
        <v>290</v>
      </c>
      <c r="I593" s="80" t="s">
        <v>458</v>
      </c>
      <c r="J593" s="82">
        <f t="shared" si="1752"/>
        <v>4</v>
      </c>
      <c r="K593" s="80">
        <v>4</v>
      </c>
      <c r="L593" s="57"/>
      <c r="M593" s="58"/>
      <c r="N593" s="59">
        <f t="shared" si="1753"/>
        <v>4</v>
      </c>
      <c r="O593" s="60"/>
      <c r="P593" s="58"/>
      <c r="Q593" s="59">
        <f t="shared" si="1754"/>
        <v>4</v>
      </c>
      <c r="R593" s="60"/>
      <c r="S593" s="58"/>
      <c r="T593" s="61">
        <f t="shared" si="1755"/>
        <v>4</v>
      </c>
      <c r="U593" s="60"/>
      <c r="V593" s="58"/>
      <c r="W593" s="59">
        <f t="shared" si="1756"/>
        <v>4</v>
      </c>
      <c r="X593" s="60"/>
      <c r="Y593" s="58"/>
      <c r="Z593" s="61">
        <f t="shared" si="1757"/>
        <v>4</v>
      </c>
      <c r="AA593" s="60"/>
      <c r="AB593" s="58"/>
      <c r="AC593" s="59">
        <f t="shared" si="1758"/>
        <v>4</v>
      </c>
      <c r="AD593" s="57"/>
      <c r="AE593" s="58"/>
      <c r="AF593" s="243">
        <f t="shared" si="1759"/>
        <v>4</v>
      </c>
      <c r="AG593" s="60"/>
      <c r="AH593" s="58"/>
      <c r="AI593" s="62">
        <f t="shared" si="1760"/>
        <v>4</v>
      </c>
      <c r="AJ593" s="60"/>
      <c r="AK593" s="58"/>
      <c r="AL593" s="62">
        <f t="shared" si="1761"/>
        <v>4</v>
      </c>
      <c r="AM593" s="60"/>
      <c r="AN593" s="58"/>
      <c r="AO593" s="62">
        <f t="shared" si="1762"/>
        <v>4</v>
      </c>
      <c r="AP593" s="60"/>
      <c r="AQ593" s="58"/>
      <c r="AR593" s="62">
        <f t="shared" si="1763"/>
        <v>4</v>
      </c>
      <c r="AS593" s="60"/>
      <c r="AT593" s="58"/>
      <c r="AU593" s="62">
        <f t="shared" si="1764"/>
        <v>4</v>
      </c>
      <c r="AV593" s="83">
        <f t="shared" si="1765"/>
        <v>0</v>
      </c>
      <c r="AW593" s="83">
        <f t="shared" si="1765"/>
        <v>0</v>
      </c>
      <c r="AX593" s="64">
        <f t="shared" si="1766"/>
        <v>0</v>
      </c>
      <c r="AY593" s="65" t="e">
        <f t="shared" si="1767"/>
        <v>#DIV/0!</v>
      </c>
      <c r="AZ593" s="66">
        <f t="shared" si="1768"/>
        <v>0</v>
      </c>
      <c r="BA593" s="67">
        <f>MAX(0, Table176252626[[#This Row],[Column6]])</f>
        <v>4</v>
      </c>
      <c r="BB593" s="68">
        <v>1</v>
      </c>
      <c r="BC593" s="84">
        <f t="shared" si="1695"/>
        <v>4</v>
      </c>
      <c r="BD593" s="83">
        <f t="shared" si="1692"/>
        <v>3</v>
      </c>
      <c r="BE593" s="85">
        <v>2</v>
      </c>
      <c r="BF593" s="86">
        <v>44589.518831018519</v>
      </c>
      <c r="BG593" s="72" t="e">
        <f t="shared" si="1769"/>
        <v>#REF!</v>
      </c>
      <c r="BH593" s="87" t="e">
        <f t="shared" si="1770"/>
        <v>#REF!</v>
      </c>
      <c r="BI593" s="80" t="e">
        <f t="shared" si="1694"/>
        <v>#REF!</v>
      </c>
      <c r="BJ593" s="238">
        <v>80</v>
      </c>
    </row>
    <row r="594" spans="1:62" ht="13">
      <c r="A594" s="49"/>
      <c r="B594" s="50"/>
      <c r="C594" s="51">
        <v>592</v>
      </c>
      <c r="D594" s="127" t="s">
        <v>1690</v>
      </c>
      <c r="E594" s="127">
        <v>1</v>
      </c>
      <c r="F594" s="88" t="s">
        <v>788</v>
      </c>
      <c r="G594" s="89" t="s">
        <v>789</v>
      </c>
      <c r="H594" s="81" t="s">
        <v>294</v>
      </c>
      <c r="I594" s="80" t="s">
        <v>458</v>
      </c>
      <c r="J594" s="82">
        <f t="shared" si="1752"/>
        <v>4</v>
      </c>
      <c r="K594" s="80">
        <v>4</v>
      </c>
      <c r="L594" s="57"/>
      <c r="M594" s="58"/>
      <c r="N594" s="59">
        <f t="shared" si="1753"/>
        <v>4</v>
      </c>
      <c r="O594" s="60"/>
      <c r="P594" s="58"/>
      <c r="Q594" s="59">
        <f t="shared" si="1754"/>
        <v>4</v>
      </c>
      <c r="R594" s="60"/>
      <c r="S594" s="58"/>
      <c r="T594" s="61">
        <f t="shared" si="1755"/>
        <v>4</v>
      </c>
      <c r="U594" s="60"/>
      <c r="V594" s="58"/>
      <c r="W594" s="59">
        <f t="shared" si="1756"/>
        <v>4</v>
      </c>
      <c r="X594" s="60"/>
      <c r="Y594" s="58"/>
      <c r="Z594" s="61">
        <f t="shared" si="1757"/>
        <v>4</v>
      </c>
      <c r="AA594" s="60"/>
      <c r="AB594" s="58"/>
      <c r="AC594" s="59">
        <f t="shared" si="1758"/>
        <v>4</v>
      </c>
      <c r="AD594" s="57"/>
      <c r="AE594" s="58"/>
      <c r="AF594" s="243">
        <f t="shared" si="1759"/>
        <v>4</v>
      </c>
      <c r="AG594" s="60"/>
      <c r="AH594" s="58"/>
      <c r="AI594" s="62">
        <f t="shared" si="1760"/>
        <v>4</v>
      </c>
      <c r="AJ594" s="60"/>
      <c r="AK594" s="58"/>
      <c r="AL594" s="62">
        <f t="shared" si="1761"/>
        <v>4</v>
      </c>
      <c r="AM594" s="60"/>
      <c r="AN594" s="58"/>
      <c r="AO594" s="62">
        <f t="shared" si="1762"/>
        <v>4</v>
      </c>
      <c r="AP594" s="60"/>
      <c r="AQ594" s="58"/>
      <c r="AR594" s="62">
        <f t="shared" si="1763"/>
        <v>4</v>
      </c>
      <c r="AS594" s="60"/>
      <c r="AT594" s="58"/>
      <c r="AU594" s="62">
        <f t="shared" si="1764"/>
        <v>4</v>
      </c>
      <c r="AV594" s="83">
        <f t="shared" si="1765"/>
        <v>0</v>
      </c>
      <c r="AW594" s="83">
        <f t="shared" si="1765"/>
        <v>0</v>
      </c>
      <c r="AX594" s="64">
        <f t="shared" si="1766"/>
        <v>0</v>
      </c>
      <c r="AY594" s="65" t="e">
        <f t="shared" si="1767"/>
        <v>#DIV/0!</v>
      </c>
      <c r="AZ594" s="66">
        <f t="shared" si="1768"/>
        <v>0</v>
      </c>
      <c r="BA594" s="67">
        <f>MAX(0, Table176252626[[#This Row],[Column6]])</f>
        <v>4</v>
      </c>
      <c r="BB594" s="68">
        <v>1</v>
      </c>
      <c r="BC594" s="84">
        <f t="shared" si="1695"/>
        <v>4</v>
      </c>
      <c r="BD594" s="83">
        <f t="shared" si="1692"/>
        <v>3</v>
      </c>
      <c r="BE594" s="85">
        <v>2</v>
      </c>
      <c r="BF594" s="86">
        <v>45314.453148148146</v>
      </c>
      <c r="BG594" s="72" t="e">
        <f t="shared" si="1769"/>
        <v>#REF!</v>
      </c>
      <c r="BH594" s="87" t="e">
        <f t="shared" si="1770"/>
        <v>#REF!</v>
      </c>
      <c r="BI594" s="80" t="e">
        <f t="shared" si="1694"/>
        <v>#REF!</v>
      </c>
      <c r="BJ594" s="238">
        <v>320</v>
      </c>
    </row>
    <row r="595" spans="1:62" ht="13">
      <c r="A595" s="75"/>
      <c r="B595" s="76"/>
      <c r="C595" s="51">
        <v>593</v>
      </c>
      <c r="D595" s="127" t="s">
        <v>1690</v>
      </c>
      <c r="E595" s="127">
        <v>1</v>
      </c>
      <c r="F595" s="88" t="s">
        <v>790</v>
      </c>
      <c r="G595" s="89" t="s">
        <v>791</v>
      </c>
      <c r="H595" s="81" t="s">
        <v>294</v>
      </c>
      <c r="I595" s="80" t="s">
        <v>458</v>
      </c>
      <c r="J595" s="82">
        <f t="shared" si="1752"/>
        <v>4</v>
      </c>
      <c r="K595" s="80">
        <v>5</v>
      </c>
      <c r="L595" s="57"/>
      <c r="M595" s="58"/>
      <c r="N595" s="59">
        <f t="shared" si="1753"/>
        <v>5</v>
      </c>
      <c r="O595" s="60"/>
      <c r="P595" s="58"/>
      <c r="Q595" s="59">
        <f t="shared" si="1754"/>
        <v>5</v>
      </c>
      <c r="R595" s="60"/>
      <c r="S595" s="58"/>
      <c r="T595" s="61">
        <f t="shared" si="1755"/>
        <v>5</v>
      </c>
      <c r="U595" s="60"/>
      <c r="V595" s="58"/>
      <c r="W595" s="59">
        <f t="shared" si="1756"/>
        <v>5</v>
      </c>
      <c r="X595" s="60"/>
      <c r="Y595" s="58"/>
      <c r="Z595" s="61">
        <f t="shared" si="1757"/>
        <v>5</v>
      </c>
      <c r="AA595" s="60"/>
      <c r="AB595" s="58"/>
      <c r="AC595" s="59">
        <f t="shared" si="1758"/>
        <v>5</v>
      </c>
      <c r="AD595" s="57"/>
      <c r="AE595" s="58"/>
      <c r="AF595" s="243">
        <f t="shared" si="1759"/>
        <v>5</v>
      </c>
      <c r="AG595" s="60"/>
      <c r="AH595" s="58">
        <v>1</v>
      </c>
      <c r="AI595" s="62">
        <f t="shared" si="1760"/>
        <v>4</v>
      </c>
      <c r="AJ595" s="60"/>
      <c r="AK595" s="58"/>
      <c r="AL595" s="62">
        <f t="shared" si="1761"/>
        <v>4</v>
      </c>
      <c r="AM595" s="60"/>
      <c r="AN595" s="58"/>
      <c r="AO595" s="62">
        <f t="shared" si="1762"/>
        <v>4</v>
      </c>
      <c r="AP595" s="60"/>
      <c r="AQ595" s="58"/>
      <c r="AR595" s="62">
        <f t="shared" si="1763"/>
        <v>4</v>
      </c>
      <c r="AS595" s="60"/>
      <c r="AT595" s="58"/>
      <c r="AU595" s="62">
        <f t="shared" si="1764"/>
        <v>4</v>
      </c>
      <c r="AV595" s="83">
        <f t="shared" si="1765"/>
        <v>0</v>
      </c>
      <c r="AW595" s="83">
        <f t="shared" si="1765"/>
        <v>1</v>
      </c>
      <c r="AX595" s="64">
        <f t="shared" si="1766"/>
        <v>1</v>
      </c>
      <c r="AY595" s="65">
        <f t="shared" si="1767"/>
        <v>1</v>
      </c>
      <c r="AZ595" s="66">
        <f t="shared" si="1768"/>
        <v>1</v>
      </c>
      <c r="BA595" s="67">
        <f>MAX(0, Table176252626[[#This Row],[Column6]])</f>
        <v>4</v>
      </c>
      <c r="BB595" s="68">
        <v>1</v>
      </c>
      <c r="BC595" s="84">
        <f t="shared" si="1695"/>
        <v>4</v>
      </c>
      <c r="BD595" s="83">
        <f t="shared" si="1692"/>
        <v>3</v>
      </c>
      <c r="BE595" s="85">
        <v>2</v>
      </c>
      <c r="BF595" s="86">
        <v>43823.354768518519</v>
      </c>
      <c r="BG595" s="72" t="e">
        <f t="shared" si="1769"/>
        <v>#REF!</v>
      </c>
      <c r="BH595" s="87" t="e">
        <f t="shared" si="1770"/>
        <v>#REF!</v>
      </c>
      <c r="BI595" s="80" t="e">
        <f t="shared" si="1694"/>
        <v>#REF!</v>
      </c>
      <c r="BJ595" s="238">
        <v>365</v>
      </c>
    </row>
    <row r="596" spans="1:62" ht="13">
      <c r="A596" s="49"/>
      <c r="B596" s="50"/>
      <c r="C596" s="51">
        <v>594</v>
      </c>
      <c r="D596" s="247" t="s">
        <v>2005</v>
      </c>
      <c r="E596" s="138">
        <v>1</v>
      </c>
      <c r="F596" s="105" t="s">
        <v>109</v>
      </c>
      <c r="G596" s="112" t="s">
        <v>1331</v>
      </c>
      <c r="H596" s="81" t="s">
        <v>294</v>
      </c>
      <c r="I596" s="80" t="s">
        <v>458</v>
      </c>
      <c r="J596" s="82">
        <f t="shared" ref="J596" si="1771">AU596</f>
        <v>1</v>
      </c>
      <c r="K596" s="80">
        <v>1</v>
      </c>
      <c r="L596" s="57"/>
      <c r="M596" s="58"/>
      <c r="N596" s="59">
        <f>SUM(K596+L596-M596)</f>
        <v>1</v>
      </c>
      <c r="O596" s="60"/>
      <c r="P596" s="58"/>
      <c r="Q596" s="59">
        <f>SUM(N596+O596-P596)</f>
        <v>1</v>
      </c>
      <c r="R596" s="60"/>
      <c r="S596" s="58"/>
      <c r="T596" s="61">
        <f>SUM(Q596+R596-S596)</f>
        <v>1</v>
      </c>
      <c r="U596" s="60"/>
      <c r="V596" s="58"/>
      <c r="W596" s="59">
        <f>SUM(T596+U596-V596)</f>
        <v>1</v>
      </c>
      <c r="X596" s="60"/>
      <c r="Y596" s="58"/>
      <c r="Z596" s="61">
        <f>SUM(W596+X596-Y596)</f>
        <v>1</v>
      </c>
      <c r="AA596" s="60"/>
      <c r="AB596" s="58"/>
      <c r="AC596" s="59">
        <f>SUM(Z596+AA596-AB596)</f>
        <v>1</v>
      </c>
      <c r="AD596" s="57"/>
      <c r="AE596" s="58"/>
      <c r="AF596" s="243">
        <f>SUM(AC596+AD596-AE596)</f>
        <v>1</v>
      </c>
      <c r="AG596" s="60"/>
      <c r="AH596" s="58"/>
      <c r="AI596" s="62">
        <f>SUM(AF596+AG596-AH596)</f>
        <v>1</v>
      </c>
      <c r="AJ596" s="60"/>
      <c r="AK596" s="58"/>
      <c r="AL596" s="62">
        <f>SUM(AI596+AJ596-AK596)</f>
        <v>1</v>
      </c>
      <c r="AM596" s="60"/>
      <c r="AN596" s="58"/>
      <c r="AO596" s="62">
        <f>SUM(AL596+AM596-AN596)</f>
        <v>1</v>
      </c>
      <c r="AP596" s="60"/>
      <c r="AQ596" s="58"/>
      <c r="AR596" s="62">
        <f>SUM(AO596+AP596-AQ596)</f>
        <v>1</v>
      </c>
      <c r="AS596" s="60"/>
      <c r="AT596" s="58"/>
      <c r="AU596" s="62">
        <f>SUM(AR596+AS596-AT596)</f>
        <v>1</v>
      </c>
      <c r="AV596" s="83">
        <f t="shared" ref="AV596" si="1772">SUM(L596+O596+R596+U596+X596+AA596+AD596+AG596+AJ596+AM596+AP596+AS596)</f>
        <v>0</v>
      </c>
      <c r="AW596" s="83">
        <f t="shared" ref="AW596:AW626" si="1773">SUM(M596+P596+S596+V596+Y596+AB596+AE596+AH596+AK596+AN596+AQ596+AT596)</f>
        <v>0</v>
      </c>
      <c r="AX596" s="64">
        <f>SUM(M596,P596,S596,V596,Y596,AB596,AE596,AH596,AK596,AN596,AQ596,AT596)</f>
        <v>0</v>
      </c>
      <c r="AY596" s="65" t="e">
        <f>AVERAGE(M596,P596,S596,V596,Y596,AB596,AE596,AH596,AK596,AN596,AQ596,AT596)</f>
        <v>#DIV/0!</v>
      </c>
      <c r="AZ596" s="66">
        <f>COUNT(M596,P596,S596,V596,Y596,AB596,AE596,AH596,AK596,AN596,AQ596,AT596)</f>
        <v>0</v>
      </c>
      <c r="BA596" s="67">
        <v>1</v>
      </c>
      <c r="BB596" s="68">
        <v>0</v>
      </c>
      <c r="BC596" s="84">
        <f t="shared" ref="BC596:BC626" si="1774">J596</f>
        <v>1</v>
      </c>
      <c r="BD596" s="83">
        <f t="shared" ref="BD596:BD660" si="1775">SUM(BC596-BB596)</f>
        <v>1</v>
      </c>
      <c r="BE596" s="85">
        <v>2</v>
      </c>
      <c r="BF596" s="86">
        <v>45162.581018518518</v>
      </c>
      <c r="BG596" s="72" t="e">
        <f t="shared" si="1769"/>
        <v>#REF!</v>
      </c>
      <c r="BH596" s="87" t="e">
        <f>BG596-BF596</f>
        <v>#REF!</v>
      </c>
      <c r="BI596" s="80" t="e">
        <f t="shared" ref="BI596:BI660" si="1776">IF(AND(J596&gt;0,BH596&gt;365),"Dead Stock","")</f>
        <v>#REF!</v>
      </c>
      <c r="BJ596" s="238">
        <v>34850</v>
      </c>
    </row>
    <row r="597" spans="1:62" ht="13">
      <c r="A597" s="49"/>
      <c r="B597" s="76"/>
      <c r="C597" s="51">
        <v>595</v>
      </c>
      <c r="D597" s="247" t="s">
        <v>2005</v>
      </c>
      <c r="E597" s="138">
        <v>2</v>
      </c>
      <c r="F597" s="88" t="s">
        <v>1650</v>
      </c>
      <c r="G597" s="89" t="s">
        <v>1651</v>
      </c>
      <c r="H597" s="89" t="s">
        <v>294</v>
      </c>
      <c r="I597" s="88" t="s">
        <v>458</v>
      </c>
      <c r="J597" s="93">
        <f>AU597</f>
        <v>1</v>
      </c>
      <c r="K597" s="80">
        <v>1</v>
      </c>
      <c r="L597" s="58"/>
      <c r="M597" s="58"/>
      <c r="N597" s="62">
        <f>SUM(K597+L597-M597)</f>
        <v>1</v>
      </c>
      <c r="O597" s="60"/>
      <c r="P597" s="58"/>
      <c r="Q597" s="62">
        <f>SUM(N597+O597-P597)</f>
        <v>1</v>
      </c>
      <c r="R597" s="60"/>
      <c r="S597" s="58"/>
      <c r="T597" s="94">
        <f>SUM(Q597+R597-S597)</f>
        <v>1</v>
      </c>
      <c r="U597" s="60"/>
      <c r="V597" s="58"/>
      <c r="W597" s="62">
        <f>SUM(T597+U597-V597)</f>
        <v>1</v>
      </c>
      <c r="X597" s="60"/>
      <c r="Y597" s="58"/>
      <c r="Z597" s="94">
        <f>SUM(W597+X597-Y597)</f>
        <v>1</v>
      </c>
      <c r="AA597" s="60"/>
      <c r="AB597" s="58"/>
      <c r="AC597" s="62">
        <f>SUM(Z597+AA597-AB597)</f>
        <v>1</v>
      </c>
      <c r="AD597" s="57"/>
      <c r="AE597" s="58"/>
      <c r="AF597" s="165">
        <f>SUM(AC597+AD597-AE597)</f>
        <v>1</v>
      </c>
      <c r="AG597" s="60"/>
      <c r="AH597" s="58"/>
      <c r="AI597" s="62">
        <f>SUM(AF597+AG597-AH597)</f>
        <v>1</v>
      </c>
      <c r="AJ597" s="60"/>
      <c r="AK597" s="58"/>
      <c r="AL597" s="62">
        <f>SUM(AI597+AJ597-AK597)</f>
        <v>1</v>
      </c>
      <c r="AM597" s="60"/>
      <c r="AN597" s="58"/>
      <c r="AO597" s="62">
        <f>SUM(AL597+AM597-AN597)</f>
        <v>1</v>
      </c>
      <c r="AP597" s="60"/>
      <c r="AQ597" s="58"/>
      <c r="AR597" s="62">
        <f>SUM(AO597+AP597-AQ597)</f>
        <v>1</v>
      </c>
      <c r="AS597" s="60"/>
      <c r="AT597" s="58"/>
      <c r="AU597" s="62">
        <f t="shared" ref="AU597" si="1777">SUM(AR597+AS597-AT597)</f>
        <v>1</v>
      </c>
      <c r="AV597" s="96">
        <f t="shared" ref="AV597" si="1778">SUM(L597+O597+R597+U597+X597+AA597+AD597+AG597+AJ597+AM597+AP597+AS597)</f>
        <v>0</v>
      </c>
      <c r="AW597" s="83">
        <f t="shared" si="1773"/>
        <v>0</v>
      </c>
      <c r="AX597" s="98">
        <f t="shared" ref="AX597" si="1779">SUM(M597,P597,S597,V597,Y597,AB597,AE597,AH597,AK597,AN597,AQ597,AT597)</f>
        <v>0</v>
      </c>
      <c r="AY597" s="99" t="e">
        <f>AVERAGE(M597,P597,S597,V597,Y597,AB597,AE597,AH597,AK597,AN597,AQ597,AT597)</f>
        <v>#DIV/0!</v>
      </c>
      <c r="AZ597" s="100">
        <f>COUNT(M597,P597,S597,V597,Y597,AB597,AE597,AH597,AK597,AN597,AQ597,AT597)</f>
        <v>0</v>
      </c>
      <c r="BA597" s="101">
        <v>1</v>
      </c>
      <c r="BB597" s="102">
        <v>0</v>
      </c>
      <c r="BC597" s="84">
        <f t="shared" si="1774"/>
        <v>1</v>
      </c>
      <c r="BD597" s="83">
        <f t="shared" si="1775"/>
        <v>1</v>
      </c>
      <c r="BE597" s="85">
        <v>2</v>
      </c>
      <c r="BF597" s="86">
        <v>45643.410740740743</v>
      </c>
      <c r="BG597" s="72" t="e">
        <f t="shared" si="1769"/>
        <v>#REF!</v>
      </c>
      <c r="BH597" s="103" t="e">
        <f>BG597-BF597</f>
        <v>#REF!</v>
      </c>
      <c r="BI597" s="80" t="e">
        <f t="shared" si="1776"/>
        <v>#REF!</v>
      </c>
      <c r="BJ597" s="238">
        <v>36000</v>
      </c>
    </row>
    <row r="598" spans="1:62" ht="13">
      <c r="A598" s="90"/>
      <c r="B598" s="91"/>
      <c r="C598" s="77">
        <v>596</v>
      </c>
      <c r="D598" s="247" t="s">
        <v>2005</v>
      </c>
      <c r="E598" s="138">
        <v>2</v>
      </c>
      <c r="F598" s="105" t="s">
        <v>623</v>
      </c>
      <c r="G598" s="112" t="s">
        <v>624</v>
      </c>
      <c r="H598" s="81" t="s">
        <v>294</v>
      </c>
      <c r="I598" s="80" t="s">
        <v>458</v>
      </c>
      <c r="J598" s="93">
        <f t="shared" ref="J598:J599" si="1780">AU598</f>
        <v>1</v>
      </c>
      <c r="K598" s="80">
        <v>0</v>
      </c>
      <c r="L598" s="57"/>
      <c r="M598" s="58"/>
      <c r="N598" s="59">
        <f t="shared" ref="N598:N599" si="1781">SUM(K598+L598-M598)</f>
        <v>0</v>
      </c>
      <c r="O598" s="60"/>
      <c r="P598" s="58"/>
      <c r="Q598" s="59">
        <f t="shared" ref="Q598:Q599" si="1782">SUM(N598+O598-P598)</f>
        <v>0</v>
      </c>
      <c r="R598" s="60"/>
      <c r="S598" s="58"/>
      <c r="T598" s="61">
        <f t="shared" ref="T598:T599" si="1783">SUM(Q598+R598-S598)</f>
        <v>0</v>
      </c>
      <c r="U598" s="60">
        <v>1</v>
      </c>
      <c r="V598" s="58"/>
      <c r="W598" s="59">
        <f t="shared" ref="W598:W599" si="1784">SUM(T598+U598-V598)</f>
        <v>1</v>
      </c>
      <c r="X598" s="60"/>
      <c r="Y598" s="58"/>
      <c r="Z598" s="61">
        <f t="shared" ref="Z598:Z599" si="1785">SUM(W598+X598-Y598)</f>
        <v>1</v>
      </c>
      <c r="AA598" s="60"/>
      <c r="AB598" s="58"/>
      <c r="AC598" s="59">
        <f t="shared" ref="AC598:AC599" si="1786">SUM(Z598+AA598-AB598)</f>
        <v>1</v>
      </c>
      <c r="AD598" s="57"/>
      <c r="AE598" s="58"/>
      <c r="AF598" s="243">
        <f t="shared" ref="AF598:AF599" si="1787">SUM(AC598+AD598-AE598)</f>
        <v>1</v>
      </c>
      <c r="AG598" s="60"/>
      <c r="AH598" s="58"/>
      <c r="AI598" s="62">
        <f t="shared" ref="AI598:AI599" si="1788">SUM(AF598+AG598-AH598)</f>
        <v>1</v>
      </c>
      <c r="AJ598" s="60"/>
      <c r="AK598" s="58"/>
      <c r="AL598" s="62">
        <f t="shared" ref="AL598:AL599" si="1789">SUM(AI598+AJ598-AK598)</f>
        <v>1</v>
      </c>
      <c r="AM598" s="60"/>
      <c r="AN598" s="58"/>
      <c r="AO598" s="62">
        <f t="shared" ref="AO598:AO599" si="1790">SUM(AL598+AM598-AN598)</f>
        <v>1</v>
      </c>
      <c r="AP598" s="60"/>
      <c r="AQ598" s="58"/>
      <c r="AR598" s="62">
        <f t="shared" ref="AR598:AR599" si="1791">SUM(AO598+AP598-AQ598)</f>
        <v>1</v>
      </c>
      <c r="AS598" s="60"/>
      <c r="AT598" s="58"/>
      <c r="AU598" s="62">
        <f t="shared" ref="AU598:AU599" si="1792">SUM(AR598+AS598-AT598)</f>
        <v>1</v>
      </c>
      <c r="AV598" s="83">
        <f t="shared" ref="AV598:AV599" si="1793">SUM(L598+O598+R598+U598+X598+AA598+AD598+AG598+AJ598+AM598+AP598+AS598)</f>
        <v>1</v>
      </c>
      <c r="AW598" s="83">
        <f t="shared" si="1773"/>
        <v>0</v>
      </c>
      <c r="AX598" s="64">
        <f t="shared" ref="AX598:AX599" si="1794">SUM(M598,P598,S598,V598,Y598,AB598,AE598,AH598,AK598,AN598,AQ598,AT598)</f>
        <v>0</v>
      </c>
      <c r="AY598" s="65" t="e">
        <f t="shared" ref="AY598:AY599" si="1795">AVERAGE(M598,P598,S598,V598,Y598,AB598,AE598,AH598,AK598,AN598,AQ598,AT598)</f>
        <v>#DIV/0!</v>
      </c>
      <c r="AZ598" s="66">
        <f t="shared" ref="AZ598:AZ599" si="1796">COUNT(M598,P598,S598,V598,Y598,AB598,AE598,AH598,AK598,AN598,AQ598,AT598)</f>
        <v>0</v>
      </c>
      <c r="BA598" s="67">
        <f>MAX(0, Table176252626[[#This Row],[Column6]])</f>
        <v>1</v>
      </c>
      <c r="BB598" s="68">
        <v>0</v>
      </c>
      <c r="BC598" s="84">
        <f t="shared" si="1774"/>
        <v>1</v>
      </c>
      <c r="BD598" s="83">
        <f t="shared" si="1775"/>
        <v>1</v>
      </c>
      <c r="BE598" s="85">
        <v>2</v>
      </c>
      <c r="BF598" s="86">
        <v>46139</v>
      </c>
      <c r="BG598" s="72" t="e">
        <f t="shared" si="1769"/>
        <v>#REF!</v>
      </c>
      <c r="BH598" s="87" t="e">
        <f t="shared" ref="BH598:BH599" si="1797">BG598-BF598</f>
        <v>#REF!</v>
      </c>
      <c r="BI598" s="80" t="e">
        <f t="shared" si="1776"/>
        <v>#REF!</v>
      </c>
      <c r="BJ598" s="238">
        <v>77167</v>
      </c>
    </row>
    <row r="599" spans="1:62" ht="13">
      <c r="A599" s="49"/>
      <c r="B599" s="50"/>
      <c r="C599" s="77">
        <v>597</v>
      </c>
      <c r="D599" s="247" t="s">
        <v>2005</v>
      </c>
      <c r="E599" s="138">
        <v>2</v>
      </c>
      <c r="F599" s="105" t="s">
        <v>672</v>
      </c>
      <c r="G599" s="112" t="s">
        <v>1533</v>
      </c>
      <c r="H599" s="81" t="s">
        <v>294</v>
      </c>
      <c r="I599" s="80" t="s">
        <v>458</v>
      </c>
      <c r="J599" s="93">
        <f t="shared" si="1780"/>
        <v>1</v>
      </c>
      <c r="K599" s="80">
        <v>0</v>
      </c>
      <c r="L599" s="57"/>
      <c r="M599" s="58"/>
      <c r="N599" s="59">
        <f t="shared" si="1781"/>
        <v>0</v>
      </c>
      <c r="O599" s="60"/>
      <c r="P599" s="58"/>
      <c r="Q599" s="59">
        <f t="shared" si="1782"/>
        <v>0</v>
      </c>
      <c r="R599" s="60"/>
      <c r="S599" s="58"/>
      <c r="T599" s="61">
        <f t="shared" si="1783"/>
        <v>0</v>
      </c>
      <c r="U599" s="60"/>
      <c r="V599" s="58"/>
      <c r="W599" s="59">
        <f t="shared" si="1784"/>
        <v>0</v>
      </c>
      <c r="X599" s="60"/>
      <c r="Y599" s="58"/>
      <c r="Z599" s="61">
        <f t="shared" si="1785"/>
        <v>0</v>
      </c>
      <c r="AA599" s="60">
        <v>1</v>
      </c>
      <c r="AB599" s="58"/>
      <c r="AC599" s="59">
        <f t="shared" si="1786"/>
        <v>1</v>
      </c>
      <c r="AD599" s="57"/>
      <c r="AE599" s="58"/>
      <c r="AF599" s="243">
        <f t="shared" si="1787"/>
        <v>1</v>
      </c>
      <c r="AG599" s="60"/>
      <c r="AH599" s="58"/>
      <c r="AI599" s="62">
        <f t="shared" si="1788"/>
        <v>1</v>
      </c>
      <c r="AJ599" s="60"/>
      <c r="AK599" s="58"/>
      <c r="AL599" s="62">
        <f t="shared" si="1789"/>
        <v>1</v>
      </c>
      <c r="AM599" s="60"/>
      <c r="AN599" s="58"/>
      <c r="AO599" s="62">
        <f t="shared" si="1790"/>
        <v>1</v>
      </c>
      <c r="AP599" s="60"/>
      <c r="AQ599" s="58"/>
      <c r="AR599" s="62">
        <f t="shared" si="1791"/>
        <v>1</v>
      </c>
      <c r="AS599" s="60"/>
      <c r="AT599" s="58"/>
      <c r="AU599" s="62">
        <f t="shared" si="1792"/>
        <v>1</v>
      </c>
      <c r="AV599" s="83">
        <f t="shared" si="1793"/>
        <v>1</v>
      </c>
      <c r="AW599" s="83">
        <f t="shared" si="1773"/>
        <v>0</v>
      </c>
      <c r="AX599" s="64">
        <f t="shared" si="1794"/>
        <v>0</v>
      </c>
      <c r="AY599" s="65" t="e">
        <f t="shared" si="1795"/>
        <v>#DIV/0!</v>
      </c>
      <c r="AZ599" s="66">
        <f t="shared" si="1796"/>
        <v>0</v>
      </c>
      <c r="BA599" s="67">
        <f>MAX(0, Table176252626[[#This Row],[Column6]])</f>
        <v>1</v>
      </c>
      <c r="BB599" s="68">
        <v>0</v>
      </c>
      <c r="BC599" s="84">
        <f t="shared" si="1774"/>
        <v>1</v>
      </c>
      <c r="BD599" s="83">
        <f t="shared" si="1775"/>
        <v>1</v>
      </c>
      <c r="BE599" s="85">
        <v>2</v>
      </c>
      <c r="BF599" s="86">
        <v>46170</v>
      </c>
      <c r="BG599" s="72" t="e">
        <f t="shared" si="1769"/>
        <v>#REF!</v>
      </c>
      <c r="BH599" s="87" t="e">
        <f t="shared" si="1797"/>
        <v>#REF!</v>
      </c>
      <c r="BI599" s="80" t="e">
        <f t="shared" si="1776"/>
        <v>#REF!</v>
      </c>
      <c r="BJ599" s="238">
        <v>78110</v>
      </c>
    </row>
    <row r="600" spans="1:62" ht="13">
      <c r="A600" s="90"/>
      <c r="B600" s="91"/>
      <c r="C600" s="51">
        <v>598</v>
      </c>
      <c r="D600" s="247" t="s">
        <v>2005</v>
      </c>
      <c r="E600" s="138">
        <v>2</v>
      </c>
      <c r="F600" s="120" t="s">
        <v>704</v>
      </c>
      <c r="G600" s="118" t="s">
        <v>705</v>
      </c>
      <c r="H600" s="89" t="s">
        <v>294</v>
      </c>
      <c r="I600" s="80" t="s">
        <v>458</v>
      </c>
      <c r="J600" s="82">
        <f t="shared" ref="J600:J608" si="1798">AU600</f>
        <v>1</v>
      </c>
      <c r="K600" s="80">
        <v>1</v>
      </c>
      <c r="L600" s="57"/>
      <c r="M600" s="58"/>
      <c r="N600" s="59">
        <f t="shared" ref="N600:N607" si="1799">SUM(K600+L600-M600)</f>
        <v>1</v>
      </c>
      <c r="O600" s="60"/>
      <c r="P600" s="58"/>
      <c r="Q600" s="59">
        <f t="shared" ref="Q600:Q607" si="1800">SUM(N600+O600-P600)</f>
        <v>1</v>
      </c>
      <c r="R600" s="60"/>
      <c r="S600" s="58"/>
      <c r="T600" s="61">
        <f t="shared" ref="T600:T607" si="1801">SUM(Q600+R600-S600)</f>
        <v>1</v>
      </c>
      <c r="U600" s="60"/>
      <c r="V600" s="58"/>
      <c r="W600" s="59">
        <f t="shared" ref="W600:W607" si="1802">SUM(T600+U600-V600)</f>
        <v>1</v>
      </c>
      <c r="X600" s="60"/>
      <c r="Y600" s="58"/>
      <c r="Z600" s="61">
        <f t="shared" ref="Z600:Z607" si="1803">SUM(W600+X600-Y600)</f>
        <v>1</v>
      </c>
      <c r="AA600" s="60"/>
      <c r="AB600" s="58"/>
      <c r="AC600" s="59">
        <f t="shared" ref="AC600:AC607" si="1804">SUM(Z600+AA600-AB600)</f>
        <v>1</v>
      </c>
      <c r="AD600" s="57"/>
      <c r="AE600" s="58"/>
      <c r="AF600" s="243">
        <f t="shared" ref="AF600:AF607" si="1805">SUM(AC600+AD600-AE600)</f>
        <v>1</v>
      </c>
      <c r="AG600" s="60"/>
      <c r="AH600" s="58"/>
      <c r="AI600" s="62">
        <f t="shared" ref="AI600:AI607" si="1806">SUM(AF600+AG600-AH600)</f>
        <v>1</v>
      </c>
      <c r="AJ600" s="60"/>
      <c r="AK600" s="58"/>
      <c r="AL600" s="62">
        <f t="shared" ref="AL600:AL607" si="1807">SUM(AI600+AJ600-AK600)</f>
        <v>1</v>
      </c>
      <c r="AM600" s="60"/>
      <c r="AN600" s="58"/>
      <c r="AO600" s="62">
        <f t="shared" ref="AO600:AO607" si="1808">SUM(AL600+AM600-AN600)</f>
        <v>1</v>
      </c>
      <c r="AP600" s="60"/>
      <c r="AQ600" s="58"/>
      <c r="AR600" s="62">
        <f t="shared" ref="AR600:AR607" si="1809">SUM(AO600+AP600-AQ600)</f>
        <v>1</v>
      </c>
      <c r="AS600" s="60"/>
      <c r="AT600" s="58"/>
      <c r="AU600" s="62">
        <f t="shared" ref="AU600:AU608" si="1810">SUM(AR600+AS600-AT600)</f>
        <v>1</v>
      </c>
      <c r="AV600" s="83">
        <f>SUM(L600+O600+R600+U600+X600+AA600+AD600+AG600+AJ600+AM600+AP600+AS600)</f>
        <v>0</v>
      </c>
      <c r="AW600" s="83">
        <f t="shared" si="1773"/>
        <v>0</v>
      </c>
      <c r="AX600" s="64">
        <f t="shared" ref="AX600:AX608" si="1811">SUM(M600,P600,S600,V600,Y600,AB600,AE600,AH600,AK600,AN600,AQ600,AT600)</f>
        <v>0</v>
      </c>
      <c r="AY600" s="65" t="e">
        <f t="shared" ref="AY600:AY608" si="1812">AVERAGE(M600,P600,S600,V600,Y600,AB600,AE600,AH600,AK600,AN600,AQ600,AT600)</f>
        <v>#DIV/0!</v>
      </c>
      <c r="AZ600" s="66">
        <f t="shared" ref="AZ600:AZ608" si="1813">COUNT(M600,P600,S600,V600,Y600,AB600,AE600,AH600,AK600,AN600,AQ600,AT600)</f>
        <v>0</v>
      </c>
      <c r="BA600" s="67">
        <f>MAX(0, Table176252626[[#This Row],[Column6]])</f>
        <v>1</v>
      </c>
      <c r="BB600" s="68">
        <v>0</v>
      </c>
      <c r="BC600" s="84">
        <f t="shared" si="1774"/>
        <v>1</v>
      </c>
      <c r="BD600" s="83">
        <f t="shared" si="1775"/>
        <v>1</v>
      </c>
      <c r="BE600" s="85">
        <v>2</v>
      </c>
      <c r="BF600" s="86">
        <v>43544.676215277781</v>
      </c>
      <c r="BG600" s="72" t="e">
        <f t="shared" si="1769"/>
        <v>#REF!</v>
      </c>
      <c r="BH600" s="87" t="e">
        <f t="shared" ref="BH600:BH607" si="1814">BG600-BF600</f>
        <v>#REF!</v>
      </c>
      <c r="BI600" s="80" t="e">
        <f t="shared" si="1776"/>
        <v>#REF!</v>
      </c>
      <c r="BJ600" s="238">
        <v>27000</v>
      </c>
    </row>
    <row r="601" spans="1:62" ht="13">
      <c r="A601" s="49"/>
      <c r="B601" s="76"/>
      <c r="C601" s="51">
        <v>599</v>
      </c>
      <c r="D601" s="247" t="s">
        <v>2005</v>
      </c>
      <c r="E601" s="138">
        <v>2</v>
      </c>
      <c r="F601" s="105" t="s">
        <v>578</v>
      </c>
      <c r="G601" s="112" t="s">
        <v>1291</v>
      </c>
      <c r="H601" s="81" t="s">
        <v>294</v>
      </c>
      <c r="I601" s="80" t="s">
        <v>458</v>
      </c>
      <c r="J601" s="82">
        <f t="shared" si="1798"/>
        <v>1</v>
      </c>
      <c r="K601" s="80">
        <v>1</v>
      </c>
      <c r="L601" s="57"/>
      <c r="M601" s="58"/>
      <c r="N601" s="59">
        <f t="shared" si="1799"/>
        <v>1</v>
      </c>
      <c r="O601" s="60"/>
      <c r="P601" s="58"/>
      <c r="Q601" s="59">
        <f t="shared" si="1800"/>
        <v>1</v>
      </c>
      <c r="R601" s="60"/>
      <c r="S601" s="58"/>
      <c r="T601" s="61">
        <f t="shared" si="1801"/>
        <v>1</v>
      </c>
      <c r="U601" s="60"/>
      <c r="V601" s="58"/>
      <c r="W601" s="59">
        <f t="shared" si="1802"/>
        <v>1</v>
      </c>
      <c r="X601" s="60"/>
      <c r="Y601" s="58"/>
      <c r="Z601" s="61">
        <f t="shared" si="1803"/>
        <v>1</v>
      </c>
      <c r="AA601" s="60"/>
      <c r="AB601" s="58"/>
      <c r="AC601" s="59">
        <f t="shared" si="1804"/>
        <v>1</v>
      </c>
      <c r="AD601" s="57"/>
      <c r="AE601" s="58"/>
      <c r="AF601" s="243">
        <f t="shared" si="1805"/>
        <v>1</v>
      </c>
      <c r="AG601" s="60"/>
      <c r="AH601" s="58"/>
      <c r="AI601" s="62">
        <f t="shared" si="1806"/>
        <v>1</v>
      </c>
      <c r="AJ601" s="60"/>
      <c r="AK601" s="58"/>
      <c r="AL601" s="62">
        <f t="shared" si="1807"/>
        <v>1</v>
      </c>
      <c r="AM601" s="60"/>
      <c r="AN601" s="58"/>
      <c r="AO601" s="62">
        <f t="shared" si="1808"/>
        <v>1</v>
      </c>
      <c r="AP601" s="60"/>
      <c r="AQ601" s="58"/>
      <c r="AR601" s="62">
        <f t="shared" si="1809"/>
        <v>1</v>
      </c>
      <c r="AS601" s="60"/>
      <c r="AT601" s="58"/>
      <c r="AU601" s="62">
        <f t="shared" si="1810"/>
        <v>1</v>
      </c>
      <c r="AV601" s="83">
        <f>SUM(L601+O601+R601+U601+X601+AA601+AD601+AG601+AJ601+AM601+AP601+AS601)</f>
        <v>0</v>
      </c>
      <c r="AW601" s="83">
        <f t="shared" si="1773"/>
        <v>0</v>
      </c>
      <c r="AX601" s="64">
        <f t="shared" si="1811"/>
        <v>0</v>
      </c>
      <c r="AY601" s="65" t="e">
        <f t="shared" si="1812"/>
        <v>#DIV/0!</v>
      </c>
      <c r="AZ601" s="66">
        <f t="shared" si="1813"/>
        <v>0</v>
      </c>
      <c r="BA601" s="67">
        <f>MAX(0, Table176252626[[#This Row],[Column6]])</f>
        <v>1</v>
      </c>
      <c r="BB601" s="68">
        <v>0</v>
      </c>
      <c r="BC601" s="84">
        <f t="shared" si="1774"/>
        <v>1</v>
      </c>
      <c r="BD601" s="83">
        <f t="shared" si="1775"/>
        <v>1</v>
      </c>
      <c r="BE601" s="85">
        <v>2</v>
      </c>
      <c r="BF601" s="86">
        <v>43301.583055555559</v>
      </c>
      <c r="BG601" s="72" t="e">
        <f t="shared" si="1769"/>
        <v>#REF!</v>
      </c>
      <c r="BH601" s="87" t="e">
        <f t="shared" si="1814"/>
        <v>#REF!</v>
      </c>
      <c r="BI601" s="80" t="e">
        <f t="shared" si="1776"/>
        <v>#REF!</v>
      </c>
      <c r="BJ601" s="238">
        <v>150000</v>
      </c>
    </row>
    <row r="602" spans="1:62" ht="13">
      <c r="A602" s="75"/>
      <c r="B602" s="76"/>
      <c r="C602" s="51">
        <v>600</v>
      </c>
      <c r="D602" s="247" t="s">
        <v>2005</v>
      </c>
      <c r="E602" s="138">
        <v>2</v>
      </c>
      <c r="F602" s="88" t="s">
        <v>1484</v>
      </c>
      <c r="G602" s="89" t="s">
        <v>1485</v>
      </c>
      <c r="H602" s="89" t="s">
        <v>842</v>
      </c>
      <c r="I602" s="88" t="s">
        <v>458</v>
      </c>
      <c r="J602" s="93">
        <f t="shared" si="1798"/>
        <v>1</v>
      </c>
      <c r="K602" s="80">
        <v>1</v>
      </c>
      <c r="L602" s="58"/>
      <c r="M602" s="58"/>
      <c r="N602" s="62">
        <f t="shared" si="1799"/>
        <v>1</v>
      </c>
      <c r="O602" s="60"/>
      <c r="P602" s="58"/>
      <c r="Q602" s="62">
        <f t="shared" si="1800"/>
        <v>1</v>
      </c>
      <c r="R602" s="60"/>
      <c r="S602" s="58"/>
      <c r="T602" s="94">
        <f t="shared" si="1801"/>
        <v>1</v>
      </c>
      <c r="U602" s="60"/>
      <c r="V602" s="58"/>
      <c r="W602" s="62">
        <f t="shared" si="1802"/>
        <v>1</v>
      </c>
      <c r="X602" s="60"/>
      <c r="Y602" s="58"/>
      <c r="Z602" s="94">
        <f t="shared" si="1803"/>
        <v>1</v>
      </c>
      <c r="AA602" s="60"/>
      <c r="AB602" s="58"/>
      <c r="AC602" s="62">
        <f t="shared" si="1804"/>
        <v>1</v>
      </c>
      <c r="AD602" s="57"/>
      <c r="AE602" s="58"/>
      <c r="AF602" s="165">
        <f t="shared" si="1805"/>
        <v>1</v>
      </c>
      <c r="AG602" s="60"/>
      <c r="AH602" s="58"/>
      <c r="AI602" s="62">
        <f t="shared" si="1806"/>
        <v>1</v>
      </c>
      <c r="AJ602" s="60"/>
      <c r="AK602" s="58"/>
      <c r="AL602" s="62">
        <f t="shared" si="1807"/>
        <v>1</v>
      </c>
      <c r="AM602" s="60"/>
      <c r="AN602" s="58"/>
      <c r="AO602" s="62">
        <f t="shared" si="1808"/>
        <v>1</v>
      </c>
      <c r="AP602" s="60"/>
      <c r="AQ602" s="58"/>
      <c r="AR602" s="62">
        <f t="shared" si="1809"/>
        <v>1</v>
      </c>
      <c r="AS602" s="60"/>
      <c r="AT602" s="58"/>
      <c r="AU602" s="62">
        <f t="shared" si="1810"/>
        <v>1</v>
      </c>
      <c r="AV602" s="96">
        <f>SUM(L602+O602+R602+U602+X602+AA602+AD602+AG602+AJ602+AM602+AP602+AS602)</f>
        <v>0</v>
      </c>
      <c r="AW602" s="83">
        <f t="shared" si="1773"/>
        <v>0</v>
      </c>
      <c r="AX602" s="98">
        <f t="shared" si="1811"/>
        <v>0</v>
      </c>
      <c r="AY602" s="99" t="e">
        <f t="shared" si="1812"/>
        <v>#DIV/0!</v>
      </c>
      <c r="AZ602" s="100">
        <f t="shared" si="1813"/>
        <v>0</v>
      </c>
      <c r="BA602" s="101">
        <v>1</v>
      </c>
      <c r="BB602" s="102">
        <v>0</v>
      </c>
      <c r="BC602" s="84">
        <f t="shared" si="1774"/>
        <v>1</v>
      </c>
      <c r="BD602" s="83">
        <f t="shared" si="1775"/>
        <v>1</v>
      </c>
      <c r="BE602" s="85">
        <v>2</v>
      </c>
      <c r="BF602" s="86">
        <v>45240.670624999999</v>
      </c>
      <c r="BG602" s="72" t="e">
        <f t="shared" si="1769"/>
        <v>#REF!</v>
      </c>
      <c r="BH602" s="103" t="e">
        <f t="shared" si="1814"/>
        <v>#REF!</v>
      </c>
      <c r="BI602" s="80" t="e">
        <f t="shared" si="1776"/>
        <v>#REF!</v>
      </c>
      <c r="BJ602" s="238">
        <v>117000</v>
      </c>
    </row>
    <row r="603" spans="1:62" ht="13">
      <c r="A603" s="49"/>
      <c r="B603" s="50"/>
      <c r="C603" s="51">
        <v>601</v>
      </c>
      <c r="D603" s="247" t="s">
        <v>2005</v>
      </c>
      <c r="E603" s="138">
        <v>2</v>
      </c>
      <c r="F603" s="88" t="s">
        <v>1507</v>
      </c>
      <c r="G603" s="89" t="s">
        <v>1508</v>
      </c>
      <c r="H603" s="81" t="s">
        <v>294</v>
      </c>
      <c r="I603" s="88" t="s">
        <v>458</v>
      </c>
      <c r="J603" s="93">
        <f t="shared" si="1798"/>
        <v>1</v>
      </c>
      <c r="K603" s="80">
        <v>1</v>
      </c>
      <c r="L603" s="58"/>
      <c r="M603" s="58"/>
      <c r="N603" s="62">
        <f t="shared" si="1799"/>
        <v>1</v>
      </c>
      <c r="O603" s="60"/>
      <c r="P603" s="58"/>
      <c r="Q603" s="62">
        <f t="shared" si="1800"/>
        <v>1</v>
      </c>
      <c r="R603" s="60"/>
      <c r="S603" s="58"/>
      <c r="T603" s="94">
        <f t="shared" si="1801"/>
        <v>1</v>
      </c>
      <c r="U603" s="60"/>
      <c r="V603" s="58"/>
      <c r="W603" s="62">
        <f t="shared" si="1802"/>
        <v>1</v>
      </c>
      <c r="X603" s="60"/>
      <c r="Y603" s="58"/>
      <c r="Z603" s="94">
        <f t="shared" si="1803"/>
        <v>1</v>
      </c>
      <c r="AA603" s="60"/>
      <c r="AB603" s="58"/>
      <c r="AC603" s="62">
        <f t="shared" si="1804"/>
        <v>1</v>
      </c>
      <c r="AD603" s="57"/>
      <c r="AE603" s="58"/>
      <c r="AF603" s="165">
        <f t="shared" si="1805"/>
        <v>1</v>
      </c>
      <c r="AG603" s="60"/>
      <c r="AH603" s="58"/>
      <c r="AI603" s="62">
        <f t="shared" si="1806"/>
        <v>1</v>
      </c>
      <c r="AJ603" s="60"/>
      <c r="AK603" s="58"/>
      <c r="AL603" s="62">
        <f t="shared" si="1807"/>
        <v>1</v>
      </c>
      <c r="AM603" s="60"/>
      <c r="AN603" s="58"/>
      <c r="AO603" s="62">
        <f t="shared" si="1808"/>
        <v>1</v>
      </c>
      <c r="AP603" s="60"/>
      <c r="AQ603" s="58"/>
      <c r="AR603" s="62">
        <f t="shared" si="1809"/>
        <v>1</v>
      </c>
      <c r="AS603" s="60"/>
      <c r="AT603" s="58"/>
      <c r="AU603" s="62">
        <f t="shared" si="1810"/>
        <v>1</v>
      </c>
      <c r="AV603" s="96">
        <f>SUM(L603+O603+R603+U603+X603+AA603+AD603+AG603+AJ603+AM603+AP603+AS603)</f>
        <v>0</v>
      </c>
      <c r="AW603" s="83">
        <f t="shared" si="1773"/>
        <v>0</v>
      </c>
      <c r="AX603" s="98">
        <f t="shared" si="1811"/>
        <v>0</v>
      </c>
      <c r="AY603" s="99" t="e">
        <f t="shared" si="1812"/>
        <v>#DIV/0!</v>
      </c>
      <c r="AZ603" s="100">
        <f t="shared" si="1813"/>
        <v>0</v>
      </c>
      <c r="BA603" s="101">
        <v>1</v>
      </c>
      <c r="BB603" s="102">
        <v>0</v>
      </c>
      <c r="BC603" s="84">
        <f t="shared" si="1774"/>
        <v>1</v>
      </c>
      <c r="BD603" s="83">
        <f t="shared" si="1775"/>
        <v>1</v>
      </c>
      <c r="BE603" s="85">
        <v>2</v>
      </c>
      <c r="BF603" s="86">
        <v>45272.557500000003</v>
      </c>
      <c r="BG603" s="72" t="e">
        <f t="shared" si="1769"/>
        <v>#REF!</v>
      </c>
      <c r="BH603" s="103" t="e">
        <f t="shared" si="1814"/>
        <v>#REF!</v>
      </c>
      <c r="BI603" s="80" t="e">
        <f t="shared" si="1776"/>
        <v>#REF!</v>
      </c>
      <c r="BJ603" s="238">
        <v>7590</v>
      </c>
    </row>
    <row r="604" spans="1:62" ht="13">
      <c r="A604" s="75"/>
      <c r="B604" s="76"/>
      <c r="C604" s="77">
        <v>602</v>
      </c>
      <c r="D604" s="247" t="s">
        <v>2005</v>
      </c>
      <c r="E604" s="138">
        <v>2</v>
      </c>
      <c r="F604" s="120" t="s">
        <v>814</v>
      </c>
      <c r="G604" s="118" t="s">
        <v>815</v>
      </c>
      <c r="H604" s="89" t="s">
        <v>294</v>
      </c>
      <c r="I604" s="80" t="s">
        <v>458</v>
      </c>
      <c r="J604" s="82">
        <f t="shared" si="1798"/>
        <v>1</v>
      </c>
      <c r="K604" s="80">
        <v>1</v>
      </c>
      <c r="L604" s="57"/>
      <c r="M604" s="58"/>
      <c r="N604" s="59">
        <f t="shared" si="1799"/>
        <v>1</v>
      </c>
      <c r="O604" s="60"/>
      <c r="P604" s="58"/>
      <c r="Q604" s="59">
        <f t="shared" si="1800"/>
        <v>1</v>
      </c>
      <c r="R604" s="60"/>
      <c r="S604" s="58"/>
      <c r="T604" s="61">
        <f t="shared" si="1801"/>
        <v>1</v>
      </c>
      <c r="U604" s="60"/>
      <c r="V604" s="58"/>
      <c r="W604" s="59">
        <f t="shared" si="1802"/>
        <v>1</v>
      </c>
      <c r="X604" s="60"/>
      <c r="Y604" s="58"/>
      <c r="Z604" s="61">
        <f t="shared" si="1803"/>
        <v>1</v>
      </c>
      <c r="AA604" s="60"/>
      <c r="AB604" s="58"/>
      <c r="AC604" s="59">
        <f t="shared" si="1804"/>
        <v>1</v>
      </c>
      <c r="AD604" s="57"/>
      <c r="AE604" s="58"/>
      <c r="AF604" s="243">
        <f t="shared" si="1805"/>
        <v>1</v>
      </c>
      <c r="AG604" s="60"/>
      <c r="AH604" s="58"/>
      <c r="AI604" s="62">
        <f t="shared" si="1806"/>
        <v>1</v>
      </c>
      <c r="AJ604" s="60"/>
      <c r="AK604" s="58"/>
      <c r="AL604" s="62">
        <f t="shared" si="1807"/>
        <v>1</v>
      </c>
      <c r="AM604" s="60"/>
      <c r="AN604" s="58"/>
      <c r="AO604" s="62">
        <f t="shared" si="1808"/>
        <v>1</v>
      </c>
      <c r="AP604" s="60"/>
      <c r="AQ604" s="58"/>
      <c r="AR604" s="62">
        <f t="shared" si="1809"/>
        <v>1</v>
      </c>
      <c r="AS604" s="60"/>
      <c r="AT604" s="58"/>
      <c r="AU604" s="62">
        <f t="shared" si="1810"/>
        <v>1</v>
      </c>
      <c r="AV604" s="83">
        <f>SUM(L604+O604+R604+U604+X604+AA604+AD604+AG604+AJ604+AM604+AP604+AS604)</f>
        <v>0</v>
      </c>
      <c r="AW604" s="83">
        <f t="shared" si="1773"/>
        <v>0</v>
      </c>
      <c r="AX604" s="64">
        <f t="shared" si="1811"/>
        <v>0</v>
      </c>
      <c r="AY604" s="65" t="e">
        <f t="shared" si="1812"/>
        <v>#DIV/0!</v>
      </c>
      <c r="AZ604" s="66">
        <f t="shared" si="1813"/>
        <v>0</v>
      </c>
      <c r="BA604" s="67">
        <f>MAX(0, Table176252626[[#This Row],[Column6]])</f>
        <v>1</v>
      </c>
      <c r="BB604" s="68">
        <v>0</v>
      </c>
      <c r="BC604" s="84">
        <f t="shared" si="1774"/>
        <v>1</v>
      </c>
      <c r="BD604" s="83">
        <f t="shared" si="1775"/>
        <v>1</v>
      </c>
      <c r="BE604" s="85">
        <v>2</v>
      </c>
      <c r="BF604" s="86">
        <v>43895.561365740738</v>
      </c>
      <c r="BG604" s="72" t="e">
        <f t="shared" si="1769"/>
        <v>#REF!</v>
      </c>
      <c r="BH604" s="107" t="e">
        <f t="shared" si="1814"/>
        <v>#REF!</v>
      </c>
      <c r="BI604" s="80" t="e">
        <f t="shared" si="1776"/>
        <v>#REF!</v>
      </c>
      <c r="BJ604" s="238">
        <v>35100</v>
      </c>
    </row>
    <row r="605" spans="1:62" ht="13">
      <c r="A605" s="49"/>
      <c r="B605" s="50"/>
      <c r="C605" s="77">
        <v>603</v>
      </c>
      <c r="D605" s="247" t="s">
        <v>2005</v>
      </c>
      <c r="E605" s="138">
        <v>2</v>
      </c>
      <c r="F605" s="120" t="s">
        <v>613</v>
      </c>
      <c r="G605" s="118" t="s">
        <v>1290</v>
      </c>
      <c r="H605" s="89" t="s">
        <v>294</v>
      </c>
      <c r="I605" s="80" t="s">
        <v>458</v>
      </c>
      <c r="J605" s="82">
        <f t="shared" si="1798"/>
        <v>1</v>
      </c>
      <c r="K605" s="80">
        <v>1</v>
      </c>
      <c r="L605" s="57"/>
      <c r="M605" s="58"/>
      <c r="N605" s="59">
        <f t="shared" si="1799"/>
        <v>1</v>
      </c>
      <c r="O605" s="60"/>
      <c r="P605" s="58"/>
      <c r="Q605" s="59">
        <f t="shared" si="1800"/>
        <v>1</v>
      </c>
      <c r="R605" s="60"/>
      <c r="S605" s="58"/>
      <c r="T605" s="61">
        <f t="shared" si="1801"/>
        <v>1</v>
      </c>
      <c r="U605" s="60"/>
      <c r="V605" s="58"/>
      <c r="W605" s="59">
        <f t="shared" si="1802"/>
        <v>1</v>
      </c>
      <c r="X605" s="60"/>
      <c r="Y605" s="58"/>
      <c r="Z605" s="61">
        <f t="shared" si="1803"/>
        <v>1</v>
      </c>
      <c r="AA605" s="60"/>
      <c r="AB605" s="58"/>
      <c r="AC605" s="59">
        <f t="shared" si="1804"/>
        <v>1</v>
      </c>
      <c r="AD605" s="57"/>
      <c r="AE605" s="58"/>
      <c r="AF605" s="243">
        <f t="shared" si="1805"/>
        <v>1</v>
      </c>
      <c r="AG605" s="60"/>
      <c r="AH605" s="58"/>
      <c r="AI605" s="62">
        <f t="shared" si="1806"/>
        <v>1</v>
      </c>
      <c r="AJ605" s="60"/>
      <c r="AK605" s="58"/>
      <c r="AL605" s="62">
        <f t="shared" si="1807"/>
        <v>1</v>
      </c>
      <c r="AM605" s="60"/>
      <c r="AN605" s="58"/>
      <c r="AO605" s="62">
        <f t="shared" si="1808"/>
        <v>1</v>
      </c>
      <c r="AP605" s="60"/>
      <c r="AQ605" s="58"/>
      <c r="AR605" s="62">
        <f t="shared" si="1809"/>
        <v>1</v>
      </c>
      <c r="AS605" s="60"/>
      <c r="AT605" s="58"/>
      <c r="AU605" s="62">
        <f t="shared" si="1810"/>
        <v>1</v>
      </c>
      <c r="AV605" s="83">
        <f t="shared" ref="AV605" si="1815">SUM(L605+O605+R605+U605+X605+AA605+AD605+AG605+AJ605+AM605+AP605+AS605)</f>
        <v>0</v>
      </c>
      <c r="AW605" s="83">
        <f t="shared" si="1773"/>
        <v>0</v>
      </c>
      <c r="AX605" s="64">
        <f t="shared" si="1811"/>
        <v>0</v>
      </c>
      <c r="AY605" s="65" t="e">
        <f t="shared" si="1812"/>
        <v>#DIV/0!</v>
      </c>
      <c r="AZ605" s="66">
        <f t="shared" si="1813"/>
        <v>0</v>
      </c>
      <c r="BA605" s="67">
        <f>MAX(0, Table176252626[[#This Row],[Column6]])</f>
        <v>1</v>
      </c>
      <c r="BB605" s="68">
        <v>0</v>
      </c>
      <c r="BC605" s="84">
        <f t="shared" si="1774"/>
        <v>1</v>
      </c>
      <c r="BD605" s="83">
        <f t="shared" si="1775"/>
        <v>1</v>
      </c>
      <c r="BE605" s="85">
        <v>2</v>
      </c>
      <c r="BF605" s="86">
        <v>43886.628761574073</v>
      </c>
      <c r="BG605" s="72" t="e">
        <f t="shared" si="1769"/>
        <v>#REF!</v>
      </c>
      <c r="BH605" s="107" t="e">
        <f t="shared" si="1814"/>
        <v>#REF!</v>
      </c>
      <c r="BI605" s="80" t="e">
        <f t="shared" si="1776"/>
        <v>#REF!</v>
      </c>
      <c r="BJ605" s="238">
        <v>69210</v>
      </c>
    </row>
    <row r="606" spans="1:62" ht="13">
      <c r="A606" s="49"/>
      <c r="B606" s="76"/>
      <c r="C606" s="51">
        <v>604</v>
      </c>
      <c r="D606" s="247" t="s">
        <v>2005</v>
      </c>
      <c r="E606" s="138">
        <v>3</v>
      </c>
      <c r="F606" s="88" t="s">
        <v>1549</v>
      </c>
      <c r="G606" s="89" t="s">
        <v>1913</v>
      </c>
      <c r="H606" s="89" t="s">
        <v>294</v>
      </c>
      <c r="I606" s="80" t="s">
        <v>458</v>
      </c>
      <c r="J606" s="93">
        <f t="shared" si="1798"/>
        <v>1</v>
      </c>
      <c r="K606" s="88">
        <v>0</v>
      </c>
      <c r="L606" s="58"/>
      <c r="M606" s="58"/>
      <c r="N606" s="62">
        <f t="shared" si="1799"/>
        <v>0</v>
      </c>
      <c r="O606" s="60">
        <v>1</v>
      </c>
      <c r="P606" s="58"/>
      <c r="Q606" s="62">
        <f t="shared" si="1800"/>
        <v>1</v>
      </c>
      <c r="R606" s="60"/>
      <c r="S606" s="58"/>
      <c r="T606" s="94">
        <f t="shared" si="1801"/>
        <v>1</v>
      </c>
      <c r="U606" s="60"/>
      <c r="V606" s="58"/>
      <c r="W606" s="62">
        <f t="shared" si="1802"/>
        <v>1</v>
      </c>
      <c r="X606" s="60"/>
      <c r="Y606" s="58"/>
      <c r="Z606" s="94">
        <f t="shared" si="1803"/>
        <v>1</v>
      </c>
      <c r="AA606" s="60"/>
      <c r="AB606" s="58"/>
      <c r="AC606" s="62">
        <f t="shared" si="1804"/>
        <v>1</v>
      </c>
      <c r="AD606" s="57"/>
      <c r="AE606" s="58"/>
      <c r="AF606" s="165">
        <f t="shared" si="1805"/>
        <v>1</v>
      </c>
      <c r="AG606" s="60"/>
      <c r="AH606" s="58"/>
      <c r="AI606" s="62">
        <f t="shared" si="1806"/>
        <v>1</v>
      </c>
      <c r="AJ606" s="60"/>
      <c r="AK606" s="58"/>
      <c r="AL606" s="62">
        <f t="shared" si="1807"/>
        <v>1</v>
      </c>
      <c r="AM606" s="60"/>
      <c r="AN606" s="58"/>
      <c r="AO606" s="62">
        <f t="shared" si="1808"/>
        <v>1</v>
      </c>
      <c r="AP606" s="60"/>
      <c r="AQ606" s="58"/>
      <c r="AR606" s="62">
        <f t="shared" si="1809"/>
        <v>1</v>
      </c>
      <c r="AS606" s="60"/>
      <c r="AT606" s="58"/>
      <c r="AU606" s="62">
        <f t="shared" si="1810"/>
        <v>1</v>
      </c>
      <c r="AV606" s="96">
        <f>SUM(L606+O606+R606+U606+X606+AA606+AD606+AG606+AJ606+AM606+AP606+AS606)</f>
        <v>1</v>
      </c>
      <c r="AW606" s="83">
        <f t="shared" si="1773"/>
        <v>0</v>
      </c>
      <c r="AX606" s="98">
        <f t="shared" si="1811"/>
        <v>0</v>
      </c>
      <c r="AY606" s="99" t="e">
        <f t="shared" si="1812"/>
        <v>#DIV/0!</v>
      </c>
      <c r="AZ606" s="100">
        <f t="shared" si="1813"/>
        <v>0</v>
      </c>
      <c r="BA606" s="101">
        <v>1</v>
      </c>
      <c r="BB606" s="102">
        <v>0</v>
      </c>
      <c r="BC606" s="84">
        <f t="shared" si="1774"/>
        <v>1</v>
      </c>
      <c r="BD606" s="83">
        <f t="shared" si="1775"/>
        <v>1</v>
      </c>
      <c r="BE606" s="85">
        <v>2</v>
      </c>
      <c r="BF606" s="86">
        <v>46054</v>
      </c>
      <c r="BG606" s="72" t="e">
        <f t="shared" si="1769"/>
        <v>#REF!</v>
      </c>
      <c r="BH606" s="103" t="e">
        <f t="shared" si="1814"/>
        <v>#REF!</v>
      </c>
      <c r="BI606" s="80" t="e">
        <f t="shared" si="1776"/>
        <v>#REF!</v>
      </c>
      <c r="BJ606" s="238">
        <v>7872</v>
      </c>
    </row>
    <row r="607" spans="1:62" ht="13">
      <c r="A607" s="49"/>
      <c r="B607" s="50"/>
      <c r="C607" s="51">
        <v>605</v>
      </c>
      <c r="D607" s="247" t="s">
        <v>2005</v>
      </c>
      <c r="E607" s="138">
        <v>3</v>
      </c>
      <c r="F607" s="105" t="s">
        <v>435</v>
      </c>
      <c r="G607" s="112" t="s">
        <v>436</v>
      </c>
      <c r="H607" s="81" t="s">
        <v>294</v>
      </c>
      <c r="I607" s="80" t="s">
        <v>458</v>
      </c>
      <c r="J607" s="82">
        <f t="shared" si="1798"/>
        <v>1</v>
      </c>
      <c r="K607" s="80">
        <v>1</v>
      </c>
      <c r="L607" s="57"/>
      <c r="M607" s="58"/>
      <c r="N607" s="59">
        <f t="shared" si="1799"/>
        <v>1</v>
      </c>
      <c r="O607" s="60"/>
      <c r="P607" s="58"/>
      <c r="Q607" s="59">
        <f t="shared" si="1800"/>
        <v>1</v>
      </c>
      <c r="R607" s="60"/>
      <c r="S607" s="58"/>
      <c r="T607" s="61">
        <f t="shared" si="1801"/>
        <v>1</v>
      </c>
      <c r="U607" s="60"/>
      <c r="V607" s="58"/>
      <c r="W607" s="59">
        <f t="shared" si="1802"/>
        <v>1</v>
      </c>
      <c r="X607" s="60"/>
      <c r="Y607" s="58"/>
      <c r="Z607" s="61">
        <f t="shared" si="1803"/>
        <v>1</v>
      </c>
      <c r="AA607" s="60"/>
      <c r="AB607" s="58"/>
      <c r="AC607" s="59">
        <f t="shared" si="1804"/>
        <v>1</v>
      </c>
      <c r="AD607" s="57"/>
      <c r="AE607" s="58"/>
      <c r="AF607" s="243">
        <f t="shared" si="1805"/>
        <v>1</v>
      </c>
      <c r="AG607" s="60"/>
      <c r="AH607" s="58"/>
      <c r="AI607" s="62">
        <f t="shared" si="1806"/>
        <v>1</v>
      </c>
      <c r="AJ607" s="60"/>
      <c r="AK607" s="58"/>
      <c r="AL607" s="62">
        <f t="shared" si="1807"/>
        <v>1</v>
      </c>
      <c r="AM607" s="60"/>
      <c r="AN607" s="58"/>
      <c r="AO607" s="62">
        <f t="shared" si="1808"/>
        <v>1</v>
      </c>
      <c r="AP607" s="60"/>
      <c r="AQ607" s="58"/>
      <c r="AR607" s="62">
        <f t="shared" si="1809"/>
        <v>1</v>
      </c>
      <c r="AS607" s="60"/>
      <c r="AT607" s="58"/>
      <c r="AU607" s="62">
        <f t="shared" si="1810"/>
        <v>1</v>
      </c>
      <c r="AV607" s="83">
        <f>SUM(L607+O607+R607+U607+X607+AA607+AD607+AG607+AJ607+AM607+AP607+AS607)</f>
        <v>0</v>
      </c>
      <c r="AW607" s="83">
        <f t="shared" si="1773"/>
        <v>0</v>
      </c>
      <c r="AX607" s="64">
        <f t="shared" si="1811"/>
        <v>0</v>
      </c>
      <c r="AY607" s="65" t="e">
        <f t="shared" si="1812"/>
        <v>#DIV/0!</v>
      </c>
      <c r="AZ607" s="66">
        <f t="shared" si="1813"/>
        <v>0</v>
      </c>
      <c r="BA607" s="67">
        <f>MAX(0, Table176252626[[#This Row],[Column6]])</f>
        <v>1</v>
      </c>
      <c r="BB607" s="68">
        <v>0</v>
      </c>
      <c r="BC607" s="84">
        <f t="shared" si="1774"/>
        <v>1</v>
      </c>
      <c r="BD607" s="83">
        <f t="shared" si="1775"/>
        <v>1</v>
      </c>
      <c r="BE607" s="85">
        <v>2</v>
      </c>
      <c r="BF607" s="86">
        <v>43136.641435185185</v>
      </c>
      <c r="BG607" s="72" t="e">
        <f t="shared" si="1769"/>
        <v>#REF!</v>
      </c>
      <c r="BH607" s="87" t="e">
        <f t="shared" si="1814"/>
        <v>#REF!</v>
      </c>
      <c r="BI607" s="80" t="e">
        <f t="shared" si="1776"/>
        <v>#REF!</v>
      </c>
      <c r="BJ607" s="238">
        <v>13148</v>
      </c>
    </row>
    <row r="608" spans="1:62" ht="13">
      <c r="A608" s="49"/>
      <c r="B608" s="50"/>
      <c r="C608" s="51">
        <v>606</v>
      </c>
      <c r="D608" s="247" t="s">
        <v>2005</v>
      </c>
      <c r="E608" s="138">
        <v>3</v>
      </c>
      <c r="F608" s="105" t="s">
        <v>9</v>
      </c>
      <c r="G608" s="112" t="s">
        <v>10</v>
      </c>
      <c r="H608" s="81" t="s">
        <v>294</v>
      </c>
      <c r="I608" s="80" t="s">
        <v>458</v>
      </c>
      <c r="J608" s="82">
        <f t="shared" si="1798"/>
        <v>1</v>
      </c>
      <c r="K608" s="80">
        <v>2</v>
      </c>
      <c r="L608" s="57"/>
      <c r="M608" s="58">
        <v>1</v>
      </c>
      <c r="N608" s="59">
        <f t="shared" ref="N608" si="1816">SUM(K608+L608-M608)</f>
        <v>1</v>
      </c>
      <c r="O608" s="60"/>
      <c r="P608" s="58"/>
      <c r="Q608" s="59">
        <f t="shared" ref="Q608" si="1817">SUM(N608+O608-P608)</f>
        <v>1</v>
      </c>
      <c r="R608" s="60"/>
      <c r="S608" s="58"/>
      <c r="T608" s="61">
        <f t="shared" ref="T608" si="1818">SUM(Q608+R608-S608)</f>
        <v>1</v>
      </c>
      <c r="U608" s="60"/>
      <c r="V608" s="58"/>
      <c r="W608" s="59">
        <f t="shared" ref="W608" si="1819">SUM(T608+U608-V608)</f>
        <v>1</v>
      </c>
      <c r="X608" s="60"/>
      <c r="Y608" s="58"/>
      <c r="Z608" s="61">
        <f t="shared" ref="Z608" si="1820">SUM(W608+X608-Y608)</f>
        <v>1</v>
      </c>
      <c r="AA608" s="60"/>
      <c r="AB608" s="58"/>
      <c r="AC608" s="59">
        <f t="shared" ref="AC608" si="1821">SUM(Z608+AA608-AB608)</f>
        <v>1</v>
      </c>
      <c r="AD608" s="57"/>
      <c r="AE608" s="58"/>
      <c r="AF608" s="243">
        <f t="shared" ref="AF608" si="1822">SUM(AC608+AD608-AE608)</f>
        <v>1</v>
      </c>
      <c r="AG608" s="60"/>
      <c r="AH608" s="58"/>
      <c r="AI608" s="62">
        <f t="shared" ref="AI608" si="1823">SUM(AF608+AG608-AH608)</f>
        <v>1</v>
      </c>
      <c r="AJ608" s="60"/>
      <c r="AK608" s="58"/>
      <c r="AL608" s="62">
        <f t="shared" ref="AL608" si="1824">SUM(AI608+AJ608-AK608)</f>
        <v>1</v>
      </c>
      <c r="AM608" s="60"/>
      <c r="AN608" s="58"/>
      <c r="AO608" s="62">
        <f t="shared" ref="AO608" si="1825">SUM(AL608+AM608-AN608)</f>
        <v>1</v>
      </c>
      <c r="AP608" s="60"/>
      <c r="AQ608" s="58"/>
      <c r="AR608" s="62">
        <f t="shared" ref="AR608" si="1826">SUM(AO608+AP608-AQ608)</f>
        <v>1</v>
      </c>
      <c r="AS608" s="60"/>
      <c r="AT608" s="58"/>
      <c r="AU608" s="62">
        <f t="shared" si="1810"/>
        <v>1</v>
      </c>
      <c r="AV608" s="83">
        <f>SUM(L608+O608+R608+U608+X608+AA608+AD608+AG608+AJ608+AM608+AP608+AS608)</f>
        <v>0</v>
      </c>
      <c r="AW608" s="83">
        <f t="shared" si="1773"/>
        <v>1</v>
      </c>
      <c r="AX608" s="64">
        <f t="shared" si="1811"/>
        <v>1</v>
      </c>
      <c r="AY608" s="65">
        <f t="shared" si="1812"/>
        <v>1</v>
      </c>
      <c r="AZ608" s="66">
        <f t="shared" si="1813"/>
        <v>1</v>
      </c>
      <c r="BA608" s="67">
        <f>MAX(0, Table176252626[[#This Row],[Column6]])</f>
        <v>1</v>
      </c>
      <c r="BB608" s="68">
        <v>0</v>
      </c>
      <c r="BC608" s="84">
        <f t="shared" si="1774"/>
        <v>1</v>
      </c>
      <c r="BD608" s="83">
        <f t="shared" si="1775"/>
        <v>1</v>
      </c>
      <c r="BE608" s="85">
        <v>2</v>
      </c>
      <c r="BF608" s="86">
        <v>43346.659629629627</v>
      </c>
      <c r="BG608" s="72" t="e">
        <f t="shared" si="1769"/>
        <v>#REF!</v>
      </c>
      <c r="BH608" s="87" t="e">
        <f t="shared" ref="BH608" si="1827">BG608-BF608</f>
        <v>#REF!</v>
      </c>
      <c r="BI608" s="80" t="e">
        <f t="shared" si="1776"/>
        <v>#REF!</v>
      </c>
      <c r="BJ608" s="238">
        <v>7408.5</v>
      </c>
    </row>
    <row r="609" spans="1:62" ht="13">
      <c r="A609" s="75"/>
      <c r="B609" s="76"/>
      <c r="C609" s="51">
        <v>607</v>
      </c>
      <c r="D609" s="247" t="s">
        <v>2005</v>
      </c>
      <c r="E609" s="138">
        <v>3</v>
      </c>
      <c r="F609" s="105" t="s">
        <v>759</v>
      </c>
      <c r="G609" s="112" t="s">
        <v>760</v>
      </c>
      <c r="H609" s="81" t="s">
        <v>294</v>
      </c>
      <c r="I609" s="80" t="s">
        <v>458</v>
      </c>
      <c r="J609" s="82">
        <f t="shared" ref="J609" si="1828">AU609</f>
        <v>1</v>
      </c>
      <c r="K609" s="80">
        <v>2</v>
      </c>
      <c r="L609" s="57"/>
      <c r="M609" s="58">
        <v>1</v>
      </c>
      <c r="N609" s="59">
        <f t="shared" ref="N609" si="1829">SUM(K609+L609-M609)</f>
        <v>1</v>
      </c>
      <c r="O609" s="60"/>
      <c r="P609" s="58"/>
      <c r="Q609" s="59">
        <f t="shared" ref="Q609" si="1830">SUM(N609+O609-P609)</f>
        <v>1</v>
      </c>
      <c r="R609" s="60"/>
      <c r="S609" s="58"/>
      <c r="T609" s="61">
        <f t="shared" ref="T609" si="1831">SUM(Q609+R609-S609)</f>
        <v>1</v>
      </c>
      <c r="U609" s="60"/>
      <c r="V609" s="58"/>
      <c r="W609" s="59">
        <f t="shared" ref="W609" si="1832">SUM(T609+U609-V609)</f>
        <v>1</v>
      </c>
      <c r="X609" s="60"/>
      <c r="Y609" s="58"/>
      <c r="Z609" s="61">
        <f t="shared" ref="Z609" si="1833">SUM(W609+X609-Y609)</f>
        <v>1</v>
      </c>
      <c r="AA609" s="60"/>
      <c r="AB609" s="58"/>
      <c r="AC609" s="59">
        <f t="shared" ref="AC609" si="1834">SUM(Z609+AA609-AB609)</f>
        <v>1</v>
      </c>
      <c r="AD609" s="57"/>
      <c r="AE609" s="58"/>
      <c r="AF609" s="243">
        <f t="shared" ref="AF609" si="1835">SUM(AC609+AD609-AE609)</f>
        <v>1</v>
      </c>
      <c r="AG609" s="60"/>
      <c r="AH609" s="58"/>
      <c r="AI609" s="62">
        <f t="shared" ref="AI609" si="1836">SUM(AF609+AG609-AH609)</f>
        <v>1</v>
      </c>
      <c r="AJ609" s="60"/>
      <c r="AK609" s="58"/>
      <c r="AL609" s="62">
        <f t="shared" ref="AL609" si="1837">SUM(AI609+AJ609-AK609)</f>
        <v>1</v>
      </c>
      <c r="AM609" s="60"/>
      <c r="AN609" s="58"/>
      <c r="AO609" s="62">
        <f t="shared" ref="AO609" si="1838">SUM(AL609+AM609-AN609)</f>
        <v>1</v>
      </c>
      <c r="AP609" s="60"/>
      <c r="AQ609" s="58"/>
      <c r="AR609" s="62">
        <f t="shared" ref="AR609" si="1839">SUM(AO609+AP609-AQ609)</f>
        <v>1</v>
      </c>
      <c r="AS609" s="60"/>
      <c r="AT609" s="58"/>
      <c r="AU609" s="62">
        <f t="shared" ref="AU609" si="1840">SUM(AR609+AS609-AT609)</f>
        <v>1</v>
      </c>
      <c r="AV609" s="83">
        <f t="shared" ref="AV609" si="1841">SUM(L609+O609+R609+U609+X609+AA609+AD609+AG609+AJ609+AM609+AP609+AS609)</f>
        <v>0</v>
      </c>
      <c r="AW609" s="83">
        <f t="shared" si="1773"/>
        <v>1</v>
      </c>
      <c r="AX609" s="64">
        <f t="shared" ref="AX609" si="1842">SUM(M609,P609,S609,V609,Y609,AB609,AE609,AH609,AK609,AN609,AQ609,AT609)</f>
        <v>1</v>
      </c>
      <c r="AY609" s="65">
        <f t="shared" ref="AY609" si="1843">AVERAGE(M609,P609,S609,V609,Y609,AB609,AE609,AH609,AK609,AN609,AQ609,AT609)</f>
        <v>1</v>
      </c>
      <c r="AZ609" s="66">
        <f t="shared" ref="AZ609" si="1844">COUNT(M609,P609,S609,V609,Y609,AB609,AE609,AH609,AK609,AN609,AQ609,AT609)</f>
        <v>1</v>
      </c>
      <c r="BA609" s="67">
        <f>MAX(0, Table176252626[[#This Row],[Column6]])</f>
        <v>1</v>
      </c>
      <c r="BB609" s="68">
        <v>0</v>
      </c>
      <c r="BC609" s="84">
        <f t="shared" si="1774"/>
        <v>1</v>
      </c>
      <c r="BD609" s="83">
        <f t="shared" si="1775"/>
        <v>1</v>
      </c>
      <c r="BE609" s="85">
        <v>2</v>
      </c>
      <c r="BF609" s="86">
        <v>44806.528437499997</v>
      </c>
      <c r="BG609" s="72" t="e">
        <f t="shared" si="1769"/>
        <v>#REF!</v>
      </c>
      <c r="BH609" s="87" t="e">
        <f t="shared" ref="BH609" si="1845">BG609-BF609</f>
        <v>#REF!</v>
      </c>
      <c r="BI609" s="80" t="e">
        <f t="shared" si="1776"/>
        <v>#REF!</v>
      </c>
      <c r="BJ609" s="238">
        <v>7778.25</v>
      </c>
    </row>
    <row r="610" spans="1:62" ht="13">
      <c r="A610" s="90"/>
      <c r="B610" s="91"/>
      <c r="C610" s="77">
        <v>608</v>
      </c>
      <c r="D610" s="247" t="s">
        <v>2005</v>
      </c>
      <c r="E610" s="138">
        <v>3</v>
      </c>
      <c r="F610" s="80" t="s">
        <v>1925</v>
      </c>
      <c r="G610" s="81" t="s">
        <v>1926</v>
      </c>
      <c r="H610" s="81" t="s">
        <v>294</v>
      </c>
      <c r="I610" s="80" t="s">
        <v>458</v>
      </c>
      <c r="J610" s="93">
        <f>AU610</f>
        <v>1</v>
      </c>
      <c r="K610" s="80">
        <v>0</v>
      </c>
      <c r="L610" s="58">
        <v>2</v>
      </c>
      <c r="M610" s="58"/>
      <c r="N610" s="62">
        <f>SUM(K610+L610-M610)</f>
        <v>2</v>
      </c>
      <c r="O610" s="60"/>
      <c r="P610" s="58"/>
      <c r="Q610" s="62">
        <f>SUM(N610+O610-P610)</f>
        <v>2</v>
      </c>
      <c r="R610" s="60"/>
      <c r="S610" s="58"/>
      <c r="T610" s="94">
        <f>SUM(Q610+R610-S610)</f>
        <v>2</v>
      </c>
      <c r="U610" s="60"/>
      <c r="V610" s="58"/>
      <c r="W610" s="62">
        <f>SUM(T610+U610-V610)</f>
        <v>2</v>
      </c>
      <c r="X610" s="60"/>
      <c r="Y610" s="58"/>
      <c r="Z610" s="94">
        <f>SUM(W610+X610-Y610)</f>
        <v>2</v>
      </c>
      <c r="AA610" s="60"/>
      <c r="AB610" s="58">
        <v>1</v>
      </c>
      <c r="AC610" s="62">
        <f>SUM(Z610+AA610-AB610)</f>
        <v>1</v>
      </c>
      <c r="AD610" s="57"/>
      <c r="AE610" s="58"/>
      <c r="AF610" s="165">
        <f>SUM(AC610+AD610-AE610)</f>
        <v>1</v>
      </c>
      <c r="AG610" s="60"/>
      <c r="AH610" s="58"/>
      <c r="AI610" s="62">
        <f>SUM(AF610+AG610-AH610)</f>
        <v>1</v>
      </c>
      <c r="AJ610" s="60"/>
      <c r="AK610" s="58"/>
      <c r="AL610" s="62">
        <f>SUM(AI610+AJ610-AK610)</f>
        <v>1</v>
      </c>
      <c r="AM610" s="60"/>
      <c r="AN610" s="58"/>
      <c r="AO610" s="62">
        <f>SUM(AL610+AM610-AN610)</f>
        <v>1</v>
      </c>
      <c r="AP610" s="60"/>
      <c r="AQ610" s="58"/>
      <c r="AR610" s="62">
        <f>SUM(AO610+AP610-AQ610)</f>
        <v>1</v>
      </c>
      <c r="AS610" s="60"/>
      <c r="AT610" s="58"/>
      <c r="AU610" s="62">
        <f>SUM(AR610+AS610-AT610)</f>
        <v>1</v>
      </c>
      <c r="AV610" s="96">
        <f>SUM(L610+O610+R610+U610+X610+AA610+AD610+AG610+AJ610+AM610+AP610+AS610)</f>
        <v>2</v>
      </c>
      <c r="AW610" s="83">
        <f t="shared" si="1773"/>
        <v>1</v>
      </c>
      <c r="AX610" s="98">
        <f>SUM(M610,P610,S610,V610,Y610,AB610,AE610,AH610,AK610,AN610,AQ610,AT610)</f>
        <v>1</v>
      </c>
      <c r="AY610" s="99">
        <f>AVERAGE(M610,P610,S610,V610,Y610,AB610,AE610,AH610,AK610,AN610,AQ610,AT610)</f>
        <v>1</v>
      </c>
      <c r="AZ610" s="100">
        <f>COUNT(M610,P610,S610,V610,Y610,AB610,AE610,AH610,AK610,AN610,AQ610,AT610)</f>
        <v>1</v>
      </c>
      <c r="BA610" s="101">
        <f>MAX(M610,P610,S610,V610,Y610,AB610,AE610,AH610,AK610,AN610,AQ610,AT610)</f>
        <v>1</v>
      </c>
      <c r="BB610" s="102">
        <v>0</v>
      </c>
      <c r="BC610" s="84">
        <f t="shared" si="1774"/>
        <v>1</v>
      </c>
      <c r="BD610" s="83">
        <f t="shared" si="1775"/>
        <v>1</v>
      </c>
      <c r="BE610" s="85">
        <v>2</v>
      </c>
      <c r="BF610" s="86"/>
      <c r="BG610" s="72" t="e">
        <f t="shared" si="1769"/>
        <v>#REF!</v>
      </c>
      <c r="BH610" s="109" t="e">
        <f>BG610-BF610</f>
        <v>#REF!</v>
      </c>
      <c r="BI610" s="80" t="e">
        <f t="shared" si="1776"/>
        <v>#REF!</v>
      </c>
      <c r="BJ610" s="238">
        <v>3000</v>
      </c>
    </row>
    <row r="611" spans="1:62" ht="13">
      <c r="A611" s="75"/>
      <c r="B611" s="76"/>
      <c r="C611" s="77">
        <v>609</v>
      </c>
      <c r="D611" s="247" t="s">
        <v>2005</v>
      </c>
      <c r="E611" s="138">
        <v>3</v>
      </c>
      <c r="F611" s="105" t="s">
        <v>178</v>
      </c>
      <c r="G611" s="112" t="s">
        <v>179</v>
      </c>
      <c r="H611" s="81" t="s">
        <v>294</v>
      </c>
      <c r="I611" s="80" t="s">
        <v>458</v>
      </c>
      <c r="J611" s="93">
        <f>AU611</f>
        <v>1</v>
      </c>
      <c r="K611" s="80">
        <v>2</v>
      </c>
      <c r="L611" s="152"/>
      <c r="M611" s="136"/>
      <c r="N611" s="62">
        <f>SUM(K611+L611-M611)</f>
        <v>2</v>
      </c>
      <c r="O611" s="60"/>
      <c r="P611" s="58">
        <v>1</v>
      </c>
      <c r="Q611" s="62">
        <f>SUM(N611+O611-P611)</f>
        <v>1</v>
      </c>
      <c r="R611" s="60"/>
      <c r="S611" s="58"/>
      <c r="T611" s="94">
        <f>SUM(Q611+R611-S611)</f>
        <v>1</v>
      </c>
      <c r="U611" s="60"/>
      <c r="V611" s="58"/>
      <c r="W611" s="62">
        <f>SUM(T611+U611-V611)</f>
        <v>1</v>
      </c>
      <c r="X611" s="60"/>
      <c r="Y611" s="58"/>
      <c r="Z611" s="94">
        <f>SUM(W611+X611-Y611)</f>
        <v>1</v>
      </c>
      <c r="AA611" s="60"/>
      <c r="AB611" s="58"/>
      <c r="AC611" s="62">
        <f>SUM(Z611+AA611-AB611)</f>
        <v>1</v>
      </c>
      <c r="AD611" s="57"/>
      <c r="AE611" s="58"/>
      <c r="AF611" s="165">
        <f>SUM(AC611+AD611-AE611)</f>
        <v>1</v>
      </c>
      <c r="AG611" s="60"/>
      <c r="AH611" s="58"/>
      <c r="AI611" s="62">
        <f>SUM(AF611+AG611-AH611)</f>
        <v>1</v>
      </c>
      <c r="AJ611" s="60"/>
      <c r="AK611" s="58"/>
      <c r="AL611" s="62">
        <f>SUM(AI611+AJ611-AK611)</f>
        <v>1</v>
      </c>
      <c r="AM611" s="60"/>
      <c r="AN611" s="58"/>
      <c r="AO611" s="62">
        <f>SUM(AL611+AM611-AN611)</f>
        <v>1</v>
      </c>
      <c r="AP611" s="60"/>
      <c r="AQ611" s="58"/>
      <c r="AR611" s="62">
        <f>SUM(AO611+AP611-AQ611)</f>
        <v>1</v>
      </c>
      <c r="AS611" s="60"/>
      <c r="AT611" s="58"/>
      <c r="AU611" s="62">
        <f t="shared" ref="AU611" si="1846">SUM(AR611+AS611-AT611)</f>
        <v>1</v>
      </c>
      <c r="AV611" s="83">
        <f t="shared" ref="AV611" si="1847">SUM(L611+O611+R611+U611+X611+AA611+AD611+AG611+AJ611+AM611+AP611+AS611)</f>
        <v>0</v>
      </c>
      <c r="AW611" s="83">
        <f t="shared" si="1773"/>
        <v>1</v>
      </c>
      <c r="AX611" s="64">
        <f t="shared" ref="AX611" si="1848">SUM(M611,P611,S611,V611,Y611,AB611,AE611,AH611,AK611,AN611,AQ611,AT611)</f>
        <v>1</v>
      </c>
      <c r="AY611" s="65">
        <f>AVERAGE(M611,P611,S611,V611,Y611,AB611,AE611,AH611,AK611,AN611,AQ611,AT611)</f>
        <v>1</v>
      </c>
      <c r="AZ611" s="66">
        <f>COUNT(M611,P611,S611,V611,Y611,AB611,AE611,AH611,AK611,AN611,AQ611,AT611)</f>
        <v>1</v>
      </c>
      <c r="BA611" s="67">
        <f>MAX(0, Table176252626[[#This Row],[Column6]])</f>
        <v>1</v>
      </c>
      <c r="BB611" s="68">
        <v>0</v>
      </c>
      <c r="BC611" s="84">
        <f t="shared" si="1774"/>
        <v>1</v>
      </c>
      <c r="BD611" s="83">
        <f t="shared" si="1775"/>
        <v>1</v>
      </c>
      <c r="BE611" s="85">
        <v>2</v>
      </c>
      <c r="BF611" s="86">
        <v>45589.49355324074</v>
      </c>
      <c r="BG611" s="72" t="e">
        <f t="shared" si="1769"/>
        <v>#REF!</v>
      </c>
      <c r="BH611" s="87" t="e">
        <f>BG611-BF611</f>
        <v>#REF!</v>
      </c>
      <c r="BI611" s="80" t="e">
        <f t="shared" si="1776"/>
        <v>#REF!</v>
      </c>
      <c r="BJ611" s="238">
        <v>39000</v>
      </c>
    </row>
    <row r="612" spans="1:62" ht="13">
      <c r="A612" s="90"/>
      <c r="B612" s="91"/>
      <c r="C612" s="51">
        <v>610</v>
      </c>
      <c r="D612" s="247" t="s">
        <v>2005</v>
      </c>
      <c r="E612" s="202" t="s">
        <v>2062</v>
      </c>
      <c r="F612" s="88" t="s">
        <v>1811</v>
      </c>
      <c r="G612" s="89" t="s">
        <v>1812</v>
      </c>
      <c r="H612" s="89" t="s">
        <v>1355</v>
      </c>
      <c r="I612" s="88" t="s">
        <v>458</v>
      </c>
      <c r="J612" s="93">
        <f t="shared" ref="J612:J622" si="1849">AU612</f>
        <v>1</v>
      </c>
      <c r="K612" s="88">
        <v>1</v>
      </c>
      <c r="L612" s="58"/>
      <c r="M612" s="58"/>
      <c r="N612" s="62">
        <f t="shared" ref="N612:N622" si="1850">SUM(K612+L612-M612)</f>
        <v>1</v>
      </c>
      <c r="O612" s="60"/>
      <c r="P612" s="58"/>
      <c r="Q612" s="62">
        <f t="shared" ref="Q612:Q622" si="1851">SUM(N612+O612-P612)</f>
        <v>1</v>
      </c>
      <c r="R612" s="60"/>
      <c r="S612" s="58"/>
      <c r="T612" s="94">
        <f t="shared" ref="T612:T622" si="1852">SUM(Q612+R612-S612)</f>
        <v>1</v>
      </c>
      <c r="U612" s="60"/>
      <c r="V612" s="58"/>
      <c r="W612" s="62">
        <f t="shared" ref="W612:W622" si="1853">SUM(T612+U612-V612)</f>
        <v>1</v>
      </c>
      <c r="X612" s="60"/>
      <c r="Y612" s="58"/>
      <c r="Z612" s="94">
        <f t="shared" ref="Z612:Z622" si="1854">SUM(W612+X612-Y612)</f>
        <v>1</v>
      </c>
      <c r="AA612" s="60"/>
      <c r="AB612" s="58"/>
      <c r="AC612" s="62">
        <f t="shared" ref="AC612:AC622" si="1855">SUM(Z612+AA612-AB612)</f>
        <v>1</v>
      </c>
      <c r="AD612" s="57"/>
      <c r="AE612" s="58"/>
      <c r="AF612" s="165">
        <f t="shared" ref="AF612:AF622" si="1856">SUM(AC612+AD612-AE612)</f>
        <v>1</v>
      </c>
      <c r="AG612" s="60"/>
      <c r="AH612" s="58"/>
      <c r="AI612" s="62">
        <f t="shared" ref="AI612:AI622" si="1857">SUM(AF612+AG612-AH612)</f>
        <v>1</v>
      </c>
      <c r="AJ612" s="60"/>
      <c r="AK612" s="58"/>
      <c r="AL612" s="62">
        <f t="shared" ref="AL612:AL622" si="1858">SUM(AI612+AJ612-AK612)</f>
        <v>1</v>
      </c>
      <c r="AM612" s="60"/>
      <c r="AN612" s="58"/>
      <c r="AO612" s="62">
        <f t="shared" ref="AO612:AO622" si="1859">SUM(AL612+AM612-AN612)</f>
        <v>1</v>
      </c>
      <c r="AP612" s="60"/>
      <c r="AQ612" s="58"/>
      <c r="AR612" s="62">
        <f t="shared" ref="AR612:AR622" si="1860">SUM(AO612+AP612-AQ612)</f>
        <v>1</v>
      </c>
      <c r="AS612" s="60"/>
      <c r="AT612" s="58"/>
      <c r="AU612" s="62">
        <f t="shared" ref="AU612:AU622" si="1861">SUM(AR612+AS612-AT612)</f>
        <v>1</v>
      </c>
      <c r="AV612" s="96">
        <f t="shared" ref="AV612:AV622" si="1862">SUM(L612+O612+R612+U612+X612+AA612+AD612+AG612+AJ612+AM612+AP612+AS612)</f>
        <v>0</v>
      </c>
      <c r="AW612" s="83">
        <f t="shared" si="1773"/>
        <v>0</v>
      </c>
      <c r="AX612" s="98">
        <f t="shared" ref="AX612:AX622" si="1863">SUM(M612,P612,S612,V612,Y612,AB612,AE612,AH612,AK612,AN612,AQ612,AT612)</f>
        <v>0</v>
      </c>
      <c r="AY612" s="99" t="e">
        <f t="shared" ref="AY612:AY622" si="1864">AVERAGE(M612,P612,S612,V612,Y612,AB612,AE612,AH612,AK612,AN612,AQ612,AT612)</f>
        <v>#DIV/0!</v>
      </c>
      <c r="AZ612" s="100">
        <f t="shared" ref="AZ612:AZ622" si="1865">COUNT(M612,P612,S612,V612,Y612,AB612,AE612,AH612,AK612,AN612,AQ612,AT612)</f>
        <v>0</v>
      </c>
      <c r="BA612" s="101">
        <v>1</v>
      </c>
      <c r="BB612" s="102">
        <v>0</v>
      </c>
      <c r="BC612" s="84">
        <f t="shared" si="1774"/>
        <v>1</v>
      </c>
      <c r="BD612" s="83">
        <f t="shared" si="1775"/>
        <v>1</v>
      </c>
      <c r="BE612" s="85">
        <v>2</v>
      </c>
      <c r="BF612" s="86">
        <v>45918.690937500003</v>
      </c>
      <c r="BG612" s="72" t="e">
        <f t="shared" si="1769"/>
        <v>#REF!</v>
      </c>
      <c r="BH612" s="103" t="e">
        <f t="shared" ref="BH612:BH622" si="1866">BG612-BF612</f>
        <v>#REF!</v>
      </c>
      <c r="BI612" s="80" t="e">
        <f t="shared" si="1776"/>
        <v>#REF!</v>
      </c>
      <c r="BJ612" s="238">
        <v>29310</v>
      </c>
    </row>
    <row r="613" spans="1:62" ht="13">
      <c r="A613" s="90"/>
      <c r="B613" s="91"/>
      <c r="C613" s="51">
        <v>611</v>
      </c>
      <c r="D613" s="247" t="s">
        <v>2005</v>
      </c>
      <c r="E613" s="202" t="s">
        <v>2062</v>
      </c>
      <c r="F613" s="88" t="s">
        <v>1813</v>
      </c>
      <c r="G613" s="89" t="s">
        <v>1814</v>
      </c>
      <c r="H613" s="89" t="s">
        <v>1355</v>
      </c>
      <c r="I613" s="88" t="s">
        <v>458</v>
      </c>
      <c r="J613" s="93">
        <f t="shared" si="1849"/>
        <v>2</v>
      </c>
      <c r="K613" s="80">
        <v>2</v>
      </c>
      <c r="L613" s="58"/>
      <c r="M613" s="58"/>
      <c r="N613" s="62">
        <f t="shared" si="1850"/>
        <v>2</v>
      </c>
      <c r="O613" s="60"/>
      <c r="P613" s="58"/>
      <c r="Q613" s="62">
        <f t="shared" si="1851"/>
        <v>2</v>
      </c>
      <c r="R613" s="60"/>
      <c r="S613" s="58"/>
      <c r="T613" s="94">
        <f t="shared" si="1852"/>
        <v>2</v>
      </c>
      <c r="U613" s="60"/>
      <c r="V613" s="58"/>
      <c r="W613" s="62">
        <f t="shared" si="1853"/>
        <v>2</v>
      </c>
      <c r="X613" s="60"/>
      <c r="Y613" s="58"/>
      <c r="Z613" s="94">
        <f t="shared" si="1854"/>
        <v>2</v>
      </c>
      <c r="AA613" s="60"/>
      <c r="AB613" s="58"/>
      <c r="AC613" s="62">
        <f t="shared" si="1855"/>
        <v>2</v>
      </c>
      <c r="AD613" s="57"/>
      <c r="AE613" s="58"/>
      <c r="AF613" s="165">
        <f t="shared" si="1856"/>
        <v>2</v>
      </c>
      <c r="AG613" s="60"/>
      <c r="AH613" s="58"/>
      <c r="AI613" s="62">
        <f t="shared" si="1857"/>
        <v>2</v>
      </c>
      <c r="AJ613" s="60"/>
      <c r="AK613" s="58"/>
      <c r="AL613" s="62">
        <f t="shared" si="1858"/>
        <v>2</v>
      </c>
      <c r="AM613" s="60"/>
      <c r="AN613" s="58"/>
      <c r="AO613" s="62">
        <f t="shared" si="1859"/>
        <v>2</v>
      </c>
      <c r="AP613" s="60"/>
      <c r="AQ613" s="58"/>
      <c r="AR613" s="62">
        <f t="shared" si="1860"/>
        <v>2</v>
      </c>
      <c r="AS613" s="60"/>
      <c r="AT613" s="58"/>
      <c r="AU613" s="62">
        <f t="shared" si="1861"/>
        <v>2</v>
      </c>
      <c r="AV613" s="96">
        <f t="shared" si="1862"/>
        <v>0</v>
      </c>
      <c r="AW613" s="83">
        <f t="shared" si="1773"/>
        <v>0</v>
      </c>
      <c r="AX613" s="98">
        <f t="shared" si="1863"/>
        <v>0</v>
      </c>
      <c r="AY613" s="99" t="e">
        <f t="shared" si="1864"/>
        <v>#DIV/0!</v>
      </c>
      <c r="AZ613" s="100">
        <f t="shared" si="1865"/>
        <v>0</v>
      </c>
      <c r="BA613" s="101">
        <v>2</v>
      </c>
      <c r="BB613" s="102">
        <v>1</v>
      </c>
      <c r="BC613" s="84">
        <f t="shared" si="1774"/>
        <v>2</v>
      </c>
      <c r="BD613" s="83">
        <f t="shared" si="1775"/>
        <v>1</v>
      </c>
      <c r="BE613" s="85">
        <v>2</v>
      </c>
      <c r="BF613" s="86">
        <v>45918.690937500003</v>
      </c>
      <c r="BG613" s="72" t="e">
        <f t="shared" si="1769"/>
        <v>#REF!</v>
      </c>
      <c r="BH613" s="103" t="e">
        <f t="shared" si="1866"/>
        <v>#REF!</v>
      </c>
      <c r="BI613" s="80" t="e">
        <f t="shared" si="1776"/>
        <v>#REF!</v>
      </c>
      <c r="BJ613" s="238">
        <v>585</v>
      </c>
    </row>
    <row r="614" spans="1:62" ht="13">
      <c r="A614" s="90"/>
      <c r="B614" s="91"/>
      <c r="C614" s="51">
        <v>612</v>
      </c>
      <c r="D614" s="247" t="s">
        <v>2005</v>
      </c>
      <c r="E614" s="202" t="s">
        <v>2062</v>
      </c>
      <c r="F614" s="88" t="s">
        <v>1815</v>
      </c>
      <c r="G614" s="89" t="s">
        <v>1816</v>
      </c>
      <c r="H614" s="89" t="s">
        <v>1355</v>
      </c>
      <c r="I614" s="88" t="s">
        <v>458</v>
      </c>
      <c r="J614" s="93">
        <f t="shared" si="1849"/>
        <v>2</v>
      </c>
      <c r="K614" s="88">
        <v>2</v>
      </c>
      <c r="L614" s="58"/>
      <c r="M614" s="58"/>
      <c r="N614" s="62">
        <f t="shared" si="1850"/>
        <v>2</v>
      </c>
      <c r="O614" s="60"/>
      <c r="P614" s="58"/>
      <c r="Q614" s="62">
        <f t="shared" si="1851"/>
        <v>2</v>
      </c>
      <c r="R614" s="60"/>
      <c r="S614" s="58"/>
      <c r="T614" s="94">
        <f t="shared" si="1852"/>
        <v>2</v>
      </c>
      <c r="U614" s="60"/>
      <c r="V614" s="58"/>
      <c r="W614" s="62">
        <f t="shared" si="1853"/>
        <v>2</v>
      </c>
      <c r="X614" s="60"/>
      <c r="Y614" s="58"/>
      <c r="Z614" s="94">
        <f t="shared" si="1854"/>
        <v>2</v>
      </c>
      <c r="AA614" s="60"/>
      <c r="AB614" s="58"/>
      <c r="AC614" s="62">
        <f t="shared" si="1855"/>
        <v>2</v>
      </c>
      <c r="AD614" s="57"/>
      <c r="AE614" s="58"/>
      <c r="AF614" s="165">
        <f t="shared" si="1856"/>
        <v>2</v>
      </c>
      <c r="AG614" s="60"/>
      <c r="AH614" s="58"/>
      <c r="AI614" s="62">
        <f t="shared" si="1857"/>
        <v>2</v>
      </c>
      <c r="AJ614" s="60"/>
      <c r="AK614" s="58"/>
      <c r="AL614" s="62">
        <f t="shared" si="1858"/>
        <v>2</v>
      </c>
      <c r="AM614" s="60"/>
      <c r="AN614" s="58"/>
      <c r="AO614" s="62">
        <f t="shared" si="1859"/>
        <v>2</v>
      </c>
      <c r="AP614" s="60"/>
      <c r="AQ614" s="58"/>
      <c r="AR614" s="62">
        <f t="shared" si="1860"/>
        <v>2</v>
      </c>
      <c r="AS614" s="60"/>
      <c r="AT614" s="58"/>
      <c r="AU614" s="62">
        <f t="shared" si="1861"/>
        <v>2</v>
      </c>
      <c r="AV614" s="96">
        <f t="shared" si="1862"/>
        <v>0</v>
      </c>
      <c r="AW614" s="83">
        <f t="shared" si="1773"/>
        <v>0</v>
      </c>
      <c r="AX614" s="98">
        <f t="shared" si="1863"/>
        <v>0</v>
      </c>
      <c r="AY614" s="99" t="e">
        <f t="shared" si="1864"/>
        <v>#DIV/0!</v>
      </c>
      <c r="AZ614" s="100">
        <f t="shared" si="1865"/>
        <v>0</v>
      </c>
      <c r="BA614" s="101">
        <v>2</v>
      </c>
      <c r="BB614" s="102">
        <v>1</v>
      </c>
      <c r="BC614" s="84">
        <f t="shared" si="1774"/>
        <v>2</v>
      </c>
      <c r="BD614" s="83">
        <f t="shared" si="1775"/>
        <v>1</v>
      </c>
      <c r="BE614" s="85">
        <v>2</v>
      </c>
      <c r="BF614" s="86">
        <v>45918.690937500003</v>
      </c>
      <c r="BG614" s="72" t="e">
        <f t="shared" si="1769"/>
        <v>#REF!</v>
      </c>
      <c r="BH614" s="103" t="e">
        <f t="shared" si="1866"/>
        <v>#REF!</v>
      </c>
      <c r="BI614" s="80" t="e">
        <f t="shared" si="1776"/>
        <v>#REF!</v>
      </c>
      <c r="BJ614" s="238">
        <v>585</v>
      </c>
    </row>
    <row r="615" spans="1:62" ht="13">
      <c r="A615" s="90"/>
      <c r="B615" s="91"/>
      <c r="C615" s="51">
        <v>613</v>
      </c>
      <c r="D615" s="247" t="s">
        <v>2005</v>
      </c>
      <c r="E615" s="202" t="s">
        <v>2062</v>
      </c>
      <c r="F615" s="88" t="s">
        <v>1817</v>
      </c>
      <c r="G615" s="89" t="s">
        <v>1818</v>
      </c>
      <c r="H615" s="89" t="s">
        <v>1355</v>
      </c>
      <c r="I615" s="88" t="s">
        <v>458</v>
      </c>
      <c r="J615" s="93">
        <f t="shared" si="1849"/>
        <v>24</v>
      </c>
      <c r="K615" s="80">
        <v>24</v>
      </c>
      <c r="L615" s="58"/>
      <c r="M615" s="58"/>
      <c r="N615" s="62">
        <f t="shared" si="1850"/>
        <v>24</v>
      </c>
      <c r="O615" s="60"/>
      <c r="P615" s="58"/>
      <c r="Q615" s="62">
        <f t="shared" si="1851"/>
        <v>24</v>
      </c>
      <c r="R615" s="60"/>
      <c r="S615" s="58"/>
      <c r="T615" s="94">
        <f t="shared" si="1852"/>
        <v>24</v>
      </c>
      <c r="U615" s="60"/>
      <c r="V615" s="58"/>
      <c r="W615" s="62">
        <f t="shared" si="1853"/>
        <v>24</v>
      </c>
      <c r="X615" s="60"/>
      <c r="Y615" s="58"/>
      <c r="Z615" s="94">
        <f t="shared" si="1854"/>
        <v>24</v>
      </c>
      <c r="AA615" s="60"/>
      <c r="AB615" s="58"/>
      <c r="AC615" s="62">
        <f t="shared" si="1855"/>
        <v>24</v>
      </c>
      <c r="AD615" s="57"/>
      <c r="AE615" s="58"/>
      <c r="AF615" s="165">
        <f t="shared" si="1856"/>
        <v>24</v>
      </c>
      <c r="AG615" s="60"/>
      <c r="AH615" s="58"/>
      <c r="AI615" s="62">
        <f t="shared" si="1857"/>
        <v>24</v>
      </c>
      <c r="AJ615" s="60"/>
      <c r="AK615" s="58"/>
      <c r="AL615" s="62">
        <f t="shared" si="1858"/>
        <v>24</v>
      </c>
      <c r="AM615" s="60"/>
      <c r="AN615" s="58"/>
      <c r="AO615" s="62">
        <f t="shared" si="1859"/>
        <v>24</v>
      </c>
      <c r="AP615" s="60"/>
      <c r="AQ615" s="58"/>
      <c r="AR615" s="62">
        <f t="shared" si="1860"/>
        <v>24</v>
      </c>
      <c r="AS615" s="60"/>
      <c r="AT615" s="58"/>
      <c r="AU615" s="62">
        <f t="shared" si="1861"/>
        <v>24</v>
      </c>
      <c r="AV615" s="96">
        <f t="shared" si="1862"/>
        <v>0</v>
      </c>
      <c r="AW615" s="83">
        <f t="shared" si="1773"/>
        <v>0</v>
      </c>
      <c r="AX615" s="98">
        <f t="shared" si="1863"/>
        <v>0</v>
      </c>
      <c r="AY615" s="99" t="e">
        <f t="shared" si="1864"/>
        <v>#DIV/0!</v>
      </c>
      <c r="AZ615" s="100">
        <f t="shared" si="1865"/>
        <v>0</v>
      </c>
      <c r="BA615" s="101">
        <v>24</v>
      </c>
      <c r="BB615" s="102">
        <v>1</v>
      </c>
      <c r="BC615" s="84">
        <f t="shared" si="1774"/>
        <v>24</v>
      </c>
      <c r="BD615" s="83">
        <f t="shared" si="1775"/>
        <v>23</v>
      </c>
      <c r="BE615" s="85">
        <v>2</v>
      </c>
      <c r="BF615" s="86">
        <v>45918.690937500003</v>
      </c>
      <c r="BG615" s="72" t="e">
        <f t="shared" si="1769"/>
        <v>#REF!</v>
      </c>
      <c r="BH615" s="103" t="e">
        <f t="shared" si="1866"/>
        <v>#REF!</v>
      </c>
      <c r="BI615" s="80" t="e">
        <f t="shared" si="1776"/>
        <v>#REF!</v>
      </c>
      <c r="BJ615" s="238">
        <v>292</v>
      </c>
    </row>
    <row r="616" spans="1:62" ht="13">
      <c r="A616" s="90"/>
      <c r="B616" s="91"/>
      <c r="C616" s="77">
        <v>614</v>
      </c>
      <c r="D616" s="247" t="s">
        <v>2005</v>
      </c>
      <c r="E616" s="202" t="s">
        <v>2062</v>
      </c>
      <c r="F616" s="88" t="s">
        <v>1819</v>
      </c>
      <c r="G616" s="89" t="s">
        <v>1820</v>
      </c>
      <c r="H616" s="89" t="s">
        <v>1355</v>
      </c>
      <c r="I616" s="88" t="s">
        <v>458</v>
      </c>
      <c r="J616" s="93">
        <f t="shared" si="1849"/>
        <v>2</v>
      </c>
      <c r="K616" s="88">
        <v>2</v>
      </c>
      <c r="L616" s="58"/>
      <c r="M616" s="58"/>
      <c r="N616" s="62">
        <f t="shared" si="1850"/>
        <v>2</v>
      </c>
      <c r="O616" s="60"/>
      <c r="P616" s="58"/>
      <c r="Q616" s="62">
        <f t="shared" si="1851"/>
        <v>2</v>
      </c>
      <c r="R616" s="60"/>
      <c r="S616" s="58"/>
      <c r="T616" s="94">
        <f t="shared" si="1852"/>
        <v>2</v>
      </c>
      <c r="U616" s="60"/>
      <c r="V616" s="58"/>
      <c r="W616" s="62">
        <f t="shared" si="1853"/>
        <v>2</v>
      </c>
      <c r="X616" s="60"/>
      <c r="Y616" s="58"/>
      <c r="Z616" s="94">
        <f t="shared" si="1854"/>
        <v>2</v>
      </c>
      <c r="AA616" s="60"/>
      <c r="AB616" s="58"/>
      <c r="AC616" s="62">
        <f t="shared" si="1855"/>
        <v>2</v>
      </c>
      <c r="AD616" s="57"/>
      <c r="AE616" s="58"/>
      <c r="AF616" s="165">
        <f t="shared" si="1856"/>
        <v>2</v>
      </c>
      <c r="AG616" s="60"/>
      <c r="AH616" s="58"/>
      <c r="AI616" s="62">
        <f t="shared" si="1857"/>
        <v>2</v>
      </c>
      <c r="AJ616" s="60"/>
      <c r="AK616" s="58"/>
      <c r="AL616" s="62">
        <f t="shared" si="1858"/>
        <v>2</v>
      </c>
      <c r="AM616" s="60"/>
      <c r="AN616" s="58"/>
      <c r="AO616" s="62">
        <f t="shared" si="1859"/>
        <v>2</v>
      </c>
      <c r="AP616" s="60"/>
      <c r="AQ616" s="58"/>
      <c r="AR616" s="62">
        <f t="shared" si="1860"/>
        <v>2</v>
      </c>
      <c r="AS616" s="60"/>
      <c r="AT616" s="58"/>
      <c r="AU616" s="62">
        <f t="shared" si="1861"/>
        <v>2</v>
      </c>
      <c r="AV616" s="96">
        <f t="shared" si="1862"/>
        <v>0</v>
      </c>
      <c r="AW616" s="83">
        <f t="shared" si="1773"/>
        <v>0</v>
      </c>
      <c r="AX616" s="98">
        <f t="shared" si="1863"/>
        <v>0</v>
      </c>
      <c r="AY616" s="99" t="e">
        <f t="shared" si="1864"/>
        <v>#DIV/0!</v>
      </c>
      <c r="AZ616" s="100">
        <f t="shared" si="1865"/>
        <v>0</v>
      </c>
      <c r="BA616" s="101">
        <v>2</v>
      </c>
      <c r="BB616" s="102">
        <v>1</v>
      </c>
      <c r="BC616" s="84">
        <f t="shared" si="1774"/>
        <v>2</v>
      </c>
      <c r="BD616" s="83">
        <f t="shared" si="1775"/>
        <v>1</v>
      </c>
      <c r="BE616" s="85">
        <v>2</v>
      </c>
      <c r="BF616" s="86">
        <v>45918.690937500003</v>
      </c>
      <c r="BG616" s="72" t="e">
        <f t="shared" si="1769"/>
        <v>#REF!</v>
      </c>
      <c r="BH616" s="103" t="e">
        <f t="shared" si="1866"/>
        <v>#REF!</v>
      </c>
      <c r="BI616" s="80" t="e">
        <f t="shared" si="1776"/>
        <v>#REF!</v>
      </c>
      <c r="BJ616" s="238">
        <v>585</v>
      </c>
    </row>
    <row r="617" spans="1:62" ht="13">
      <c r="A617" s="90"/>
      <c r="B617" s="91"/>
      <c r="C617" s="77">
        <v>615</v>
      </c>
      <c r="D617" s="247" t="s">
        <v>2005</v>
      </c>
      <c r="E617" s="202" t="s">
        <v>2062</v>
      </c>
      <c r="F617" s="88" t="s">
        <v>1821</v>
      </c>
      <c r="G617" s="89" t="s">
        <v>1822</v>
      </c>
      <c r="H617" s="89" t="s">
        <v>1355</v>
      </c>
      <c r="I617" s="88" t="s">
        <v>458</v>
      </c>
      <c r="J617" s="93">
        <f t="shared" si="1849"/>
        <v>8</v>
      </c>
      <c r="K617" s="80">
        <v>8</v>
      </c>
      <c r="L617" s="58"/>
      <c r="M617" s="58"/>
      <c r="N617" s="62">
        <f t="shared" si="1850"/>
        <v>8</v>
      </c>
      <c r="O617" s="60"/>
      <c r="P617" s="58"/>
      <c r="Q617" s="62">
        <f t="shared" si="1851"/>
        <v>8</v>
      </c>
      <c r="R617" s="60"/>
      <c r="S617" s="58"/>
      <c r="T617" s="94">
        <f t="shared" si="1852"/>
        <v>8</v>
      </c>
      <c r="U617" s="60"/>
      <c r="V617" s="58"/>
      <c r="W617" s="62">
        <f t="shared" si="1853"/>
        <v>8</v>
      </c>
      <c r="X617" s="60"/>
      <c r="Y617" s="58"/>
      <c r="Z617" s="94">
        <f t="shared" si="1854"/>
        <v>8</v>
      </c>
      <c r="AA617" s="60"/>
      <c r="AB617" s="58"/>
      <c r="AC617" s="62">
        <f t="shared" si="1855"/>
        <v>8</v>
      </c>
      <c r="AD617" s="57"/>
      <c r="AE617" s="58"/>
      <c r="AF617" s="165">
        <f t="shared" si="1856"/>
        <v>8</v>
      </c>
      <c r="AG617" s="60"/>
      <c r="AH617" s="58"/>
      <c r="AI617" s="62">
        <f t="shared" si="1857"/>
        <v>8</v>
      </c>
      <c r="AJ617" s="60"/>
      <c r="AK617" s="58"/>
      <c r="AL617" s="62">
        <f t="shared" si="1858"/>
        <v>8</v>
      </c>
      <c r="AM617" s="60"/>
      <c r="AN617" s="58"/>
      <c r="AO617" s="62">
        <f t="shared" si="1859"/>
        <v>8</v>
      </c>
      <c r="AP617" s="60"/>
      <c r="AQ617" s="58"/>
      <c r="AR617" s="62">
        <f t="shared" si="1860"/>
        <v>8</v>
      </c>
      <c r="AS617" s="60"/>
      <c r="AT617" s="58"/>
      <c r="AU617" s="62">
        <f t="shared" si="1861"/>
        <v>8</v>
      </c>
      <c r="AV617" s="96">
        <f t="shared" si="1862"/>
        <v>0</v>
      </c>
      <c r="AW617" s="83">
        <f t="shared" si="1773"/>
        <v>0</v>
      </c>
      <c r="AX617" s="98">
        <f t="shared" si="1863"/>
        <v>0</v>
      </c>
      <c r="AY617" s="99" t="e">
        <f t="shared" si="1864"/>
        <v>#DIV/0!</v>
      </c>
      <c r="AZ617" s="100">
        <f t="shared" si="1865"/>
        <v>0</v>
      </c>
      <c r="BA617" s="101">
        <v>8</v>
      </c>
      <c r="BB617" s="102">
        <v>1</v>
      </c>
      <c r="BC617" s="84">
        <f t="shared" si="1774"/>
        <v>8</v>
      </c>
      <c r="BD617" s="83">
        <f t="shared" si="1775"/>
        <v>7</v>
      </c>
      <c r="BE617" s="85">
        <v>2</v>
      </c>
      <c r="BF617" s="86">
        <v>45918.690937500003</v>
      </c>
      <c r="BG617" s="72" t="e">
        <f t="shared" si="1769"/>
        <v>#REF!</v>
      </c>
      <c r="BH617" s="103" t="e">
        <f t="shared" si="1866"/>
        <v>#REF!</v>
      </c>
      <c r="BI617" s="80" t="e">
        <f t="shared" si="1776"/>
        <v>#REF!</v>
      </c>
      <c r="BJ617" s="238">
        <v>1318</v>
      </c>
    </row>
    <row r="618" spans="1:62" ht="13">
      <c r="A618" s="90"/>
      <c r="B618" s="91"/>
      <c r="C618" s="51">
        <v>616</v>
      </c>
      <c r="D618" s="247" t="s">
        <v>2005</v>
      </c>
      <c r="E618" s="202" t="s">
        <v>2062</v>
      </c>
      <c r="F618" s="88" t="s">
        <v>1823</v>
      </c>
      <c r="G618" s="89" t="s">
        <v>1824</v>
      </c>
      <c r="H618" s="89" t="s">
        <v>1355</v>
      </c>
      <c r="I618" s="88" t="s">
        <v>458</v>
      </c>
      <c r="J618" s="93">
        <f t="shared" si="1849"/>
        <v>12</v>
      </c>
      <c r="K618" s="88">
        <v>12</v>
      </c>
      <c r="L618" s="58"/>
      <c r="M618" s="58"/>
      <c r="N618" s="62">
        <f t="shared" si="1850"/>
        <v>12</v>
      </c>
      <c r="O618" s="60"/>
      <c r="P618" s="58"/>
      <c r="Q618" s="62">
        <f t="shared" si="1851"/>
        <v>12</v>
      </c>
      <c r="R618" s="60"/>
      <c r="S618" s="58"/>
      <c r="T618" s="94">
        <f t="shared" si="1852"/>
        <v>12</v>
      </c>
      <c r="U618" s="60"/>
      <c r="V618" s="58"/>
      <c r="W618" s="62">
        <f t="shared" si="1853"/>
        <v>12</v>
      </c>
      <c r="X618" s="60"/>
      <c r="Y618" s="58"/>
      <c r="Z618" s="94">
        <f t="shared" si="1854"/>
        <v>12</v>
      </c>
      <c r="AA618" s="60"/>
      <c r="AB618" s="58"/>
      <c r="AC618" s="62">
        <f t="shared" si="1855"/>
        <v>12</v>
      </c>
      <c r="AD618" s="57"/>
      <c r="AE618" s="58"/>
      <c r="AF618" s="165">
        <f t="shared" si="1856"/>
        <v>12</v>
      </c>
      <c r="AG618" s="60"/>
      <c r="AH618" s="58"/>
      <c r="AI618" s="62">
        <f t="shared" si="1857"/>
        <v>12</v>
      </c>
      <c r="AJ618" s="60"/>
      <c r="AK618" s="58"/>
      <c r="AL618" s="62">
        <f t="shared" si="1858"/>
        <v>12</v>
      </c>
      <c r="AM618" s="60"/>
      <c r="AN618" s="58"/>
      <c r="AO618" s="62">
        <f t="shared" si="1859"/>
        <v>12</v>
      </c>
      <c r="AP618" s="60"/>
      <c r="AQ618" s="58"/>
      <c r="AR618" s="62">
        <f t="shared" si="1860"/>
        <v>12</v>
      </c>
      <c r="AS618" s="60"/>
      <c r="AT618" s="58"/>
      <c r="AU618" s="62">
        <f t="shared" si="1861"/>
        <v>12</v>
      </c>
      <c r="AV618" s="96">
        <f t="shared" si="1862"/>
        <v>0</v>
      </c>
      <c r="AW618" s="83">
        <f t="shared" si="1773"/>
        <v>0</v>
      </c>
      <c r="AX618" s="98">
        <f t="shared" si="1863"/>
        <v>0</v>
      </c>
      <c r="AY618" s="99" t="e">
        <f t="shared" si="1864"/>
        <v>#DIV/0!</v>
      </c>
      <c r="AZ618" s="100">
        <f t="shared" si="1865"/>
        <v>0</v>
      </c>
      <c r="BA618" s="101">
        <v>12</v>
      </c>
      <c r="BB618" s="102">
        <v>1</v>
      </c>
      <c r="BC618" s="84">
        <f t="shared" si="1774"/>
        <v>12</v>
      </c>
      <c r="BD618" s="83">
        <f t="shared" si="1775"/>
        <v>11</v>
      </c>
      <c r="BE618" s="85">
        <v>2</v>
      </c>
      <c r="BF618" s="86">
        <v>45918.690937500003</v>
      </c>
      <c r="BG618" s="72" t="e">
        <f t="shared" si="1769"/>
        <v>#REF!</v>
      </c>
      <c r="BH618" s="103" t="e">
        <f t="shared" si="1866"/>
        <v>#REF!</v>
      </c>
      <c r="BI618" s="80" t="e">
        <f t="shared" si="1776"/>
        <v>#REF!</v>
      </c>
      <c r="BJ618" s="238">
        <v>879</v>
      </c>
    </row>
    <row r="619" spans="1:62" ht="13">
      <c r="A619" s="90"/>
      <c r="B619" s="91"/>
      <c r="C619" s="51">
        <v>617</v>
      </c>
      <c r="D619" s="247" t="s">
        <v>2005</v>
      </c>
      <c r="E619" s="202" t="s">
        <v>2062</v>
      </c>
      <c r="F619" s="88" t="s">
        <v>1825</v>
      </c>
      <c r="G619" s="89" t="s">
        <v>1826</v>
      </c>
      <c r="H619" s="89" t="s">
        <v>1355</v>
      </c>
      <c r="I619" s="88" t="s">
        <v>458</v>
      </c>
      <c r="J619" s="93">
        <f t="shared" si="1849"/>
        <v>12</v>
      </c>
      <c r="K619" s="80">
        <v>12</v>
      </c>
      <c r="L619" s="58"/>
      <c r="M619" s="58"/>
      <c r="N619" s="62">
        <f t="shared" si="1850"/>
        <v>12</v>
      </c>
      <c r="O619" s="60"/>
      <c r="P619" s="58"/>
      <c r="Q619" s="62">
        <f t="shared" si="1851"/>
        <v>12</v>
      </c>
      <c r="R619" s="60"/>
      <c r="S619" s="58"/>
      <c r="T619" s="94">
        <f t="shared" si="1852"/>
        <v>12</v>
      </c>
      <c r="U619" s="60"/>
      <c r="V619" s="58"/>
      <c r="W619" s="62">
        <f t="shared" si="1853"/>
        <v>12</v>
      </c>
      <c r="X619" s="60"/>
      <c r="Y619" s="58"/>
      <c r="Z619" s="94">
        <f t="shared" si="1854"/>
        <v>12</v>
      </c>
      <c r="AA619" s="60"/>
      <c r="AB619" s="58"/>
      <c r="AC619" s="62">
        <f t="shared" si="1855"/>
        <v>12</v>
      </c>
      <c r="AD619" s="57"/>
      <c r="AE619" s="58"/>
      <c r="AF619" s="165">
        <f t="shared" si="1856"/>
        <v>12</v>
      </c>
      <c r="AG619" s="60"/>
      <c r="AH619" s="58"/>
      <c r="AI619" s="62">
        <f t="shared" si="1857"/>
        <v>12</v>
      </c>
      <c r="AJ619" s="60"/>
      <c r="AK619" s="58"/>
      <c r="AL619" s="62">
        <f t="shared" si="1858"/>
        <v>12</v>
      </c>
      <c r="AM619" s="60"/>
      <c r="AN619" s="58"/>
      <c r="AO619" s="62">
        <f t="shared" si="1859"/>
        <v>12</v>
      </c>
      <c r="AP619" s="60"/>
      <c r="AQ619" s="58"/>
      <c r="AR619" s="62">
        <f t="shared" si="1860"/>
        <v>12</v>
      </c>
      <c r="AS619" s="60"/>
      <c r="AT619" s="58"/>
      <c r="AU619" s="62">
        <f t="shared" si="1861"/>
        <v>12</v>
      </c>
      <c r="AV619" s="96">
        <f t="shared" si="1862"/>
        <v>0</v>
      </c>
      <c r="AW619" s="83">
        <f t="shared" si="1773"/>
        <v>0</v>
      </c>
      <c r="AX619" s="98">
        <f t="shared" si="1863"/>
        <v>0</v>
      </c>
      <c r="AY619" s="99" t="e">
        <f t="shared" si="1864"/>
        <v>#DIV/0!</v>
      </c>
      <c r="AZ619" s="100">
        <f t="shared" si="1865"/>
        <v>0</v>
      </c>
      <c r="BA619" s="101">
        <v>12</v>
      </c>
      <c r="BB619" s="102">
        <v>1</v>
      </c>
      <c r="BC619" s="84">
        <f t="shared" si="1774"/>
        <v>12</v>
      </c>
      <c r="BD619" s="83">
        <f t="shared" si="1775"/>
        <v>11</v>
      </c>
      <c r="BE619" s="85">
        <v>2</v>
      </c>
      <c r="BF619" s="86">
        <v>45918.690937500003</v>
      </c>
      <c r="BG619" s="72" t="e">
        <f t="shared" si="1769"/>
        <v>#REF!</v>
      </c>
      <c r="BH619" s="103" t="e">
        <f t="shared" si="1866"/>
        <v>#REF!</v>
      </c>
      <c r="BI619" s="80" t="e">
        <f t="shared" si="1776"/>
        <v>#REF!</v>
      </c>
      <c r="BJ619" s="238">
        <v>586</v>
      </c>
    </row>
    <row r="620" spans="1:62" ht="13">
      <c r="A620" s="90"/>
      <c r="B620" s="91"/>
      <c r="C620" s="51">
        <v>618</v>
      </c>
      <c r="D620" s="247" t="s">
        <v>2005</v>
      </c>
      <c r="E620" s="202" t="s">
        <v>2062</v>
      </c>
      <c r="F620" s="88" t="s">
        <v>1827</v>
      </c>
      <c r="G620" s="89" t="s">
        <v>1828</v>
      </c>
      <c r="H620" s="89" t="s">
        <v>1355</v>
      </c>
      <c r="I620" s="88" t="s">
        <v>458</v>
      </c>
      <c r="J620" s="93">
        <f t="shared" si="1849"/>
        <v>4</v>
      </c>
      <c r="K620" s="88">
        <v>4</v>
      </c>
      <c r="L620" s="58"/>
      <c r="M620" s="58"/>
      <c r="N620" s="62">
        <f t="shared" si="1850"/>
        <v>4</v>
      </c>
      <c r="O620" s="60"/>
      <c r="P620" s="58"/>
      <c r="Q620" s="62">
        <f t="shared" si="1851"/>
        <v>4</v>
      </c>
      <c r="R620" s="60"/>
      <c r="S620" s="58"/>
      <c r="T620" s="94">
        <f t="shared" si="1852"/>
        <v>4</v>
      </c>
      <c r="U620" s="60"/>
      <c r="V620" s="58"/>
      <c r="W620" s="62">
        <f t="shared" si="1853"/>
        <v>4</v>
      </c>
      <c r="X620" s="60"/>
      <c r="Y620" s="58"/>
      <c r="Z620" s="94">
        <f t="shared" si="1854"/>
        <v>4</v>
      </c>
      <c r="AA620" s="60"/>
      <c r="AB620" s="58"/>
      <c r="AC620" s="62">
        <f t="shared" si="1855"/>
        <v>4</v>
      </c>
      <c r="AD620" s="57"/>
      <c r="AE620" s="58"/>
      <c r="AF620" s="165">
        <f t="shared" si="1856"/>
        <v>4</v>
      </c>
      <c r="AG620" s="60"/>
      <c r="AH620" s="58"/>
      <c r="AI620" s="62">
        <f t="shared" si="1857"/>
        <v>4</v>
      </c>
      <c r="AJ620" s="60"/>
      <c r="AK620" s="58"/>
      <c r="AL620" s="62">
        <f t="shared" si="1858"/>
        <v>4</v>
      </c>
      <c r="AM620" s="60"/>
      <c r="AN620" s="58"/>
      <c r="AO620" s="62">
        <f t="shared" si="1859"/>
        <v>4</v>
      </c>
      <c r="AP620" s="60"/>
      <c r="AQ620" s="58"/>
      <c r="AR620" s="62">
        <f t="shared" si="1860"/>
        <v>4</v>
      </c>
      <c r="AS620" s="60"/>
      <c r="AT620" s="58"/>
      <c r="AU620" s="62">
        <f t="shared" si="1861"/>
        <v>4</v>
      </c>
      <c r="AV620" s="96">
        <f t="shared" si="1862"/>
        <v>0</v>
      </c>
      <c r="AW620" s="83">
        <f t="shared" si="1773"/>
        <v>0</v>
      </c>
      <c r="AX620" s="98">
        <f t="shared" si="1863"/>
        <v>0</v>
      </c>
      <c r="AY620" s="99" t="e">
        <f t="shared" si="1864"/>
        <v>#DIV/0!</v>
      </c>
      <c r="AZ620" s="100">
        <f t="shared" si="1865"/>
        <v>0</v>
      </c>
      <c r="BA620" s="101">
        <v>4</v>
      </c>
      <c r="BB620" s="102">
        <v>1</v>
      </c>
      <c r="BC620" s="84">
        <f t="shared" si="1774"/>
        <v>4</v>
      </c>
      <c r="BD620" s="83">
        <f t="shared" si="1775"/>
        <v>3</v>
      </c>
      <c r="BE620" s="85">
        <v>2</v>
      </c>
      <c r="BF620" s="86">
        <v>45918.690937500003</v>
      </c>
      <c r="BG620" s="72" t="e">
        <f t="shared" si="1769"/>
        <v>#REF!</v>
      </c>
      <c r="BH620" s="103" t="e">
        <f t="shared" si="1866"/>
        <v>#REF!</v>
      </c>
      <c r="BI620" s="80" t="e">
        <f t="shared" si="1776"/>
        <v>#REF!</v>
      </c>
      <c r="BJ620" s="238">
        <v>1832</v>
      </c>
    </row>
    <row r="621" spans="1:62" ht="13">
      <c r="A621" s="90"/>
      <c r="B621" s="91"/>
      <c r="C621" s="51">
        <v>619</v>
      </c>
      <c r="D621" s="247" t="s">
        <v>2005</v>
      </c>
      <c r="E621" s="202" t="s">
        <v>2062</v>
      </c>
      <c r="F621" s="88" t="s">
        <v>1829</v>
      </c>
      <c r="G621" s="89" t="s">
        <v>1830</v>
      </c>
      <c r="H621" s="89" t="s">
        <v>1355</v>
      </c>
      <c r="I621" s="88" t="s">
        <v>458</v>
      </c>
      <c r="J621" s="93">
        <f t="shared" si="1849"/>
        <v>1</v>
      </c>
      <c r="K621" s="80">
        <v>1</v>
      </c>
      <c r="L621" s="58"/>
      <c r="M621" s="58"/>
      <c r="N621" s="62">
        <f t="shared" si="1850"/>
        <v>1</v>
      </c>
      <c r="O621" s="60"/>
      <c r="P621" s="58"/>
      <c r="Q621" s="62">
        <f t="shared" si="1851"/>
        <v>1</v>
      </c>
      <c r="R621" s="60"/>
      <c r="S621" s="58"/>
      <c r="T621" s="94">
        <f t="shared" si="1852"/>
        <v>1</v>
      </c>
      <c r="U621" s="60"/>
      <c r="V621" s="58"/>
      <c r="W621" s="62">
        <f t="shared" si="1853"/>
        <v>1</v>
      </c>
      <c r="X621" s="60"/>
      <c r="Y621" s="58"/>
      <c r="Z621" s="94">
        <f t="shared" si="1854"/>
        <v>1</v>
      </c>
      <c r="AA621" s="60"/>
      <c r="AB621" s="58"/>
      <c r="AC621" s="62">
        <f t="shared" si="1855"/>
        <v>1</v>
      </c>
      <c r="AD621" s="57"/>
      <c r="AE621" s="58"/>
      <c r="AF621" s="165">
        <f t="shared" si="1856"/>
        <v>1</v>
      </c>
      <c r="AG621" s="60"/>
      <c r="AH621" s="58"/>
      <c r="AI621" s="62">
        <f t="shared" si="1857"/>
        <v>1</v>
      </c>
      <c r="AJ621" s="60"/>
      <c r="AK621" s="58"/>
      <c r="AL621" s="62">
        <f t="shared" si="1858"/>
        <v>1</v>
      </c>
      <c r="AM621" s="60"/>
      <c r="AN621" s="58"/>
      <c r="AO621" s="62">
        <f t="shared" si="1859"/>
        <v>1</v>
      </c>
      <c r="AP621" s="60"/>
      <c r="AQ621" s="58"/>
      <c r="AR621" s="62">
        <f t="shared" si="1860"/>
        <v>1</v>
      </c>
      <c r="AS621" s="60"/>
      <c r="AT621" s="58"/>
      <c r="AU621" s="62">
        <f t="shared" si="1861"/>
        <v>1</v>
      </c>
      <c r="AV621" s="96">
        <f t="shared" si="1862"/>
        <v>0</v>
      </c>
      <c r="AW621" s="83">
        <f t="shared" si="1773"/>
        <v>0</v>
      </c>
      <c r="AX621" s="98">
        <f t="shared" si="1863"/>
        <v>0</v>
      </c>
      <c r="AY621" s="99" t="e">
        <f t="shared" si="1864"/>
        <v>#DIV/0!</v>
      </c>
      <c r="AZ621" s="100">
        <f t="shared" si="1865"/>
        <v>0</v>
      </c>
      <c r="BA621" s="101">
        <v>1</v>
      </c>
      <c r="BB621" s="102">
        <v>0</v>
      </c>
      <c r="BC621" s="84">
        <f t="shared" si="1774"/>
        <v>1</v>
      </c>
      <c r="BD621" s="83">
        <f t="shared" si="1775"/>
        <v>1</v>
      </c>
      <c r="BE621" s="85">
        <v>2</v>
      </c>
      <c r="BF621" s="86">
        <v>45918.690937500003</v>
      </c>
      <c r="BG621" s="72" t="e">
        <f t="shared" si="1769"/>
        <v>#REF!</v>
      </c>
      <c r="BH621" s="103" t="e">
        <f t="shared" si="1866"/>
        <v>#REF!</v>
      </c>
      <c r="BI621" s="80" t="e">
        <f t="shared" si="1776"/>
        <v>#REF!</v>
      </c>
      <c r="BJ621" s="238">
        <v>8800</v>
      </c>
    </row>
    <row r="622" spans="1:62" ht="13">
      <c r="A622" s="90"/>
      <c r="B622" s="91"/>
      <c r="C622" s="77">
        <v>620</v>
      </c>
      <c r="D622" s="247" t="s">
        <v>2005</v>
      </c>
      <c r="E622" s="202" t="s">
        <v>2062</v>
      </c>
      <c r="F622" s="88" t="s">
        <v>1831</v>
      </c>
      <c r="G622" s="89" t="s">
        <v>1832</v>
      </c>
      <c r="H622" s="89" t="s">
        <v>1355</v>
      </c>
      <c r="I622" s="88" t="s">
        <v>458</v>
      </c>
      <c r="J622" s="93">
        <f t="shared" si="1849"/>
        <v>1</v>
      </c>
      <c r="K622" s="88">
        <v>1</v>
      </c>
      <c r="L622" s="58"/>
      <c r="M622" s="58"/>
      <c r="N622" s="62">
        <f t="shared" si="1850"/>
        <v>1</v>
      </c>
      <c r="O622" s="60"/>
      <c r="P622" s="58"/>
      <c r="Q622" s="62">
        <f t="shared" si="1851"/>
        <v>1</v>
      </c>
      <c r="R622" s="60"/>
      <c r="S622" s="58"/>
      <c r="T622" s="94">
        <f t="shared" si="1852"/>
        <v>1</v>
      </c>
      <c r="U622" s="60"/>
      <c r="V622" s="58"/>
      <c r="W622" s="62">
        <f t="shared" si="1853"/>
        <v>1</v>
      </c>
      <c r="X622" s="60"/>
      <c r="Y622" s="58"/>
      <c r="Z622" s="94">
        <f t="shared" si="1854"/>
        <v>1</v>
      </c>
      <c r="AA622" s="60"/>
      <c r="AB622" s="58"/>
      <c r="AC622" s="62">
        <f t="shared" si="1855"/>
        <v>1</v>
      </c>
      <c r="AD622" s="57"/>
      <c r="AE622" s="58"/>
      <c r="AF622" s="165">
        <f t="shared" si="1856"/>
        <v>1</v>
      </c>
      <c r="AG622" s="60"/>
      <c r="AH622" s="58"/>
      <c r="AI622" s="62">
        <f t="shared" si="1857"/>
        <v>1</v>
      </c>
      <c r="AJ622" s="60"/>
      <c r="AK622" s="58"/>
      <c r="AL622" s="62">
        <f t="shared" si="1858"/>
        <v>1</v>
      </c>
      <c r="AM622" s="60"/>
      <c r="AN622" s="58"/>
      <c r="AO622" s="62">
        <f t="shared" si="1859"/>
        <v>1</v>
      </c>
      <c r="AP622" s="60"/>
      <c r="AQ622" s="58"/>
      <c r="AR622" s="62">
        <f t="shared" si="1860"/>
        <v>1</v>
      </c>
      <c r="AS622" s="60"/>
      <c r="AT622" s="58"/>
      <c r="AU622" s="62">
        <f t="shared" si="1861"/>
        <v>1</v>
      </c>
      <c r="AV622" s="96">
        <f t="shared" si="1862"/>
        <v>0</v>
      </c>
      <c r="AW622" s="83">
        <f t="shared" si="1773"/>
        <v>0</v>
      </c>
      <c r="AX622" s="98">
        <f t="shared" si="1863"/>
        <v>0</v>
      </c>
      <c r="AY622" s="99" t="e">
        <f t="shared" si="1864"/>
        <v>#DIV/0!</v>
      </c>
      <c r="AZ622" s="100">
        <f t="shared" si="1865"/>
        <v>0</v>
      </c>
      <c r="BA622" s="101">
        <v>1</v>
      </c>
      <c r="BB622" s="102">
        <v>0</v>
      </c>
      <c r="BC622" s="84">
        <f t="shared" si="1774"/>
        <v>1</v>
      </c>
      <c r="BD622" s="83">
        <f t="shared" si="1775"/>
        <v>1</v>
      </c>
      <c r="BE622" s="85">
        <v>2</v>
      </c>
      <c r="BF622" s="86">
        <v>45918.690937500003</v>
      </c>
      <c r="BG622" s="72" t="e">
        <f t="shared" si="1769"/>
        <v>#REF!</v>
      </c>
      <c r="BH622" s="103" t="e">
        <f t="shared" si="1866"/>
        <v>#REF!</v>
      </c>
      <c r="BI622" s="80" t="e">
        <f t="shared" si="1776"/>
        <v>#REF!</v>
      </c>
      <c r="BJ622" s="238">
        <v>880</v>
      </c>
    </row>
    <row r="623" spans="1:62" ht="13">
      <c r="A623" s="49"/>
      <c r="B623" s="50"/>
      <c r="C623" s="77">
        <v>621</v>
      </c>
      <c r="D623" s="138" t="s">
        <v>2005</v>
      </c>
      <c r="E623" s="138">
        <v>3</v>
      </c>
      <c r="F623" s="88" t="s">
        <v>1981</v>
      </c>
      <c r="G623" s="89" t="s">
        <v>1982</v>
      </c>
      <c r="H623" s="89" t="s">
        <v>1329</v>
      </c>
      <c r="I623" s="80" t="s">
        <v>458</v>
      </c>
      <c r="J623" s="93">
        <f t="shared" ref="J623:J629" si="1867">AU623</f>
        <v>1</v>
      </c>
      <c r="K623" s="80">
        <v>0</v>
      </c>
      <c r="L623" s="58"/>
      <c r="M623" s="58"/>
      <c r="N623" s="62">
        <f t="shared" ref="N623:N629" si="1868">SUM(K623+L623-M623)</f>
        <v>0</v>
      </c>
      <c r="O623" s="60"/>
      <c r="P623" s="58"/>
      <c r="Q623" s="62">
        <f t="shared" ref="Q623:Q629" si="1869">SUM(N623+O623-P623)</f>
        <v>0</v>
      </c>
      <c r="R623" s="60"/>
      <c r="S623" s="58"/>
      <c r="T623" s="94">
        <f t="shared" ref="T623:T629" si="1870">SUM(Q623+R623-S623)</f>
        <v>0</v>
      </c>
      <c r="U623" s="60"/>
      <c r="V623" s="58"/>
      <c r="W623" s="62">
        <f t="shared" ref="W623:W629" si="1871">SUM(T623+U623-V623)</f>
        <v>0</v>
      </c>
      <c r="X623" s="60"/>
      <c r="Y623" s="58"/>
      <c r="Z623" s="94">
        <f t="shared" ref="Z623:Z629" si="1872">SUM(W623+X623-Y623)</f>
        <v>0</v>
      </c>
      <c r="AA623" s="60"/>
      <c r="AB623" s="58"/>
      <c r="AC623" s="62">
        <f t="shared" ref="AC623:AC629" si="1873">SUM(Z623+AA623-AB623)</f>
        <v>0</v>
      </c>
      <c r="AD623" s="57">
        <v>1</v>
      </c>
      <c r="AE623" s="58"/>
      <c r="AF623" s="165">
        <f t="shared" ref="AF623:AF629" si="1874">SUM(AC623+AD623-AE623)</f>
        <v>1</v>
      </c>
      <c r="AG623" s="60"/>
      <c r="AH623" s="58"/>
      <c r="AI623" s="62">
        <f t="shared" ref="AI623:AI629" si="1875">SUM(AF623+AG623-AH623)</f>
        <v>1</v>
      </c>
      <c r="AJ623" s="60"/>
      <c r="AK623" s="58"/>
      <c r="AL623" s="62">
        <f t="shared" ref="AL623:AL629" si="1876">SUM(AI623+AJ623-AK623)</f>
        <v>1</v>
      </c>
      <c r="AM623" s="60"/>
      <c r="AN623" s="58"/>
      <c r="AO623" s="62">
        <f t="shared" ref="AO623:AO629" si="1877">SUM(AL623+AM623-AN623)</f>
        <v>1</v>
      </c>
      <c r="AP623" s="60"/>
      <c r="AQ623" s="58"/>
      <c r="AR623" s="62">
        <f t="shared" ref="AR623:AR629" si="1878">SUM(AO623+AP623-AQ623)</f>
        <v>1</v>
      </c>
      <c r="AS623" s="60"/>
      <c r="AT623" s="58"/>
      <c r="AU623" s="62">
        <f t="shared" ref="AU623:AU629" si="1879">SUM(AR623+AS623-AT623)</f>
        <v>1</v>
      </c>
      <c r="AV623" s="96">
        <f>SUM(L623+O623+R623+U623+X623+AA623+AD623+AG623+AJ623+AM623+AP623+AS623)</f>
        <v>1</v>
      </c>
      <c r="AW623" s="83">
        <f t="shared" si="1773"/>
        <v>0</v>
      </c>
      <c r="AX623" s="98">
        <f t="shared" ref="AX623:AX629" si="1880">SUM(M623,P623,S623,V623,Y623,AB623,AE623,AH623,AK623,AN623,AQ623,AT623)</f>
        <v>0</v>
      </c>
      <c r="AY623" s="99" t="e">
        <f t="shared" ref="AY623:AY656" si="1881">AVERAGE(M623,P623,S623,V623,Y623,AB623,AE623,AH623,AK623,AN623,AQ623,AT623)</f>
        <v>#DIV/0!</v>
      </c>
      <c r="AZ623" s="100">
        <f t="shared" ref="AZ623:AZ656" si="1882">COUNT(M623,P623,S623,V623,Y623,AB623,AE623,AH623,AK623,AN623,AQ623,AT623)</f>
        <v>0</v>
      </c>
      <c r="BA623" s="101">
        <v>1</v>
      </c>
      <c r="BB623" s="102">
        <v>0</v>
      </c>
      <c r="BC623" s="84">
        <f t="shared" si="1774"/>
        <v>1</v>
      </c>
      <c r="BD623" s="83">
        <f t="shared" si="1775"/>
        <v>1</v>
      </c>
      <c r="BE623" s="85">
        <v>2</v>
      </c>
      <c r="BF623" s="86">
        <v>46217</v>
      </c>
      <c r="BG623" s="72" t="e">
        <f t="shared" si="1769"/>
        <v>#REF!</v>
      </c>
      <c r="BH623" s="103" t="e">
        <f t="shared" ref="BH623:BH656" si="1883">BG623-BF623</f>
        <v>#REF!</v>
      </c>
      <c r="BI623" s="80" t="e">
        <f t="shared" si="1776"/>
        <v>#REF!</v>
      </c>
      <c r="BJ623" s="238">
        <v>46768.79</v>
      </c>
    </row>
    <row r="624" spans="1:62" ht="13">
      <c r="A624" s="75"/>
      <c r="B624" s="76"/>
      <c r="C624" s="51">
        <v>622</v>
      </c>
      <c r="D624" s="138" t="s">
        <v>2005</v>
      </c>
      <c r="E624" s="138">
        <v>3</v>
      </c>
      <c r="F624" s="88" t="s">
        <v>1983</v>
      </c>
      <c r="G624" s="89" t="s">
        <v>1984</v>
      </c>
      <c r="H624" s="89" t="s">
        <v>1329</v>
      </c>
      <c r="I624" s="80" t="s">
        <v>458</v>
      </c>
      <c r="J624" s="93">
        <f t="shared" si="1867"/>
        <v>1</v>
      </c>
      <c r="K624" s="80">
        <v>0</v>
      </c>
      <c r="L624" s="58"/>
      <c r="M624" s="58"/>
      <c r="N624" s="62">
        <f t="shared" si="1868"/>
        <v>0</v>
      </c>
      <c r="O624" s="60"/>
      <c r="P624" s="58"/>
      <c r="Q624" s="62">
        <f t="shared" si="1869"/>
        <v>0</v>
      </c>
      <c r="R624" s="60"/>
      <c r="S624" s="58"/>
      <c r="T624" s="94">
        <f t="shared" si="1870"/>
        <v>0</v>
      </c>
      <c r="U624" s="60"/>
      <c r="V624" s="58"/>
      <c r="W624" s="62">
        <f t="shared" si="1871"/>
        <v>0</v>
      </c>
      <c r="X624" s="60"/>
      <c r="Y624" s="58"/>
      <c r="Z624" s="94">
        <f t="shared" si="1872"/>
        <v>0</v>
      </c>
      <c r="AA624" s="60"/>
      <c r="AB624" s="58"/>
      <c r="AC624" s="62">
        <f t="shared" si="1873"/>
        <v>0</v>
      </c>
      <c r="AD624" s="57">
        <v>1</v>
      </c>
      <c r="AE624" s="58"/>
      <c r="AF624" s="165">
        <f t="shared" si="1874"/>
        <v>1</v>
      </c>
      <c r="AG624" s="60"/>
      <c r="AH624" s="58"/>
      <c r="AI624" s="62">
        <f t="shared" si="1875"/>
        <v>1</v>
      </c>
      <c r="AJ624" s="60"/>
      <c r="AK624" s="58"/>
      <c r="AL624" s="62">
        <f t="shared" si="1876"/>
        <v>1</v>
      </c>
      <c r="AM624" s="60"/>
      <c r="AN624" s="58"/>
      <c r="AO624" s="62">
        <f t="shared" si="1877"/>
        <v>1</v>
      </c>
      <c r="AP624" s="60"/>
      <c r="AQ624" s="58"/>
      <c r="AR624" s="62">
        <f t="shared" si="1878"/>
        <v>1</v>
      </c>
      <c r="AS624" s="60"/>
      <c r="AT624" s="58"/>
      <c r="AU624" s="62">
        <f t="shared" si="1879"/>
        <v>1</v>
      </c>
      <c r="AV624" s="96">
        <f>SUM(L624+O624+R624+U624+X624+AA624+AD624+AG624+AJ624+AM624+AP624+AS624)</f>
        <v>1</v>
      </c>
      <c r="AW624" s="83">
        <f t="shared" si="1773"/>
        <v>0</v>
      </c>
      <c r="AX624" s="98">
        <f t="shared" si="1880"/>
        <v>0</v>
      </c>
      <c r="AY624" s="99" t="e">
        <f t="shared" si="1881"/>
        <v>#DIV/0!</v>
      </c>
      <c r="AZ624" s="100">
        <f t="shared" si="1882"/>
        <v>0</v>
      </c>
      <c r="BA624" s="101">
        <v>1</v>
      </c>
      <c r="BB624" s="102">
        <v>0</v>
      </c>
      <c r="BC624" s="84">
        <f t="shared" si="1774"/>
        <v>1</v>
      </c>
      <c r="BD624" s="83">
        <f t="shared" si="1775"/>
        <v>1</v>
      </c>
      <c r="BE624" s="85">
        <v>2</v>
      </c>
      <c r="BF624" s="86">
        <v>46217</v>
      </c>
      <c r="BG624" s="72" t="e">
        <f t="shared" si="1769"/>
        <v>#REF!</v>
      </c>
      <c r="BH624" s="103" t="e">
        <f t="shared" si="1883"/>
        <v>#REF!</v>
      </c>
      <c r="BI624" s="80" t="e">
        <f t="shared" si="1776"/>
        <v>#REF!</v>
      </c>
      <c r="BJ624" s="238">
        <v>51133.87</v>
      </c>
    </row>
    <row r="625" spans="1:62" ht="13">
      <c r="A625" s="75"/>
      <c r="B625" s="76"/>
      <c r="C625" s="51">
        <v>623</v>
      </c>
      <c r="D625" s="138" t="s">
        <v>2005</v>
      </c>
      <c r="E625" s="138">
        <v>3</v>
      </c>
      <c r="F625" s="88" t="s">
        <v>1579</v>
      </c>
      <c r="G625" s="89" t="s">
        <v>1580</v>
      </c>
      <c r="H625" s="89" t="s">
        <v>842</v>
      </c>
      <c r="I625" s="80" t="s">
        <v>458</v>
      </c>
      <c r="J625" s="93">
        <f t="shared" si="1867"/>
        <v>2</v>
      </c>
      <c r="K625" s="80">
        <v>2</v>
      </c>
      <c r="L625" s="58"/>
      <c r="M625" s="58"/>
      <c r="N625" s="62">
        <f t="shared" si="1868"/>
        <v>2</v>
      </c>
      <c r="O625" s="60"/>
      <c r="P625" s="58"/>
      <c r="Q625" s="62">
        <f t="shared" si="1869"/>
        <v>2</v>
      </c>
      <c r="R625" s="60"/>
      <c r="S625" s="58"/>
      <c r="T625" s="94">
        <f t="shared" si="1870"/>
        <v>2</v>
      </c>
      <c r="U625" s="60"/>
      <c r="V625" s="58"/>
      <c r="W625" s="62">
        <f t="shared" si="1871"/>
        <v>2</v>
      </c>
      <c r="X625" s="60"/>
      <c r="Y625" s="58"/>
      <c r="Z625" s="94">
        <f t="shared" si="1872"/>
        <v>2</v>
      </c>
      <c r="AA625" s="60"/>
      <c r="AB625" s="58"/>
      <c r="AC625" s="62">
        <f t="shared" si="1873"/>
        <v>2</v>
      </c>
      <c r="AD625" s="57"/>
      <c r="AE625" s="58"/>
      <c r="AF625" s="165">
        <f t="shared" si="1874"/>
        <v>2</v>
      </c>
      <c r="AG625" s="60"/>
      <c r="AH625" s="58"/>
      <c r="AI625" s="62">
        <f t="shared" si="1875"/>
        <v>2</v>
      </c>
      <c r="AJ625" s="60"/>
      <c r="AK625" s="58"/>
      <c r="AL625" s="62">
        <f t="shared" si="1876"/>
        <v>2</v>
      </c>
      <c r="AM625" s="60"/>
      <c r="AN625" s="58"/>
      <c r="AO625" s="62">
        <f t="shared" si="1877"/>
        <v>2</v>
      </c>
      <c r="AP625" s="60"/>
      <c r="AQ625" s="58"/>
      <c r="AR625" s="62">
        <f t="shared" si="1878"/>
        <v>2</v>
      </c>
      <c r="AS625" s="60"/>
      <c r="AT625" s="58"/>
      <c r="AU625" s="62">
        <f t="shared" si="1879"/>
        <v>2</v>
      </c>
      <c r="AV625" s="96">
        <f>SUM(L625+O625+R625+U625+X625+AA625+AD625+AG625+AJ625+AM625+AP625+AS625)</f>
        <v>0</v>
      </c>
      <c r="AW625" s="83">
        <f t="shared" si="1773"/>
        <v>0</v>
      </c>
      <c r="AX625" s="98">
        <f t="shared" si="1880"/>
        <v>0</v>
      </c>
      <c r="AY625" s="99" t="e">
        <f t="shared" si="1881"/>
        <v>#DIV/0!</v>
      </c>
      <c r="AZ625" s="100">
        <f t="shared" si="1882"/>
        <v>0</v>
      </c>
      <c r="BA625" s="101">
        <v>2</v>
      </c>
      <c r="BB625" s="102">
        <v>1</v>
      </c>
      <c r="BC625" s="84">
        <f t="shared" si="1774"/>
        <v>2</v>
      </c>
      <c r="BD625" s="83">
        <f t="shared" si="1775"/>
        <v>1</v>
      </c>
      <c r="BE625" s="85">
        <v>2</v>
      </c>
      <c r="BF625" s="86">
        <v>45468.468622685185</v>
      </c>
      <c r="BG625" s="72" t="e">
        <f t="shared" si="1769"/>
        <v>#REF!</v>
      </c>
      <c r="BH625" s="103" t="e">
        <f t="shared" si="1883"/>
        <v>#REF!</v>
      </c>
      <c r="BI625" s="80" t="e">
        <f t="shared" si="1776"/>
        <v>#REF!</v>
      </c>
      <c r="BJ625" s="238">
        <v>29000</v>
      </c>
    </row>
    <row r="626" spans="1:62" ht="13">
      <c r="A626" s="49"/>
      <c r="B626" s="76"/>
      <c r="C626" s="51">
        <v>624</v>
      </c>
      <c r="D626" s="138" t="s">
        <v>2005</v>
      </c>
      <c r="E626" s="138">
        <v>3</v>
      </c>
      <c r="F626" s="88" t="s">
        <v>1319</v>
      </c>
      <c r="G626" s="89" t="s">
        <v>1320</v>
      </c>
      <c r="H626" s="89" t="s">
        <v>294</v>
      </c>
      <c r="I626" s="80" t="s">
        <v>458</v>
      </c>
      <c r="J626" s="93">
        <f t="shared" si="1867"/>
        <v>1</v>
      </c>
      <c r="K626" s="88">
        <v>1</v>
      </c>
      <c r="L626" s="58"/>
      <c r="M626" s="58"/>
      <c r="N626" s="62">
        <f t="shared" si="1868"/>
        <v>1</v>
      </c>
      <c r="O626" s="60"/>
      <c r="P626" s="58"/>
      <c r="Q626" s="62">
        <f t="shared" si="1869"/>
        <v>1</v>
      </c>
      <c r="R626" s="60"/>
      <c r="S626" s="58"/>
      <c r="T626" s="94">
        <f t="shared" si="1870"/>
        <v>1</v>
      </c>
      <c r="U626" s="60"/>
      <c r="V626" s="58"/>
      <c r="W626" s="62">
        <f t="shared" si="1871"/>
        <v>1</v>
      </c>
      <c r="X626" s="60"/>
      <c r="Y626" s="58"/>
      <c r="Z626" s="94">
        <f t="shared" si="1872"/>
        <v>1</v>
      </c>
      <c r="AA626" s="60"/>
      <c r="AB626" s="58"/>
      <c r="AC626" s="62">
        <f t="shared" si="1873"/>
        <v>1</v>
      </c>
      <c r="AD626" s="57"/>
      <c r="AE626" s="58"/>
      <c r="AF626" s="165">
        <f t="shared" si="1874"/>
        <v>1</v>
      </c>
      <c r="AG626" s="60"/>
      <c r="AH626" s="58"/>
      <c r="AI626" s="62">
        <f t="shared" si="1875"/>
        <v>1</v>
      </c>
      <c r="AJ626" s="60"/>
      <c r="AK626" s="58"/>
      <c r="AL626" s="62">
        <f t="shared" si="1876"/>
        <v>1</v>
      </c>
      <c r="AM626" s="60"/>
      <c r="AN626" s="58"/>
      <c r="AO626" s="62">
        <f t="shared" si="1877"/>
        <v>1</v>
      </c>
      <c r="AP626" s="60"/>
      <c r="AQ626" s="58"/>
      <c r="AR626" s="62">
        <f t="shared" si="1878"/>
        <v>1</v>
      </c>
      <c r="AS626" s="60"/>
      <c r="AT626" s="58"/>
      <c r="AU626" s="62">
        <f t="shared" si="1879"/>
        <v>1</v>
      </c>
      <c r="AV626" s="96">
        <f t="shared" ref="AV626" si="1884">SUM(L626+O626+R626+U626+X626+AA626+AD626+AG626+AJ626+AM626+AP626+AS626)</f>
        <v>0</v>
      </c>
      <c r="AW626" s="83">
        <f t="shared" si="1773"/>
        <v>0</v>
      </c>
      <c r="AX626" s="98">
        <f t="shared" si="1880"/>
        <v>0</v>
      </c>
      <c r="AY626" s="99" t="e">
        <f t="shared" si="1881"/>
        <v>#DIV/0!</v>
      </c>
      <c r="AZ626" s="100">
        <f t="shared" si="1882"/>
        <v>0</v>
      </c>
      <c r="BA626" s="101">
        <v>1</v>
      </c>
      <c r="BB626" s="102">
        <v>0</v>
      </c>
      <c r="BC626" s="84">
        <f t="shared" si="1774"/>
        <v>1</v>
      </c>
      <c r="BD626" s="83">
        <f t="shared" si="1775"/>
        <v>1</v>
      </c>
      <c r="BE626" s="85">
        <v>2</v>
      </c>
      <c r="BF626" s="86">
        <v>45119.793171296296</v>
      </c>
      <c r="BG626" s="72" t="e">
        <f t="shared" si="1769"/>
        <v>#REF!</v>
      </c>
      <c r="BH626" s="103" t="e">
        <f t="shared" si="1883"/>
        <v>#REF!</v>
      </c>
      <c r="BI626" s="80" t="e">
        <f t="shared" si="1776"/>
        <v>#REF!</v>
      </c>
      <c r="BJ626" s="238">
        <v>178000</v>
      </c>
    </row>
    <row r="627" spans="1:62" ht="13">
      <c r="A627" s="49"/>
      <c r="B627" s="50"/>
      <c r="C627" s="51">
        <v>625</v>
      </c>
      <c r="D627" s="138" t="s">
        <v>2005</v>
      </c>
      <c r="E627" s="138">
        <v>3</v>
      </c>
      <c r="F627" s="88" t="s">
        <v>1603</v>
      </c>
      <c r="G627" s="89" t="s">
        <v>1604</v>
      </c>
      <c r="H627" s="89" t="s">
        <v>294</v>
      </c>
      <c r="I627" s="80" t="s">
        <v>458</v>
      </c>
      <c r="J627" s="93">
        <f t="shared" si="1867"/>
        <v>3</v>
      </c>
      <c r="K627" s="80">
        <v>3</v>
      </c>
      <c r="L627" s="58"/>
      <c r="M627" s="58"/>
      <c r="N627" s="62">
        <f t="shared" si="1868"/>
        <v>3</v>
      </c>
      <c r="O627" s="60"/>
      <c r="P627" s="58"/>
      <c r="Q627" s="62">
        <f t="shared" si="1869"/>
        <v>3</v>
      </c>
      <c r="R627" s="60"/>
      <c r="S627" s="58"/>
      <c r="T627" s="94">
        <f t="shared" si="1870"/>
        <v>3</v>
      </c>
      <c r="U627" s="60"/>
      <c r="V627" s="58"/>
      <c r="W627" s="62">
        <f t="shared" si="1871"/>
        <v>3</v>
      </c>
      <c r="X627" s="60"/>
      <c r="Y627" s="58"/>
      <c r="Z627" s="94">
        <f t="shared" si="1872"/>
        <v>3</v>
      </c>
      <c r="AA627" s="60"/>
      <c r="AB627" s="58"/>
      <c r="AC627" s="62">
        <f t="shared" si="1873"/>
        <v>3</v>
      </c>
      <c r="AD627" s="57"/>
      <c r="AE627" s="58"/>
      <c r="AF627" s="165">
        <f t="shared" si="1874"/>
        <v>3</v>
      </c>
      <c r="AG627" s="60"/>
      <c r="AH627" s="58"/>
      <c r="AI627" s="62">
        <f t="shared" si="1875"/>
        <v>3</v>
      </c>
      <c r="AJ627" s="60"/>
      <c r="AK627" s="58"/>
      <c r="AL627" s="62">
        <f t="shared" si="1876"/>
        <v>3</v>
      </c>
      <c r="AM627" s="60"/>
      <c r="AN627" s="58"/>
      <c r="AO627" s="62">
        <f t="shared" si="1877"/>
        <v>3</v>
      </c>
      <c r="AP627" s="60"/>
      <c r="AQ627" s="58"/>
      <c r="AR627" s="62">
        <f t="shared" si="1878"/>
        <v>3</v>
      </c>
      <c r="AS627" s="60"/>
      <c r="AT627" s="58"/>
      <c r="AU627" s="62">
        <f t="shared" si="1879"/>
        <v>3</v>
      </c>
      <c r="AV627" s="96">
        <f t="shared" ref="AV627:AV637" si="1885">SUM(L627+O627+R627+U627+X627+AA627+AD627+AG627+AJ627+AM627+AP627+AS627)</f>
        <v>0</v>
      </c>
      <c r="AW627" s="83">
        <f t="shared" ref="AW627:AW660" si="1886">SUM(M627+P627+S627+V627+Y627+AB627+AE627+AH627+AK627+AN627+AQ627+AT627)</f>
        <v>0</v>
      </c>
      <c r="AX627" s="98">
        <f t="shared" si="1880"/>
        <v>0</v>
      </c>
      <c r="AY627" s="99" t="e">
        <f t="shared" si="1881"/>
        <v>#DIV/0!</v>
      </c>
      <c r="AZ627" s="100">
        <f t="shared" si="1882"/>
        <v>0</v>
      </c>
      <c r="BA627" s="101">
        <v>3</v>
      </c>
      <c r="BB627" s="102">
        <v>1</v>
      </c>
      <c r="BC627" s="84">
        <f t="shared" ref="BC627:BC660" si="1887">J627</f>
        <v>3</v>
      </c>
      <c r="BD627" s="83">
        <f t="shared" si="1775"/>
        <v>2</v>
      </c>
      <c r="BE627" s="85">
        <v>2</v>
      </c>
      <c r="BF627" s="86">
        <v>45638.659780092596</v>
      </c>
      <c r="BG627" s="72" t="e">
        <f t="shared" si="1769"/>
        <v>#REF!</v>
      </c>
      <c r="BH627" s="103" t="e">
        <f t="shared" si="1883"/>
        <v>#REF!</v>
      </c>
      <c r="BI627" s="80" t="e">
        <f t="shared" si="1776"/>
        <v>#REF!</v>
      </c>
      <c r="BJ627" s="238">
        <v>64000</v>
      </c>
    </row>
    <row r="628" spans="1:62" ht="13">
      <c r="A628" s="49"/>
      <c r="B628" s="50"/>
      <c r="C628" s="77">
        <v>626</v>
      </c>
      <c r="D628" s="138" t="s">
        <v>2005</v>
      </c>
      <c r="E628" s="138">
        <v>4</v>
      </c>
      <c r="F628" s="105" t="s">
        <v>1347</v>
      </c>
      <c r="G628" s="112" t="s">
        <v>1348</v>
      </c>
      <c r="H628" s="81" t="s">
        <v>294</v>
      </c>
      <c r="I628" s="80" t="s">
        <v>458</v>
      </c>
      <c r="J628" s="82">
        <f t="shared" si="1867"/>
        <v>1</v>
      </c>
      <c r="K628" s="80">
        <v>2</v>
      </c>
      <c r="L628" s="57"/>
      <c r="M628" s="58"/>
      <c r="N628" s="59">
        <f t="shared" si="1868"/>
        <v>2</v>
      </c>
      <c r="O628" s="60"/>
      <c r="P628" s="58"/>
      <c r="Q628" s="59">
        <f t="shared" si="1869"/>
        <v>2</v>
      </c>
      <c r="R628" s="60"/>
      <c r="S628" s="58">
        <v>1</v>
      </c>
      <c r="T628" s="61">
        <f t="shared" si="1870"/>
        <v>1</v>
      </c>
      <c r="U628" s="60"/>
      <c r="V628" s="58"/>
      <c r="W628" s="59">
        <f t="shared" si="1871"/>
        <v>1</v>
      </c>
      <c r="X628" s="60"/>
      <c r="Y628" s="58"/>
      <c r="Z628" s="61">
        <f t="shared" si="1872"/>
        <v>1</v>
      </c>
      <c r="AA628" s="60"/>
      <c r="AB628" s="58"/>
      <c r="AC628" s="59">
        <f t="shared" si="1873"/>
        <v>1</v>
      </c>
      <c r="AD628" s="57"/>
      <c r="AE628" s="58"/>
      <c r="AF628" s="243">
        <f t="shared" si="1874"/>
        <v>1</v>
      </c>
      <c r="AG628" s="60"/>
      <c r="AH628" s="58"/>
      <c r="AI628" s="62">
        <f t="shared" si="1875"/>
        <v>1</v>
      </c>
      <c r="AJ628" s="60"/>
      <c r="AK628" s="58"/>
      <c r="AL628" s="62">
        <f t="shared" si="1876"/>
        <v>1</v>
      </c>
      <c r="AM628" s="60"/>
      <c r="AN628" s="58"/>
      <c r="AO628" s="62">
        <f t="shared" si="1877"/>
        <v>1</v>
      </c>
      <c r="AP628" s="60"/>
      <c r="AQ628" s="58"/>
      <c r="AR628" s="62">
        <f t="shared" si="1878"/>
        <v>1</v>
      </c>
      <c r="AS628" s="60"/>
      <c r="AT628" s="58"/>
      <c r="AU628" s="62">
        <f t="shared" si="1879"/>
        <v>1</v>
      </c>
      <c r="AV628" s="83">
        <f t="shared" si="1885"/>
        <v>0</v>
      </c>
      <c r="AW628" s="83">
        <f t="shared" si="1886"/>
        <v>1</v>
      </c>
      <c r="AX628" s="64">
        <f t="shared" si="1880"/>
        <v>1</v>
      </c>
      <c r="AY628" s="65">
        <f t="shared" si="1881"/>
        <v>1</v>
      </c>
      <c r="AZ628" s="66">
        <f t="shared" si="1882"/>
        <v>1</v>
      </c>
      <c r="BA628" s="67">
        <f>MAX(M628,P628,S628,V628,Y628,AB628,AE628,AH628,AK628,AN628,AQ628,AT628)</f>
        <v>1</v>
      </c>
      <c r="BB628" s="68">
        <v>0</v>
      </c>
      <c r="BC628" s="84">
        <f t="shared" si="1887"/>
        <v>1</v>
      </c>
      <c r="BD628" s="83">
        <f t="shared" si="1775"/>
        <v>1</v>
      </c>
      <c r="BE628" s="85">
        <v>2</v>
      </c>
      <c r="BF628" s="86">
        <v>45188.55363425926</v>
      </c>
      <c r="BG628" s="72" t="e">
        <f t="shared" si="1769"/>
        <v>#REF!</v>
      </c>
      <c r="BH628" s="87" t="e">
        <f t="shared" si="1883"/>
        <v>#REF!</v>
      </c>
      <c r="BI628" s="80" t="e">
        <f t="shared" si="1776"/>
        <v>#REF!</v>
      </c>
      <c r="BJ628" s="238">
        <v>568000</v>
      </c>
    </row>
    <row r="629" spans="1:62" ht="13">
      <c r="A629" s="90"/>
      <c r="B629" s="91"/>
      <c r="C629" s="77">
        <v>627</v>
      </c>
      <c r="D629" s="247" t="s">
        <v>2005</v>
      </c>
      <c r="E629" s="138">
        <v>4</v>
      </c>
      <c r="F629" s="80" t="s">
        <v>1951</v>
      </c>
      <c r="G629" s="81" t="s">
        <v>1952</v>
      </c>
      <c r="H629" s="81" t="s">
        <v>294</v>
      </c>
      <c r="I629" s="80" t="s">
        <v>458</v>
      </c>
      <c r="J629" s="93">
        <f t="shared" si="1867"/>
        <v>7</v>
      </c>
      <c r="K629" s="88">
        <v>0</v>
      </c>
      <c r="L629" s="58"/>
      <c r="M629" s="58"/>
      <c r="N629" s="62">
        <f t="shared" si="1868"/>
        <v>0</v>
      </c>
      <c r="O629" s="60"/>
      <c r="P629" s="58"/>
      <c r="Q629" s="62">
        <f t="shared" si="1869"/>
        <v>0</v>
      </c>
      <c r="R629" s="60">
        <f>2+2+3</f>
        <v>7</v>
      </c>
      <c r="S629" s="58"/>
      <c r="T629" s="94">
        <f t="shared" si="1870"/>
        <v>7</v>
      </c>
      <c r="U629" s="60"/>
      <c r="V629" s="58"/>
      <c r="W629" s="62">
        <f t="shared" si="1871"/>
        <v>7</v>
      </c>
      <c r="X629" s="60"/>
      <c r="Y629" s="58"/>
      <c r="Z629" s="94">
        <f t="shared" si="1872"/>
        <v>7</v>
      </c>
      <c r="AA629" s="60"/>
      <c r="AB629" s="58"/>
      <c r="AC629" s="62">
        <f t="shared" si="1873"/>
        <v>7</v>
      </c>
      <c r="AD629" s="57"/>
      <c r="AE629" s="58"/>
      <c r="AF629" s="165">
        <f t="shared" si="1874"/>
        <v>7</v>
      </c>
      <c r="AG629" s="60"/>
      <c r="AH629" s="58"/>
      <c r="AI629" s="62">
        <f t="shared" si="1875"/>
        <v>7</v>
      </c>
      <c r="AJ629" s="60"/>
      <c r="AK629" s="58"/>
      <c r="AL629" s="62">
        <f t="shared" si="1876"/>
        <v>7</v>
      </c>
      <c r="AM629" s="60"/>
      <c r="AN629" s="58"/>
      <c r="AO629" s="62">
        <f t="shared" si="1877"/>
        <v>7</v>
      </c>
      <c r="AP629" s="60"/>
      <c r="AQ629" s="58"/>
      <c r="AR629" s="62">
        <f t="shared" si="1878"/>
        <v>7</v>
      </c>
      <c r="AS629" s="60"/>
      <c r="AT629" s="58"/>
      <c r="AU629" s="62">
        <f t="shared" si="1879"/>
        <v>7</v>
      </c>
      <c r="AV629" s="96">
        <f t="shared" si="1885"/>
        <v>7</v>
      </c>
      <c r="AW629" s="83">
        <f t="shared" si="1886"/>
        <v>0</v>
      </c>
      <c r="AX629" s="98">
        <f t="shared" si="1880"/>
        <v>0</v>
      </c>
      <c r="AY629" s="99" t="e">
        <f t="shared" si="1881"/>
        <v>#DIV/0!</v>
      </c>
      <c r="AZ629" s="100">
        <f t="shared" si="1882"/>
        <v>0</v>
      </c>
      <c r="BA629" s="101">
        <v>7</v>
      </c>
      <c r="BB629" s="102">
        <v>1</v>
      </c>
      <c r="BC629" s="84">
        <f t="shared" si="1887"/>
        <v>7</v>
      </c>
      <c r="BD629" s="83">
        <f t="shared" si="1775"/>
        <v>6</v>
      </c>
      <c r="BE629" s="85">
        <v>2</v>
      </c>
      <c r="BF629" s="86">
        <v>46091</v>
      </c>
      <c r="BG629" s="72" t="e">
        <f t="shared" si="1769"/>
        <v>#REF!</v>
      </c>
      <c r="BH629" s="109" t="e">
        <f t="shared" si="1883"/>
        <v>#REF!</v>
      </c>
      <c r="BI629" s="80" t="e">
        <f t="shared" si="1776"/>
        <v>#REF!</v>
      </c>
      <c r="BJ629" s="238">
        <v>8000</v>
      </c>
    </row>
    <row r="630" spans="1:62" ht="13">
      <c r="A630" s="49"/>
      <c r="B630" s="50"/>
      <c r="C630" s="51">
        <v>628</v>
      </c>
      <c r="D630" s="248" t="s">
        <v>2006</v>
      </c>
      <c r="E630" s="144">
        <v>1</v>
      </c>
      <c r="F630" s="88" t="s">
        <v>1178</v>
      </c>
      <c r="G630" s="89" t="s">
        <v>1179</v>
      </c>
      <c r="H630" s="89" t="s">
        <v>1664</v>
      </c>
      <c r="I630" s="80" t="s">
        <v>458</v>
      </c>
      <c r="J630" s="82">
        <f t="shared" ref="J630:J638" si="1888">AU630</f>
        <v>4</v>
      </c>
      <c r="K630" s="80">
        <v>5</v>
      </c>
      <c r="L630" s="57"/>
      <c r="M630" s="58"/>
      <c r="N630" s="59">
        <f t="shared" ref="N630:N638" si="1889">SUM(K630+L630-M630)</f>
        <v>5</v>
      </c>
      <c r="O630" s="60"/>
      <c r="P630" s="58"/>
      <c r="Q630" s="59">
        <f t="shared" ref="Q630:Q638" si="1890">SUM(N630+O630-P630)</f>
        <v>5</v>
      </c>
      <c r="R630" s="60"/>
      <c r="S630" s="58">
        <v>1</v>
      </c>
      <c r="T630" s="61">
        <f t="shared" ref="T630:T638" si="1891">SUM(Q630+R630-S630)</f>
        <v>4</v>
      </c>
      <c r="U630" s="60"/>
      <c r="V630" s="58"/>
      <c r="W630" s="59">
        <f t="shared" ref="W630:W638" si="1892">SUM(T630+U630-V630)</f>
        <v>4</v>
      </c>
      <c r="X630" s="60"/>
      <c r="Y630" s="58"/>
      <c r="Z630" s="61">
        <f t="shared" ref="Z630:Z638" si="1893">SUM(W630+X630-Y630)</f>
        <v>4</v>
      </c>
      <c r="AA630" s="60"/>
      <c r="AB630" s="58"/>
      <c r="AC630" s="59">
        <f t="shared" ref="AC630:AC638" si="1894">SUM(Z630+AA630-AB630)</f>
        <v>4</v>
      </c>
      <c r="AD630" s="57"/>
      <c r="AE630" s="58"/>
      <c r="AF630" s="243">
        <f t="shared" ref="AF630:AF638" si="1895">SUM(AC630+AD630-AE630)</f>
        <v>4</v>
      </c>
      <c r="AG630" s="60"/>
      <c r="AH630" s="58"/>
      <c r="AI630" s="62">
        <f t="shared" ref="AI630:AI638" si="1896">SUM(AF630+AG630-AH630)</f>
        <v>4</v>
      </c>
      <c r="AJ630" s="60"/>
      <c r="AK630" s="58"/>
      <c r="AL630" s="62">
        <f t="shared" ref="AL630:AL638" si="1897">SUM(AI630+AJ630-AK630)</f>
        <v>4</v>
      </c>
      <c r="AM630" s="60"/>
      <c r="AN630" s="58"/>
      <c r="AO630" s="62">
        <f t="shared" ref="AO630:AO638" si="1898">SUM(AL630+AM630-AN630)</f>
        <v>4</v>
      </c>
      <c r="AP630" s="60"/>
      <c r="AQ630" s="58"/>
      <c r="AR630" s="62">
        <f t="shared" ref="AR630:AR638" si="1899">SUM(AO630+AP630-AQ630)</f>
        <v>4</v>
      </c>
      <c r="AS630" s="60"/>
      <c r="AT630" s="58"/>
      <c r="AU630" s="62">
        <f t="shared" ref="AU630:AU638" si="1900">SUM(AR630+AS630-AT630)</f>
        <v>4</v>
      </c>
      <c r="AV630" s="83">
        <f t="shared" si="1885"/>
        <v>0</v>
      </c>
      <c r="AW630" s="83">
        <f t="shared" ref="AW630:AW642" si="1901">SUM(M630+P630+S630+V630+Y630+AB630+AE630+AH630+AK630+AN630+AQ630+AT630)</f>
        <v>1</v>
      </c>
      <c r="AX630" s="64">
        <f t="shared" ref="AX630:AX638" si="1902">SUM(M630,P630,S630,V630,Y630,AB630,AE630,AH630,AK630,AN630,AQ630,AT630)</f>
        <v>1</v>
      </c>
      <c r="AY630" s="65">
        <f t="shared" ref="AY630:AY642" si="1903">AVERAGE(M630,P630,S630,V630,Y630,AB630,AE630,AH630,AK630,AN630,AQ630,AT630)</f>
        <v>1</v>
      </c>
      <c r="AZ630" s="66">
        <f t="shared" ref="AZ630:AZ642" si="1904">COUNT(M630,P630,S630,V630,Y630,AB630,AE630,AH630,AK630,AN630,AQ630,AT630)</f>
        <v>1</v>
      </c>
      <c r="BA630" s="67">
        <f>MAX(0, Table176252626[[#This Row],[Column6]])</f>
        <v>4</v>
      </c>
      <c r="BB630" s="68">
        <v>1</v>
      </c>
      <c r="BC630" s="84">
        <f t="shared" ref="BC630:BC642" si="1905">J630</f>
        <v>4</v>
      </c>
      <c r="BD630" s="83">
        <f t="shared" ref="BD630:BD642" si="1906">SUM(BC630-BB630)</f>
        <v>3</v>
      </c>
      <c r="BE630" s="85">
        <v>2</v>
      </c>
      <c r="BF630" s="86">
        <v>45672.700416666667</v>
      </c>
      <c r="BG630" s="72" t="e">
        <f t="shared" si="1769"/>
        <v>#REF!</v>
      </c>
      <c r="BH630" s="87" t="e">
        <f t="shared" ref="BH630:BH642" si="1907">BG630-BF630</f>
        <v>#REF!</v>
      </c>
      <c r="BI630" s="80" t="e">
        <f t="shared" ref="BI630:BI642" si="1908">IF(AND(J630&gt;0,BH630&gt;365),"Dead Stock","")</f>
        <v>#REF!</v>
      </c>
      <c r="BJ630" s="238">
        <v>3000</v>
      </c>
    </row>
    <row r="631" spans="1:62" ht="13">
      <c r="A631" s="49"/>
      <c r="B631" s="76"/>
      <c r="C631" s="51">
        <v>629</v>
      </c>
      <c r="D631" s="248" t="s">
        <v>2006</v>
      </c>
      <c r="E631" s="144">
        <v>2</v>
      </c>
      <c r="F631" s="80" t="s">
        <v>884</v>
      </c>
      <c r="G631" s="81" t="s">
        <v>1536</v>
      </c>
      <c r="H631" s="89" t="s">
        <v>1537</v>
      </c>
      <c r="I631" s="80" t="s">
        <v>458</v>
      </c>
      <c r="J631" s="93">
        <f t="shared" si="1888"/>
        <v>1</v>
      </c>
      <c r="K631" s="80">
        <v>1</v>
      </c>
      <c r="L631" s="58"/>
      <c r="M631" s="58"/>
      <c r="N631" s="62">
        <f t="shared" si="1889"/>
        <v>1</v>
      </c>
      <c r="O631" s="60"/>
      <c r="P631" s="58"/>
      <c r="Q631" s="62">
        <f t="shared" si="1890"/>
        <v>1</v>
      </c>
      <c r="R631" s="60"/>
      <c r="S631" s="58"/>
      <c r="T631" s="94">
        <f t="shared" si="1891"/>
        <v>1</v>
      </c>
      <c r="U631" s="60"/>
      <c r="V631" s="58"/>
      <c r="W631" s="62">
        <f t="shared" si="1892"/>
        <v>1</v>
      </c>
      <c r="X631" s="60"/>
      <c r="Y631" s="58"/>
      <c r="Z631" s="94">
        <f t="shared" si="1893"/>
        <v>1</v>
      </c>
      <c r="AA631" s="60"/>
      <c r="AB631" s="58"/>
      <c r="AC631" s="62">
        <f t="shared" si="1894"/>
        <v>1</v>
      </c>
      <c r="AD631" s="57"/>
      <c r="AE631" s="58"/>
      <c r="AF631" s="165">
        <f t="shared" si="1895"/>
        <v>1</v>
      </c>
      <c r="AG631" s="60"/>
      <c r="AH631" s="58"/>
      <c r="AI631" s="62">
        <f t="shared" si="1896"/>
        <v>1</v>
      </c>
      <c r="AJ631" s="60"/>
      <c r="AK631" s="58"/>
      <c r="AL631" s="62">
        <f t="shared" si="1897"/>
        <v>1</v>
      </c>
      <c r="AM631" s="60"/>
      <c r="AN631" s="58"/>
      <c r="AO631" s="62">
        <f t="shared" si="1898"/>
        <v>1</v>
      </c>
      <c r="AP631" s="60"/>
      <c r="AQ631" s="58"/>
      <c r="AR631" s="62">
        <f t="shared" si="1899"/>
        <v>1</v>
      </c>
      <c r="AS631" s="60"/>
      <c r="AT631" s="58"/>
      <c r="AU631" s="62">
        <f t="shared" si="1900"/>
        <v>1</v>
      </c>
      <c r="AV631" s="96">
        <f t="shared" si="1885"/>
        <v>0</v>
      </c>
      <c r="AW631" s="83">
        <f t="shared" si="1901"/>
        <v>0</v>
      </c>
      <c r="AX631" s="98">
        <f t="shared" si="1902"/>
        <v>0</v>
      </c>
      <c r="AY631" s="99" t="e">
        <f t="shared" si="1903"/>
        <v>#DIV/0!</v>
      </c>
      <c r="AZ631" s="100">
        <f t="shared" si="1904"/>
        <v>0</v>
      </c>
      <c r="BA631" s="101">
        <v>1</v>
      </c>
      <c r="BB631" s="102">
        <v>0</v>
      </c>
      <c r="BC631" s="84">
        <f t="shared" si="1905"/>
        <v>1</v>
      </c>
      <c r="BD631" s="83">
        <f t="shared" si="1906"/>
        <v>1</v>
      </c>
      <c r="BE631" s="85">
        <v>2</v>
      </c>
      <c r="BF631" s="86">
        <v>45414.78162037037</v>
      </c>
      <c r="BG631" s="72" t="e">
        <f t="shared" si="1769"/>
        <v>#REF!</v>
      </c>
      <c r="BH631" s="103" t="e">
        <f t="shared" si="1907"/>
        <v>#REF!</v>
      </c>
      <c r="BI631" s="80" t="e">
        <f t="shared" si="1908"/>
        <v>#REF!</v>
      </c>
      <c r="BJ631" s="238">
        <v>4901</v>
      </c>
    </row>
    <row r="632" spans="1:62" ht="13">
      <c r="A632" s="49"/>
      <c r="B632" s="76"/>
      <c r="C632" s="51">
        <v>630</v>
      </c>
      <c r="D632" s="248" t="s">
        <v>2006</v>
      </c>
      <c r="E632" s="144">
        <v>2</v>
      </c>
      <c r="F632" s="88" t="s">
        <v>1321</v>
      </c>
      <c r="G632" s="89" t="s">
        <v>1975</v>
      </c>
      <c r="H632" s="89" t="s">
        <v>294</v>
      </c>
      <c r="I632" s="80" t="s">
        <v>458</v>
      </c>
      <c r="J632" s="93">
        <f t="shared" si="1888"/>
        <v>4</v>
      </c>
      <c r="K632" s="88">
        <v>4</v>
      </c>
      <c r="L632" s="58"/>
      <c r="M632" s="58"/>
      <c r="N632" s="62">
        <f t="shared" si="1889"/>
        <v>4</v>
      </c>
      <c r="O632" s="60"/>
      <c r="P632" s="58"/>
      <c r="Q632" s="62">
        <f t="shared" si="1890"/>
        <v>4</v>
      </c>
      <c r="R632" s="60"/>
      <c r="S632" s="58"/>
      <c r="T632" s="94">
        <f t="shared" si="1891"/>
        <v>4</v>
      </c>
      <c r="U632" s="60"/>
      <c r="V632" s="58"/>
      <c r="W632" s="62">
        <f t="shared" si="1892"/>
        <v>4</v>
      </c>
      <c r="X632" s="60"/>
      <c r="Y632" s="58"/>
      <c r="Z632" s="94">
        <f t="shared" si="1893"/>
        <v>4</v>
      </c>
      <c r="AA632" s="60"/>
      <c r="AB632" s="58"/>
      <c r="AC632" s="62">
        <f t="shared" si="1894"/>
        <v>4</v>
      </c>
      <c r="AD632" s="57"/>
      <c r="AE632" s="58"/>
      <c r="AF632" s="165">
        <f t="shared" si="1895"/>
        <v>4</v>
      </c>
      <c r="AG632" s="60"/>
      <c r="AH632" s="58"/>
      <c r="AI632" s="62">
        <f t="shared" si="1896"/>
        <v>4</v>
      </c>
      <c r="AJ632" s="60"/>
      <c r="AK632" s="58"/>
      <c r="AL632" s="62">
        <f t="shared" si="1897"/>
        <v>4</v>
      </c>
      <c r="AM632" s="60"/>
      <c r="AN632" s="58"/>
      <c r="AO632" s="62">
        <f t="shared" si="1898"/>
        <v>4</v>
      </c>
      <c r="AP632" s="60"/>
      <c r="AQ632" s="58"/>
      <c r="AR632" s="62">
        <f t="shared" si="1899"/>
        <v>4</v>
      </c>
      <c r="AS632" s="60"/>
      <c r="AT632" s="58"/>
      <c r="AU632" s="62">
        <f t="shared" si="1900"/>
        <v>4</v>
      </c>
      <c r="AV632" s="96">
        <f t="shared" si="1885"/>
        <v>0</v>
      </c>
      <c r="AW632" s="83">
        <f t="shared" si="1901"/>
        <v>0</v>
      </c>
      <c r="AX632" s="98">
        <f t="shared" si="1902"/>
        <v>0</v>
      </c>
      <c r="AY632" s="99" t="e">
        <f t="shared" si="1903"/>
        <v>#DIV/0!</v>
      </c>
      <c r="AZ632" s="100">
        <f t="shared" si="1904"/>
        <v>0</v>
      </c>
      <c r="BA632" s="101">
        <v>4</v>
      </c>
      <c r="BB632" s="102">
        <v>1</v>
      </c>
      <c r="BC632" s="84">
        <f t="shared" si="1905"/>
        <v>4</v>
      </c>
      <c r="BD632" s="83">
        <f t="shared" si="1906"/>
        <v>3</v>
      </c>
      <c r="BE632" s="85">
        <v>2</v>
      </c>
      <c r="BF632" s="86">
        <v>45188.559305555558</v>
      </c>
      <c r="BG632" s="72" t="e">
        <f t="shared" si="1769"/>
        <v>#REF!</v>
      </c>
      <c r="BH632" s="103" t="e">
        <f t="shared" si="1907"/>
        <v>#REF!</v>
      </c>
      <c r="BI632" s="80" t="e">
        <f t="shared" si="1908"/>
        <v>#REF!</v>
      </c>
      <c r="BJ632" s="238">
        <v>6250</v>
      </c>
    </row>
    <row r="633" spans="1:62" ht="13">
      <c r="A633" s="75"/>
      <c r="B633" s="76"/>
      <c r="C633" s="51">
        <v>631</v>
      </c>
      <c r="D633" s="248" t="s">
        <v>2006</v>
      </c>
      <c r="E633" s="144">
        <v>2</v>
      </c>
      <c r="F633" s="80" t="s">
        <v>1240</v>
      </c>
      <c r="G633" s="81" t="s">
        <v>1954</v>
      </c>
      <c r="H633" s="81" t="s">
        <v>294</v>
      </c>
      <c r="I633" s="80" t="s">
        <v>458</v>
      </c>
      <c r="J633" s="82">
        <f t="shared" si="1888"/>
        <v>5</v>
      </c>
      <c r="K633" s="80">
        <v>6</v>
      </c>
      <c r="L633" s="58"/>
      <c r="M633" s="58"/>
      <c r="N633" s="104">
        <f t="shared" si="1889"/>
        <v>6</v>
      </c>
      <c r="O633" s="58"/>
      <c r="P633" s="58"/>
      <c r="Q633" s="104">
        <f t="shared" si="1890"/>
        <v>6</v>
      </c>
      <c r="R633" s="58"/>
      <c r="S633" s="58"/>
      <c r="T633" s="136">
        <f t="shared" si="1891"/>
        <v>6</v>
      </c>
      <c r="U633" s="58"/>
      <c r="V633" s="58">
        <v>1</v>
      </c>
      <c r="W633" s="104">
        <f t="shared" si="1892"/>
        <v>5</v>
      </c>
      <c r="X633" s="58"/>
      <c r="Y633" s="58"/>
      <c r="Z633" s="136">
        <f t="shared" si="1893"/>
        <v>5</v>
      </c>
      <c r="AA633" s="58"/>
      <c r="AB633" s="58"/>
      <c r="AC633" s="104">
        <f t="shared" si="1894"/>
        <v>5</v>
      </c>
      <c r="AD633" s="58"/>
      <c r="AE633" s="58"/>
      <c r="AF633" s="104">
        <f t="shared" si="1895"/>
        <v>5</v>
      </c>
      <c r="AG633" s="58"/>
      <c r="AH633" s="58"/>
      <c r="AI633" s="104">
        <f t="shared" si="1896"/>
        <v>5</v>
      </c>
      <c r="AJ633" s="58"/>
      <c r="AK633" s="58"/>
      <c r="AL633" s="104">
        <f t="shared" si="1897"/>
        <v>5</v>
      </c>
      <c r="AM633" s="58"/>
      <c r="AN633" s="58"/>
      <c r="AO633" s="104">
        <f t="shared" si="1898"/>
        <v>5</v>
      </c>
      <c r="AP633" s="58"/>
      <c r="AQ633" s="58"/>
      <c r="AR633" s="104">
        <f t="shared" si="1899"/>
        <v>5</v>
      </c>
      <c r="AS633" s="58"/>
      <c r="AT633" s="58"/>
      <c r="AU633" s="104">
        <f t="shared" si="1900"/>
        <v>5</v>
      </c>
      <c r="AV633" s="83">
        <f t="shared" si="1885"/>
        <v>0</v>
      </c>
      <c r="AW633" s="83">
        <f t="shared" si="1901"/>
        <v>1</v>
      </c>
      <c r="AX633" s="64">
        <f t="shared" si="1902"/>
        <v>1</v>
      </c>
      <c r="AY633" s="65">
        <f t="shared" si="1903"/>
        <v>1</v>
      </c>
      <c r="AZ633" s="66">
        <f t="shared" si="1904"/>
        <v>1</v>
      </c>
      <c r="BA633" s="67">
        <f>MAX(0, Table176252626[[#This Row],[Column6]])</f>
        <v>5</v>
      </c>
      <c r="BB633" s="68">
        <v>1</v>
      </c>
      <c r="BC633" s="84">
        <f t="shared" si="1905"/>
        <v>5</v>
      </c>
      <c r="BD633" s="83">
        <f t="shared" si="1906"/>
        <v>4</v>
      </c>
      <c r="BE633" s="85">
        <v>2</v>
      </c>
      <c r="BF633" s="86">
        <v>44932.733159722222</v>
      </c>
      <c r="BG633" s="72" t="e">
        <f t="shared" si="1769"/>
        <v>#REF!</v>
      </c>
      <c r="BH633" s="87" t="e">
        <f t="shared" si="1907"/>
        <v>#REF!</v>
      </c>
      <c r="BI633" s="80" t="e">
        <f t="shared" si="1908"/>
        <v>#REF!</v>
      </c>
      <c r="BJ633" s="238">
        <v>2100</v>
      </c>
    </row>
    <row r="634" spans="1:62" ht="13">
      <c r="A634" s="49"/>
      <c r="B634" s="76"/>
      <c r="C634" s="77">
        <v>632</v>
      </c>
      <c r="D634" s="248" t="s">
        <v>2006</v>
      </c>
      <c r="E634" s="144">
        <v>2</v>
      </c>
      <c r="F634" s="80" t="s">
        <v>807</v>
      </c>
      <c r="G634" s="106" t="s">
        <v>1022</v>
      </c>
      <c r="H634" s="81" t="s">
        <v>294</v>
      </c>
      <c r="I634" s="80" t="s">
        <v>458</v>
      </c>
      <c r="J634" s="82">
        <f t="shared" si="1888"/>
        <v>2</v>
      </c>
      <c r="K634" s="80">
        <v>2</v>
      </c>
      <c r="L634" s="57"/>
      <c r="M634" s="58"/>
      <c r="N634" s="59">
        <f t="shared" si="1889"/>
        <v>2</v>
      </c>
      <c r="O634" s="60"/>
      <c r="P634" s="58"/>
      <c r="Q634" s="59">
        <f t="shared" si="1890"/>
        <v>2</v>
      </c>
      <c r="R634" s="60"/>
      <c r="S634" s="58"/>
      <c r="T634" s="61">
        <f t="shared" si="1891"/>
        <v>2</v>
      </c>
      <c r="U634" s="60"/>
      <c r="V634" s="58"/>
      <c r="W634" s="59">
        <f t="shared" si="1892"/>
        <v>2</v>
      </c>
      <c r="X634" s="60"/>
      <c r="Y634" s="58"/>
      <c r="Z634" s="61">
        <f t="shared" si="1893"/>
        <v>2</v>
      </c>
      <c r="AA634" s="60"/>
      <c r="AB634" s="58"/>
      <c r="AC634" s="59">
        <f t="shared" si="1894"/>
        <v>2</v>
      </c>
      <c r="AD634" s="57"/>
      <c r="AE634" s="58"/>
      <c r="AF634" s="243">
        <f t="shared" si="1895"/>
        <v>2</v>
      </c>
      <c r="AG634" s="60"/>
      <c r="AH634" s="58"/>
      <c r="AI634" s="62">
        <f t="shared" si="1896"/>
        <v>2</v>
      </c>
      <c r="AJ634" s="60"/>
      <c r="AK634" s="58"/>
      <c r="AL634" s="62">
        <f t="shared" si="1897"/>
        <v>2</v>
      </c>
      <c r="AM634" s="60"/>
      <c r="AN634" s="58"/>
      <c r="AO634" s="62">
        <f t="shared" si="1898"/>
        <v>2</v>
      </c>
      <c r="AP634" s="60"/>
      <c r="AQ634" s="58"/>
      <c r="AR634" s="62">
        <f t="shared" si="1899"/>
        <v>2</v>
      </c>
      <c r="AS634" s="60"/>
      <c r="AT634" s="58"/>
      <c r="AU634" s="62">
        <f t="shared" si="1900"/>
        <v>2</v>
      </c>
      <c r="AV634" s="83">
        <f t="shared" si="1885"/>
        <v>0</v>
      </c>
      <c r="AW634" s="83">
        <f t="shared" si="1901"/>
        <v>0</v>
      </c>
      <c r="AX634" s="64">
        <f t="shared" si="1902"/>
        <v>0</v>
      </c>
      <c r="AY634" s="65" t="e">
        <f t="shared" si="1903"/>
        <v>#DIV/0!</v>
      </c>
      <c r="AZ634" s="66">
        <f t="shared" si="1904"/>
        <v>0</v>
      </c>
      <c r="BA634" s="67">
        <v>2</v>
      </c>
      <c r="BB634" s="68">
        <v>1</v>
      </c>
      <c r="BC634" s="84">
        <f t="shared" si="1905"/>
        <v>2</v>
      </c>
      <c r="BD634" s="83">
        <f t="shared" si="1906"/>
        <v>1</v>
      </c>
      <c r="BE634" s="85">
        <v>2</v>
      </c>
      <c r="BF634" s="86">
        <v>45498.74800925926</v>
      </c>
      <c r="BG634" s="72" t="e">
        <f t="shared" si="1769"/>
        <v>#REF!</v>
      </c>
      <c r="BH634" s="87" t="e">
        <f t="shared" si="1907"/>
        <v>#REF!</v>
      </c>
      <c r="BI634" s="80" t="e">
        <f t="shared" si="1908"/>
        <v>#REF!</v>
      </c>
      <c r="BJ634" s="238">
        <v>7414</v>
      </c>
    </row>
    <row r="635" spans="1:62" ht="13">
      <c r="A635" s="49"/>
      <c r="B635" s="76"/>
      <c r="C635" s="77">
        <v>633</v>
      </c>
      <c r="D635" s="248" t="s">
        <v>2006</v>
      </c>
      <c r="E635" s="144">
        <v>2</v>
      </c>
      <c r="F635" s="105" t="s">
        <v>1127</v>
      </c>
      <c r="G635" s="81" t="s">
        <v>1125</v>
      </c>
      <c r="H635" s="81" t="s">
        <v>294</v>
      </c>
      <c r="I635" s="80" t="s">
        <v>458</v>
      </c>
      <c r="J635" s="93">
        <f t="shared" si="1888"/>
        <v>2</v>
      </c>
      <c r="K635" s="80">
        <v>2</v>
      </c>
      <c r="L635" s="57"/>
      <c r="M635" s="58"/>
      <c r="N635" s="59">
        <f t="shared" si="1889"/>
        <v>2</v>
      </c>
      <c r="O635" s="60"/>
      <c r="P635" s="58"/>
      <c r="Q635" s="59">
        <f t="shared" si="1890"/>
        <v>2</v>
      </c>
      <c r="R635" s="60"/>
      <c r="S635" s="58"/>
      <c r="T635" s="61">
        <f t="shared" si="1891"/>
        <v>2</v>
      </c>
      <c r="U635" s="60"/>
      <c r="V635" s="58"/>
      <c r="W635" s="59">
        <f t="shared" si="1892"/>
        <v>2</v>
      </c>
      <c r="X635" s="60"/>
      <c r="Y635" s="58"/>
      <c r="Z635" s="61">
        <f t="shared" si="1893"/>
        <v>2</v>
      </c>
      <c r="AA635" s="60"/>
      <c r="AB635" s="58"/>
      <c r="AC635" s="59">
        <f t="shared" si="1894"/>
        <v>2</v>
      </c>
      <c r="AD635" s="57"/>
      <c r="AE635" s="58"/>
      <c r="AF635" s="243">
        <f t="shared" si="1895"/>
        <v>2</v>
      </c>
      <c r="AG635" s="60"/>
      <c r="AH635" s="58"/>
      <c r="AI635" s="62">
        <f t="shared" si="1896"/>
        <v>2</v>
      </c>
      <c r="AJ635" s="60"/>
      <c r="AK635" s="58"/>
      <c r="AL635" s="62">
        <f t="shared" si="1897"/>
        <v>2</v>
      </c>
      <c r="AM635" s="60"/>
      <c r="AN635" s="58"/>
      <c r="AO635" s="62">
        <f t="shared" si="1898"/>
        <v>2</v>
      </c>
      <c r="AP635" s="60"/>
      <c r="AQ635" s="58"/>
      <c r="AR635" s="62">
        <f t="shared" si="1899"/>
        <v>2</v>
      </c>
      <c r="AS635" s="60"/>
      <c r="AT635" s="58"/>
      <c r="AU635" s="62">
        <f t="shared" si="1900"/>
        <v>2</v>
      </c>
      <c r="AV635" s="83">
        <f t="shared" si="1885"/>
        <v>0</v>
      </c>
      <c r="AW635" s="83">
        <f t="shared" si="1901"/>
        <v>0</v>
      </c>
      <c r="AX635" s="64">
        <f t="shared" si="1902"/>
        <v>0</v>
      </c>
      <c r="AY635" s="65" t="e">
        <f t="shared" si="1903"/>
        <v>#DIV/0!</v>
      </c>
      <c r="AZ635" s="66">
        <f t="shared" si="1904"/>
        <v>0</v>
      </c>
      <c r="BA635" s="67">
        <f>MAX(0, Table176252626[[#This Row],[Column6]])</f>
        <v>2</v>
      </c>
      <c r="BB635" s="68">
        <v>1</v>
      </c>
      <c r="BC635" s="84">
        <f t="shared" si="1905"/>
        <v>2</v>
      </c>
      <c r="BD635" s="83">
        <f t="shared" si="1906"/>
        <v>1</v>
      </c>
      <c r="BE635" s="85">
        <v>2</v>
      </c>
      <c r="BF635" s="86">
        <v>45022.42019675926</v>
      </c>
      <c r="BG635" s="72" t="e">
        <f t="shared" si="1769"/>
        <v>#REF!</v>
      </c>
      <c r="BH635" s="87" t="e">
        <f t="shared" si="1907"/>
        <v>#REF!</v>
      </c>
      <c r="BI635" s="80" t="e">
        <f t="shared" si="1908"/>
        <v>#REF!</v>
      </c>
      <c r="BJ635" s="238">
        <v>2486.25</v>
      </c>
    </row>
    <row r="636" spans="1:62" ht="13">
      <c r="A636" s="49"/>
      <c r="B636" s="50"/>
      <c r="C636" s="51">
        <v>634</v>
      </c>
      <c r="D636" s="248" t="s">
        <v>2006</v>
      </c>
      <c r="E636" s="144">
        <v>2</v>
      </c>
      <c r="F636" s="133" t="s">
        <v>129</v>
      </c>
      <c r="G636" s="130" t="s">
        <v>130</v>
      </c>
      <c r="H636" s="81" t="s">
        <v>294</v>
      </c>
      <c r="I636" s="80" t="s">
        <v>458</v>
      </c>
      <c r="J636" s="93">
        <f t="shared" si="1888"/>
        <v>5</v>
      </c>
      <c r="K636" s="80">
        <v>5</v>
      </c>
      <c r="L636" s="57"/>
      <c r="M636" s="58"/>
      <c r="N636" s="59">
        <f t="shared" si="1889"/>
        <v>5</v>
      </c>
      <c r="O636" s="60"/>
      <c r="P636" s="58"/>
      <c r="Q636" s="59">
        <f t="shared" si="1890"/>
        <v>5</v>
      </c>
      <c r="R636" s="60"/>
      <c r="S636" s="58"/>
      <c r="T636" s="61">
        <f t="shared" si="1891"/>
        <v>5</v>
      </c>
      <c r="U636" s="60"/>
      <c r="V636" s="58"/>
      <c r="W636" s="59">
        <f t="shared" si="1892"/>
        <v>5</v>
      </c>
      <c r="X636" s="60"/>
      <c r="Y636" s="58"/>
      <c r="Z636" s="61">
        <f t="shared" si="1893"/>
        <v>5</v>
      </c>
      <c r="AA636" s="60"/>
      <c r="AB636" s="58"/>
      <c r="AC636" s="59">
        <f t="shared" si="1894"/>
        <v>5</v>
      </c>
      <c r="AD636" s="57"/>
      <c r="AE636" s="58"/>
      <c r="AF636" s="243">
        <f t="shared" si="1895"/>
        <v>5</v>
      </c>
      <c r="AG636" s="60"/>
      <c r="AH636" s="58"/>
      <c r="AI636" s="62">
        <f t="shared" si="1896"/>
        <v>5</v>
      </c>
      <c r="AJ636" s="60"/>
      <c r="AK636" s="58"/>
      <c r="AL636" s="62">
        <f t="shared" si="1897"/>
        <v>5</v>
      </c>
      <c r="AM636" s="60"/>
      <c r="AN636" s="58"/>
      <c r="AO636" s="62">
        <f t="shared" si="1898"/>
        <v>5</v>
      </c>
      <c r="AP636" s="60"/>
      <c r="AQ636" s="58"/>
      <c r="AR636" s="62">
        <f t="shared" si="1899"/>
        <v>5</v>
      </c>
      <c r="AS636" s="60"/>
      <c r="AT636" s="58"/>
      <c r="AU636" s="62">
        <f t="shared" si="1900"/>
        <v>5</v>
      </c>
      <c r="AV636" s="83">
        <f t="shared" si="1885"/>
        <v>0</v>
      </c>
      <c r="AW636" s="83">
        <f t="shared" si="1901"/>
        <v>0</v>
      </c>
      <c r="AX636" s="64">
        <f t="shared" si="1902"/>
        <v>0</v>
      </c>
      <c r="AY636" s="65" t="e">
        <f t="shared" si="1903"/>
        <v>#DIV/0!</v>
      </c>
      <c r="AZ636" s="66">
        <f t="shared" si="1904"/>
        <v>0</v>
      </c>
      <c r="BA636" s="67">
        <f>MAX(0, Table176252626[[#This Row],[Column6]])</f>
        <v>5</v>
      </c>
      <c r="BB636" s="68">
        <v>1</v>
      </c>
      <c r="BC636" s="84">
        <f t="shared" si="1905"/>
        <v>5</v>
      </c>
      <c r="BD636" s="83">
        <f t="shared" si="1906"/>
        <v>4</v>
      </c>
      <c r="BE636" s="85">
        <v>2</v>
      </c>
      <c r="BF636" s="86">
        <v>45364.448217592595</v>
      </c>
      <c r="BG636" s="72" t="e">
        <f t="shared" si="1769"/>
        <v>#REF!</v>
      </c>
      <c r="BH636" s="87" t="e">
        <f t="shared" si="1907"/>
        <v>#REF!</v>
      </c>
      <c r="BI636" s="80" t="e">
        <f t="shared" si="1908"/>
        <v>#REF!</v>
      </c>
      <c r="BJ636" s="238">
        <v>6000</v>
      </c>
    </row>
    <row r="637" spans="1:62" ht="13">
      <c r="A637" s="49"/>
      <c r="B637" s="50"/>
      <c r="C637" s="51">
        <v>635</v>
      </c>
      <c r="D637" s="248" t="s">
        <v>2006</v>
      </c>
      <c r="E637" s="144">
        <v>2</v>
      </c>
      <c r="F637" s="105" t="s">
        <v>1123</v>
      </c>
      <c r="G637" s="112" t="s">
        <v>1124</v>
      </c>
      <c r="H637" s="81" t="s">
        <v>294</v>
      </c>
      <c r="I637" s="88" t="s">
        <v>458</v>
      </c>
      <c r="J637" s="82">
        <f t="shared" si="1888"/>
        <v>3</v>
      </c>
      <c r="K637" s="80">
        <v>3</v>
      </c>
      <c r="L637" s="57"/>
      <c r="M637" s="58"/>
      <c r="N637" s="59">
        <f t="shared" si="1889"/>
        <v>3</v>
      </c>
      <c r="O637" s="60"/>
      <c r="P637" s="58"/>
      <c r="Q637" s="59">
        <f t="shared" si="1890"/>
        <v>3</v>
      </c>
      <c r="R637" s="60"/>
      <c r="S637" s="58"/>
      <c r="T637" s="61">
        <f t="shared" si="1891"/>
        <v>3</v>
      </c>
      <c r="U637" s="60"/>
      <c r="V637" s="58"/>
      <c r="W637" s="59">
        <f t="shared" si="1892"/>
        <v>3</v>
      </c>
      <c r="X637" s="60"/>
      <c r="Y637" s="58"/>
      <c r="Z637" s="61">
        <f t="shared" si="1893"/>
        <v>3</v>
      </c>
      <c r="AA637" s="60"/>
      <c r="AB637" s="58"/>
      <c r="AC637" s="59">
        <f t="shared" si="1894"/>
        <v>3</v>
      </c>
      <c r="AD637" s="57"/>
      <c r="AE637" s="58"/>
      <c r="AF637" s="243">
        <f t="shared" si="1895"/>
        <v>3</v>
      </c>
      <c r="AG637" s="60"/>
      <c r="AH637" s="58"/>
      <c r="AI637" s="62">
        <f t="shared" si="1896"/>
        <v>3</v>
      </c>
      <c r="AJ637" s="60"/>
      <c r="AK637" s="58"/>
      <c r="AL637" s="62">
        <f t="shared" si="1897"/>
        <v>3</v>
      </c>
      <c r="AM637" s="60"/>
      <c r="AN637" s="58"/>
      <c r="AO637" s="62">
        <f t="shared" si="1898"/>
        <v>3</v>
      </c>
      <c r="AP637" s="60"/>
      <c r="AQ637" s="58"/>
      <c r="AR637" s="62">
        <f t="shared" si="1899"/>
        <v>3</v>
      </c>
      <c r="AS637" s="60"/>
      <c r="AT637" s="58"/>
      <c r="AU637" s="62">
        <f t="shared" si="1900"/>
        <v>3</v>
      </c>
      <c r="AV637" s="83">
        <f t="shared" si="1885"/>
        <v>0</v>
      </c>
      <c r="AW637" s="83">
        <f t="shared" si="1901"/>
        <v>0</v>
      </c>
      <c r="AX637" s="64">
        <f t="shared" si="1902"/>
        <v>0</v>
      </c>
      <c r="AY637" s="65" t="e">
        <f t="shared" si="1903"/>
        <v>#DIV/0!</v>
      </c>
      <c r="AZ637" s="66">
        <f t="shared" si="1904"/>
        <v>0</v>
      </c>
      <c r="BA637" s="67">
        <v>3</v>
      </c>
      <c r="BB637" s="68">
        <v>1</v>
      </c>
      <c r="BC637" s="84">
        <f t="shared" si="1905"/>
        <v>3</v>
      </c>
      <c r="BD637" s="83">
        <f t="shared" si="1906"/>
        <v>2</v>
      </c>
      <c r="BE637" s="85">
        <v>2</v>
      </c>
      <c r="BF637" s="86">
        <v>45587.59988425926</v>
      </c>
      <c r="BG637" s="72" t="e">
        <f t="shared" si="1769"/>
        <v>#REF!</v>
      </c>
      <c r="BH637" s="87" t="e">
        <f t="shared" si="1907"/>
        <v>#REF!</v>
      </c>
      <c r="BI637" s="80" t="e">
        <f t="shared" si="1908"/>
        <v>#REF!</v>
      </c>
      <c r="BJ637" s="238">
        <v>3800</v>
      </c>
    </row>
    <row r="638" spans="1:62" ht="13">
      <c r="A638" s="49"/>
      <c r="B638" s="217"/>
      <c r="C638" s="51">
        <v>636</v>
      </c>
      <c r="D638" s="248" t="s">
        <v>2006</v>
      </c>
      <c r="E638" s="144">
        <v>2</v>
      </c>
      <c r="F638" s="222" t="s">
        <v>1128</v>
      </c>
      <c r="G638" s="89" t="s">
        <v>1126</v>
      </c>
      <c r="H638" s="89" t="s">
        <v>294</v>
      </c>
      <c r="I638" s="80" t="s">
        <v>469</v>
      </c>
      <c r="J638" s="93">
        <f t="shared" si="1888"/>
        <v>2</v>
      </c>
      <c r="K638" s="88">
        <v>2</v>
      </c>
      <c r="L638" s="58"/>
      <c r="M638" s="58"/>
      <c r="N638" s="62">
        <f t="shared" si="1889"/>
        <v>2</v>
      </c>
      <c r="O638" s="60"/>
      <c r="P638" s="58"/>
      <c r="Q638" s="62">
        <f t="shared" si="1890"/>
        <v>2</v>
      </c>
      <c r="R638" s="60"/>
      <c r="S638" s="58"/>
      <c r="T638" s="94">
        <f t="shared" si="1891"/>
        <v>2</v>
      </c>
      <c r="U638" s="60"/>
      <c r="V638" s="58"/>
      <c r="W638" s="62">
        <f t="shared" si="1892"/>
        <v>2</v>
      </c>
      <c r="X638" s="60"/>
      <c r="Y638" s="58"/>
      <c r="Z638" s="94">
        <f t="shared" si="1893"/>
        <v>2</v>
      </c>
      <c r="AA638" s="60"/>
      <c r="AB638" s="58"/>
      <c r="AC638" s="62">
        <f t="shared" si="1894"/>
        <v>2</v>
      </c>
      <c r="AD638" s="57"/>
      <c r="AE638" s="58"/>
      <c r="AF638" s="165">
        <f t="shared" si="1895"/>
        <v>2</v>
      </c>
      <c r="AG638" s="60"/>
      <c r="AH638" s="58"/>
      <c r="AI638" s="62">
        <f t="shared" si="1896"/>
        <v>2</v>
      </c>
      <c r="AJ638" s="60"/>
      <c r="AK638" s="58"/>
      <c r="AL638" s="62">
        <f t="shared" si="1897"/>
        <v>2</v>
      </c>
      <c r="AM638" s="60"/>
      <c r="AN638" s="58"/>
      <c r="AO638" s="62">
        <f t="shared" si="1898"/>
        <v>2</v>
      </c>
      <c r="AP638" s="60"/>
      <c r="AQ638" s="58"/>
      <c r="AR638" s="62">
        <f t="shared" si="1899"/>
        <v>2</v>
      </c>
      <c r="AS638" s="60"/>
      <c r="AT638" s="58"/>
      <c r="AU638" s="62">
        <f t="shared" si="1900"/>
        <v>2</v>
      </c>
      <c r="AV638" s="83">
        <f t="shared" ref="AV638" si="1909">SUM(L638+O638+R638+U638+X638+AA638+AD638+AG638+AJ638+AM638+AP638+AS638)</f>
        <v>0</v>
      </c>
      <c r="AW638" s="83">
        <f t="shared" si="1901"/>
        <v>0</v>
      </c>
      <c r="AX638" s="98">
        <f t="shared" si="1902"/>
        <v>0</v>
      </c>
      <c r="AY638" s="99" t="e">
        <f t="shared" si="1903"/>
        <v>#DIV/0!</v>
      </c>
      <c r="AZ638" s="100">
        <f t="shared" si="1904"/>
        <v>0</v>
      </c>
      <c r="BA638" s="67">
        <f>MAX(0, Table176252626[[#This Row],[Column6]])</f>
        <v>2</v>
      </c>
      <c r="BB638" s="68">
        <v>0</v>
      </c>
      <c r="BC638" s="84">
        <f t="shared" si="1905"/>
        <v>2</v>
      </c>
      <c r="BD638" s="83">
        <f t="shared" si="1906"/>
        <v>2</v>
      </c>
      <c r="BE638" s="85"/>
      <c r="BF638" s="86">
        <v>41465</v>
      </c>
      <c r="BG638" s="72" t="e">
        <f t="shared" si="1769"/>
        <v>#REF!</v>
      </c>
      <c r="BH638" s="87" t="e">
        <f t="shared" si="1907"/>
        <v>#REF!</v>
      </c>
      <c r="BI638" s="80" t="e">
        <f t="shared" si="1908"/>
        <v>#REF!</v>
      </c>
      <c r="BJ638" s="238">
        <v>313.5</v>
      </c>
    </row>
    <row r="639" spans="1:62" ht="13">
      <c r="A639" s="49"/>
      <c r="B639" s="50"/>
      <c r="C639" s="51">
        <v>637</v>
      </c>
      <c r="D639" s="248" t="s">
        <v>2006</v>
      </c>
      <c r="E639" s="144">
        <v>2</v>
      </c>
      <c r="F639" s="80" t="s">
        <v>1586</v>
      </c>
      <c r="G639" s="81" t="s">
        <v>1587</v>
      </c>
      <c r="H639" s="134" t="s">
        <v>294</v>
      </c>
      <c r="I639" s="54" t="s">
        <v>458</v>
      </c>
      <c r="J639" s="153">
        <f t="shared" ref="J639" si="1910">AU639</f>
        <v>1</v>
      </c>
      <c r="K639" s="88">
        <v>1</v>
      </c>
      <c r="L639" s="58"/>
      <c r="M639" s="58"/>
      <c r="N639" s="62">
        <f t="shared" ref="N639" si="1911">SUM(K639+L639-M639)</f>
        <v>1</v>
      </c>
      <c r="O639" s="60"/>
      <c r="P639" s="58"/>
      <c r="Q639" s="62">
        <f t="shared" ref="Q639" si="1912">SUM(N639+O639-P639)</f>
        <v>1</v>
      </c>
      <c r="R639" s="60"/>
      <c r="S639" s="58"/>
      <c r="T639" s="94">
        <f t="shared" ref="T639" si="1913">SUM(Q639+R639-S639)</f>
        <v>1</v>
      </c>
      <c r="U639" s="60"/>
      <c r="V639" s="58"/>
      <c r="W639" s="62">
        <f t="shared" ref="W639" si="1914">SUM(T639+U639-V639)</f>
        <v>1</v>
      </c>
      <c r="X639" s="60"/>
      <c r="Y639" s="58"/>
      <c r="Z639" s="94">
        <f t="shared" ref="Z639" si="1915">SUM(W639+X639-Y639)</f>
        <v>1</v>
      </c>
      <c r="AA639" s="60"/>
      <c r="AB639" s="58"/>
      <c r="AC639" s="62">
        <f t="shared" ref="AC639" si="1916">SUM(Z639+AA639-AB639)</f>
        <v>1</v>
      </c>
      <c r="AD639" s="57"/>
      <c r="AE639" s="58"/>
      <c r="AF639" s="165">
        <f t="shared" ref="AF639" si="1917">SUM(AC639+AD639-AE639)</f>
        <v>1</v>
      </c>
      <c r="AG639" s="60"/>
      <c r="AH639" s="58"/>
      <c r="AI639" s="62">
        <f t="shared" ref="AI639" si="1918">SUM(AF639+AG639-AH639)</f>
        <v>1</v>
      </c>
      <c r="AJ639" s="60"/>
      <c r="AK639" s="58"/>
      <c r="AL639" s="62">
        <f t="shared" ref="AL639" si="1919">SUM(AI639+AJ639-AK639)</f>
        <v>1</v>
      </c>
      <c r="AM639" s="60"/>
      <c r="AN639" s="58"/>
      <c r="AO639" s="62">
        <f t="shared" ref="AO639" si="1920">SUM(AL639+AM639-AN639)</f>
        <v>1</v>
      </c>
      <c r="AP639" s="60"/>
      <c r="AQ639" s="58"/>
      <c r="AR639" s="62">
        <f t="shared" ref="AR639" si="1921">SUM(AO639+AP639-AQ639)</f>
        <v>1</v>
      </c>
      <c r="AS639" s="60"/>
      <c r="AT639" s="58"/>
      <c r="AU639" s="62">
        <f t="shared" ref="AU639" si="1922">SUM(AR639+AS639-AT639)</f>
        <v>1</v>
      </c>
      <c r="AV639" s="96">
        <f t="shared" ref="AV639" si="1923">SUM(L639+O639+R639+U639+X639+AA639+AD639+AG639+AJ639+AM639+AP639+AS639)</f>
        <v>0</v>
      </c>
      <c r="AW639" s="83">
        <f t="shared" si="1901"/>
        <v>0</v>
      </c>
      <c r="AX639" s="98">
        <f t="shared" ref="AX639" si="1924">SUM(M639,P639,S639,V639,Y639,AB639,AE639,AH639,AK639,AN639,AQ639,AT639)</f>
        <v>0</v>
      </c>
      <c r="AY639" s="99" t="e">
        <f t="shared" si="1903"/>
        <v>#DIV/0!</v>
      </c>
      <c r="AZ639" s="100">
        <f t="shared" si="1904"/>
        <v>0</v>
      </c>
      <c r="BA639" s="101">
        <v>1</v>
      </c>
      <c r="BB639" s="102">
        <v>0</v>
      </c>
      <c r="BC639" s="84">
        <f t="shared" si="1905"/>
        <v>1</v>
      </c>
      <c r="BD639" s="83">
        <f t="shared" si="1906"/>
        <v>1</v>
      </c>
      <c r="BE639" s="85">
        <v>2</v>
      </c>
      <c r="BF639" s="86">
        <v>45488.452326388891</v>
      </c>
      <c r="BG639" s="72" t="e">
        <f t="shared" si="1769"/>
        <v>#REF!</v>
      </c>
      <c r="BH639" s="109" t="e">
        <f t="shared" si="1907"/>
        <v>#REF!</v>
      </c>
      <c r="BI639" s="80" t="e">
        <f t="shared" si="1908"/>
        <v>#REF!</v>
      </c>
      <c r="BJ639" s="238">
        <v>1800</v>
      </c>
    </row>
    <row r="640" spans="1:62" ht="13">
      <c r="A640" s="90"/>
      <c r="B640" s="91"/>
      <c r="C640" s="77">
        <v>638</v>
      </c>
      <c r="D640" s="248" t="s">
        <v>2006</v>
      </c>
      <c r="E640" s="144">
        <v>2</v>
      </c>
      <c r="F640" s="88" t="s">
        <v>1893</v>
      </c>
      <c r="G640" s="89" t="s">
        <v>1894</v>
      </c>
      <c r="H640" s="89" t="s">
        <v>913</v>
      </c>
      <c r="I640" s="80" t="s">
        <v>458</v>
      </c>
      <c r="J640" s="93">
        <f>AU640</f>
        <v>2</v>
      </c>
      <c r="K640" s="88">
        <v>3</v>
      </c>
      <c r="L640" s="58"/>
      <c r="M640" s="58"/>
      <c r="N640" s="62">
        <f>SUM(K640+L640-M640)</f>
        <v>3</v>
      </c>
      <c r="O640" s="60"/>
      <c r="P640" s="58"/>
      <c r="Q640" s="62">
        <f>SUM(N640+O640-P640)</f>
        <v>3</v>
      </c>
      <c r="R640" s="60"/>
      <c r="S640" s="58"/>
      <c r="T640" s="94">
        <f>SUM(Q640+R640-S640)</f>
        <v>3</v>
      </c>
      <c r="U640" s="60"/>
      <c r="V640" s="58"/>
      <c r="W640" s="62">
        <f>SUM(T640+U640-V640)</f>
        <v>3</v>
      </c>
      <c r="X640" s="60"/>
      <c r="Y640" s="58"/>
      <c r="Z640" s="94">
        <f>SUM(W640+X640-Y640)</f>
        <v>3</v>
      </c>
      <c r="AA640" s="60"/>
      <c r="AB640" s="58">
        <v>1</v>
      </c>
      <c r="AC640" s="62">
        <f>SUM(Z640+AA640-AB640)</f>
        <v>2</v>
      </c>
      <c r="AD640" s="57"/>
      <c r="AE640" s="58"/>
      <c r="AF640" s="165">
        <f>SUM(AC640+AD640-AE640)</f>
        <v>2</v>
      </c>
      <c r="AG640" s="60"/>
      <c r="AH640" s="58"/>
      <c r="AI640" s="62">
        <f>SUM(AF640+AG640-AH640)</f>
        <v>2</v>
      </c>
      <c r="AJ640" s="60"/>
      <c r="AK640" s="58"/>
      <c r="AL640" s="62">
        <f>SUM(AI640+AJ640-AK640)</f>
        <v>2</v>
      </c>
      <c r="AM640" s="60"/>
      <c r="AN640" s="58"/>
      <c r="AO640" s="62">
        <f>SUM(AL640+AM640-AN640)</f>
        <v>2</v>
      </c>
      <c r="AP640" s="60"/>
      <c r="AQ640" s="58"/>
      <c r="AR640" s="62">
        <f>SUM(AO640+AP640-AQ640)</f>
        <v>2</v>
      </c>
      <c r="AS640" s="60"/>
      <c r="AT640" s="58"/>
      <c r="AU640" s="62">
        <f>SUM(AR640+AS640-AT640)</f>
        <v>2</v>
      </c>
      <c r="AV640" s="96">
        <f>SUM(L640+O640+R640+U640+X640+AA640+AD640+AG640+AJ640+AM640+AP640+AS640)</f>
        <v>0</v>
      </c>
      <c r="AW640" s="83">
        <f t="shared" si="1901"/>
        <v>1</v>
      </c>
      <c r="AX640" s="98">
        <f>SUM(M640,P640,S640,V640,Y640,AB640,AE640,AH640,AK640,AN640,AQ640,AT640)</f>
        <v>1</v>
      </c>
      <c r="AY640" s="99">
        <f t="shared" si="1903"/>
        <v>1</v>
      </c>
      <c r="AZ640" s="100">
        <f t="shared" si="1904"/>
        <v>1</v>
      </c>
      <c r="BA640" s="101">
        <v>2</v>
      </c>
      <c r="BB640" s="102">
        <f>MIN(M640,P640,S640,V640,Y640,AB640,AE640,AH640,AK640,AN640,AQ640,AT640)</f>
        <v>1</v>
      </c>
      <c r="BC640" s="84">
        <f t="shared" si="1905"/>
        <v>2</v>
      </c>
      <c r="BD640" s="83">
        <f t="shared" si="1906"/>
        <v>1</v>
      </c>
      <c r="BE640" s="85">
        <v>2</v>
      </c>
      <c r="BF640" s="86">
        <v>45330</v>
      </c>
      <c r="BG640" s="72" t="e">
        <f t="shared" si="1769"/>
        <v>#REF!</v>
      </c>
      <c r="BH640" s="103" t="e">
        <f t="shared" si="1907"/>
        <v>#REF!</v>
      </c>
      <c r="BI640" s="80" t="e">
        <f t="shared" si="1908"/>
        <v>#REF!</v>
      </c>
      <c r="BJ640" s="238">
        <v>2130.75</v>
      </c>
    </row>
    <row r="641" spans="1:62" ht="13">
      <c r="A641" s="49"/>
      <c r="B641" s="50"/>
      <c r="C641" s="77">
        <v>639</v>
      </c>
      <c r="D641" s="248" t="s">
        <v>2006</v>
      </c>
      <c r="E641" s="144">
        <v>2</v>
      </c>
      <c r="F641" s="88" t="s">
        <v>1547</v>
      </c>
      <c r="G641" s="89" t="s">
        <v>1548</v>
      </c>
      <c r="H641" s="89" t="s">
        <v>1329</v>
      </c>
      <c r="I641" s="88" t="s">
        <v>458</v>
      </c>
      <c r="J641" s="93">
        <f>AU641</f>
        <v>2</v>
      </c>
      <c r="K641" s="80">
        <v>2</v>
      </c>
      <c r="L641" s="58"/>
      <c r="M641" s="58"/>
      <c r="N641" s="62">
        <f>SUM(K641+L641-M641)</f>
        <v>2</v>
      </c>
      <c r="O641" s="60"/>
      <c r="P641" s="58"/>
      <c r="Q641" s="62">
        <f>SUM(N641+O641-P641)</f>
        <v>2</v>
      </c>
      <c r="R641" s="60"/>
      <c r="S641" s="58"/>
      <c r="T641" s="94">
        <f>SUM(Q641+R641-S641)</f>
        <v>2</v>
      </c>
      <c r="U641" s="60"/>
      <c r="V641" s="58"/>
      <c r="W641" s="62">
        <f>SUM(T641+U641-V641)</f>
        <v>2</v>
      </c>
      <c r="X641" s="60"/>
      <c r="Y641" s="58"/>
      <c r="Z641" s="94">
        <f>SUM(W641+X641-Y641)</f>
        <v>2</v>
      </c>
      <c r="AA641" s="60"/>
      <c r="AB641" s="58"/>
      <c r="AC641" s="62">
        <f>SUM(Z641+AA641-AB641)</f>
        <v>2</v>
      </c>
      <c r="AD641" s="57"/>
      <c r="AE641" s="58"/>
      <c r="AF641" s="165">
        <f>SUM(AC641+AD641-AE641)</f>
        <v>2</v>
      </c>
      <c r="AG641" s="60"/>
      <c r="AH641" s="58"/>
      <c r="AI641" s="62">
        <f>SUM(AF641+AG641-AH641)</f>
        <v>2</v>
      </c>
      <c r="AJ641" s="60"/>
      <c r="AK641" s="58"/>
      <c r="AL641" s="62">
        <f>SUM(AI641+AJ641-AK641)</f>
        <v>2</v>
      </c>
      <c r="AM641" s="60"/>
      <c r="AN641" s="58"/>
      <c r="AO641" s="62">
        <f>SUM(AL641+AM641-AN641)</f>
        <v>2</v>
      </c>
      <c r="AP641" s="60"/>
      <c r="AQ641" s="58"/>
      <c r="AR641" s="62">
        <f>SUM(AO641+AP641-AQ641)</f>
        <v>2</v>
      </c>
      <c r="AS641" s="60"/>
      <c r="AT641" s="58"/>
      <c r="AU641" s="62">
        <f>SUM(AR641+AS641-AT641)</f>
        <v>2</v>
      </c>
      <c r="AV641" s="96">
        <f>SUM(L641+O641+R641+U641+X641+AA641+AD641+AG641+AJ641+AM641+AP641+AS641)</f>
        <v>0</v>
      </c>
      <c r="AW641" s="83">
        <f t="shared" si="1901"/>
        <v>0</v>
      </c>
      <c r="AX641" s="98">
        <f>SUM(M641,P641,S641,V641,Y641,AB641,AE641,AH641,AK641,AN641,AQ641,AT641)</f>
        <v>0</v>
      </c>
      <c r="AY641" s="99" t="e">
        <f t="shared" si="1903"/>
        <v>#DIV/0!</v>
      </c>
      <c r="AZ641" s="100">
        <f t="shared" si="1904"/>
        <v>0</v>
      </c>
      <c r="BA641" s="101">
        <v>2</v>
      </c>
      <c r="BB641" s="102">
        <v>1</v>
      </c>
      <c r="BC641" s="84">
        <f t="shared" si="1905"/>
        <v>2</v>
      </c>
      <c r="BD641" s="83">
        <f t="shared" si="1906"/>
        <v>1</v>
      </c>
      <c r="BE641" s="85">
        <v>2</v>
      </c>
      <c r="BF641" s="86">
        <v>45373.621296296296</v>
      </c>
      <c r="BG641" s="72" t="e">
        <f t="shared" si="1769"/>
        <v>#REF!</v>
      </c>
      <c r="BH641" s="103" t="e">
        <f t="shared" si="1907"/>
        <v>#REF!</v>
      </c>
      <c r="BI641" s="80" t="e">
        <f t="shared" si="1908"/>
        <v>#REF!</v>
      </c>
      <c r="BJ641" s="238">
        <v>1600</v>
      </c>
    </row>
    <row r="642" spans="1:62" ht="13">
      <c r="A642" s="49"/>
      <c r="B642" s="50"/>
      <c r="C642" s="51">
        <v>640</v>
      </c>
      <c r="D642" s="248" t="s">
        <v>2006</v>
      </c>
      <c r="E642" s="144">
        <v>2</v>
      </c>
      <c r="F642" s="105" t="s">
        <v>121</v>
      </c>
      <c r="G642" s="112" t="s">
        <v>479</v>
      </c>
      <c r="H642" s="81" t="s">
        <v>294</v>
      </c>
      <c r="I642" s="80" t="s">
        <v>458</v>
      </c>
      <c r="J642" s="93">
        <f>AU642</f>
        <v>2</v>
      </c>
      <c r="K642" s="80">
        <v>3</v>
      </c>
      <c r="L642" s="57"/>
      <c r="M642" s="58"/>
      <c r="N642" s="59">
        <f>SUM(K642+L642-M642)</f>
        <v>3</v>
      </c>
      <c r="O642" s="60"/>
      <c r="P642" s="58"/>
      <c r="Q642" s="59">
        <f>SUM(N642+O642-P642)</f>
        <v>3</v>
      </c>
      <c r="R642" s="60"/>
      <c r="S642" s="58"/>
      <c r="T642" s="61">
        <f>SUM(Q642+R642-S642)</f>
        <v>3</v>
      </c>
      <c r="U642" s="60"/>
      <c r="V642" s="58"/>
      <c r="W642" s="59">
        <f>SUM(T642+U642-V642)</f>
        <v>3</v>
      </c>
      <c r="X642" s="60"/>
      <c r="Y642" s="58"/>
      <c r="Z642" s="61">
        <f>SUM(W642+X642-Y642)</f>
        <v>3</v>
      </c>
      <c r="AA642" s="60"/>
      <c r="AB642" s="58"/>
      <c r="AC642" s="59">
        <f>SUM(Z642+AA642-AB642)</f>
        <v>3</v>
      </c>
      <c r="AD642" s="57"/>
      <c r="AE642" s="58">
        <v>1</v>
      </c>
      <c r="AF642" s="243">
        <f>SUM(AC642+AD642-AE642)</f>
        <v>2</v>
      </c>
      <c r="AG642" s="60"/>
      <c r="AH642" s="58"/>
      <c r="AI642" s="62">
        <f>SUM(AF642+AG642-AH642)</f>
        <v>2</v>
      </c>
      <c r="AJ642" s="60"/>
      <c r="AK642" s="58"/>
      <c r="AL642" s="62">
        <f>SUM(AI642+AJ642-AK642)</f>
        <v>2</v>
      </c>
      <c r="AM642" s="60"/>
      <c r="AN642" s="58"/>
      <c r="AO642" s="62">
        <f>SUM(AL642+AM642-AN642)</f>
        <v>2</v>
      </c>
      <c r="AP642" s="60"/>
      <c r="AQ642" s="58"/>
      <c r="AR642" s="62">
        <f>SUM(AO642+AP642-AQ642)</f>
        <v>2</v>
      </c>
      <c r="AS642" s="60"/>
      <c r="AT642" s="58"/>
      <c r="AU642" s="62">
        <f>SUM(AR642+AS642-AT642)</f>
        <v>2</v>
      </c>
      <c r="AV642" s="83">
        <f>SUM(L642+O642+R642+U642+X642+AA642+AD642+AG642+AJ642+AM642+AP642+AS642)</f>
        <v>0</v>
      </c>
      <c r="AW642" s="83">
        <f t="shared" si="1901"/>
        <v>1</v>
      </c>
      <c r="AX642" s="64">
        <f>SUM(M642,P642,S642,V642,Y642,AB642,AE642,AH642,AK642,AN642,AQ642,AT642)</f>
        <v>1</v>
      </c>
      <c r="AY642" s="65">
        <f t="shared" si="1903"/>
        <v>1</v>
      </c>
      <c r="AZ642" s="66">
        <f t="shared" si="1904"/>
        <v>1</v>
      </c>
      <c r="BA642" s="67">
        <f>MAX(0, Table176252626[[#This Row],[Column6]])</f>
        <v>2</v>
      </c>
      <c r="BB642" s="68">
        <v>1</v>
      </c>
      <c r="BC642" s="84">
        <f t="shared" si="1905"/>
        <v>2</v>
      </c>
      <c r="BD642" s="83">
        <f t="shared" si="1906"/>
        <v>1</v>
      </c>
      <c r="BE642" s="85">
        <v>2</v>
      </c>
      <c r="BF642" s="86">
        <v>45638.492025462961</v>
      </c>
      <c r="BG642" s="72" t="e">
        <f t="shared" si="1769"/>
        <v>#REF!</v>
      </c>
      <c r="BH642" s="87" t="e">
        <f t="shared" si="1907"/>
        <v>#REF!</v>
      </c>
      <c r="BI642" s="80" t="e">
        <f t="shared" si="1908"/>
        <v>#REF!</v>
      </c>
      <c r="BJ642" s="238">
        <v>698.83</v>
      </c>
    </row>
    <row r="643" spans="1:62" ht="13">
      <c r="A643" s="49"/>
      <c r="B643" s="50"/>
      <c r="C643" s="51">
        <v>641</v>
      </c>
      <c r="D643" s="248" t="s">
        <v>2006</v>
      </c>
      <c r="E643" s="144">
        <v>3</v>
      </c>
      <c r="F643" s="80" t="s">
        <v>1340</v>
      </c>
      <c r="G643" s="81" t="s">
        <v>1341</v>
      </c>
      <c r="H643" s="81" t="s">
        <v>299</v>
      </c>
      <c r="I643" s="80" t="s">
        <v>458</v>
      </c>
      <c r="J643" s="82">
        <f t="shared" ref="J643:J644" si="1925">AU643</f>
        <v>1</v>
      </c>
      <c r="K643" s="80">
        <v>1</v>
      </c>
      <c r="L643" s="58"/>
      <c r="M643" s="58"/>
      <c r="N643" s="104">
        <f t="shared" ref="N643:N649" si="1926">SUM(K643+L643-M643)</f>
        <v>1</v>
      </c>
      <c r="O643" s="58"/>
      <c r="P643" s="58"/>
      <c r="Q643" s="104">
        <f t="shared" ref="Q643:Q649" si="1927">SUM(N643+O643-P643)</f>
        <v>1</v>
      </c>
      <c r="R643" s="58"/>
      <c r="S643" s="58"/>
      <c r="T643" s="136">
        <f t="shared" ref="T643" si="1928">SUM(Q643+R643-S643)</f>
        <v>1</v>
      </c>
      <c r="U643" s="58"/>
      <c r="V643" s="58"/>
      <c r="W643" s="104">
        <f t="shared" ref="W643:W649" si="1929">SUM(T643+U643-V643)</f>
        <v>1</v>
      </c>
      <c r="X643" s="60"/>
      <c r="Y643" s="58"/>
      <c r="Z643" s="94">
        <f t="shared" ref="Z643:Z649" si="1930">SUM(W643+X643-Y643)</f>
        <v>1</v>
      </c>
      <c r="AA643" s="60"/>
      <c r="AB643" s="58"/>
      <c r="AC643" s="62">
        <f t="shared" ref="AC643:AC649" si="1931">SUM(Z643+AA643-AB643)</f>
        <v>1</v>
      </c>
      <c r="AD643" s="57"/>
      <c r="AE643" s="58"/>
      <c r="AF643" s="165">
        <f t="shared" ref="AF643:AF649" si="1932">SUM(AC643+AD643-AE643)</f>
        <v>1</v>
      </c>
      <c r="AG643" s="60"/>
      <c r="AH643" s="58"/>
      <c r="AI643" s="62">
        <f t="shared" ref="AI643:AI649" si="1933">SUM(AF643+AG643-AH643)</f>
        <v>1</v>
      </c>
      <c r="AJ643" s="60"/>
      <c r="AK643" s="58"/>
      <c r="AL643" s="62">
        <f t="shared" ref="AL643:AL649" si="1934">SUM(AI643+AJ643-AK643)</f>
        <v>1</v>
      </c>
      <c r="AM643" s="60"/>
      <c r="AN643" s="58"/>
      <c r="AO643" s="62">
        <f t="shared" ref="AO643:AO649" si="1935">SUM(AL643+AM643-AN643)</f>
        <v>1</v>
      </c>
      <c r="AP643" s="60"/>
      <c r="AQ643" s="58"/>
      <c r="AR643" s="62">
        <f t="shared" ref="AR643:AR663" si="1936">SUM(AO643+AP643-AQ643)</f>
        <v>1</v>
      </c>
      <c r="AS643" s="60"/>
      <c r="AT643" s="58"/>
      <c r="AU643" s="62">
        <f t="shared" ref="AU643:AU649" si="1937">SUM(AR643+AS643-AT643)</f>
        <v>1</v>
      </c>
      <c r="AV643" s="123">
        <f t="shared" ref="AV643" si="1938">SUM(L643+O643+R643+U643+X643+AA643+AD643+AG643+AJ643+AM643+AP643+AS643)</f>
        <v>0</v>
      </c>
      <c r="AW643" s="83">
        <f t="shared" si="1886"/>
        <v>0</v>
      </c>
      <c r="AX643" s="64">
        <f t="shared" ref="AX643:AX649" si="1939">SUM(M643,P643,S643,V643,Y643,AB643,AE643,AH643,AK643,AN643,AQ643,AT643)</f>
        <v>0</v>
      </c>
      <c r="AY643" s="65" t="e">
        <f t="shared" si="1881"/>
        <v>#DIV/0!</v>
      </c>
      <c r="AZ643" s="66">
        <f t="shared" si="1882"/>
        <v>0</v>
      </c>
      <c r="BA643" s="67">
        <v>1</v>
      </c>
      <c r="BB643" s="68">
        <v>0</v>
      </c>
      <c r="BC643" s="84">
        <f t="shared" si="1887"/>
        <v>1</v>
      </c>
      <c r="BD643" s="83">
        <f t="shared" si="1775"/>
        <v>1</v>
      </c>
      <c r="BE643" s="85">
        <v>2</v>
      </c>
      <c r="BF643" s="86">
        <v>45162.482835648145</v>
      </c>
      <c r="BG643" s="72" t="e">
        <f t="shared" si="1769"/>
        <v>#REF!</v>
      </c>
      <c r="BH643" s="87" t="e">
        <f t="shared" si="1883"/>
        <v>#REF!</v>
      </c>
      <c r="BI643" s="80" t="e">
        <f t="shared" si="1776"/>
        <v>#REF!</v>
      </c>
      <c r="BJ643" s="238">
        <v>40000</v>
      </c>
    </row>
    <row r="644" spans="1:62" ht="13">
      <c r="A644" s="75"/>
      <c r="B644" s="76"/>
      <c r="C644" s="51">
        <v>642</v>
      </c>
      <c r="D644" s="248" t="s">
        <v>2006</v>
      </c>
      <c r="E644" s="144">
        <v>3</v>
      </c>
      <c r="F644" s="105" t="s">
        <v>971</v>
      </c>
      <c r="G644" s="118" t="s">
        <v>1917</v>
      </c>
      <c r="H644" s="81" t="s">
        <v>294</v>
      </c>
      <c r="I644" s="80" t="s">
        <v>458</v>
      </c>
      <c r="J644" s="82">
        <f t="shared" si="1925"/>
        <v>2</v>
      </c>
      <c r="K644" s="80">
        <v>0</v>
      </c>
      <c r="L644" s="57">
        <v>1</v>
      </c>
      <c r="M644" s="58"/>
      <c r="N644" s="59">
        <f t="shared" si="1926"/>
        <v>1</v>
      </c>
      <c r="O644" s="60">
        <v>1</v>
      </c>
      <c r="P644" s="58"/>
      <c r="Q644" s="59">
        <f t="shared" si="1927"/>
        <v>2</v>
      </c>
      <c r="R644" s="156"/>
      <c r="S644" s="58"/>
      <c r="T644" s="61">
        <f>SUM(Q644+R599-S644)</f>
        <v>2</v>
      </c>
      <c r="U644" s="60"/>
      <c r="V644" s="58"/>
      <c r="W644" s="59">
        <f t="shared" si="1929"/>
        <v>2</v>
      </c>
      <c r="X644" s="60"/>
      <c r="Y644" s="58"/>
      <c r="Z644" s="61">
        <f t="shared" si="1930"/>
        <v>2</v>
      </c>
      <c r="AA644" s="60"/>
      <c r="AB644" s="58"/>
      <c r="AC644" s="59">
        <f t="shared" si="1931"/>
        <v>2</v>
      </c>
      <c r="AD644" s="57"/>
      <c r="AE644" s="58"/>
      <c r="AF644" s="243">
        <f t="shared" si="1932"/>
        <v>2</v>
      </c>
      <c r="AG644" s="60"/>
      <c r="AH644" s="58"/>
      <c r="AI644" s="62">
        <f t="shared" si="1933"/>
        <v>2</v>
      </c>
      <c r="AJ644" s="60"/>
      <c r="AK644" s="58"/>
      <c r="AL644" s="62">
        <f t="shared" si="1934"/>
        <v>2</v>
      </c>
      <c r="AM644" s="60"/>
      <c r="AN644" s="58"/>
      <c r="AO644" s="62">
        <f t="shared" si="1935"/>
        <v>2</v>
      </c>
      <c r="AP644" s="60"/>
      <c r="AQ644" s="58"/>
      <c r="AR644" s="62">
        <f t="shared" si="1936"/>
        <v>2</v>
      </c>
      <c r="AS644" s="60"/>
      <c r="AT644" s="58"/>
      <c r="AU644" s="62">
        <f t="shared" si="1937"/>
        <v>2</v>
      </c>
      <c r="AV644" s="83">
        <f>SUM(L644+O644+R599+U644+X644+AA644+AD644+AG644+AJ644+AM644+AP644+AS644)</f>
        <v>2</v>
      </c>
      <c r="AW644" s="83">
        <f t="shared" si="1886"/>
        <v>0</v>
      </c>
      <c r="AX644" s="64">
        <f t="shared" si="1939"/>
        <v>0</v>
      </c>
      <c r="AY644" s="65" t="e">
        <f t="shared" si="1881"/>
        <v>#DIV/0!</v>
      </c>
      <c r="AZ644" s="66">
        <f t="shared" si="1882"/>
        <v>0</v>
      </c>
      <c r="BA644" s="67">
        <v>2</v>
      </c>
      <c r="BB644" s="68">
        <v>1</v>
      </c>
      <c r="BC644" s="84">
        <f t="shared" si="1887"/>
        <v>2</v>
      </c>
      <c r="BD644" s="83">
        <f t="shared" si="1775"/>
        <v>1</v>
      </c>
      <c r="BE644" s="85">
        <v>2</v>
      </c>
      <c r="BF644" s="86">
        <v>46035</v>
      </c>
      <c r="BG644" s="72" t="e">
        <f t="shared" si="1769"/>
        <v>#REF!</v>
      </c>
      <c r="BH644" s="107" t="e">
        <f t="shared" si="1883"/>
        <v>#REF!</v>
      </c>
      <c r="BI644" s="80" t="e">
        <f t="shared" si="1776"/>
        <v>#REF!</v>
      </c>
      <c r="BJ644" s="238">
        <v>38970</v>
      </c>
    </row>
    <row r="645" spans="1:62" ht="13">
      <c r="A645" s="49"/>
      <c r="B645" s="76"/>
      <c r="C645" s="51">
        <v>643</v>
      </c>
      <c r="D645" s="248" t="s">
        <v>2006</v>
      </c>
      <c r="E645" s="144">
        <v>3</v>
      </c>
      <c r="F645" s="105" t="s">
        <v>729</v>
      </c>
      <c r="G645" s="112" t="s">
        <v>867</v>
      </c>
      <c r="H645" s="81" t="s">
        <v>294</v>
      </c>
      <c r="I645" s="80" t="s">
        <v>458</v>
      </c>
      <c r="J645" s="82">
        <f t="shared" ref="J645" si="1940">AU645</f>
        <v>1</v>
      </c>
      <c r="K645" s="80">
        <v>1</v>
      </c>
      <c r="L645" s="57"/>
      <c r="M645" s="58"/>
      <c r="N645" s="59">
        <f t="shared" si="1926"/>
        <v>1</v>
      </c>
      <c r="O645" s="60"/>
      <c r="P645" s="58"/>
      <c r="Q645" s="59">
        <f t="shared" si="1927"/>
        <v>1</v>
      </c>
      <c r="R645" s="60"/>
      <c r="S645" s="58"/>
      <c r="T645" s="61">
        <f>SUM(Q645+R645-S645)</f>
        <v>1</v>
      </c>
      <c r="U645" s="60"/>
      <c r="V645" s="58"/>
      <c r="W645" s="59">
        <f t="shared" si="1929"/>
        <v>1</v>
      </c>
      <c r="X645" s="60"/>
      <c r="Y645" s="58"/>
      <c r="Z645" s="61">
        <f t="shared" si="1930"/>
        <v>1</v>
      </c>
      <c r="AA645" s="60"/>
      <c r="AB645" s="58"/>
      <c r="AC645" s="59">
        <f t="shared" si="1931"/>
        <v>1</v>
      </c>
      <c r="AD645" s="57"/>
      <c r="AE645" s="58"/>
      <c r="AF645" s="243">
        <f t="shared" si="1932"/>
        <v>1</v>
      </c>
      <c r="AG645" s="60"/>
      <c r="AH645" s="58"/>
      <c r="AI645" s="62">
        <f t="shared" si="1933"/>
        <v>1</v>
      </c>
      <c r="AJ645" s="60"/>
      <c r="AK645" s="58"/>
      <c r="AL645" s="62">
        <f t="shared" si="1934"/>
        <v>1</v>
      </c>
      <c r="AM645" s="60"/>
      <c r="AN645" s="58"/>
      <c r="AO645" s="62">
        <f t="shared" si="1935"/>
        <v>1</v>
      </c>
      <c r="AP645" s="60"/>
      <c r="AQ645" s="58"/>
      <c r="AR645" s="62">
        <f t="shared" si="1936"/>
        <v>1</v>
      </c>
      <c r="AS645" s="60"/>
      <c r="AT645" s="58"/>
      <c r="AU645" s="62">
        <f t="shared" si="1937"/>
        <v>1</v>
      </c>
      <c r="AV645" s="83">
        <f>SUM(L645+O645+R645+U645+X645+AA645+AD645+AG645+AJ645+AM645+AP645+AS645)</f>
        <v>0</v>
      </c>
      <c r="AW645" s="83">
        <f t="shared" si="1886"/>
        <v>0</v>
      </c>
      <c r="AX645" s="64">
        <f t="shared" si="1939"/>
        <v>0</v>
      </c>
      <c r="AY645" s="65" t="e">
        <f t="shared" si="1881"/>
        <v>#DIV/0!</v>
      </c>
      <c r="AZ645" s="66">
        <f t="shared" si="1882"/>
        <v>0</v>
      </c>
      <c r="BA645" s="67">
        <f>MAX(0, Table176252626[[#This Row],[Column6]])</f>
        <v>1</v>
      </c>
      <c r="BB645" s="68">
        <v>0</v>
      </c>
      <c r="BC645" s="84">
        <f t="shared" si="1887"/>
        <v>1</v>
      </c>
      <c r="BD645" s="83">
        <f t="shared" si="1775"/>
        <v>1</v>
      </c>
      <c r="BE645" s="85">
        <v>2</v>
      </c>
      <c r="BF645" s="86">
        <v>45033.482430555552</v>
      </c>
      <c r="BG645" s="72" t="e">
        <f t="shared" si="1769"/>
        <v>#REF!</v>
      </c>
      <c r="BH645" s="87" t="e">
        <f t="shared" si="1883"/>
        <v>#REF!</v>
      </c>
      <c r="BI645" s="80" t="e">
        <f t="shared" si="1776"/>
        <v>#REF!</v>
      </c>
      <c r="BJ645" s="238">
        <v>24930</v>
      </c>
    </row>
    <row r="646" spans="1:62" ht="13">
      <c r="A646" s="49"/>
      <c r="B646" s="50"/>
      <c r="C646" s="77">
        <v>644</v>
      </c>
      <c r="D646" s="144" t="s">
        <v>2006</v>
      </c>
      <c r="E646" s="203" t="s">
        <v>2063</v>
      </c>
      <c r="F646" s="105" t="s">
        <v>681</v>
      </c>
      <c r="G646" s="106" t="s">
        <v>682</v>
      </c>
      <c r="H646" s="81" t="s">
        <v>294</v>
      </c>
      <c r="I646" s="80" t="s">
        <v>458</v>
      </c>
      <c r="J646" s="82">
        <f>AU646</f>
        <v>2</v>
      </c>
      <c r="K646" s="80">
        <v>0</v>
      </c>
      <c r="L646" s="57"/>
      <c r="M646" s="58"/>
      <c r="N646" s="59">
        <f t="shared" si="1926"/>
        <v>0</v>
      </c>
      <c r="O646" s="60"/>
      <c r="P646" s="58"/>
      <c r="Q646" s="59">
        <f t="shared" si="1927"/>
        <v>0</v>
      </c>
      <c r="R646" s="60"/>
      <c r="S646" s="58"/>
      <c r="T646" s="61">
        <f>SUM(Q646+R646-S646)</f>
        <v>0</v>
      </c>
      <c r="U646" s="60"/>
      <c r="V646" s="58"/>
      <c r="W646" s="59">
        <f t="shared" si="1929"/>
        <v>0</v>
      </c>
      <c r="X646" s="60"/>
      <c r="Y646" s="58"/>
      <c r="Z646" s="61">
        <f t="shared" si="1930"/>
        <v>0</v>
      </c>
      <c r="AA646" s="60"/>
      <c r="AB646" s="58"/>
      <c r="AC646" s="59">
        <f t="shared" si="1931"/>
        <v>0</v>
      </c>
      <c r="AD646" s="57">
        <v>2</v>
      </c>
      <c r="AE646" s="58"/>
      <c r="AF646" s="243">
        <f t="shared" si="1932"/>
        <v>2</v>
      </c>
      <c r="AG646" s="60"/>
      <c r="AH646" s="58"/>
      <c r="AI646" s="62">
        <f t="shared" si="1933"/>
        <v>2</v>
      </c>
      <c r="AJ646" s="60"/>
      <c r="AK646" s="58"/>
      <c r="AL646" s="62">
        <f t="shared" si="1934"/>
        <v>2</v>
      </c>
      <c r="AM646" s="60"/>
      <c r="AN646" s="58"/>
      <c r="AO646" s="62">
        <f t="shared" si="1935"/>
        <v>2</v>
      </c>
      <c r="AP646" s="60"/>
      <c r="AQ646" s="58"/>
      <c r="AR646" s="62">
        <f t="shared" si="1936"/>
        <v>2</v>
      </c>
      <c r="AS646" s="60"/>
      <c r="AT646" s="58"/>
      <c r="AU646" s="62">
        <f t="shared" si="1937"/>
        <v>2</v>
      </c>
      <c r="AV646" s="83">
        <f>SUM(L646+O646+R646+U646+X646+AA646+AD646+AG646+AJ646+AM646+AP646+AS646)</f>
        <v>2</v>
      </c>
      <c r="AW646" s="83">
        <f t="shared" si="1886"/>
        <v>0</v>
      </c>
      <c r="AX646" s="64">
        <f t="shared" si="1939"/>
        <v>0</v>
      </c>
      <c r="AY646" s="65" t="e">
        <f t="shared" si="1881"/>
        <v>#DIV/0!</v>
      </c>
      <c r="AZ646" s="66">
        <f t="shared" si="1882"/>
        <v>0</v>
      </c>
      <c r="BA646" s="67">
        <f>MAX(0, Table176252626[[#This Row],[Column6]])</f>
        <v>2</v>
      </c>
      <c r="BB646" s="68">
        <v>1</v>
      </c>
      <c r="BC646" s="84">
        <f t="shared" si="1887"/>
        <v>2</v>
      </c>
      <c r="BD646" s="83">
        <f t="shared" si="1775"/>
        <v>1</v>
      </c>
      <c r="BE646" s="85">
        <v>2</v>
      </c>
      <c r="BF646" s="86">
        <v>46223</v>
      </c>
      <c r="BG646" s="72" t="e">
        <f t="shared" si="1769"/>
        <v>#REF!</v>
      </c>
      <c r="BH646" s="87" t="e">
        <f t="shared" si="1883"/>
        <v>#REF!</v>
      </c>
      <c r="BI646" s="80" t="e">
        <f t="shared" si="1776"/>
        <v>#REF!</v>
      </c>
      <c r="BJ646" s="238">
        <v>640</v>
      </c>
    </row>
    <row r="647" spans="1:62" ht="13">
      <c r="A647" s="75"/>
      <c r="B647" s="76"/>
      <c r="C647" s="77">
        <v>645</v>
      </c>
      <c r="D647" s="144" t="s">
        <v>2006</v>
      </c>
      <c r="E647" s="203" t="s">
        <v>2063</v>
      </c>
      <c r="F647" s="105" t="s">
        <v>683</v>
      </c>
      <c r="G647" s="106" t="s">
        <v>684</v>
      </c>
      <c r="H647" s="81" t="s">
        <v>294</v>
      </c>
      <c r="I647" s="80" t="s">
        <v>458</v>
      </c>
      <c r="J647" s="82">
        <f>AU647</f>
        <v>1</v>
      </c>
      <c r="K647" s="80">
        <v>0</v>
      </c>
      <c r="L647" s="57"/>
      <c r="M647" s="58"/>
      <c r="N647" s="59">
        <f t="shared" si="1926"/>
        <v>0</v>
      </c>
      <c r="O647" s="60"/>
      <c r="P647" s="58"/>
      <c r="Q647" s="59">
        <f t="shared" si="1927"/>
        <v>0</v>
      </c>
      <c r="R647" s="60"/>
      <c r="S647" s="58"/>
      <c r="T647" s="61">
        <f>SUM(Q647+R647-S647)</f>
        <v>0</v>
      </c>
      <c r="U647" s="60"/>
      <c r="V647" s="58"/>
      <c r="W647" s="59">
        <f t="shared" si="1929"/>
        <v>0</v>
      </c>
      <c r="X647" s="60"/>
      <c r="Y647" s="58"/>
      <c r="Z647" s="61">
        <f t="shared" si="1930"/>
        <v>0</v>
      </c>
      <c r="AA647" s="60"/>
      <c r="AB647" s="58"/>
      <c r="AC647" s="59">
        <f t="shared" si="1931"/>
        <v>0</v>
      </c>
      <c r="AD647" s="57">
        <v>1</v>
      </c>
      <c r="AE647" s="58"/>
      <c r="AF647" s="243">
        <f t="shared" si="1932"/>
        <v>1</v>
      </c>
      <c r="AG647" s="60"/>
      <c r="AH647" s="58"/>
      <c r="AI647" s="62">
        <f t="shared" si="1933"/>
        <v>1</v>
      </c>
      <c r="AJ647" s="60"/>
      <c r="AK647" s="58"/>
      <c r="AL647" s="62">
        <f t="shared" si="1934"/>
        <v>1</v>
      </c>
      <c r="AM647" s="60"/>
      <c r="AN647" s="58"/>
      <c r="AO647" s="62">
        <f t="shared" si="1935"/>
        <v>1</v>
      </c>
      <c r="AP647" s="60"/>
      <c r="AQ647" s="58"/>
      <c r="AR647" s="62">
        <f t="shared" si="1936"/>
        <v>1</v>
      </c>
      <c r="AS647" s="60"/>
      <c r="AT647" s="58"/>
      <c r="AU647" s="62">
        <f t="shared" si="1937"/>
        <v>1</v>
      </c>
      <c r="AV647" s="83">
        <f>SUM(L647+O647+R647+U647+X647+AA647+AD647+AG647+AJ647+AM647+AP647+AS647)</f>
        <v>1</v>
      </c>
      <c r="AW647" s="83">
        <f t="shared" si="1886"/>
        <v>0</v>
      </c>
      <c r="AX647" s="64">
        <f t="shared" si="1939"/>
        <v>0</v>
      </c>
      <c r="AY647" s="65" t="e">
        <f t="shared" si="1881"/>
        <v>#DIV/0!</v>
      </c>
      <c r="AZ647" s="66">
        <f t="shared" si="1882"/>
        <v>0</v>
      </c>
      <c r="BA647" s="67">
        <v>1</v>
      </c>
      <c r="BB647" s="68">
        <v>0</v>
      </c>
      <c r="BC647" s="84">
        <f t="shared" si="1887"/>
        <v>1</v>
      </c>
      <c r="BD647" s="83">
        <f t="shared" si="1775"/>
        <v>1</v>
      </c>
      <c r="BE647" s="85">
        <v>2</v>
      </c>
      <c r="BF647" s="86">
        <v>46223</v>
      </c>
      <c r="BG647" s="72" t="e">
        <f t="shared" si="1769"/>
        <v>#REF!</v>
      </c>
      <c r="BH647" s="87" t="e">
        <f t="shared" si="1883"/>
        <v>#REF!</v>
      </c>
      <c r="BI647" s="80" t="e">
        <f t="shared" si="1776"/>
        <v>#REF!</v>
      </c>
      <c r="BJ647" s="238">
        <v>560</v>
      </c>
    </row>
    <row r="648" spans="1:62" ht="13">
      <c r="A648" s="49"/>
      <c r="B648" s="76"/>
      <c r="C648" s="51">
        <v>646</v>
      </c>
      <c r="D648" s="144" t="s">
        <v>2006</v>
      </c>
      <c r="E648" s="203" t="s">
        <v>2063</v>
      </c>
      <c r="F648" s="105" t="s">
        <v>685</v>
      </c>
      <c r="G648" s="106" t="s">
        <v>686</v>
      </c>
      <c r="H648" s="81" t="s">
        <v>294</v>
      </c>
      <c r="I648" s="80" t="s">
        <v>458</v>
      </c>
      <c r="J648" s="82">
        <f>AU648</f>
        <v>1</v>
      </c>
      <c r="K648" s="80">
        <v>0</v>
      </c>
      <c r="L648" s="57"/>
      <c r="M648" s="58"/>
      <c r="N648" s="59">
        <f t="shared" si="1926"/>
        <v>0</v>
      </c>
      <c r="O648" s="60"/>
      <c r="P648" s="58"/>
      <c r="Q648" s="59">
        <f t="shared" si="1927"/>
        <v>0</v>
      </c>
      <c r="R648" s="60"/>
      <c r="S648" s="58"/>
      <c r="T648" s="61">
        <f>SUM(Q648+R648-S648)</f>
        <v>0</v>
      </c>
      <c r="U648" s="60"/>
      <c r="V648" s="58"/>
      <c r="W648" s="59">
        <f t="shared" si="1929"/>
        <v>0</v>
      </c>
      <c r="X648" s="60"/>
      <c r="Y648" s="58"/>
      <c r="Z648" s="61">
        <f t="shared" si="1930"/>
        <v>0</v>
      </c>
      <c r="AA648" s="60"/>
      <c r="AB648" s="58"/>
      <c r="AC648" s="59">
        <f t="shared" si="1931"/>
        <v>0</v>
      </c>
      <c r="AD648" s="57">
        <v>1</v>
      </c>
      <c r="AE648" s="58"/>
      <c r="AF648" s="243">
        <f t="shared" si="1932"/>
        <v>1</v>
      </c>
      <c r="AG648" s="60"/>
      <c r="AH648" s="58"/>
      <c r="AI648" s="62">
        <f t="shared" si="1933"/>
        <v>1</v>
      </c>
      <c r="AJ648" s="60"/>
      <c r="AK648" s="58"/>
      <c r="AL648" s="62">
        <f t="shared" si="1934"/>
        <v>1</v>
      </c>
      <c r="AM648" s="60"/>
      <c r="AN648" s="58"/>
      <c r="AO648" s="62">
        <f t="shared" si="1935"/>
        <v>1</v>
      </c>
      <c r="AP648" s="60"/>
      <c r="AQ648" s="58"/>
      <c r="AR648" s="62">
        <f t="shared" si="1936"/>
        <v>1</v>
      </c>
      <c r="AS648" s="60"/>
      <c r="AT648" s="58"/>
      <c r="AU648" s="62">
        <f t="shared" si="1937"/>
        <v>1</v>
      </c>
      <c r="AV648" s="83">
        <f>SUM(L648+O648+R648+U648+X648+AA648+AD648+AG648+AJ648+AM648+AP648+AS648)</f>
        <v>1</v>
      </c>
      <c r="AW648" s="83">
        <f t="shared" si="1886"/>
        <v>0</v>
      </c>
      <c r="AX648" s="64">
        <f t="shared" si="1939"/>
        <v>0</v>
      </c>
      <c r="AY648" s="65" t="e">
        <f t="shared" si="1881"/>
        <v>#DIV/0!</v>
      </c>
      <c r="AZ648" s="66">
        <f t="shared" si="1882"/>
        <v>0</v>
      </c>
      <c r="BA648" s="67">
        <v>1</v>
      </c>
      <c r="BB648" s="68">
        <v>0</v>
      </c>
      <c r="BC648" s="84">
        <f t="shared" si="1887"/>
        <v>1</v>
      </c>
      <c r="BD648" s="83">
        <f t="shared" si="1775"/>
        <v>1</v>
      </c>
      <c r="BE648" s="85">
        <v>2</v>
      </c>
      <c r="BF648" s="86">
        <v>46223</v>
      </c>
      <c r="BG648" s="72" t="e">
        <f t="shared" si="1769"/>
        <v>#REF!</v>
      </c>
      <c r="BH648" s="87" t="e">
        <f t="shared" si="1883"/>
        <v>#REF!</v>
      </c>
      <c r="BI648" s="80" t="e">
        <f t="shared" si="1776"/>
        <v>#REF!</v>
      </c>
      <c r="BJ648" s="238">
        <v>2000</v>
      </c>
    </row>
    <row r="649" spans="1:62" ht="13">
      <c r="A649" s="49"/>
      <c r="B649" s="76"/>
      <c r="C649" s="51">
        <v>647</v>
      </c>
      <c r="D649" s="144" t="s">
        <v>2006</v>
      </c>
      <c r="E649" s="203" t="s">
        <v>2063</v>
      </c>
      <c r="F649" s="105" t="s">
        <v>687</v>
      </c>
      <c r="G649" s="106" t="s">
        <v>688</v>
      </c>
      <c r="H649" s="81" t="s">
        <v>294</v>
      </c>
      <c r="I649" s="80" t="s">
        <v>458</v>
      </c>
      <c r="J649" s="82">
        <f>AU649</f>
        <v>1</v>
      </c>
      <c r="K649" s="80">
        <v>0</v>
      </c>
      <c r="L649" s="57"/>
      <c r="M649" s="58"/>
      <c r="N649" s="59">
        <f t="shared" si="1926"/>
        <v>0</v>
      </c>
      <c r="O649" s="60"/>
      <c r="P649" s="58"/>
      <c r="Q649" s="59">
        <f t="shared" si="1927"/>
        <v>0</v>
      </c>
      <c r="R649" s="60"/>
      <c r="S649" s="58"/>
      <c r="T649" s="61">
        <f>SUM(Q649+R649-S649)</f>
        <v>0</v>
      </c>
      <c r="U649" s="60"/>
      <c r="V649" s="58"/>
      <c r="W649" s="59">
        <f t="shared" si="1929"/>
        <v>0</v>
      </c>
      <c r="X649" s="60"/>
      <c r="Y649" s="58"/>
      <c r="Z649" s="61">
        <f t="shared" si="1930"/>
        <v>0</v>
      </c>
      <c r="AA649" s="60"/>
      <c r="AB649" s="58"/>
      <c r="AC649" s="59">
        <f t="shared" si="1931"/>
        <v>0</v>
      </c>
      <c r="AD649" s="57">
        <v>1</v>
      </c>
      <c r="AE649" s="58"/>
      <c r="AF649" s="243">
        <f t="shared" si="1932"/>
        <v>1</v>
      </c>
      <c r="AG649" s="60"/>
      <c r="AH649" s="58"/>
      <c r="AI649" s="62">
        <f t="shared" si="1933"/>
        <v>1</v>
      </c>
      <c r="AJ649" s="60"/>
      <c r="AK649" s="58"/>
      <c r="AL649" s="62">
        <f t="shared" si="1934"/>
        <v>1</v>
      </c>
      <c r="AM649" s="60"/>
      <c r="AN649" s="58"/>
      <c r="AO649" s="62">
        <f t="shared" si="1935"/>
        <v>1</v>
      </c>
      <c r="AP649" s="60"/>
      <c r="AQ649" s="58"/>
      <c r="AR649" s="62">
        <f t="shared" si="1936"/>
        <v>1</v>
      </c>
      <c r="AS649" s="60"/>
      <c r="AT649" s="58"/>
      <c r="AU649" s="62">
        <f t="shared" si="1937"/>
        <v>1</v>
      </c>
      <c r="AV649" s="83">
        <f>SUM(L649+O649+R649+U649+X649+AA649+AD649+AG649+AJ649+AM649+AP649+AS649)</f>
        <v>1</v>
      </c>
      <c r="AW649" s="83">
        <f t="shared" si="1886"/>
        <v>0</v>
      </c>
      <c r="AX649" s="64">
        <f t="shared" si="1939"/>
        <v>0</v>
      </c>
      <c r="AY649" s="65" t="e">
        <f t="shared" si="1881"/>
        <v>#DIV/0!</v>
      </c>
      <c r="AZ649" s="66">
        <f t="shared" si="1882"/>
        <v>0</v>
      </c>
      <c r="BA649" s="67">
        <v>1</v>
      </c>
      <c r="BB649" s="68">
        <v>0</v>
      </c>
      <c r="BC649" s="84">
        <f t="shared" si="1887"/>
        <v>1</v>
      </c>
      <c r="BD649" s="83">
        <f t="shared" si="1775"/>
        <v>1</v>
      </c>
      <c r="BE649" s="85">
        <v>2</v>
      </c>
      <c r="BF649" s="86">
        <v>46223</v>
      </c>
      <c r="BG649" s="72" t="e">
        <f t="shared" ref="BG649:BG712" si="1941">BG648</f>
        <v>#REF!</v>
      </c>
      <c r="BH649" s="87" t="e">
        <f t="shared" si="1883"/>
        <v>#REF!</v>
      </c>
      <c r="BI649" s="80" t="e">
        <f t="shared" si="1776"/>
        <v>#REF!</v>
      </c>
      <c r="BJ649" s="238">
        <v>400</v>
      </c>
    </row>
    <row r="650" spans="1:62" ht="13">
      <c r="A650" s="75"/>
      <c r="B650" s="76"/>
      <c r="C650" s="51">
        <v>648</v>
      </c>
      <c r="D650" s="144" t="s">
        <v>2006</v>
      </c>
      <c r="E650" s="144">
        <v>3</v>
      </c>
      <c r="F650" s="88" t="s">
        <v>1692</v>
      </c>
      <c r="G650" s="89" t="s">
        <v>1691</v>
      </c>
      <c r="H650" s="89" t="s">
        <v>1355</v>
      </c>
      <c r="I650" s="88" t="s">
        <v>458</v>
      </c>
      <c r="J650" s="93">
        <f t="shared" ref="J650" si="1942">AU650</f>
        <v>2</v>
      </c>
      <c r="K650" s="80">
        <v>2</v>
      </c>
      <c r="L650" s="58"/>
      <c r="M650" s="58"/>
      <c r="N650" s="62">
        <f t="shared" ref="N650" si="1943">SUM(K650+L650-M650)</f>
        <v>2</v>
      </c>
      <c r="O650" s="60"/>
      <c r="P650" s="58"/>
      <c r="Q650" s="62">
        <f t="shared" ref="Q650" si="1944">SUM(N650+O650-P650)</f>
        <v>2</v>
      </c>
      <c r="R650" s="60"/>
      <c r="S650" s="58"/>
      <c r="T650" s="94">
        <f t="shared" ref="T650" si="1945">SUM(Q650+R650-S650)</f>
        <v>2</v>
      </c>
      <c r="U650" s="60"/>
      <c r="V650" s="58"/>
      <c r="W650" s="62">
        <f t="shared" ref="W650" si="1946">SUM(T650+U650-V650)</f>
        <v>2</v>
      </c>
      <c r="X650" s="60"/>
      <c r="Y650" s="58"/>
      <c r="Z650" s="94">
        <f t="shared" ref="Z650" si="1947">SUM(W650+X650-Y650)</f>
        <v>2</v>
      </c>
      <c r="AA650" s="60"/>
      <c r="AB650" s="58"/>
      <c r="AC650" s="62">
        <f t="shared" ref="AC650" si="1948">SUM(Z650+AA650-AB650)</f>
        <v>2</v>
      </c>
      <c r="AD650" s="57"/>
      <c r="AE650" s="58"/>
      <c r="AF650" s="165">
        <f t="shared" ref="AF650" si="1949">SUM(AC650+AD650-AE650)</f>
        <v>2</v>
      </c>
      <c r="AG650" s="60"/>
      <c r="AH650" s="58"/>
      <c r="AI650" s="62">
        <f t="shared" ref="AI650" si="1950">SUM(AF650+AG650-AH650)</f>
        <v>2</v>
      </c>
      <c r="AJ650" s="60"/>
      <c r="AK650" s="58"/>
      <c r="AL650" s="62">
        <f t="shared" ref="AL650" si="1951">SUM(AI650+AJ650-AK650)</f>
        <v>2</v>
      </c>
      <c r="AM650" s="60"/>
      <c r="AN650" s="58"/>
      <c r="AO650" s="62">
        <f t="shared" ref="AO650" si="1952">SUM(AL650+AM650-AN650)</f>
        <v>2</v>
      </c>
      <c r="AP650" s="60"/>
      <c r="AQ650" s="58"/>
      <c r="AR650" s="62">
        <f t="shared" si="1936"/>
        <v>2</v>
      </c>
      <c r="AS650" s="60"/>
      <c r="AT650" s="58"/>
      <c r="AU650" s="62">
        <f t="shared" ref="AU650" si="1953">SUM(AR650+AS650-AT650)</f>
        <v>2</v>
      </c>
      <c r="AV650" s="96">
        <f t="shared" ref="AV650" si="1954">SUM(L650+O650+R650+U650+X650+AA650+AD650+AG650+AJ650+AM650+AP650+AS650)</f>
        <v>0</v>
      </c>
      <c r="AW650" s="83">
        <f t="shared" si="1886"/>
        <v>0</v>
      </c>
      <c r="AX650" s="98">
        <f t="shared" ref="AX650" si="1955">SUM(M650,P650,S650,V650,Y650,AB650,AE650,AH650,AK650,AN650,AQ650,AT650)</f>
        <v>0</v>
      </c>
      <c r="AY650" s="99" t="e">
        <f t="shared" si="1881"/>
        <v>#DIV/0!</v>
      </c>
      <c r="AZ650" s="100">
        <f t="shared" si="1882"/>
        <v>0</v>
      </c>
      <c r="BA650" s="101">
        <v>2</v>
      </c>
      <c r="BB650" s="102">
        <v>1</v>
      </c>
      <c r="BC650" s="84">
        <f t="shared" si="1887"/>
        <v>2</v>
      </c>
      <c r="BD650" s="83">
        <f t="shared" si="1775"/>
        <v>1</v>
      </c>
      <c r="BE650" s="85">
        <v>2</v>
      </c>
      <c r="BF650" s="86">
        <v>45699.494363425925</v>
      </c>
      <c r="BG650" s="72" t="e">
        <f t="shared" si="1941"/>
        <v>#REF!</v>
      </c>
      <c r="BH650" s="103" t="e">
        <f t="shared" si="1883"/>
        <v>#REF!</v>
      </c>
      <c r="BI650" s="80" t="e">
        <f t="shared" si="1776"/>
        <v>#REF!</v>
      </c>
      <c r="BJ650" s="238">
        <v>7047</v>
      </c>
    </row>
    <row r="651" spans="1:62" ht="13">
      <c r="A651" s="49"/>
      <c r="B651" s="50"/>
      <c r="C651" s="51">
        <v>649</v>
      </c>
      <c r="D651" s="144" t="s">
        <v>2006</v>
      </c>
      <c r="E651" s="144">
        <v>3</v>
      </c>
      <c r="F651" s="88" t="s">
        <v>1577</v>
      </c>
      <c r="G651" s="89" t="s">
        <v>2046</v>
      </c>
      <c r="H651" s="89" t="s">
        <v>1355</v>
      </c>
      <c r="I651" s="80" t="s">
        <v>458</v>
      </c>
      <c r="J651" s="93">
        <f t="shared" ref="J651:J656" si="1956">AU651</f>
        <v>2</v>
      </c>
      <c r="K651" s="80">
        <v>2</v>
      </c>
      <c r="L651" s="58"/>
      <c r="M651" s="58"/>
      <c r="N651" s="62">
        <f t="shared" ref="N651:N656" si="1957">SUM(K651+L651-M651)</f>
        <v>2</v>
      </c>
      <c r="O651" s="60"/>
      <c r="P651" s="58"/>
      <c r="Q651" s="62">
        <f t="shared" ref="Q651:Q656" si="1958">SUM(N651+O651-P651)</f>
        <v>2</v>
      </c>
      <c r="R651" s="60"/>
      <c r="S651" s="58"/>
      <c r="T651" s="94">
        <f t="shared" ref="T651:T656" si="1959">SUM(Q651+R651-S651)</f>
        <v>2</v>
      </c>
      <c r="U651" s="60"/>
      <c r="V651" s="58"/>
      <c r="W651" s="62">
        <f t="shared" ref="W651:W656" si="1960">SUM(T651+U651-V651)</f>
        <v>2</v>
      </c>
      <c r="X651" s="60"/>
      <c r="Y651" s="58"/>
      <c r="Z651" s="94">
        <f t="shared" ref="Z651:Z656" si="1961">SUM(W651+X651-Y651)</f>
        <v>2</v>
      </c>
      <c r="AA651" s="60"/>
      <c r="AB651" s="58"/>
      <c r="AC651" s="62">
        <f t="shared" ref="AC651:AC656" si="1962">SUM(Z651+AA651-AB651)</f>
        <v>2</v>
      </c>
      <c r="AD651" s="57"/>
      <c r="AE651" s="58"/>
      <c r="AF651" s="165">
        <f t="shared" ref="AF651:AF656" si="1963">SUM(AC651+AD651-AE651)</f>
        <v>2</v>
      </c>
      <c r="AG651" s="60"/>
      <c r="AH651" s="58"/>
      <c r="AI651" s="62">
        <f t="shared" ref="AI651:AI656" si="1964">SUM(AF651+AG651-AH651)</f>
        <v>2</v>
      </c>
      <c r="AJ651" s="60"/>
      <c r="AK651" s="58"/>
      <c r="AL651" s="62">
        <f t="shared" ref="AL651:AL656" si="1965">SUM(AI651+AJ651-AK651)</f>
        <v>2</v>
      </c>
      <c r="AM651" s="60"/>
      <c r="AN651" s="58"/>
      <c r="AO651" s="62">
        <f t="shared" ref="AO651:AO666" si="1966">SUM(AL651+AM651-AN651)</f>
        <v>2</v>
      </c>
      <c r="AP651" s="60"/>
      <c r="AQ651" s="58"/>
      <c r="AR651" s="62">
        <f t="shared" si="1936"/>
        <v>2</v>
      </c>
      <c r="AS651" s="60"/>
      <c r="AT651" s="58"/>
      <c r="AU651" s="62">
        <f t="shared" ref="AU651:AU656" si="1967">SUM(AR651+AS651-AT651)</f>
        <v>2</v>
      </c>
      <c r="AV651" s="96">
        <f t="shared" ref="AV651:AV656" si="1968">SUM(L651+O651+R651+U651+X651+AA651+AD651+AG651+AJ651+AM651+AP651+AS651)</f>
        <v>0</v>
      </c>
      <c r="AW651" s="83">
        <f t="shared" si="1886"/>
        <v>0</v>
      </c>
      <c r="AX651" s="98">
        <f t="shared" ref="AX651:AX656" si="1969">SUM(M651,P651,S651,V651,Y651,AB651,AE651,AH651,AK651,AN651,AQ651,AT651)</f>
        <v>0</v>
      </c>
      <c r="AY651" s="99" t="e">
        <f t="shared" si="1881"/>
        <v>#DIV/0!</v>
      </c>
      <c r="AZ651" s="100">
        <f t="shared" si="1882"/>
        <v>0</v>
      </c>
      <c r="BA651" s="101">
        <v>2</v>
      </c>
      <c r="BB651" s="102">
        <v>1</v>
      </c>
      <c r="BC651" s="84">
        <f t="shared" si="1887"/>
        <v>2</v>
      </c>
      <c r="BD651" s="83">
        <f t="shared" si="1775"/>
        <v>1</v>
      </c>
      <c r="BE651" s="85">
        <v>2</v>
      </c>
      <c r="BF651" s="86">
        <v>45450.371053240742</v>
      </c>
      <c r="BG651" s="72" t="e">
        <f t="shared" si="1941"/>
        <v>#REF!</v>
      </c>
      <c r="BH651" s="103" t="e">
        <f t="shared" si="1883"/>
        <v>#REF!</v>
      </c>
      <c r="BI651" s="80" t="e">
        <f t="shared" si="1776"/>
        <v>#REF!</v>
      </c>
      <c r="BJ651" s="238">
        <v>6277.5</v>
      </c>
    </row>
    <row r="652" spans="1:62" ht="13">
      <c r="A652" s="90"/>
      <c r="B652" s="91"/>
      <c r="C652" s="77">
        <v>650</v>
      </c>
      <c r="D652" s="145" t="s">
        <v>1923</v>
      </c>
      <c r="E652" s="145">
        <v>1</v>
      </c>
      <c r="F652" s="88" t="s">
        <v>1630</v>
      </c>
      <c r="G652" s="89" t="s">
        <v>1631</v>
      </c>
      <c r="H652" s="89" t="s">
        <v>1632</v>
      </c>
      <c r="I652" s="80" t="s">
        <v>458</v>
      </c>
      <c r="J652" s="93">
        <f t="shared" si="1956"/>
        <v>2</v>
      </c>
      <c r="K652" s="88">
        <v>6</v>
      </c>
      <c r="L652" s="58"/>
      <c r="M652" s="58"/>
      <c r="N652" s="62">
        <f t="shared" si="1957"/>
        <v>6</v>
      </c>
      <c r="O652" s="60"/>
      <c r="P652" s="58"/>
      <c r="Q652" s="62">
        <f t="shared" si="1958"/>
        <v>6</v>
      </c>
      <c r="R652" s="60"/>
      <c r="S652" s="58">
        <v>4</v>
      </c>
      <c r="T652" s="94">
        <f t="shared" si="1959"/>
        <v>2</v>
      </c>
      <c r="U652" s="60"/>
      <c r="V652" s="58"/>
      <c r="W652" s="62">
        <f t="shared" si="1960"/>
        <v>2</v>
      </c>
      <c r="X652" s="60"/>
      <c r="Y652" s="58"/>
      <c r="Z652" s="94">
        <f t="shared" si="1961"/>
        <v>2</v>
      </c>
      <c r="AA652" s="60"/>
      <c r="AB652" s="58"/>
      <c r="AC652" s="62">
        <f t="shared" si="1962"/>
        <v>2</v>
      </c>
      <c r="AD652" s="57"/>
      <c r="AE652" s="58"/>
      <c r="AF652" s="165">
        <f t="shared" si="1963"/>
        <v>2</v>
      </c>
      <c r="AG652" s="60"/>
      <c r="AH652" s="58"/>
      <c r="AI652" s="62">
        <f t="shared" si="1964"/>
        <v>2</v>
      </c>
      <c r="AJ652" s="60"/>
      <c r="AK652" s="58"/>
      <c r="AL652" s="62">
        <f t="shared" si="1965"/>
        <v>2</v>
      </c>
      <c r="AM652" s="60"/>
      <c r="AN652" s="58"/>
      <c r="AO652" s="62">
        <f t="shared" si="1966"/>
        <v>2</v>
      </c>
      <c r="AP652" s="60"/>
      <c r="AQ652" s="58"/>
      <c r="AR652" s="62">
        <f t="shared" si="1936"/>
        <v>2</v>
      </c>
      <c r="AS652" s="60"/>
      <c r="AT652" s="58"/>
      <c r="AU652" s="62">
        <f t="shared" si="1967"/>
        <v>2</v>
      </c>
      <c r="AV652" s="96">
        <f t="shared" si="1968"/>
        <v>0</v>
      </c>
      <c r="AW652" s="83">
        <f t="shared" si="1886"/>
        <v>4</v>
      </c>
      <c r="AX652" s="98">
        <f t="shared" si="1969"/>
        <v>4</v>
      </c>
      <c r="AY652" s="99">
        <f t="shared" si="1881"/>
        <v>4</v>
      </c>
      <c r="AZ652" s="100">
        <f t="shared" si="1882"/>
        <v>1</v>
      </c>
      <c r="BA652" s="101">
        <v>2</v>
      </c>
      <c r="BB652" s="102">
        <v>1</v>
      </c>
      <c r="BC652" s="84">
        <f t="shared" si="1887"/>
        <v>2</v>
      </c>
      <c r="BD652" s="83">
        <f t="shared" si="1775"/>
        <v>1</v>
      </c>
      <c r="BE652" s="85">
        <v>2</v>
      </c>
      <c r="BF652" s="86">
        <v>45574.436874999999</v>
      </c>
      <c r="BG652" s="72" t="e">
        <f t="shared" si="1941"/>
        <v>#REF!</v>
      </c>
      <c r="BH652" s="103" t="e">
        <f t="shared" si="1883"/>
        <v>#REF!</v>
      </c>
      <c r="BI652" s="80" t="e">
        <f t="shared" si="1776"/>
        <v>#REF!</v>
      </c>
      <c r="BJ652" s="238">
        <v>16500</v>
      </c>
    </row>
    <row r="653" spans="1:62" ht="13">
      <c r="A653" s="49"/>
      <c r="B653" s="50"/>
      <c r="C653" s="77">
        <v>651</v>
      </c>
      <c r="D653" s="145" t="s">
        <v>1923</v>
      </c>
      <c r="E653" s="145">
        <v>1</v>
      </c>
      <c r="F653" s="88" t="s">
        <v>989</v>
      </c>
      <c r="G653" s="89" t="s">
        <v>990</v>
      </c>
      <c r="H653" s="89" t="s">
        <v>296</v>
      </c>
      <c r="I653" s="80" t="s">
        <v>458</v>
      </c>
      <c r="J653" s="93">
        <f t="shared" si="1956"/>
        <v>2</v>
      </c>
      <c r="K653" s="80">
        <v>2</v>
      </c>
      <c r="L653" s="58"/>
      <c r="M653" s="58"/>
      <c r="N653" s="62">
        <f t="shared" si="1957"/>
        <v>2</v>
      </c>
      <c r="O653" s="60"/>
      <c r="P653" s="58"/>
      <c r="Q653" s="62">
        <f t="shared" si="1958"/>
        <v>2</v>
      </c>
      <c r="R653" s="60"/>
      <c r="S653" s="58"/>
      <c r="T653" s="94">
        <f t="shared" si="1959"/>
        <v>2</v>
      </c>
      <c r="U653" s="60"/>
      <c r="V653" s="58"/>
      <c r="W653" s="62">
        <f t="shared" si="1960"/>
        <v>2</v>
      </c>
      <c r="X653" s="60"/>
      <c r="Y653" s="58"/>
      <c r="Z653" s="94">
        <f t="shared" si="1961"/>
        <v>2</v>
      </c>
      <c r="AA653" s="60"/>
      <c r="AB653" s="58"/>
      <c r="AC653" s="62">
        <f t="shared" si="1962"/>
        <v>2</v>
      </c>
      <c r="AD653" s="57"/>
      <c r="AE653" s="58"/>
      <c r="AF653" s="165">
        <f t="shared" si="1963"/>
        <v>2</v>
      </c>
      <c r="AG653" s="60"/>
      <c r="AH653" s="58"/>
      <c r="AI653" s="62">
        <f t="shared" si="1964"/>
        <v>2</v>
      </c>
      <c r="AJ653" s="60"/>
      <c r="AK653" s="58"/>
      <c r="AL653" s="62">
        <f t="shared" si="1965"/>
        <v>2</v>
      </c>
      <c r="AM653" s="60"/>
      <c r="AN653" s="58"/>
      <c r="AO653" s="62">
        <f t="shared" si="1966"/>
        <v>2</v>
      </c>
      <c r="AP653" s="60"/>
      <c r="AQ653" s="58"/>
      <c r="AR653" s="62">
        <f t="shared" si="1936"/>
        <v>2</v>
      </c>
      <c r="AS653" s="60"/>
      <c r="AT653" s="58"/>
      <c r="AU653" s="62">
        <f t="shared" si="1967"/>
        <v>2</v>
      </c>
      <c r="AV653" s="96">
        <f t="shared" si="1968"/>
        <v>0</v>
      </c>
      <c r="AW653" s="83">
        <f t="shared" si="1886"/>
        <v>0</v>
      </c>
      <c r="AX653" s="98">
        <f t="shared" si="1969"/>
        <v>0</v>
      </c>
      <c r="AY653" s="99" t="e">
        <f t="shared" si="1881"/>
        <v>#DIV/0!</v>
      </c>
      <c r="AZ653" s="100">
        <f t="shared" si="1882"/>
        <v>0</v>
      </c>
      <c r="BA653" s="101">
        <v>2</v>
      </c>
      <c r="BB653" s="102">
        <v>1</v>
      </c>
      <c r="BC653" s="84">
        <f t="shared" si="1887"/>
        <v>2</v>
      </c>
      <c r="BD653" s="83">
        <f t="shared" si="1775"/>
        <v>1</v>
      </c>
      <c r="BE653" s="85">
        <v>2</v>
      </c>
      <c r="BF653" s="86">
        <v>45924</v>
      </c>
      <c r="BG653" s="72" t="e">
        <f t="shared" si="1941"/>
        <v>#REF!</v>
      </c>
      <c r="BH653" s="103" t="e">
        <f t="shared" si="1883"/>
        <v>#REF!</v>
      </c>
      <c r="BI653" s="80" t="e">
        <f t="shared" si="1776"/>
        <v>#REF!</v>
      </c>
      <c r="BJ653" s="238">
        <v>38250</v>
      </c>
    </row>
    <row r="654" spans="1:62" ht="13">
      <c r="A654" s="90"/>
      <c r="B654" s="91"/>
      <c r="C654" s="51">
        <v>652</v>
      </c>
      <c r="D654" s="145" t="s">
        <v>1923</v>
      </c>
      <c r="E654" s="145">
        <v>2</v>
      </c>
      <c r="F654" s="88" t="s">
        <v>1800</v>
      </c>
      <c r="G654" s="89" t="s">
        <v>1801</v>
      </c>
      <c r="H654" s="89" t="s">
        <v>1009</v>
      </c>
      <c r="I654" s="88" t="s">
        <v>458</v>
      </c>
      <c r="J654" s="93">
        <f t="shared" si="1956"/>
        <v>2</v>
      </c>
      <c r="K654" s="88">
        <v>2</v>
      </c>
      <c r="L654" s="58"/>
      <c r="M654" s="58"/>
      <c r="N654" s="62">
        <f t="shared" si="1957"/>
        <v>2</v>
      </c>
      <c r="O654" s="60"/>
      <c r="P654" s="58"/>
      <c r="Q654" s="62">
        <f t="shared" si="1958"/>
        <v>2</v>
      </c>
      <c r="R654" s="60"/>
      <c r="S654" s="58"/>
      <c r="T654" s="94">
        <f t="shared" si="1959"/>
        <v>2</v>
      </c>
      <c r="U654" s="60"/>
      <c r="V654" s="58"/>
      <c r="W654" s="62">
        <f t="shared" si="1960"/>
        <v>2</v>
      </c>
      <c r="X654" s="60"/>
      <c r="Y654" s="58"/>
      <c r="Z654" s="94">
        <f t="shared" si="1961"/>
        <v>2</v>
      </c>
      <c r="AA654" s="60"/>
      <c r="AB654" s="58"/>
      <c r="AC654" s="62">
        <f t="shared" si="1962"/>
        <v>2</v>
      </c>
      <c r="AD654" s="57"/>
      <c r="AE654" s="58"/>
      <c r="AF654" s="165">
        <f t="shared" si="1963"/>
        <v>2</v>
      </c>
      <c r="AG654" s="60"/>
      <c r="AH654" s="58"/>
      <c r="AI654" s="62">
        <f t="shared" si="1964"/>
        <v>2</v>
      </c>
      <c r="AJ654" s="60"/>
      <c r="AK654" s="58"/>
      <c r="AL654" s="62">
        <f t="shared" si="1965"/>
        <v>2</v>
      </c>
      <c r="AM654" s="60"/>
      <c r="AN654" s="58"/>
      <c r="AO654" s="62">
        <f t="shared" si="1966"/>
        <v>2</v>
      </c>
      <c r="AP654" s="60"/>
      <c r="AQ654" s="58"/>
      <c r="AR654" s="62">
        <f t="shared" si="1936"/>
        <v>2</v>
      </c>
      <c r="AS654" s="60"/>
      <c r="AT654" s="58"/>
      <c r="AU654" s="62">
        <f t="shared" si="1967"/>
        <v>2</v>
      </c>
      <c r="AV654" s="96">
        <f t="shared" si="1968"/>
        <v>0</v>
      </c>
      <c r="AW654" s="83">
        <f t="shared" si="1886"/>
        <v>0</v>
      </c>
      <c r="AX654" s="98">
        <f t="shared" si="1969"/>
        <v>0</v>
      </c>
      <c r="AY654" s="99" t="e">
        <f t="shared" si="1881"/>
        <v>#DIV/0!</v>
      </c>
      <c r="AZ654" s="100">
        <f t="shared" si="1882"/>
        <v>0</v>
      </c>
      <c r="BA654" s="101">
        <v>2</v>
      </c>
      <c r="BB654" s="102">
        <v>1</v>
      </c>
      <c r="BC654" s="84">
        <f t="shared" si="1887"/>
        <v>2</v>
      </c>
      <c r="BD654" s="83">
        <f t="shared" si="1775"/>
        <v>1</v>
      </c>
      <c r="BE654" s="85">
        <v>2</v>
      </c>
      <c r="BF654" s="86">
        <v>45909</v>
      </c>
      <c r="BG654" s="72" t="e">
        <f t="shared" si="1941"/>
        <v>#REF!</v>
      </c>
      <c r="BH654" s="103" t="e">
        <f t="shared" si="1883"/>
        <v>#REF!</v>
      </c>
      <c r="BI654" s="80" t="e">
        <f t="shared" si="1776"/>
        <v>#REF!</v>
      </c>
      <c r="BJ654" s="238">
        <v>35000</v>
      </c>
    </row>
    <row r="655" spans="1:62" ht="13">
      <c r="A655" s="49"/>
      <c r="B655" s="50"/>
      <c r="C655" s="51">
        <v>653</v>
      </c>
      <c r="D655" s="145" t="s">
        <v>1923</v>
      </c>
      <c r="E655" s="145">
        <v>2</v>
      </c>
      <c r="F655" s="105" t="s">
        <v>1367</v>
      </c>
      <c r="G655" s="81" t="s">
        <v>1368</v>
      </c>
      <c r="H655" s="89" t="s">
        <v>1664</v>
      </c>
      <c r="I655" s="80" t="s">
        <v>458</v>
      </c>
      <c r="J655" s="82">
        <f t="shared" si="1956"/>
        <v>1</v>
      </c>
      <c r="K655" s="80">
        <v>1</v>
      </c>
      <c r="L655" s="57"/>
      <c r="M655" s="58"/>
      <c r="N655" s="59">
        <f t="shared" si="1957"/>
        <v>1</v>
      </c>
      <c r="O655" s="60"/>
      <c r="P655" s="58"/>
      <c r="Q655" s="59">
        <f t="shared" si="1958"/>
        <v>1</v>
      </c>
      <c r="R655" s="60"/>
      <c r="S655" s="58"/>
      <c r="T655" s="61">
        <f t="shared" si="1959"/>
        <v>1</v>
      </c>
      <c r="U655" s="60"/>
      <c r="V655" s="58"/>
      <c r="W655" s="59">
        <f t="shared" si="1960"/>
        <v>1</v>
      </c>
      <c r="X655" s="60"/>
      <c r="Y655" s="58"/>
      <c r="Z655" s="61">
        <f t="shared" si="1961"/>
        <v>1</v>
      </c>
      <c r="AA655" s="60"/>
      <c r="AB655" s="58"/>
      <c r="AC655" s="59">
        <f t="shared" si="1962"/>
        <v>1</v>
      </c>
      <c r="AD655" s="57"/>
      <c r="AE655" s="58"/>
      <c r="AF655" s="243">
        <f t="shared" si="1963"/>
        <v>1</v>
      </c>
      <c r="AG655" s="60"/>
      <c r="AH655" s="58"/>
      <c r="AI655" s="62">
        <f t="shared" si="1964"/>
        <v>1</v>
      </c>
      <c r="AJ655" s="60"/>
      <c r="AK655" s="58"/>
      <c r="AL655" s="62">
        <f t="shared" si="1965"/>
        <v>1</v>
      </c>
      <c r="AM655" s="60"/>
      <c r="AN655" s="58"/>
      <c r="AO655" s="62">
        <f t="shared" si="1966"/>
        <v>1</v>
      </c>
      <c r="AP655" s="60"/>
      <c r="AQ655" s="58"/>
      <c r="AR655" s="62">
        <f t="shared" si="1936"/>
        <v>1</v>
      </c>
      <c r="AS655" s="60"/>
      <c r="AT655" s="58"/>
      <c r="AU655" s="62">
        <f t="shared" si="1967"/>
        <v>1</v>
      </c>
      <c r="AV655" s="83">
        <f t="shared" si="1968"/>
        <v>0</v>
      </c>
      <c r="AW655" s="83">
        <f t="shared" si="1886"/>
        <v>0</v>
      </c>
      <c r="AX655" s="64">
        <f t="shared" si="1969"/>
        <v>0</v>
      </c>
      <c r="AY655" s="65" t="e">
        <f t="shared" si="1881"/>
        <v>#DIV/0!</v>
      </c>
      <c r="AZ655" s="66">
        <f t="shared" si="1882"/>
        <v>0</v>
      </c>
      <c r="BA655" s="67">
        <v>1</v>
      </c>
      <c r="BB655" s="68">
        <v>0</v>
      </c>
      <c r="BC655" s="84">
        <f t="shared" si="1887"/>
        <v>1</v>
      </c>
      <c r="BD655" s="83">
        <f t="shared" si="1775"/>
        <v>1</v>
      </c>
      <c r="BE655" s="85">
        <v>2</v>
      </c>
      <c r="BF655" s="86">
        <v>45210.669259259259</v>
      </c>
      <c r="BG655" s="72" t="e">
        <f t="shared" si="1941"/>
        <v>#REF!</v>
      </c>
      <c r="BH655" s="87" t="e">
        <f t="shared" si="1883"/>
        <v>#REF!</v>
      </c>
      <c r="BI655" s="80" t="e">
        <f t="shared" si="1776"/>
        <v>#REF!</v>
      </c>
      <c r="BJ655" s="238">
        <v>13850</v>
      </c>
    </row>
    <row r="656" spans="1:62" ht="13">
      <c r="A656" s="90"/>
      <c r="B656" s="91"/>
      <c r="C656" s="51">
        <v>654</v>
      </c>
      <c r="D656" s="145" t="s">
        <v>1923</v>
      </c>
      <c r="E656" s="145">
        <v>2</v>
      </c>
      <c r="F656" s="88" t="s">
        <v>1858</v>
      </c>
      <c r="G656" s="89" t="s">
        <v>1859</v>
      </c>
      <c r="H656" s="89" t="s">
        <v>1860</v>
      </c>
      <c r="I656" s="80" t="s">
        <v>458</v>
      </c>
      <c r="J656" s="93">
        <f t="shared" si="1956"/>
        <v>1</v>
      </c>
      <c r="K656" s="80">
        <v>1</v>
      </c>
      <c r="L656" s="58"/>
      <c r="M656" s="58"/>
      <c r="N656" s="62">
        <f t="shared" si="1957"/>
        <v>1</v>
      </c>
      <c r="O656" s="60"/>
      <c r="P656" s="58"/>
      <c r="Q656" s="62">
        <f t="shared" si="1958"/>
        <v>1</v>
      </c>
      <c r="R656" s="60"/>
      <c r="S656" s="58"/>
      <c r="T656" s="94">
        <f t="shared" si="1959"/>
        <v>1</v>
      </c>
      <c r="U656" s="60"/>
      <c r="V656" s="58">
        <v>1</v>
      </c>
      <c r="W656" s="62">
        <f t="shared" si="1960"/>
        <v>0</v>
      </c>
      <c r="X656" s="60"/>
      <c r="Y656" s="58"/>
      <c r="Z656" s="94">
        <f t="shared" si="1961"/>
        <v>0</v>
      </c>
      <c r="AA656" s="60">
        <v>1</v>
      </c>
      <c r="AB656" s="58"/>
      <c r="AC656" s="62">
        <f t="shared" si="1962"/>
        <v>1</v>
      </c>
      <c r="AD656" s="57">
        <v>1</v>
      </c>
      <c r="AE656" s="58">
        <v>1</v>
      </c>
      <c r="AF656" s="165">
        <f t="shared" si="1963"/>
        <v>1</v>
      </c>
      <c r="AG656" s="60"/>
      <c r="AH656" s="58"/>
      <c r="AI656" s="62">
        <f t="shared" si="1964"/>
        <v>1</v>
      </c>
      <c r="AJ656" s="60"/>
      <c r="AK656" s="58"/>
      <c r="AL656" s="62">
        <f t="shared" si="1965"/>
        <v>1</v>
      </c>
      <c r="AM656" s="60"/>
      <c r="AN656" s="58"/>
      <c r="AO656" s="62">
        <f t="shared" si="1966"/>
        <v>1</v>
      </c>
      <c r="AP656" s="60"/>
      <c r="AQ656" s="58"/>
      <c r="AR656" s="62">
        <f t="shared" si="1936"/>
        <v>1</v>
      </c>
      <c r="AS656" s="60"/>
      <c r="AT656" s="58"/>
      <c r="AU656" s="62">
        <f t="shared" si="1967"/>
        <v>1</v>
      </c>
      <c r="AV656" s="96">
        <f t="shared" si="1968"/>
        <v>2</v>
      </c>
      <c r="AW656" s="83">
        <f t="shared" si="1886"/>
        <v>2</v>
      </c>
      <c r="AX656" s="98">
        <f t="shared" si="1969"/>
        <v>2</v>
      </c>
      <c r="AY656" s="99">
        <f t="shared" si="1881"/>
        <v>1</v>
      </c>
      <c r="AZ656" s="100">
        <f t="shared" si="1882"/>
        <v>2</v>
      </c>
      <c r="BA656" s="101">
        <f>MAX(M656,P656,S656,V656,Y656,AB656,AE656,AH656,AK656,AN656,AQ656,AT656)</f>
        <v>1</v>
      </c>
      <c r="BB656" s="102">
        <v>0</v>
      </c>
      <c r="BC656" s="84">
        <f t="shared" si="1887"/>
        <v>1</v>
      </c>
      <c r="BD656" s="83">
        <f t="shared" si="1775"/>
        <v>1</v>
      </c>
      <c r="BE656" s="85">
        <v>2</v>
      </c>
      <c r="BF656" s="86">
        <v>46209</v>
      </c>
      <c r="BG656" s="72" t="e">
        <f t="shared" si="1941"/>
        <v>#REF!</v>
      </c>
      <c r="BH656" s="103" t="e">
        <f t="shared" si="1883"/>
        <v>#REF!</v>
      </c>
      <c r="BI656" s="80" t="e">
        <f t="shared" si="1776"/>
        <v>#REF!</v>
      </c>
      <c r="BJ656" s="238">
        <v>51408</v>
      </c>
    </row>
    <row r="657" spans="1:62" ht="13">
      <c r="A657" s="75"/>
      <c r="B657" s="76"/>
      <c r="C657" s="51">
        <v>655</v>
      </c>
      <c r="D657" s="145" t="s">
        <v>1923</v>
      </c>
      <c r="E657" s="145">
        <v>2</v>
      </c>
      <c r="F657" s="88" t="s">
        <v>1564</v>
      </c>
      <c r="G657" s="89" t="s">
        <v>1565</v>
      </c>
      <c r="H657" s="89" t="s">
        <v>743</v>
      </c>
      <c r="I657" s="80" t="s">
        <v>458</v>
      </c>
      <c r="J657" s="93">
        <f t="shared" ref="J657" si="1970">AU657</f>
        <v>1</v>
      </c>
      <c r="K657" s="88">
        <v>1</v>
      </c>
      <c r="L657" s="58"/>
      <c r="M657" s="58"/>
      <c r="N657" s="62">
        <f t="shared" ref="N657" si="1971">SUM(K657+L657-M657)</f>
        <v>1</v>
      </c>
      <c r="O657" s="60"/>
      <c r="P657" s="58"/>
      <c r="Q657" s="62">
        <f t="shared" ref="Q657" si="1972">SUM(N657+O657-P657)</f>
        <v>1</v>
      </c>
      <c r="R657" s="60"/>
      <c r="S657" s="58"/>
      <c r="T657" s="94">
        <f t="shared" ref="T657" si="1973">SUM(Q657+R657-S657)</f>
        <v>1</v>
      </c>
      <c r="U657" s="60"/>
      <c r="V657" s="58"/>
      <c r="W657" s="62">
        <f t="shared" ref="W657" si="1974">SUM(T657+U657-V657)</f>
        <v>1</v>
      </c>
      <c r="X657" s="60"/>
      <c r="Y657" s="58"/>
      <c r="Z657" s="94">
        <f t="shared" ref="Z657" si="1975">SUM(W657+X657-Y657)</f>
        <v>1</v>
      </c>
      <c r="AA657" s="60"/>
      <c r="AB657" s="58"/>
      <c r="AC657" s="62">
        <f t="shared" ref="AC657" si="1976">SUM(Z657+AA657-AB657)</f>
        <v>1</v>
      </c>
      <c r="AD657" s="57"/>
      <c r="AE657" s="58"/>
      <c r="AF657" s="165">
        <f t="shared" ref="AF657" si="1977">SUM(AC657+AD657-AE657)</f>
        <v>1</v>
      </c>
      <c r="AG657" s="60"/>
      <c r="AH657" s="58"/>
      <c r="AI657" s="62">
        <f t="shared" ref="AI657" si="1978">SUM(AF657+AG657-AH657)</f>
        <v>1</v>
      </c>
      <c r="AJ657" s="60"/>
      <c r="AK657" s="58"/>
      <c r="AL657" s="62">
        <f t="shared" ref="AL657" si="1979">SUM(AI657+AJ657-AK657)</f>
        <v>1</v>
      </c>
      <c r="AM657" s="60"/>
      <c r="AN657" s="58"/>
      <c r="AO657" s="62">
        <f t="shared" si="1966"/>
        <v>1</v>
      </c>
      <c r="AP657" s="60"/>
      <c r="AQ657" s="58"/>
      <c r="AR657" s="62">
        <f t="shared" si="1936"/>
        <v>1</v>
      </c>
      <c r="AS657" s="60"/>
      <c r="AT657" s="58"/>
      <c r="AU657" s="62">
        <f t="shared" ref="AU657" si="1980">SUM(AR657+AS657-AT657)</f>
        <v>1</v>
      </c>
      <c r="AV657" s="96">
        <f t="shared" ref="AV657" si="1981">SUM(L657+O657+R657+U657+X657+AA657+AD657+AG657+AJ657+AM657+AP657+AS657)</f>
        <v>0</v>
      </c>
      <c r="AW657" s="83">
        <f t="shared" si="1886"/>
        <v>0</v>
      </c>
      <c r="AX657" s="98">
        <f t="shared" ref="AX657" si="1982">SUM(M657,P657,S657,V657,Y657,AB657,AE657,AH657,AK657,AN657,AQ657,AT657)</f>
        <v>0</v>
      </c>
      <c r="AY657" s="99" t="e">
        <f t="shared" ref="AY657" si="1983">AVERAGE(M657,P657,S657,V657,Y657,AB657,AE657,AH657,AK657,AN657,AQ657,AT657)</f>
        <v>#DIV/0!</v>
      </c>
      <c r="AZ657" s="100">
        <f t="shared" ref="AZ657" si="1984">COUNT(M657,P657,S657,V657,Y657,AB657,AE657,AH657,AK657,AN657,AQ657,AT657)</f>
        <v>0</v>
      </c>
      <c r="BA657" s="101">
        <v>1</v>
      </c>
      <c r="BB657" s="102">
        <v>0</v>
      </c>
      <c r="BC657" s="84">
        <f t="shared" si="1887"/>
        <v>1</v>
      </c>
      <c r="BD657" s="83">
        <f t="shared" si="1775"/>
        <v>1</v>
      </c>
      <c r="BE657" s="85">
        <v>2</v>
      </c>
      <c r="BF657" s="86">
        <v>45423.395972222221</v>
      </c>
      <c r="BG657" s="72" t="e">
        <f t="shared" si="1941"/>
        <v>#REF!</v>
      </c>
      <c r="BH657" s="103" t="e">
        <f t="shared" ref="BH657" si="1985">BG657-BF657</f>
        <v>#REF!</v>
      </c>
      <c r="BI657" s="80" t="e">
        <f t="shared" si="1776"/>
        <v>#REF!</v>
      </c>
      <c r="BJ657" s="238">
        <v>70000</v>
      </c>
    </row>
    <row r="658" spans="1:62" ht="13">
      <c r="A658" s="75"/>
      <c r="B658" s="76"/>
      <c r="C658" s="77">
        <v>656</v>
      </c>
      <c r="D658" s="145" t="s">
        <v>1923</v>
      </c>
      <c r="E658" s="145">
        <v>2</v>
      </c>
      <c r="F658" s="88" t="s">
        <v>1782</v>
      </c>
      <c r="G658" s="89" t="s">
        <v>1958</v>
      </c>
      <c r="H658" s="89" t="s">
        <v>743</v>
      </c>
      <c r="I658" s="80" t="s">
        <v>458</v>
      </c>
      <c r="J658" s="93">
        <f t="shared" ref="J658:J663" si="1986">AU658</f>
        <v>1</v>
      </c>
      <c r="K658" s="88">
        <v>0</v>
      </c>
      <c r="L658" s="58"/>
      <c r="M658" s="58"/>
      <c r="N658" s="62">
        <f t="shared" ref="N658:N663" si="1987">SUM(K658+L658-M658)</f>
        <v>0</v>
      </c>
      <c r="O658" s="60"/>
      <c r="P658" s="58"/>
      <c r="Q658" s="62">
        <f t="shared" ref="Q658:Q663" si="1988">SUM(N658+O658-P658)</f>
        <v>0</v>
      </c>
      <c r="R658" s="60"/>
      <c r="S658" s="58"/>
      <c r="T658" s="94">
        <f t="shared" ref="T658:T663" si="1989">SUM(Q658+R658-S658)</f>
        <v>0</v>
      </c>
      <c r="U658" s="60"/>
      <c r="V658" s="58"/>
      <c r="W658" s="62">
        <f t="shared" ref="W658:W663" si="1990">SUM(T658+U658-V658)</f>
        <v>0</v>
      </c>
      <c r="X658" s="60">
        <v>1</v>
      </c>
      <c r="Y658" s="58"/>
      <c r="Z658" s="94">
        <f t="shared" ref="Z658:Z663" si="1991">SUM(W658+X658-Y658)</f>
        <v>1</v>
      </c>
      <c r="AA658" s="60"/>
      <c r="AB658" s="58"/>
      <c r="AC658" s="62">
        <f t="shared" ref="AC658:AC663" si="1992">SUM(Z658+AA658-AB658)</f>
        <v>1</v>
      </c>
      <c r="AD658" s="57"/>
      <c r="AE658" s="58"/>
      <c r="AF658" s="165">
        <f t="shared" ref="AF658:AF663" si="1993">SUM(AC658+AD658-AE658)</f>
        <v>1</v>
      </c>
      <c r="AG658" s="60"/>
      <c r="AH658" s="58"/>
      <c r="AI658" s="62">
        <f t="shared" ref="AI658:AI663" si="1994">SUM(AF658+AG658-AH658)</f>
        <v>1</v>
      </c>
      <c r="AJ658" s="60"/>
      <c r="AK658" s="58"/>
      <c r="AL658" s="62">
        <f t="shared" ref="AL658:AL663" si="1995">SUM(AI658+AJ658-AK658)</f>
        <v>1</v>
      </c>
      <c r="AM658" s="60"/>
      <c r="AN658" s="58"/>
      <c r="AO658" s="62">
        <f t="shared" si="1966"/>
        <v>1</v>
      </c>
      <c r="AP658" s="60"/>
      <c r="AQ658" s="58"/>
      <c r="AR658" s="62">
        <f t="shared" si="1936"/>
        <v>1</v>
      </c>
      <c r="AS658" s="60"/>
      <c r="AT658" s="58"/>
      <c r="AU658" s="62">
        <f t="shared" ref="AU658:AU663" si="1996">SUM(AR658+AS658-AT658)</f>
        <v>1</v>
      </c>
      <c r="AV658" s="96">
        <f>SUM(L658+O658+R658+U658+X658+AA658+AD658+AG658+AJ658+AM658+AP658+AS658)</f>
        <v>1</v>
      </c>
      <c r="AW658" s="83">
        <f t="shared" si="1886"/>
        <v>0</v>
      </c>
      <c r="AX658" s="98">
        <f t="shared" ref="AX658:AX663" si="1997">SUM(M658,P658,S658,V658,Y658,AB658,AE658,AH658,AK658,AN658,AQ658,AT658)</f>
        <v>0</v>
      </c>
      <c r="AY658" s="99" t="e">
        <f t="shared" ref="AY658:AY663" si="1998">AVERAGE(M658,P658,S658,V658,Y658,AB658,AE658,AH658,AK658,AN658,AQ658,AT658)</f>
        <v>#DIV/0!</v>
      </c>
      <c r="AZ658" s="100">
        <f t="shared" ref="AZ658:AZ663" si="1999">COUNT(M658,P658,S658,V658,Y658,AB658,AE658,AH658,AK658,AN658,AQ658,AT658)</f>
        <v>0</v>
      </c>
      <c r="BA658" s="101">
        <v>1</v>
      </c>
      <c r="BB658" s="102">
        <v>0</v>
      </c>
      <c r="BC658" s="84">
        <f t="shared" si="1887"/>
        <v>1</v>
      </c>
      <c r="BD658" s="83">
        <f t="shared" si="1775"/>
        <v>1</v>
      </c>
      <c r="BE658" s="85">
        <v>2</v>
      </c>
      <c r="BF658" s="86">
        <v>46153</v>
      </c>
      <c r="BG658" s="72" t="e">
        <f t="shared" si="1941"/>
        <v>#REF!</v>
      </c>
      <c r="BH658" s="103" t="e">
        <f t="shared" ref="BH658:BH663" si="2000">BG658-BF658</f>
        <v>#REF!</v>
      </c>
      <c r="BI658" s="80" t="e">
        <f t="shared" si="1776"/>
        <v>#REF!</v>
      </c>
      <c r="BJ658" s="238">
        <v>22000</v>
      </c>
    </row>
    <row r="659" spans="1:62" ht="13">
      <c r="A659" s="49"/>
      <c r="B659" s="76"/>
      <c r="C659" s="77">
        <v>657</v>
      </c>
      <c r="D659" s="145" t="s">
        <v>1923</v>
      </c>
      <c r="E659" s="145">
        <v>2</v>
      </c>
      <c r="F659" s="88" t="s">
        <v>1778</v>
      </c>
      <c r="G659" s="89" t="s">
        <v>1779</v>
      </c>
      <c r="H659" s="89" t="s">
        <v>743</v>
      </c>
      <c r="I659" s="80" t="s">
        <v>458</v>
      </c>
      <c r="J659" s="93">
        <f t="shared" si="1986"/>
        <v>2</v>
      </c>
      <c r="K659" s="80">
        <v>2</v>
      </c>
      <c r="L659" s="58"/>
      <c r="M659" s="58"/>
      <c r="N659" s="62">
        <f t="shared" si="1987"/>
        <v>2</v>
      </c>
      <c r="O659" s="60"/>
      <c r="P659" s="58"/>
      <c r="Q659" s="62">
        <f t="shared" si="1988"/>
        <v>2</v>
      </c>
      <c r="R659" s="60"/>
      <c r="S659" s="58"/>
      <c r="T659" s="94">
        <f t="shared" si="1989"/>
        <v>2</v>
      </c>
      <c r="U659" s="60"/>
      <c r="V659" s="58"/>
      <c r="W659" s="62">
        <f t="shared" si="1990"/>
        <v>2</v>
      </c>
      <c r="X659" s="60"/>
      <c r="Y659" s="58"/>
      <c r="Z659" s="94">
        <f t="shared" si="1991"/>
        <v>2</v>
      </c>
      <c r="AA659" s="60"/>
      <c r="AB659" s="58"/>
      <c r="AC659" s="62">
        <f t="shared" si="1992"/>
        <v>2</v>
      </c>
      <c r="AD659" s="57"/>
      <c r="AE659" s="58"/>
      <c r="AF659" s="165">
        <f t="shared" si="1993"/>
        <v>2</v>
      </c>
      <c r="AG659" s="60"/>
      <c r="AH659" s="58"/>
      <c r="AI659" s="62">
        <f t="shared" si="1994"/>
        <v>2</v>
      </c>
      <c r="AJ659" s="60"/>
      <c r="AK659" s="58"/>
      <c r="AL659" s="62">
        <f t="shared" si="1995"/>
        <v>2</v>
      </c>
      <c r="AM659" s="60"/>
      <c r="AN659" s="58"/>
      <c r="AO659" s="62">
        <f t="shared" si="1966"/>
        <v>2</v>
      </c>
      <c r="AP659" s="60"/>
      <c r="AQ659" s="58"/>
      <c r="AR659" s="62">
        <f t="shared" si="1936"/>
        <v>2</v>
      </c>
      <c r="AS659" s="60"/>
      <c r="AT659" s="58"/>
      <c r="AU659" s="62">
        <f t="shared" si="1996"/>
        <v>2</v>
      </c>
      <c r="AV659" s="96">
        <f t="shared" ref="AV659" si="2001">SUM(L659+O659+R659+U659+X659+AA659+AD659+AG659+AJ659+AM659+AP659+AS659)</f>
        <v>0</v>
      </c>
      <c r="AW659" s="83">
        <f t="shared" si="1886"/>
        <v>0</v>
      </c>
      <c r="AX659" s="98">
        <f t="shared" si="1997"/>
        <v>0</v>
      </c>
      <c r="AY659" s="99" t="e">
        <f t="shared" si="1998"/>
        <v>#DIV/0!</v>
      </c>
      <c r="AZ659" s="100">
        <f t="shared" si="1999"/>
        <v>0</v>
      </c>
      <c r="BA659" s="101">
        <v>2</v>
      </c>
      <c r="BB659" s="102">
        <v>1</v>
      </c>
      <c r="BC659" s="84">
        <f t="shared" si="1887"/>
        <v>2</v>
      </c>
      <c r="BD659" s="83">
        <f t="shared" si="1775"/>
        <v>1</v>
      </c>
      <c r="BE659" s="85">
        <v>2</v>
      </c>
      <c r="BF659" s="86">
        <v>45663.687731481485</v>
      </c>
      <c r="BG659" s="72" t="e">
        <f t="shared" si="1941"/>
        <v>#REF!</v>
      </c>
      <c r="BH659" s="103" t="e">
        <f t="shared" si="2000"/>
        <v>#REF!</v>
      </c>
      <c r="BI659" s="80" t="e">
        <f t="shared" si="1776"/>
        <v>#REF!</v>
      </c>
      <c r="BJ659" s="238">
        <v>50000</v>
      </c>
    </row>
    <row r="660" spans="1:62" ht="13">
      <c r="A660" s="49"/>
      <c r="B660" s="76"/>
      <c r="C660" s="51">
        <v>658</v>
      </c>
      <c r="D660" s="145" t="s">
        <v>1923</v>
      </c>
      <c r="E660" s="145">
        <v>2</v>
      </c>
      <c r="F660" s="88" t="s">
        <v>1569</v>
      </c>
      <c r="G660" s="89" t="s">
        <v>1570</v>
      </c>
      <c r="H660" s="89" t="s">
        <v>1571</v>
      </c>
      <c r="I660" s="80" t="s">
        <v>458</v>
      </c>
      <c r="J660" s="93">
        <f t="shared" si="1986"/>
        <v>1</v>
      </c>
      <c r="K660" s="80">
        <v>2</v>
      </c>
      <c r="L660" s="58"/>
      <c r="M660" s="58"/>
      <c r="N660" s="62">
        <f t="shared" si="1987"/>
        <v>2</v>
      </c>
      <c r="O660" s="60"/>
      <c r="P660" s="58">
        <v>1</v>
      </c>
      <c r="Q660" s="62">
        <f t="shared" si="1988"/>
        <v>1</v>
      </c>
      <c r="R660" s="60"/>
      <c r="S660" s="58"/>
      <c r="T660" s="94">
        <f t="shared" si="1989"/>
        <v>1</v>
      </c>
      <c r="U660" s="60"/>
      <c r="V660" s="58"/>
      <c r="W660" s="62">
        <f t="shared" si="1990"/>
        <v>1</v>
      </c>
      <c r="X660" s="60"/>
      <c r="Y660" s="58"/>
      <c r="Z660" s="94">
        <f t="shared" si="1991"/>
        <v>1</v>
      </c>
      <c r="AA660" s="60"/>
      <c r="AB660" s="58"/>
      <c r="AC660" s="62">
        <f t="shared" si="1992"/>
        <v>1</v>
      </c>
      <c r="AD660" s="57"/>
      <c r="AE660" s="58"/>
      <c r="AF660" s="165">
        <f t="shared" si="1993"/>
        <v>1</v>
      </c>
      <c r="AG660" s="60"/>
      <c r="AH660" s="58"/>
      <c r="AI660" s="62">
        <f t="shared" si="1994"/>
        <v>1</v>
      </c>
      <c r="AJ660" s="60"/>
      <c r="AK660" s="58"/>
      <c r="AL660" s="62">
        <f t="shared" si="1995"/>
        <v>1</v>
      </c>
      <c r="AM660" s="60"/>
      <c r="AN660" s="58"/>
      <c r="AO660" s="62">
        <f t="shared" si="1966"/>
        <v>1</v>
      </c>
      <c r="AP660" s="60"/>
      <c r="AQ660" s="58"/>
      <c r="AR660" s="62">
        <f t="shared" si="1936"/>
        <v>1</v>
      </c>
      <c r="AS660" s="60"/>
      <c r="AT660" s="58"/>
      <c r="AU660" s="62">
        <f t="shared" si="1996"/>
        <v>1</v>
      </c>
      <c r="AV660" s="96">
        <f>SUM(L660+O660+R660+U660+X660+AA660+AD660+AG660+AJ660+AM660+AP660+AS660)</f>
        <v>0</v>
      </c>
      <c r="AW660" s="83">
        <f t="shared" si="1886"/>
        <v>1</v>
      </c>
      <c r="AX660" s="98">
        <f t="shared" si="1997"/>
        <v>1</v>
      </c>
      <c r="AY660" s="99">
        <f t="shared" si="1998"/>
        <v>1</v>
      </c>
      <c r="AZ660" s="100">
        <f t="shared" si="1999"/>
        <v>1</v>
      </c>
      <c r="BA660" s="101">
        <f>MAX(M660,P660,S660,V660,Y660,AB660,AE660,AH660,AK660,AN660,AQ660,AT660)</f>
        <v>1</v>
      </c>
      <c r="BB660" s="102">
        <v>0</v>
      </c>
      <c r="BC660" s="84">
        <f t="shared" si="1887"/>
        <v>1</v>
      </c>
      <c r="BD660" s="83">
        <f t="shared" si="1775"/>
        <v>1</v>
      </c>
      <c r="BE660" s="85">
        <v>2</v>
      </c>
      <c r="BF660" s="86">
        <v>45462.594328703701</v>
      </c>
      <c r="BG660" s="72" t="e">
        <f t="shared" si="1941"/>
        <v>#REF!</v>
      </c>
      <c r="BH660" s="103" t="e">
        <f t="shared" si="2000"/>
        <v>#REF!</v>
      </c>
      <c r="BI660" s="80" t="e">
        <f t="shared" si="1776"/>
        <v>#REF!</v>
      </c>
      <c r="BJ660" s="238">
        <v>8000</v>
      </c>
    </row>
    <row r="661" spans="1:62" ht="13">
      <c r="A661" s="49"/>
      <c r="B661" s="50"/>
      <c r="C661" s="51">
        <v>659</v>
      </c>
      <c r="D661" s="145" t="s">
        <v>1923</v>
      </c>
      <c r="E661" s="145">
        <v>2</v>
      </c>
      <c r="F661" s="105" t="s">
        <v>1780</v>
      </c>
      <c r="G661" s="81" t="s">
        <v>1781</v>
      </c>
      <c r="H661" s="89" t="s">
        <v>743</v>
      </c>
      <c r="I661" s="80" t="s">
        <v>458</v>
      </c>
      <c r="J661" s="93">
        <f t="shared" si="1986"/>
        <v>1</v>
      </c>
      <c r="K661" s="80">
        <v>1</v>
      </c>
      <c r="L661" s="57"/>
      <c r="M661" s="58"/>
      <c r="N661" s="59">
        <f t="shared" si="1987"/>
        <v>1</v>
      </c>
      <c r="O661" s="60"/>
      <c r="P661" s="58"/>
      <c r="Q661" s="59">
        <f t="shared" si="1988"/>
        <v>1</v>
      </c>
      <c r="R661" s="60"/>
      <c r="S661" s="58"/>
      <c r="T661" s="61">
        <f t="shared" si="1989"/>
        <v>1</v>
      </c>
      <c r="U661" s="60"/>
      <c r="V661" s="58"/>
      <c r="W661" s="59">
        <f t="shared" si="1990"/>
        <v>1</v>
      </c>
      <c r="X661" s="60"/>
      <c r="Y661" s="58"/>
      <c r="Z661" s="61">
        <f t="shared" si="1991"/>
        <v>1</v>
      </c>
      <c r="AA661" s="60"/>
      <c r="AB661" s="58"/>
      <c r="AC661" s="59">
        <f t="shared" si="1992"/>
        <v>1</v>
      </c>
      <c r="AD661" s="57"/>
      <c r="AE661" s="58"/>
      <c r="AF661" s="243">
        <f t="shared" si="1993"/>
        <v>1</v>
      </c>
      <c r="AG661" s="60"/>
      <c r="AH661" s="58"/>
      <c r="AI661" s="62">
        <f t="shared" si="1994"/>
        <v>1</v>
      </c>
      <c r="AJ661" s="60"/>
      <c r="AK661" s="58"/>
      <c r="AL661" s="62">
        <f t="shared" si="1995"/>
        <v>1</v>
      </c>
      <c r="AM661" s="60"/>
      <c r="AN661" s="58"/>
      <c r="AO661" s="62">
        <f t="shared" si="1966"/>
        <v>1</v>
      </c>
      <c r="AP661" s="60"/>
      <c r="AQ661" s="58"/>
      <c r="AR661" s="62">
        <f t="shared" si="1936"/>
        <v>1</v>
      </c>
      <c r="AS661" s="60"/>
      <c r="AT661" s="58"/>
      <c r="AU661" s="62">
        <f t="shared" si="1996"/>
        <v>1</v>
      </c>
      <c r="AV661" s="83">
        <f>SUM(L661+O661+R661+U661+X661+AA661+AD661+AG661+AJ661+AM661+AP661+AS661)</f>
        <v>0</v>
      </c>
      <c r="AW661" s="83">
        <f t="shared" ref="AW661:AW695" si="2002">SUM(M661+P661+S661+V661+Y661+AB661+AE661+AH661+AK661+AN661+AQ661+AT661)</f>
        <v>0</v>
      </c>
      <c r="AX661" s="64">
        <f t="shared" si="1997"/>
        <v>0</v>
      </c>
      <c r="AY661" s="65" t="e">
        <f t="shared" si="1998"/>
        <v>#DIV/0!</v>
      </c>
      <c r="AZ661" s="66">
        <f t="shared" si="1999"/>
        <v>0</v>
      </c>
      <c r="BA661" s="67">
        <f>MAX(0, Table176252626[[#This Row],[Column6]])</f>
        <v>1</v>
      </c>
      <c r="BB661" s="68">
        <v>0</v>
      </c>
      <c r="BC661" s="84">
        <f t="shared" ref="BC661:BC695" si="2003">J661</f>
        <v>1</v>
      </c>
      <c r="BD661" s="83">
        <f t="shared" ref="BD661:BD726" si="2004">SUM(BC661-BB661)</f>
        <v>1</v>
      </c>
      <c r="BE661" s="85">
        <v>2</v>
      </c>
      <c r="BF661" s="86">
        <v>45874</v>
      </c>
      <c r="BG661" s="72" t="e">
        <f t="shared" si="1941"/>
        <v>#REF!</v>
      </c>
      <c r="BH661" s="87" t="e">
        <f t="shared" si="2000"/>
        <v>#REF!</v>
      </c>
      <c r="BI661" s="80" t="e">
        <f t="shared" ref="BI661:BI726" si="2005">IF(AND(J661&gt;0,BH661&gt;365),"Dead Stock","")</f>
        <v>#REF!</v>
      </c>
      <c r="BJ661" s="238">
        <v>25000</v>
      </c>
    </row>
    <row r="662" spans="1:62" ht="13">
      <c r="A662" s="49"/>
      <c r="B662" s="76"/>
      <c r="C662" s="51">
        <v>660</v>
      </c>
      <c r="D662" s="145" t="s">
        <v>1923</v>
      </c>
      <c r="E662" s="145">
        <v>2</v>
      </c>
      <c r="F662" s="80" t="s">
        <v>64</v>
      </c>
      <c r="G662" s="81" t="s">
        <v>65</v>
      </c>
      <c r="H662" s="81" t="s">
        <v>302</v>
      </c>
      <c r="I662" s="80" t="s">
        <v>458</v>
      </c>
      <c r="J662" s="82">
        <f t="shared" si="1986"/>
        <v>1</v>
      </c>
      <c r="K662" s="80">
        <v>2</v>
      </c>
      <c r="L662" s="57"/>
      <c r="M662" s="58">
        <v>1</v>
      </c>
      <c r="N662" s="59">
        <f t="shared" si="1987"/>
        <v>1</v>
      </c>
      <c r="O662" s="60"/>
      <c r="P662" s="58"/>
      <c r="Q662" s="59">
        <f t="shared" si="1988"/>
        <v>1</v>
      </c>
      <c r="R662" s="60"/>
      <c r="S662" s="58"/>
      <c r="T662" s="61">
        <f t="shared" si="1989"/>
        <v>1</v>
      </c>
      <c r="U662" s="60"/>
      <c r="V662" s="58"/>
      <c r="W662" s="59">
        <f t="shared" si="1990"/>
        <v>1</v>
      </c>
      <c r="X662" s="60"/>
      <c r="Y662" s="58"/>
      <c r="Z662" s="61">
        <f t="shared" si="1991"/>
        <v>1</v>
      </c>
      <c r="AA662" s="60"/>
      <c r="AB662" s="58"/>
      <c r="AC662" s="59">
        <f t="shared" si="1992"/>
        <v>1</v>
      </c>
      <c r="AD662" s="57"/>
      <c r="AE662" s="58"/>
      <c r="AF662" s="243">
        <f t="shared" si="1993"/>
        <v>1</v>
      </c>
      <c r="AG662" s="60"/>
      <c r="AH662" s="58"/>
      <c r="AI662" s="62">
        <f t="shared" si="1994"/>
        <v>1</v>
      </c>
      <c r="AJ662" s="60"/>
      <c r="AK662" s="58"/>
      <c r="AL662" s="62">
        <f t="shared" si="1995"/>
        <v>1</v>
      </c>
      <c r="AM662" s="60"/>
      <c r="AN662" s="58"/>
      <c r="AO662" s="62">
        <f t="shared" si="1966"/>
        <v>1</v>
      </c>
      <c r="AP662" s="60"/>
      <c r="AQ662" s="58"/>
      <c r="AR662" s="62">
        <f t="shared" si="1936"/>
        <v>1</v>
      </c>
      <c r="AS662" s="60"/>
      <c r="AT662" s="58"/>
      <c r="AU662" s="62">
        <f t="shared" si="1996"/>
        <v>1</v>
      </c>
      <c r="AV662" s="83">
        <f>SUM(L662+O662+R662+U662+X662+AA662+AD662+AG662+AJ662+AM662+AP662+AS662)</f>
        <v>0</v>
      </c>
      <c r="AW662" s="83">
        <f t="shared" si="2002"/>
        <v>1</v>
      </c>
      <c r="AX662" s="64">
        <f t="shared" si="1997"/>
        <v>1</v>
      </c>
      <c r="AY662" s="65">
        <f t="shared" si="1998"/>
        <v>1</v>
      </c>
      <c r="AZ662" s="66">
        <f t="shared" si="1999"/>
        <v>1</v>
      </c>
      <c r="BA662" s="67">
        <f>MAX(0, Table176252626[[#This Row],[Column6]])</f>
        <v>1</v>
      </c>
      <c r="BB662" s="68">
        <v>0</v>
      </c>
      <c r="BC662" s="84">
        <f t="shared" si="2003"/>
        <v>1</v>
      </c>
      <c r="BD662" s="83">
        <f t="shared" si="2004"/>
        <v>1</v>
      </c>
      <c r="BE662" s="85">
        <v>2</v>
      </c>
      <c r="BF662" s="86">
        <v>45210.666712962964</v>
      </c>
      <c r="BG662" s="72" t="e">
        <f t="shared" si="1941"/>
        <v>#REF!</v>
      </c>
      <c r="BH662" s="87" t="e">
        <f t="shared" si="2000"/>
        <v>#REF!</v>
      </c>
      <c r="BI662" s="80" t="e">
        <f t="shared" si="2005"/>
        <v>#REF!</v>
      </c>
      <c r="BJ662" s="238">
        <v>10000</v>
      </c>
    </row>
    <row r="663" spans="1:62" ht="13">
      <c r="A663" s="75"/>
      <c r="B663" s="76"/>
      <c r="C663" s="51">
        <v>661</v>
      </c>
      <c r="D663" s="145" t="s">
        <v>1923</v>
      </c>
      <c r="E663" s="145">
        <v>2</v>
      </c>
      <c r="F663" s="80" t="s">
        <v>381</v>
      </c>
      <c r="G663" s="81" t="s">
        <v>382</v>
      </c>
      <c r="H663" s="81" t="s">
        <v>302</v>
      </c>
      <c r="I663" s="80" t="s">
        <v>458</v>
      </c>
      <c r="J663" s="82">
        <f t="shared" si="1986"/>
        <v>3</v>
      </c>
      <c r="K663" s="129">
        <v>3</v>
      </c>
      <c r="L663" s="57"/>
      <c r="M663" s="58"/>
      <c r="N663" s="59">
        <f t="shared" si="1987"/>
        <v>3</v>
      </c>
      <c r="O663" s="60"/>
      <c r="P663" s="58"/>
      <c r="Q663" s="59">
        <f t="shared" si="1988"/>
        <v>3</v>
      </c>
      <c r="R663" s="60"/>
      <c r="S663" s="58"/>
      <c r="T663" s="61">
        <f t="shared" si="1989"/>
        <v>3</v>
      </c>
      <c r="U663" s="60"/>
      <c r="V663" s="58"/>
      <c r="W663" s="59">
        <f t="shared" si="1990"/>
        <v>3</v>
      </c>
      <c r="X663" s="60"/>
      <c r="Y663" s="58"/>
      <c r="Z663" s="61">
        <f t="shared" si="1991"/>
        <v>3</v>
      </c>
      <c r="AA663" s="60"/>
      <c r="AB663" s="58"/>
      <c r="AC663" s="59">
        <f t="shared" si="1992"/>
        <v>3</v>
      </c>
      <c r="AD663" s="57"/>
      <c r="AE663" s="58"/>
      <c r="AF663" s="243">
        <f t="shared" si="1993"/>
        <v>3</v>
      </c>
      <c r="AG663" s="60"/>
      <c r="AH663" s="58"/>
      <c r="AI663" s="62">
        <f t="shared" si="1994"/>
        <v>3</v>
      </c>
      <c r="AJ663" s="60"/>
      <c r="AK663" s="58"/>
      <c r="AL663" s="62">
        <f t="shared" si="1995"/>
        <v>3</v>
      </c>
      <c r="AM663" s="60"/>
      <c r="AN663" s="58"/>
      <c r="AO663" s="62">
        <f t="shared" si="1966"/>
        <v>3</v>
      </c>
      <c r="AP663" s="60"/>
      <c r="AQ663" s="58"/>
      <c r="AR663" s="62">
        <f t="shared" si="1936"/>
        <v>3</v>
      </c>
      <c r="AS663" s="60"/>
      <c r="AT663" s="58"/>
      <c r="AU663" s="62">
        <f t="shared" si="1996"/>
        <v>3</v>
      </c>
      <c r="AV663" s="83">
        <f>SUM(L663+O663+R663+U663+X663+AA663+AD663+AG663+AJ663+AM663+AP663+AS663)</f>
        <v>0</v>
      </c>
      <c r="AW663" s="83">
        <f t="shared" si="2002"/>
        <v>0</v>
      </c>
      <c r="AX663" s="64">
        <f t="shared" si="1997"/>
        <v>0</v>
      </c>
      <c r="AY663" s="65" t="e">
        <f t="shared" si="1998"/>
        <v>#DIV/0!</v>
      </c>
      <c r="AZ663" s="66">
        <f t="shared" si="1999"/>
        <v>0</v>
      </c>
      <c r="BA663" s="67">
        <f>MAX(0, Table176252626[[#This Row],[Column6]])</f>
        <v>3</v>
      </c>
      <c r="BB663" s="68">
        <v>1</v>
      </c>
      <c r="BC663" s="84">
        <f t="shared" si="2003"/>
        <v>3</v>
      </c>
      <c r="BD663" s="83">
        <f t="shared" si="2004"/>
        <v>2</v>
      </c>
      <c r="BE663" s="85">
        <v>2</v>
      </c>
      <c r="BF663" s="86">
        <v>45068.573414351849</v>
      </c>
      <c r="BG663" s="72" t="e">
        <f t="shared" si="1941"/>
        <v>#REF!</v>
      </c>
      <c r="BH663" s="87" t="e">
        <f t="shared" si="2000"/>
        <v>#REF!</v>
      </c>
      <c r="BI663" s="80" t="e">
        <f t="shared" si="2005"/>
        <v>#REF!</v>
      </c>
      <c r="BJ663" s="238">
        <v>6125</v>
      </c>
    </row>
    <row r="664" spans="1:62" ht="13">
      <c r="A664" s="49"/>
      <c r="B664" s="50"/>
      <c r="C664" s="77">
        <v>662</v>
      </c>
      <c r="D664" s="145" t="s">
        <v>1923</v>
      </c>
      <c r="E664" s="145">
        <v>3</v>
      </c>
      <c r="F664" s="80" t="s">
        <v>392</v>
      </c>
      <c r="G664" s="81" t="s">
        <v>393</v>
      </c>
      <c r="H664" s="81" t="s">
        <v>296</v>
      </c>
      <c r="I664" s="80" t="s">
        <v>2</v>
      </c>
      <c r="J664" s="82">
        <f t="shared" ref="J664" si="2006">AU664</f>
        <v>2</v>
      </c>
      <c r="K664" s="80">
        <v>2</v>
      </c>
      <c r="L664" s="57"/>
      <c r="M664" s="58">
        <f>1+1</f>
        <v>2</v>
      </c>
      <c r="N664" s="59">
        <f t="shared" ref="N664" si="2007">SUM(K664+L664-M664)</f>
        <v>0</v>
      </c>
      <c r="O664" s="60">
        <f>1+1</f>
        <v>2</v>
      </c>
      <c r="P664" s="58"/>
      <c r="Q664" s="59">
        <f t="shared" ref="Q664" si="2008">SUM(N664+O664-P664)</f>
        <v>2</v>
      </c>
      <c r="R664" s="60"/>
      <c r="S664" s="58">
        <v>1</v>
      </c>
      <c r="T664" s="61">
        <f t="shared" ref="T664" si="2009">SUM(Q664+R664-S664)</f>
        <v>1</v>
      </c>
      <c r="U664" s="60"/>
      <c r="V664" s="58"/>
      <c r="W664" s="59">
        <f t="shared" ref="W664" si="2010">SUM(T664+U664-V664)</f>
        <v>1</v>
      </c>
      <c r="X664" s="60">
        <v>1</v>
      </c>
      <c r="Y664" s="58"/>
      <c r="Z664" s="61">
        <f t="shared" ref="Z664" si="2011">SUM(W664+X664-Y664)</f>
        <v>2</v>
      </c>
      <c r="AA664" s="60"/>
      <c r="AB664" s="58">
        <v>1</v>
      </c>
      <c r="AC664" s="59">
        <f t="shared" ref="AC664" si="2012">SUM(Z664+AA664-AB664)</f>
        <v>1</v>
      </c>
      <c r="AD664" s="57">
        <v>2</v>
      </c>
      <c r="AE664" s="58">
        <v>1</v>
      </c>
      <c r="AF664" s="243">
        <f t="shared" ref="AF664" si="2013">SUM(AC664+AD664-AE664)</f>
        <v>2</v>
      </c>
      <c r="AG664" s="60"/>
      <c r="AH664" s="58"/>
      <c r="AI664" s="62">
        <f t="shared" ref="AI664" si="2014">SUM(AF664+AG664-AH664)</f>
        <v>2</v>
      </c>
      <c r="AJ664" s="60"/>
      <c r="AK664" s="58"/>
      <c r="AL664" s="62">
        <f t="shared" ref="AL664" si="2015">SUM(AI664+AJ664-AK664)</f>
        <v>2</v>
      </c>
      <c r="AM664" s="60"/>
      <c r="AN664" s="58"/>
      <c r="AO664" s="62">
        <f t="shared" si="1966"/>
        <v>2</v>
      </c>
      <c r="AP664" s="60"/>
      <c r="AQ664" s="58"/>
      <c r="AR664" s="62">
        <f t="shared" ref="AR664" si="2016">SUM(AO664+AP664-AQ664)</f>
        <v>2</v>
      </c>
      <c r="AS664" s="60"/>
      <c r="AT664" s="58"/>
      <c r="AU664" s="62">
        <f t="shared" ref="AU664" si="2017">SUM(AR664+AS664-AT664)</f>
        <v>2</v>
      </c>
      <c r="AV664" s="83">
        <f t="shared" ref="AV664" si="2018">SUM(L664+O664+R664+U664+X664+AA664+AD664+AG664+AJ664+AM664+AP664+AS664)</f>
        <v>5</v>
      </c>
      <c r="AW664" s="83">
        <f t="shared" si="2002"/>
        <v>5</v>
      </c>
      <c r="AX664" s="64">
        <f t="shared" ref="AX664" si="2019">SUM(M664,P664,S664,V664,Y664,AB664,AE664,AH664,AK664,AN664,AQ664,AT664)</f>
        <v>5</v>
      </c>
      <c r="AY664" s="65">
        <f t="shared" ref="AY664" si="2020">AVERAGE(M664,P664,S664,V664,Y664,AB664,AE664,AH664,AK664,AN664,AQ664,AT664)</f>
        <v>1.25</v>
      </c>
      <c r="AZ664" s="66">
        <f t="shared" ref="AZ664" si="2021">COUNT(M664,P664,S664,V664,Y664,AB664,AE664,AH664,AK664,AN664,AQ664,AT664)</f>
        <v>4</v>
      </c>
      <c r="BA664" s="67">
        <v>2</v>
      </c>
      <c r="BB664" s="68">
        <v>1</v>
      </c>
      <c r="BC664" s="84">
        <f t="shared" si="2003"/>
        <v>2</v>
      </c>
      <c r="BD664" s="83">
        <f t="shared" si="2004"/>
        <v>1</v>
      </c>
      <c r="BE664" s="85">
        <v>2</v>
      </c>
      <c r="BF664" s="86">
        <v>46221</v>
      </c>
      <c r="BG664" s="72" t="e">
        <f t="shared" si="1941"/>
        <v>#REF!</v>
      </c>
      <c r="BH664" s="87" t="e">
        <f t="shared" ref="BH664" si="2022">BG664-BF664</f>
        <v>#REF!</v>
      </c>
      <c r="BI664" s="80" t="e">
        <f t="shared" si="2005"/>
        <v>#REF!</v>
      </c>
      <c r="BJ664" s="238">
        <v>25000</v>
      </c>
    </row>
    <row r="665" spans="1:62" ht="13">
      <c r="A665" s="90"/>
      <c r="B665" s="91"/>
      <c r="C665" s="77">
        <v>663</v>
      </c>
      <c r="D665" s="145" t="s">
        <v>1923</v>
      </c>
      <c r="E665" s="145">
        <v>3</v>
      </c>
      <c r="F665" s="222" t="s">
        <v>2066</v>
      </c>
      <c r="G665" s="89" t="s">
        <v>2067</v>
      </c>
      <c r="H665" s="89" t="s">
        <v>2068</v>
      </c>
      <c r="I665" s="88" t="s">
        <v>458</v>
      </c>
      <c r="J665" s="93">
        <f>AU665</f>
        <v>1</v>
      </c>
      <c r="K665" s="80">
        <v>0</v>
      </c>
      <c r="L665" s="58"/>
      <c r="M665" s="58"/>
      <c r="N665" s="62">
        <f>SUM(K665+L665-M665)</f>
        <v>0</v>
      </c>
      <c r="O665" s="60"/>
      <c r="P665" s="58"/>
      <c r="Q665" s="62">
        <f>SUM(N665+O665-P665)</f>
        <v>0</v>
      </c>
      <c r="R665" s="60"/>
      <c r="S665" s="58"/>
      <c r="T665" s="94">
        <f>SUM(Q665+R665-S665)</f>
        <v>0</v>
      </c>
      <c r="U665" s="60"/>
      <c r="V665" s="58"/>
      <c r="W665" s="62">
        <f>SUM(T665+U665-V665)</f>
        <v>0</v>
      </c>
      <c r="X665" s="60"/>
      <c r="Y665" s="58"/>
      <c r="Z665" s="94">
        <f>SUM(W665+X665-Y665)</f>
        <v>0</v>
      </c>
      <c r="AA665" s="60"/>
      <c r="AB665" s="58"/>
      <c r="AC665" s="62">
        <f>SUM(Z665+AA665-AB665)</f>
        <v>0</v>
      </c>
      <c r="AD665" s="57"/>
      <c r="AE665" s="58"/>
      <c r="AF665" s="165">
        <f>SUM(AC665+AD665-AE665)</f>
        <v>0</v>
      </c>
      <c r="AG665" s="60">
        <v>1</v>
      </c>
      <c r="AH665" s="58"/>
      <c r="AI665" s="62">
        <f>SUM(AF665+AG665-AH665)</f>
        <v>1</v>
      </c>
      <c r="AJ665" s="60"/>
      <c r="AK665" s="58"/>
      <c r="AL665" s="62">
        <f>SUM(AI665+AJ665-AK665)</f>
        <v>1</v>
      </c>
      <c r="AM665" s="60"/>
      <c r="AN665" s="58"/>
      <c r="AO665" s="62">
        <f>SUM(AL665+AM665-AN665)</f>
        <v>1</v>
      </c>
      <c r="AP665" s="60"/>
      <c r="AQ665" s="58"/>
      <c r="AR665" s="62">
        <f>SUM(AO665+AP665-AQ665)</f>
        <v>1</v>
      </c>
      <c r="AS665" s="60"/>
      <c r="AT665" s="58"/>
      <c r="AU665" s="62">
        <f>SUM(AR665+AS665-AT665)</f>
        <v>1</v>
      </c>
      <c r="AV665" s="96">
        <f>SUM(L665+O665+R665+U665+X665+AA665+AD665+AG665+AJ665+AM665+AP665+AS665)</f>
        <v>1</v>
      </c>
      <c r="AW665" s="83">
        <f>SUM(M665+P665+S665+V665+Y665+AB665+AE665+AH665+AK665+AN665+AQ665+AT665)</f>
        <v>0</v>
      </c>
      <c r="AX665" s="98">
        <f>SUM(M665,P665,S665,V665,Y665,AB665,AE665,AH665,AK665,AN665,AQ665,AT665)</f>
        <v>0</v>
      </c>
      <c r="AY665" s="99" t="e">
        <f>AVERAGE(M665,P665,S665,V665,Y665,AB665,AE665,AH665,AK665,AN665,AQ665,AT665)</f>
        <v>#DIV/0!</v>
      </c>
      <c r="AZ665" s="100">
        <f>COUNT(M665,P665,S665,V665,Y665,AB665,AE665,AH665,AK665,AN665,AQ665,AT665)</f>
        <v>0</v>
      </c>
      <c r="BA665" s="101">
        <f>MAX(M665,P665,S665,V665,Y665,AB665,AE665,AH665,AK665,AN665,AQ665,AT665)</f>
        <v>0</v>
      </c>
      <c r="BB665" s="68">
        <v>0</v>
      </c>
      <c r="BC665" s="84">
        <f>J665</f>
        <v>1</v>
      </c>
      <c r="BD665" s="83">
        <f>SUM(BC665-BB665)</f>
        <v>1</v>
      </c>
      <c r="BE665" s="224"/>
      <c r="BF665" s="86">
        <v>46258</v>
      </c>
      <c r="BG665" s="72" t="e">
        <f t="shared" si="1941"/>
        <v>#REF!</v>
      </c>
      <c r="BH665" s="103" t="e">
        <f>BG665-BF665</f>
        <v>#REF!</v>
      </c>
      <c r="BI665" s="80" t="e">
        <f>IF(AND(J665&gt;0,BH665&gt;365),"Dead Stock","")</f>
        <v>#REF!</v>
      </c>
      <c r="BJ665" s="238">
        <v>75000</v>
      </c>
    </row>
    <row r="666" spans="1:62" ht="13">
      <c r="A666" s="49"/>
      <c r="B666" s="50"/>
      <c r="C666" s="51">
        <v>664</v>
      </c>
      <c r="D666" s="145" t="s">
        <v>1923</v>
      </c>
      <c r="E666" s="145">
        <v>3</v>
      </c>
      <c r="F666" s="88" t="s">
        <v>1957</v>
      </c>
      <c r="G666" s="89" t="s">
        <v>2057</v>
      </c>
      <c r="H666" s="89" t="s">
        <v>1332</v>
      </c>
      <c r="I666" s="80" t="s">
        <v>458</v>
      </c>
      <c r="J666" s="93">
        <f>AU666</f>
        <v>1</v>
      </c>
      <c r="K666" s="80">
        <v>0</v>
      </c>
      <c r="L666" s="58"/>
      <c r="M666" s="58"/>
      <c r="N666" s="62">
        <f>SUM(K666+L666-M666)</f>
        <v>0</v>
      </c>
      <c r="O666" s="60"/>
      <c r="P666" s="58"/>
      <c r="Q666" s="62">
        <f>SUM(N666+O666-P666)</f>
        <v>0</v>
      </c>
      <c r="R666" s="60"/>
      <c r="S666" s="58"/>
      <c r="T666" s="94">
        <f>SUM(Q666+R666-S666)</f>
        <v>0</v>
      </c>
      <c r="U666" s="60"/>
      <c r="V666" s="58"/>
      <c r="W666" s="62">
        <f>SUM(T666+U666-V666)</f>
        <v>0</v>
      </c>
      <c r="X666" s="60">
        <v>1</v>
      </c>
      <c r="Y666" s="58"/>
      <c r="Z666" s="94">
        <f>SUM(W666+X666-Y666)</f>
        <v>1</v>
      </c>
      <c r="AA666" s="60"/>
      <c r="AB666" s="58">
        <v>1</v>
      </c>
      <c r="AC666" s="62">
        <f>SUM(Z666+AA666-AB666)</f>
        <v>0</v>
      </c>
      <c r="AD666" s="57">
        <v>1</v>
      </c>
      <c r="AE666" s="58"/>
      <c r="AF666" s="165">
        <f>SUM(AC666+AD666-AE666)</f>
        <v>1</v>
      </c>
      <c r="AG666" s="60"/>
      <c r="AH666" s="58"/>
      <c r="AI666" s="62">
        <f>SUM(AF666+AG666-AH666)</f>
        <v>1</v>
      </c>
      <c r="AJ666" s="60"/>
      <c r="AK666" s="58"/>
      <c r="AL666" s="62">
        <f>SUM(AI666+AJ666-AK666)</f>
        <v>1</v>
      </c>
      <c r="AM666" s="60"/>
      <c r="AN666" s="58"/>
      <c r="AO666" s="62">
        <f t="shared" si="1966"/>
        <v>1</v>
      </c>
      <c r="AP666" s="60"/>
      <c r="AQ666" s="58"/>
      <c r="AR666" s="62">
        <f>SUM(AO666+AP666-AQ666)</f>
        <v>1</v>
      </c>
      <c r="AS666" s="60"/>
      <c r="AT666" s="58"/>
      <c r="AU666" s="62">
        <f>SUM(AR666+AS666-AT666)</f>
        <v>1</v>
      </c>
      <c r="AV666" s="96">
        <f>SUM(L666+O666+R666+U666+X666+AA666+AD666+AG666+AJ666+AM666+AP666+AS666)</f>
        <v>2</v>
      </c>
      <c r="AW666" s="83">
        <f t="shared" si="2002"/>
        <v>1</v>
      </c>
      <c r="AX666" s="98">
        <f>SUM(M666,P666,S666,V666,Y666,AB666,AE666,AH666,AK666,AN666,AQ666,AT666)</f>
        <v>1</v>
      </c>
      <c r="AY666" s="99">
        <f>AVERAGE(M666,P666,S666,V666,Y666,AB666,AE666,AH666,AK666,AN666,AQ666,AT666)</f>
        <v>1</v>
      </c>
      <c r="AZ666" s="100">
        <f>COUNT(M666,P666,S666,V666,Y666,AB666,AE666,AH666,AK666,AN666,AQ666,AT666)</f>
        <v>1</v>
      </c>
      <c r="BA666" s="101">
        <f>MAX(M666,P666,S666,V666,Y666,AB666,AE666,AH666,AK666,AN666,AQ666,AT666)</f>
        <v>1</v>
      </c>
      <c r="BB666" s="102">
        <v>0</v>
      </c>
      <c r="BC666" s="84">
        <f t="shared" si="2003"/>
        <v>1</v>
      </c>
      <c r="BD666" s="83">
        <f t="shared" si="2004"/>
        <v>1</v>
      </c>
      <c r="BE666" s="85">
        <v>2</v>
      </c>
      <c r="BF666" s="86">
        <v>46225</v>
      </c>
      <c r="BG666" s="72" t="e">
        <f t="shared" si="1941"/>
        <v>#REF!</v>
      </c>
      <c r="BH666" s="103" t="e">
        <f>BG666-BF666</f>
        <v>#REF!</v>
      </c>
      <c r="BI666" s="80" t="e">
        <f t="shared" si="2005"/>
        <v>#REF!</v>
      </c>
      <c r="BJ666" s="238">
        <v>75000</v>
      </c>
    </row>
    <row r="667" spans="1:62" ht="13">
      <c r="A667" s="75"/>
      <c r="B667" s="76"/>
      <c r="C667" s="51">
        <v>665</v>
      </c>
      <c r="D667" s="145" t="s">
        <v>1923</v>
      </c>
      <c r="E667" s="145">
        <v>3</v>
      </c>
      <c r="F667" s="88" t="s">
        <v>1562</v>
      </c>
      <c r="G667" s="89" t="s">
        <v>1563</v>
      </c>
      <c r="H667" s="89" t="s">
        <v>743</v>
      </c>
      <c r="I667" s="80" t="s">
        <v>458</v>
      </c>
      <c r="J667" s="93">
        <f t="shared" ref="J667" si="2023">AU667</f>
        <v>3</v>
      </c>
      <c r="K667" s="80">
        <v>3</v>
      </c>
      <c r="L667" s="58"/>
      <c r="M667" s="58">
        <v>1</v>
      </c>
      <c r="N667" s="62">
        <f t="shared" ref="N667" si="2024">SUM(K667+L667-M667)</f>
        <v>2</v>
      </c>
      <c r="O667" s="60"/>
      <c r="P667" s="58"/>
      <c r="Q667" s="62">
        <f t="shared" ref="Q667" si="2025">SUM(N667+O667-P667)</f>
        <v>2</v>
      </c>
      <c r="R667" s="60"/>
      <c r="S667" s="58"/>
      <c r="T667" s="94">
        <f t="shared" ref="T667" si="2026">SUM(Q667+R667-S667)</f>
        <v>2</v>
      </c>
      <c r="U667" s="60"/>
      <c r="V667" s="58"/>
      <c r="W667" s="62">
        <f t="shared" ref="W667" si="2027">SUM(T667+U667-V667)</f>
        <v>2</v>
      </c>
      <c r="X667" s="60">
        <v>1</v>
      </c>
      <c r="Y667" s="58"/>
      <c r="Z667" s="94">
        <f t="shared" ref="Z667" si="2028">SUM(W667+X667-Y667)</f>
        <v>3</v>
      </c>
      <c r="AA667" s="60"/>
      <c r="AB667" s="58"/>
      <c r="AC667" s="62">
        <f t="shared" ref="AC667" si="2029">SUM(Z667+AA667-AB667)</f>
        <v>3</v>
      </c>
      <c r="AD667" s="57"/>
      <c r="AE667" s="58"/>
      <c r="AF667" s="165">
        <f t="shared" ref="AF667" si="2030">SUM(AC667+AD667-AE667)</f>
        <v>3</v>
      </c>
      <c r="AG667" s="60"/>
      <c r="AH667" s="58"/>
      <c r="AI667" s="62">
        <f t="shared" ref="AI667" si="2031">SUM(AF667+AG667-AH667)</f>
        <v>3</v>
      </c>
      <c r="AJ667" s="60"/>
      <c r="AK667" s="58"/>
      <c r="AL667" s="62">
        <f t="shared" ref="AL667" si="2032">SUM(AI667+AJ667-AK667)</f>
        <v>3</v>
      </c>
      <c r="AM667" s="60"/>
      <c r="AN667" s="58"/>
      <c r="AO667" s="62">
        <f t="shared" ref="AO667" si="2033">SUM(AL667+AM667-AN667)</f>
        <v>3</v>
      </c>
      <c r="AP667" s="60"/>
      <c r="AQ667" s="58"/>
      <c r="AR667" s="62">
        <f t="shared" ref="AR667" si="2034">SUM(AO667+AP667-AQ667)</f>
        <v>3</v>
      </c>
      <c r="AS667" s="60"/>
      <c r="AT667" s="58"/>
      <c r="AU667" s="62">
        <f t="shared" ref="AU667" si="2035">SUM(AR667+AS667-AT667)</f>
        <v>3</v>
      </c>
      <c r="AV667" s="96">
        <f t="shared" ref="AV667" si="2036">SUM(L667+O667+R667+U667+X667+AA667+AD667+AG667+AJ667+AM667+AP667+AS667)</f>
        <v>1</v>
      </c>
      <c r="AW667" s="83">
        <f t="shared" si="2002"/>
        <v>1</v>
      </c>
      <c r="AX667" s="98">
        <f t="shared" ref="AX667" si="2037">SUM(M667,P667,S667,V667,Y667,AB667,AE667,AH667,AK667,AN667,AQ667,AT667)</f>
        <v>1</v>
      </c>
      <c r="AY667" s="99">
        <f t="shared" ref="AY667" si="2038">AVERAGE(M667,P667,S667,V667,Y667,AB667,AE667,AH667,AK667,AN667,AQ667,AT667)</f>
        <v>1</v>
      </c>
      <c r="AZ667" s="100">
        <f t="shared" ref="AZ667" si="2039">COUNT(M667,P667,S667,V667,Y667,AB667,AE667,AH667,AK667,AN667,AQ667,AT667)</f>
        <v>1</v>
      </c>
      <c r="BA667" s="101">
        <v>3</v>
      </c>
      <c r="BB667" s="102">
        <f>MIN(M667,P667,S667,V667,Y667,AB667,AE667,AH667,AK667,AN667,AQ667,AT667)</f>
        <v>1</v>
      </c>
      <c r="BC667" s="84">
        <f t="shared" si="2003"/>
        <v>3</v>
      </c>
      <c r="BD667" s="83">
        <f t="shared" si="2004"/>
        <v>2</v>
      </c>
      <c r="BE667" s="85">
        <v>2</v>
      </c>
      <c r="BF667" s="86">
        <v>46153</v>
      </c>
      <c r="BG667" s="72" t="e">
        <f t="shared" si="1941"/>
        <v>#REF!</v>
      </c>
      <c r="BH667" s="103" t="e">
        <f t="shared" ref="BH667" si="2040">BG667-BF667</f>
        <v>#REF!</v>
      </c>
      <c r="BI667" s="80" t="e">
        <f t="shared" si="2005"/>
        <v>#REF!</v>
      </c>
      <c r="BJ667" s="238">
        <v>15000</v>
      </c>
    </row>
    <row r="668" spans="1:62" ht="13">
      <c r="A668" s="49"/>
      <c r="B668" s="50"/>
      <c r="C668" s="51">
        <v>666</v>
      </c>
      <c r="D668" s="145" t="s">
        <v>1923</v>
      </c>
      <c r="E668" s="145">
        <v>3</v>
      </c>
      <c r="F668" s="88" t="s">
        <v>1970</v>
      </c>
      <c r="G668" s="89" t="s">
        <v>1971</v>
      </c>
      <c r="H668" s="89" t="s">
        <v>1995</v>
      </c>
      <c r="I668" s="80" t="s">
        <v>458</v>
      </c>
      <c r="J668" s="93">
        <f>AU668</f>
        <v>1</v>
      </c>
      <c r="K668" s="88">
        <v>0</v>
      </c>
      <c r="L668" s="58"/>
      <c r="M668" s="58"/>
      <c r="N668" s="62">
        <f>SUM(K668+L668-M668)</f>
        <v>0</v>
      </c>
      <c r="O668" s="60"/>
      <c r="P668" s="58"/>
      <c r="Q668" s="62">
        <f>SUM(N668+O668-P668)</f>
        <v>0</v>
      </c>
      <c r="R668" s="60"/>
      <c r="S668" s="58"/>
      <c r="T668" s="94">
        <f>SUM(Q668+R668-S668)</f>
        <v>0</v>
      </c>
      <c r="U668" s="60"/>
      <c r="V668" s="58"/>
      <c r="W668" s="62">
        <f>SUM(T668+U668-V668)</f>
        <v>0</v>
      </c>
      <c r="X668" s="60"/>
      <c r="Y668" s="58"/>
      <c r="Z668" s="94">
        <f>SUM(W668+X668-Y668)</f>
        <v>0</v>
      </c>
      <c r="AA668" s="60">
        <v>1</v>
      </c>
      <c r="AB668" s="58"/>
      <c r="AC668" s="62">
        <f>SUM(Z668+AA668-AB668)</f>
        <v>1</v>
      </c>
      <c r="AD668" s="57"/>
      <c r="AE668" s="58"/>
      <c r="AF668" s="165">
        <f>SUM(AC668+AD668-AE668)</f>
        <v>1</v>
      </c>
      <c r="AG668" s="60">
        <v>1</v>
      </c>
      <c r="AH668" s="58">
        <v>1</v>
      </c>
      <c r="AI668" s="62">
        <f>SUM(AF668+AG668-AH668)</f>
        <v>1</v>
      </c>
      <c r="AJ668" s="60"/>
      <c r="AK668" s="58"/>
      <c r="AL668" s="62">
        <f>SUM(AI668+AJ668-AK668)</f>
        <v>1</v>
      </c>
      <c r="AM668" s="60"/>
      <c r="AN668" s="58"/>
      <c r="AO668" s="62">
        <f>SUM(AL668+AM668-AN668)</f>
        <v>1</v>
      </c>
      <c r="AP668" s="60"/>
      <c r="AQ668" s="58"/>
      <c r="AR668" s="62">
        <f>SUM(AO668+AP668-AQ668)</f>
        <v>1</v>
      </c>
      <c r="AS668" s="60"/>
      <c r="AT668" s="58"/>
      <c r="AU668" s="62">
        <f>SUM(AR668+AS668-AT668)</f>
        <v>1</v>
      </c>
      <c r="AV668" s="96">
        <f>SUM(L668+O668+R668+U668+X668+AA668+AD668+AG668+AJ668+AM668+AP668+AS668)</f>
        <v>2</v>
      </c>
      <c r="AW668" s="83">
        <f>SUM(M668+P668+S668+V668+Y668+AB668+AE668+AH668+AK668+AN668+AQ668+AT668)</f>
        <v>1</v>
      </c>
      <c r="AX668" s="98">
        <f>SUM(M668,P668,S668,V668,Y668,AB668,AE668,AH668,AK668,AN668,AQ668,AT668)</f>
        <v>1</v>
      </c>
      <c r="AY668" s="99">
        <f>AVERAGE(M668,P668,S668,V668,Y668,AB668,AE668,AH668,AK668,AN668,AQ668,AT668)</f>
        <v>1</v>
      </c>
      <c r="AZ668" s="100">
        <f>COUNT(M668,P668,S668,V668,Y668,AB668,AE668,AH668,AK668,AN668,AQ668,AT668)</f>
        <v>1</v>
      </c>
      <c r="BA668" s="101">
        <f>MAX(M668,P668,S668,V668,Y668,AB668,AE668,AH668,AK668,AN668,AQ668,AT668)</f>
        <v>1</v>
      </c>
      <c r="BB668" s="102">
        <v>0</v>
      </c>
      <c r="BC668" s="84">
        <f>J668</f>
        <v>1</v>
      </c>
      <c r="BD668" s="83">
        <f>SUM(BC668-BB668)</f>
        <v>1</v>
      </c>
      <c r="BE668" s="85">
        <v>2</v>
      </c>
      <c r="BF668" s="86">
        <v>46157</v>
      </c>
      <c r="BG668" s="72" t="e">
        <f t="shared" si="1941"/>
        <v>#REF!</v>
      </c>
      <c r="BH668" s="103" t="e">
        <f>BG668-BF668</f>
        <v>#REF!</v>
      </c>
      <c r="BI668" s="80" t="e">
        <f>IF(AND(J668&gt;0,BH668&gt;365),"Dead Stock","")</f>
        <v>#REF!</v>
      </c>
      <c r="BJ668" s="238">
        <v>44101.2</v>
      </c>
    </row>
    <row r="669" spans="1:62" ht="13">
      <c r="A669" s="49"/>
      <c r="B669" s="76"/>
      <c r="C669" s="51">
        <v>667</v>
      </c>
      <c r="D669" s="145" t="s">
        <v>1923</v>
      </c>
      <c r="E669" s="145">
        <v>3</v>
      </c>
      <c r="F669" s="88" t="s">
        <v>1590</v>
      </c>
      <c r="G669" s="89" t="s">
        <v>1591</v>
      </c>
      <c r="H669" s="89" t="s">
        <v>295</v>
      </c>
      <c r="I669" s="80" t="s">
        <v>458</v>
      </c>
      <c r="J669" s="93">
        <f t="shared" ref="J669:J674" si="2041">AU669</f>
        <v>1</v>
      </c>
      <c r="K669" s="80">
        <v>1</v>
      </c>
      <c r="L669" s="58"/>
      <c r="M669" s="58"/>
      <c r="N669" s="62">
        <f>SUM(K669+L669-M669)</f>
        <v>1</v>
      </c>
      <c r="O669" s="60"/>
      <c r="P669" s="58"/>
      <c r="Q669" s="62">
        <f t="shared" ref="Q669:Q674" si="2042">SUM(N669+O669-P669)</f>
        <v>1</v>
      </c>
      <c r="R669" s="60"/>
      <c r="S669" s="58"/>
      <c r="T669" s="94">
        <f t="shared" ref="T669:T674" si="2043">SUM(Q669+R669-S669)</f>
        <v>1</v>
      </c>
      <c r="U669" s="60"/>
      <c r="V669" s="58"/>
      <c r="W669" s="62">
        <f t="shared" ref="W669:W674" si="2044">SUM(T669+U669-V669)</f>
        <v>1</v>
      </c>
      <c r="X669" s="60"/>
      <c r="Y669" s="58"/>
      <c r="Z669" s="94">
        <f t="shared" ref="Z669:Z674" si="2045">SUM(W669+X669-Y669)</f>
        <v>1</v>
      </c>
      <c r="AA669" s="60"/>
      <c r="AB669" s="58"/>
      <c r="AC669" s="62">
        <f t="shared" ref="AC669:AC674" si="2046">SUM(Z669+AA669-AB669)</f>
        <v>1</v>
      </c>
      <c r="AD669" s="57"/>
      <c r="AE669" s="58"/>
      <c r="AF669" s="165">
        <f t="shared" ref="AF669:AF674" si="2047">SUM(AC669+AD669-AE669)</f>
        <v>1</v>
      </c>
      <c r="AG669" s="60"/>
      <c r="AH669" s="58"/>
      <c r="AI669" s="62">
        <f t="shared" ref="AI669:AI674" si="2048">SUM(AF669+AG669-AH669)</f>
        <v>1</v>
      </c>
      <c r="AJ669" s="60"/>
      <c r="AK669" s="58"/>
      <c r="AL669" s="62">
        <f t="shared" ref="AL669:AL674" si="2049">SUM(AI669+AJ669-AK669)</f>
        <v>1</v>
      </c>
      <c r="AM669" s="60"/>
      <c r="AN669" s="58"/>
      <c r="AO669" s="62">
        <f>SUM(AL669+AM669-AN669)</f>
        <v>1</v>
      </c>
      <c r="AP669" s="60"/>
      <c r="AQ669" s="58"/>
      <c r="AR669" s="62">
        <f t="shared" ref="AR669:AR674" si="2050">SUM(AO669+AP669-AQ669)</f>
        <v>1</v>
      </c>
      <c r="AS669" s="60"/>
      <c r="AT669" s="58"/>
      <c r="AU669" s="62">
        <f>SUM(AR669+AS669-AT669)</f>
        <v>1</v>
      </c>
      <c r="AV669" s="96">
        <f t="shared" ref="AV669" si="2051">SUM(L669+O669+R669+U669+X669+AA669+AD669+AG669+AJ669+AM669+AP669+AS669)</f>
        <v>0</v>
      </c>
      <c r="AW669" s="83">
        <f t="shared" si="2002"/>
        <v>0</v>
      </c>
      <c r="AX669" s="98">
        <f>SUM(M669,P669,S669,V669,Y669,AB669,AE669,AH669,AK669,AN669,AQ669,AT669)</f>
        <v>0</v>
      </c>
      <c r="AY669" s="99" t="e">
        <f t="shared" ref="AY669:AY674" si="2052">AVERAGE(M669,P669,S669,V669,Y669,AB669,AE669,AH669,AK669,AN669,AQ669,AT669)</f>
        <v>#DIV/0!</v>
      </c>
      <c r="AZ669" s="100">
        <f t="shared" ref="AZ669:AZ674" si="2053">COUNT(M669,P669,S669,V669,Y669,AB669,AE669,AH669,AK669,AN669,AQ669,AT669)</f>
        <v>0</v>
      </c>
      <c r="BA669" s="101">
        <v>1</v>
      </c>
      <c r="BB669" s="102">
        <v>0</v>
      </c>
      <c r="BC669" s="84">
        <f t="shared" si="2003"/>
        <v>1</v>
      </c>
      <c r="BD669" s="83">
        <f t="shared" si="2004"/>
        <v>1</v>
      </c>
      <c r="BE669" s="85">
        <v>2</v>
      </c>
      <c r="BF669" s="86">
        <v>45513.365474537037</v>
      </c>
      <c r="BG669" s="72" t="e">
        <f t="shared" si="1941"/>
        <v>#REF!</v>
      </c>
      <c r="BH669" s="103" t="e">
        <f>BG669-BF669</f>
        <v>#REF!</v>
      </c>
      <c r="BI669" s="80" t="e">
        <f t="shared" si="2005"/>
        <v>#REF!</v>
      </c>
      <c r="BJ669" s="238">
        <v>66280</v>
      </c>
    </row>
    <row r="670" spans="1:62" ht="13">
      <c r="A670" s="75"/>
      <c r="B670" s="76"/>
      <c r="C670" s="77">
        <v>668</v>
      </c>
      <c r="D670" s="145" t="s">
        <v>1923</v>
      </c>
      <c r="E670" s="145">
        <v>3</v>
      </c>
      <c r="F670" s="88" t="s">
        <v>1578</v>
      </c>
      <c r="G670" s="89" t="s">
        <v>1873</v>
      </c>
      <c r="H670" s="89" t="s">
        <v>1874</v>
      </c>
      <c r="I670" s="80" t="s">
        <v>458</v>
      </c>
      <c r="J670" s="93">
        <f t="shared" si="2041"/>
        <v>5</v>
      </c>
      <c r="K670" s="88">
        <v>5</v>
      </c>
      <c r="L670" s="58"/>
      <c r="M670" s="58"/>
      <c r="N670" s="62">
        <f>SUM(K670+L670-M670)</f>
        <v>5</v>
      </c>
      <c r="O670" s="60"/>
      <c r="P670" s="58"/>
      <c r="Q670" s="62">
        <f t="shared" si="2042"/>
        <v>5</v>
      </c>
      <c r="R670" s="60"/>
      <c r="S670" s="58"/>
      <c r="T670" s="94">
        <f t="shared" si="2043"/>
        <v>5</v>
      </c>
      <c r="U670" s="60"/>
      <c r="V670" s="58"/>
      <c r="W670" s="62">
        <f t="shared" si="2044"/>
        <v>5</v>
      </c>
      <c r="X670" s="60"/>
      <c r="Y670" s="58"/>
      <c r="Z670" s="94">
        <f t="shared" si="2045"/>
        <v>5</v>
      </c>
      <c r="AA670" s="60"/>
      <c r="AB670" s="58"/>
      <c r="AC670" s="62">
        <f t="shared" si="2046"/>
        <v>5</v>
      </c>
      <c r="AD670" s="57"/>
      <c r="AE670" s="58"/>
      <c r="AF670" s="165">
        <f t="shared" si="2047"/>
        <v>5</v>
      </c>
      <c r="AG670" s="60"/>
      <c r="AH670" s="58"/>
      <c r="AI670" s="62">
        <f t="shared" si="2048"/>
        <v>5</v>
      </c>
      <c r="AJ670" s="60"/>
      <c r="AK670" s="58"/>
      <c r="AL670" s="62">
        <f t="shared" si="2049"/>
        <v>5</v>
      </c>
      <c r="AM670" s="60"/>
      <c r="AN670" s="58"/>
      <c r="AO670" s="62">
        <f>SUM(AL670+AM670-AN670)</f>
        <v>5</v>
      </c>
      <c r="AP670" s="60"/>
      <c r="AQ670" s="58"/>
      <c r="AR670" s="62">
        <f t="shared" si="2050"/>
        <v>5</v>
      </c>
      <c r="AS670" s="60"/>
      <c r="AT670" s="58"/>
      <c r="AU670" s="62">
        <f>SUM(AR670+AS670-AT670)</f>
        <v>5</v>
      </c>
      <c r="AV670" s="96">
        <f t="shared" ref="AV670" si="2054">SUM(L670+O670+R670+U670+X670+AA670+AD670+AG670+AJ670+AM670+AP670+AS670)</f>
        <v>0</v>
      </c>
      <c r="AW670" s="83">
        <f t="shared" si="2002"/>
        <v>0</v>
      </c>
      <c r="AX670" s="98">
        <f>SUM(M670,P670,S670,V670,Y670,AB670,AE670,AH670,AK670,AN670,AQ670,AT670)</f>
        <v>0</v>
      </c>
      <c r="AY670" s="99" t="e">
        <f t="shared" si="2052"/>
        <v>#DIV/0!</v>
      </c>
      <c r="AZ670" s="100">
        <f t="shared" si="2053"/>
        <v>0</v>
      </c>
      <c r="BA670" s="101">
        <v>4</v>
      </c>
      <c r="BB670" s="102">
        <f t="shared" ref="BB670" si="2055">MIN(M670,P670,S670,V670,Y670,AB670,AE670,AH670,AK670,AN670,AQ670,AT670)</f>
        <v>0</v>
      </c>
      <c r="BC670" s="84">
        <f t="shared" si="2003"/>
        <v>5</v>
      </c>
      <c r="BD670" s="83">
        <f t="shared" si="2004"/>
        <v>5</v>
      </c>
      <c r="BE670" s="85">
        <v>2</v>
      </c>
      <c r="BF670" s="86">
        <v>45454.495972222219</v>
      </c>
      <c r="BG670" s="72" t="e">
        <f t="shared" si="1941"/>
        <v>#REF!</v>
      </c>
      <c r="BH670" s="103" t="e">
        <f>BG670-BF670</f>
        <v>#REF!</v>
      </c>
      <c r="BI670" s="80" t="e">
        <f t="shared" si="2005"/>
        <v>#REF!</v>
      </c>
      <c r="BJ670" s="238">
        <v>35625</v>
      </c>
    </row>
    <row r="671" spans="1:62" ht="13">
      <c r="A671" s="49"/>
      <c r="B671" s="50"/>
      <c r="C671" s="77">
        <v>669</v>
      </c>
      <c r="D671" s="145" t="s">
        <v>1923</v>
      </c>
      <c r="E671" s="145">
        <v>3</v>
      </c>
      <c r="F671" s="105" t="s">
        <v>32</v>
      </c>
      <c r="G671" s="112" t="s">
        <v>966</v>
      </c>
      <c r="H671" s="81" t="s">
        <v>302</v>
      </c>
      <c r="I671" s="80" t="s">
        <v>33</v>
      </c>
      <c r="J671" s="82">
        <f t="shared" si="2041"/>
        <v>1</v>
      </c>
      <c r="K671" s="80">
        <v>2</v>
      </c>
      <c r="L671" s="57"/>
      <c r="M671" s="58"/>
      <c r="N671" s="59">
        <f t="shared" ref="N671" si="2056">SUM(K671+L671-M671)</f>
        <v>2</v>
      </c>
      <c r="O671" s="60"/>
      <c r="P671" s="58"/>
      <c r="Q671" s="59">
        <f t="shared" si="2042"/>
        <v>2</v>
      </c>
      <c r="R671" s="60"/>
      <c r="S671" s="58">
        <v>1</v>
      </c>
      <c r="T671" s="61">
        <f t="shared" si="2043"/>
        <v>1</v>
      </c>
      <c r="U671" s="60"/>
      <c r="V671" s="58"/>
      <c r="W671" s="59">
        <f t="shared" si="2044"/>
        <v>1</v>
      </c>
      <c r="X671" s="60"/>
      <c r="Y671" s="58"/>
      <c r="Z671" s="61">
        <f t="shared" si="2045"/>
        <v>1</v>
      </c>
      <c r="AA671" s="60"/>
      <c r="AB671" s="58"/>
      <c r="AC671" s="59">
        <f t="shared" si="2046"/>
        <v>1</v>
      </c>
      <c r="AD671" s="57"/>
      <c r="AE671" s="58"/>
      <c r="AF671" s="243">
        <f t="shared" si="2047"/>
        <v>1</v>
      </c>
      <c r="AG671" s="60">
        <v>1</v>
      </c>
      <c r="AH671" s="58">
        <v>1</v>
      </c>
      <c r="AI671" s="62">
        <f t="shared" si="2048"/>
        <v>1</v>
      </c>
      <c r="AJ671" s="60"/>
      <c r="AK671" s="58"/>
      <c r="AL671" s="62">
        <f t="shared" si="2049"/>
        <v>1</v>
      </c>
      <c r="AM671" s="60"/>
      <c r="AN671" s="58"/>
      <c r="AO671" s="62">
        <f t="shared" ref="AO671" si="2057">SUM(AL671+AM671-AN671)</f>
        <v>1</v>
      </c>
      <c r="AP671" s="60"/>
      <c r="AQ671" s="58"/>
      <c r="AR671" s="62">
        <f t="shared" si="2050"/>
        <v>1</v>
      </c>
      <c r="AS671" s="60"/>
      <c r="AT671" s="58"/>
      <c r="AU671" s="62">
        <f t="shared" ref="AU671" si="2058">SUM(AR671+AS671-AT671)</f>
        <v>1</v>
      </c>
      <c r="AV671" s="83">
        <f>SUM(L671+O671+R671+U671+X671+AA671+AD671+AG671+AJ671+AM671+AP671+AS671)</f>
        <v>1</v>
      </c>
      <c r="AW671" s="83">
        <f t="shared" si="2002"/>
        <v>2</v>
      </c>
      <c r="AX671" s="64">
        <f t="shared" ref="AX671" si="2059">SUM(M671,P671,S671,V671,Y671,AB671,AE671,AH671,AK671,AN671,AQ671,AT671)</f>
        <v>2</v>
      </c>
      <c r="AY671" s="65">
        <f t="shared" si="2052"/>
        <v>1</v>
      </c>
      <c r="AZ671" s="66">
        <f t="shared" si="2053"/>
        <v>2</v>
      </c>
      <c r="BA671" s="67">
        <v>1</v>
      </c>
      <c r="BB671" s="68">
        <v>0</v>
      </c>
      <c r="BC671" s="84">
        <f t="shared" si="2003"/>
        <v>1</v>
      </c>
      <c r="BD671" s="83">
        <f t="shared" si="2004"/>
        <v>1</v>
      </c>
      <c r="BE671" s="85">
        <v>2</v>
      </c>
      <c r="BF671" s="86">
        <v>46242</v>
      </c>
      <c r="BG671" s="72" t="e">
        <f t="shared" si="1941"/>
        <v>#REF!</v>
      </c>
      <c r="BH671" s="87" t="e">
        <f t="shared" ref="BH671" si="2060">BG671-BF671</f>
        <v>#REF!</v>
      </c>
      <c r="BI671" s="80" t="e">
        <f t="shared" si="2005"/>
        <v>#REF!</v>
      </c>
      <c r="BJ671" s="238">
        <v>5500</v>
      </c>
    </row>
    <row r="672" spans="1:62" ht="13">
      <c r="A672" s="49"/>
      <c r="B672" s="76"/>
      <c r="C672" s="51">
        <v>670</v>
      </c>
      <c r="D672" s="145" t="s">
        <v>1923</v>
      </c>
      <c r="E672" s="145">
        <v>3</v>
      </c>
      <c r="F672" s="88" t="s">
        <v>1544</v>
      </c>
      <c r="G672" s="89" t="s">
        <v>1545</v>
      </c>
      <c r="H672" s="89" t="s">
        <v>1546</v>
      </c>
      <c r="I672" s="80" t="s">
        <v>458</v>
      </c>
      <c r="J672" s="93">
        <f t="shared" si="2041"/>
        <v>1</v>
      </c>
      <c r="K672" s="88">
        <v>2</v>
      </c>
      <c r="L672" s="58">
        <v>1</v>
      </c>
      <c r="M672" s="58">
        <f>1+1</f>
        <v>2</v>
      </c>
      <c r="N672" s="62">
        <f>SUM(K672+L672-M672)</f>
        <v>1</v>
      </c>
      <c r="O672" s="60"/>
      <c r="P672" s="58"/>
      <c r="Q672" s="62">
        <f t="shared" si="2042"/>
        <v>1</v>
      </c>
      <c r="R672" s="60"/>
      <c r="S672" s="58"/>
      <c r="T672" s="94">
        <f t="shared" si="2043"/>
        <v>1</v>
      </c>
      <c r="U672" s="60"/>
      <c r="V672" s="58"/>
      <c r="W672" s="62">
        <f t="shared" si="2044"/>
        <v>1</v>
      </c>
      <c r="X672" s="60"/>
      <c r="Y672" s="58"/>
      <c r="Z672" s="94">
        <f t="shared" si="2045"/>
        <v>1</v>
      </c>
      <c r="AA672" s="60"/>
      <c r="AB672" s="58"/>
      <c r="AC672" s="62">
        <f t="shared" si="2046"/>
        <v>1</v>
      </c>
      <c r="AD672" s="57"/>
      <c r="AE672" s="58"/>
      <c r="AF672" s="165">
        <f t="shared" si="2047"/>
        <v>1</v>
      </c>
      <c r="AG672" s="60"/>
      <c r="AH672" s="58"/>
      <c r="AI672" s="62">
        <f t="shared" si="2048"/>
        <v>1</v>
      </c>
      <c r="AJ672" s="60"/>
      <c r="AK672" s="58"/>
      <c r="AL672" s="62">
        <f t="shared" si="2049"/>
        <v>1</v>
      </c>
      <c r="AM672" s="60"/>
      <c r="AN672" s="58"/>
      <c r="AO672" s="62">
        <f>SUM(AL672+AM672-AN672)</f>
        <v>1</v>
      </c>
      <c r="AP672" s="60"/>
      <c r="AQ672" s="58"/>
      <c r="AR672" s="62">
        <f t="shared" si="2050"/>
        <v>1</v>
      </c>
      <c r="AS672" s="60"/>
      <c r="AT672" s="58"/>
      <c r="AU672" s="62">
        <f>SUM(AR672+AS672-AT672)</f>
        <v>1</v>
      </c>
      <c r="AV672" s="96">
        <f t="shared" ref="AV672" si="2061">SUM(L672+O672+R672+U672+X672+AA672+AD672+AG672+AJ672+AM672+AP672+AS672)</f>
        <v>1</v>
      </c>
      <c r="AW672" s="83">
        <f t="shared" si="2002"/>
        <v>2</v>
      </c>
      <c r="AX672" s="98">
        <f>SUM(M672,P672,S672,V672,Y672,AB672,AE672,AH672,AK672,AN672,AQ672,AT672)</f>
        <v>2</v>
      </c>
      <c r="AY672" s="99">
        <f t="shared" si="2052"/>
        <v>2</v>
      </c>
      <c r="AZ672" s="100">
        <f t="shared" si="2053"/>
        <v>1</v>
      </c>
      <c r="BA672" s="101">
        <v>1</v>
      </c>
      <c r="BB672" s="102">
        <v>0</v>
      </c>
      <c r="BC672" s="84">
        <f t="shared" si="2003"/>
        <v>1</v>
      </c>
      <c r="BD672" s="83">
        <f t="shared" si="2004"/>
        <v>1</v>
      </c>
      <c r="BE672" s="85">
        <v>2</v>
      </c>
      <c r="BF672" s="86">
        <v>46044</v>
      </c>
      <c r="BG672" s="72" t="e">
        <f t="shared" si="1941"/>
        <v>#REF!</v>
      </c>
      <c r="BH672" s="103" t="e">
        <f>BG672-BF672</f>
        <v>#REF!</v>
      </c>
      <c r="BI672" s="80" t="e">
        <f t="shared" si="2005"/>
        <v>#REF!</v>
      </c>
      <c r="BJ672" s="238">
        <v>42800</v>
      </c>
    </row>
    <row r="673" spans="1:62" ht="13">
      <c r="A673" s="49"/>
      <c r="B673" s="50"/>
      <c r="C673" s="51">
        <v>671</v>
      </c>
      <c r="D673" s="145" t="s">
        <v>1923</v>
      </c>
      <c r="E673" s="145">
        <v>4</v>
      </c>
      <c r="F673" s="88" t="s">
        <v>1965</v>
      </c>
      <c r="G673" s="89" t="s">
        <v>1966</v>
      </c>
      <c r="H673" s="89" t="s">
        <v>1542</v>
      </c>
      <c r="I673" s="80" t="s">
        <v>799</v>
      </c>
      <c r="J673" s="93">
        <f t="shared" si="2041"/>
        <v>1</v>
      </c>
      <c r="K673" s="88">
        <v>0</v>
      </c>
      <c r="L673" s="58"/>
      <c r="M673" s="58"/>
      <c r="N673" s="62">
        <f>SUM(K673+L673-M673)</f>
        <v>0</v>
      </c>
      <c r="O673" s="60"/>
      <c r="P673" s="58"/>
      <c r="Q673" s="62">
        <f t="shared" si="2042"/>
        <v>0</v>
      </c>
      <c r="R673" s="60"/>
      <c r="S673" s="58"/>
      <c r="T673" s="94">
        <f t="shared" si="2043"/>
        <v>0</v>
      </c>
      <c r="U673" s="60"/>
      <c r="V673" s="58"/>
      <c r="W673" s="62">
        <f t="shared" si="2044"/>
        <v>0</v>
      </c>
      <c r="X673" s="60"/>
      <c r="Y673" s="58"/>
      <c r="Z673" s="94">
        <f t="shared" si="2045"/>
        <v>0</v>
      </c>
      <c r="AA673" s="60">
        <v>1</v>
      </c>
      <c r="AB673" s="58"/>
      <c r="AC673" s="62">
        <f t="shared" si="2046"/>
        <v>1</v>
      </c>
      <c r="AD673" s="57"/>
      <c r="AE673" s="58"/>
      <c r="AF673" s="165">
        <f t="shared" si="2047"/>
        <v>1</v>
      </c>
      <c r="AG673" s="60"/>
      <c r="AH673" s="58"/>
      <c r="AI673" s="62">
        <f t="shared" si="2048"/>
        <v>1</v>
      </c>
      <c r="AJ673" s="60"/>
      <c r="AK673" s="58"/>
      <c r="AL673" s="62">
        <f t="shared" si="2049"/>
        <v>1</v>
      </c>
      <c r="AM673" s="60"/>
      <c r="AN673" s="58"/>
      <c r="AO673" s="62">
        <f>SUM(AL673+AM673-AN673)</f>
        <v>1</v>
      </c>
      <c r="AP673" s="60"/>
      <c r="AQ673" s="58"/>
      <c r="AR673" s="62">
        <f t="shared" si="2050"/>
        <v>1</v>
      </c>
      <c r="AS673" s="60"/>
      <c r="AT673" s="58"/>
      <c r="AU673" s="62">
        <f>SUM(AR673+AS673-AT673)</f>
        <v>1</v>
      </c>
      <c r="AV673" s="96">
        <f>SUM(L673+O673+R673+U673+X673+AA673+AD673+AG673+AJ673+AM673+AP673+AS673)</f>
        <v>1</v>
      </c>
      <c r="AW673" s="83">
        <f t="shared" si="2002"/>
        <v>0</v>
      </c>
      <c r="AX673" s="98">
        <f>SUM(M673,P673,S673,V673,Y673,AB673,AE673,AH673,AK673,AN673,AQ673,AT673)</f>
        <v>0</v>
      </c>
      <c r="AY673" s="99" t="e">
        <f t="shared" si="2052"/>
        <v>#DIV/0!</v>
      </c>
      <c r="AZ673" s="100">
        <f t="shared" si="2053"/>
        <v>0</v>
      </c>
      <c r="BA673" s="101">
        <v>1</v>
      </c>
      <c r="BB673" s="102">
        <v>0</v>
      </c>
      <c r="BC673" s="84">
        <f t="shared" si="2003"/>
        <v>1</v>
      </c>
      <c r="BD673" s="83">
        <f t="shared" si="2004"/>
        <v>1</v>
      </c>
      <c r="BE673" s="85">
        <v>2</v>
      </c>
      <c r="BF673" s="86">
        <v>46182</v>
      </c>
      <c r="BG673" s="72" t="e">
        <f t="shared" si="1941"/>
        <v>#REF!</v>
      </c>
      <c r="BH673" s="103" t="e">
        <f>BG673-BF673</f>
        <v>#REF!</v>
      </c>
      <c r="BI673" s="80" t="e">
        <f t="shared" si="2005"/>
        <v>#REF!</v>
      </c>
      <c r="BJ673" s="238">
        <v>8700</v>
      </c>
    </row>
    <row r="674" spans="1:62" ht="13">
      <c r="A674" s="90"/>
      <c r="B674" s="91"/>
      <c r="C674" s="51">
        <v>672</v>
      </c>
      <c r="D674" s="145" t="s">
        <v>1923</v>
      </c>
      <c r="E674" s="145">
        <v>4</v>
      </c>
      <c r="F674" s="80" t="s">
        <v>170</v>
      </c>
      <c r="G674" s="81" t="s">
        <v>171</v>
      </c>
      <c r="H674" s="81" t="s">
        <v>1502</v>
      </c>
      <c r="I674" s="80" t="s">
        <v>458</v>
      </c>
      <c r="J674" s="82">
        <f t="shared" si="2041"/>
        <v>2</v>
      </c>
      <c r="K674" s="80">
        <v>2</v>
      </c>
      <c r="L674" s="57"/>
      <c r="M674" s="58"/>
      <c r="N674" s="59">
        <f>SUM(K674+L674-M674)</f>
        <v>2</v>
      </c>
      <c r="O674" s="60"/>
      <c r="P674" s="58"/>
      <c r="Q674" s="59">
        <f t="shared" si="2042"/>
        <v>2</v>
      </c>
      <c r="R674" s="60"/>
      <c r="S674" s="58"/>
      <c r="T674" s="61">
        <f t="shared" si="2043"/>
        <v>2</v>
      </c>
      <c r="U674" s="60"/>
      <c r="V674" s="58"/>
      <c r="W674" s="59">
        <f t="shared" si="2044"/>
        <v>2</v>
      </c>
      <c r="X674" s="60"/>
      <c r="Y674" s="58"/>
      <c r="Z674" s="61">
        <f t="shared" si="2045"/>
        <v>2</v>
      </c>
      <c r="AA674" s="60"/>
      <c r="AB674" s="58"/>
      <c r="AC674" s="59">
        <f t="shared" si="2046"/>
        <v>2</v>
      </c>
      <c r="AD674" s="57"/>
      <c r="AE674" s="58"/>
      <c r="AF674" s="243">
        <f t="shared" si="2047"/>
        <v>2</v>
      </c>
      <c r="AG674" s="60"/>
      <c r="AH674" s="58"/>
      <c r="AI674" s="62">
        <f t="shared" si="2048"/>
        <v>2</v>
      </c>
      <c r="AJ674" s="60"/>
      <c r="AK674" s="58"/>
      <c r="AL674" s="62">
        <f t="shared" si="2049"/>
        <v>2</v>
      </c>
      <c r="AM674" s="60"/>
      <c r="AN674" s="58"/>
      <c r="AO674" s="62">
        <f>SUM(AL674+AM674-AN674)</f>
        <v>2</v>
      </c>
      <c r="AP674" s="60"/>
      <c r="AQ674" s="58"/>
      <c r="AR674" s="104">
        <f t="shared" si="2050"/>
        <v>2</v>
      </c>
      <c r="AS674" s="57"/>
      <c r="AT674" s="58"/>
      <c r="AU674" s="62">
        <f>SUM(AR674+AS674-AT674)</f>
        <v>2</v>
      </c>
      <c r="AV674" s="83">
        <f>SUM(L674+O674+R674+U674+X674+AA674+AD674+AG674+AJ674+AM674+AP674+AS674)</f>
        <v>0</v>
      </c>
      <c r="AW674" s="83">
        <f t="shared" si="2002"/>
        <v>0</v>
      </c>
      <c r="AX674" s="64">
        <f>SUM(M674,P674,S674,V674,Y674,AB674,AE674,AH674,AK674,AN674,AQ674,AT674)</f>
        <v>0</v>
      </c>
      <c r="AY674" s="65" t="e">
        <f t="shared" si="2052"/>
        <v>#DIV/0!</v>
      </c>
      <c r="AZ674" s="66">
        <f t="shared" si="2053"/>
        <v>0</v>
      </c>
      <c r="BA674" s="67">
        <v>2</v>
      </c>
      <c r="BB674" s="68">
        <v>1</v>
      </c>
      <c r="BC674" s="84">
        <f t="shared" si="2003"/>
        <v>2</v>
      </c>
      <c r="BD674" s="83">
        <f t="shared" si="2004"/>
        <v>1</v>
      </c>
      <c r="BE674" s="85">
        <v>2</v>
      </c>
      <c r="BF674" s="86">
        <v>44582.531226851854</v>
      </c>
      <c r="BG674" s="72" t="e">
        <f t="shared" si="1941"/>
        <v>#REF!</v>
      </c>
      <c r="BH674" s="107" t="e">
        <f>BG674-BF674</f>
        <v>#REF!</v>
      </c>
      <c r="BI674" s="80" t="e">
        <f t="shared" si="2005"/>
        <v>#REF!</v>
      </c>
      <c r="BJ674" s="238">
        <v>17000</v>
      </c>
    </row>
    <row r="675" spans="1:62" ht="13">
      <c r="A675" s="90"/>
      <c r="B675" s="91"/>
      <c r="C675" s="51">
        <v>673</v>
      </c>
      <c r="D675" s="145" t="s">
        <v>1923</v>
      </c>
      <c r="E675" s="145">
        <v>4</v>
      </c>
      <c r="F675" s="88" t="s">
        <v>1592</v>
      </c>
      <c r="G675" s="89" t="s">
        <v>1593</v>
      </c>
      <c r="H675" s="89" t="s">
        <v>1594</v>
      </c>
      <c r="I675" s="80" t="s">
        <v>458</v>
      </c>
      <c r="J675" s="93">
        <f t="shared" ref="J675" si="2062">AU675</f>
        <v>1</v>
      </c>
      <c r="K675" s="88">
        <v>1</v>
      </c>
      <c r="L675" s="58"/>
      <c r="M675" s="58"/>
      <c r="N675" s="62">
        <f t="shared" ref="N675" si="2063">SUM(K675+L675-M675)</f>
        <v>1</v>
      </c>
      <c r="O675" s="60"/>
      <c r="P675" s="58"/>
      <c r="Q675" s="62">
        <f t="shared" ref="Q675" si="2064">SUM(N675+O675-P675)</f>
        <v>1</v>
      </c>
      <c r="R675" s="60"/>
      <c r="S675" s="58"/>
      <c r="T675" s="94">
        <f t="shared" ref="T675" si="2065">SUM(Q675+R675-S675)</f>
        <v>1</v>
      </c>
      <c r="U675" s="60"/>
      <c r="V675" s="58"/>
      <c r="W675" s="62">
        <f t="shared" ref="W675" si="2066">SUM(T675+U675-V675)</f>
        <v>1</v>
      </c>
      <c r="X675" s="60"/>
      <c r="Y675" s="58"/>
      <c r="Z675" s="94">
        <f t="shared" ref="Z675" si="2067">SUM(W675+X675-Y675)</f>
        <v>1</v>
      </c>
      <c r="AA675" s="60"/>
      <c r="AB675" s="58"/>
      <c r="AC675" s="62">
        <f t="shared" ref="AC675" si="2068">SUM(Z675+AA675-AB675)</f>
        <v>1</v>
      </c>
      <c r="AD675" s="57"/>
      <c r="AE675" s="58"/>
      <c r="AF675" s="165">
        <f t="shared" ref="AF675" si="2069">SUM(AC675+AD675-AE675)</f>
        <v>1</v>
      </c>
      <c r="AG675" s="60"/>
      <c r="AH675" s="58"/>
      <c r="AI675" s="62">
        <f t="shared" ref="AI675" si="2070">SUM(AF675+AG675-AH675)</f>
        <v>1</v>
      </c>
      <c r="AJ675" s="60"/>
      <c r="AK675" s="58"/>
      <c r="AL675" s="62">
        <f t="shared" ref="AL675" si="2071">SUM(AI675+AJ675-AK675)</f>
        <v>1</v>
      </c>
      <c r="AM675" s="60"/>
      <c r="AN675" s="58"/>
      <c r="AO675" s="62">
        <f t="shared" ref="AO675" si="2072">SUM(AL675+AM675-AN675)</f>
        <v>1</v>
      </c>
      <c r="AP675" s="60"/>
      <c r="AQ675" s="58"/>
      <c r="AR675" s="62">
        <f t="shared" ref="AR675" si="2073">SUM(AO675+AP675-AQ675)</f>
        <v>1</v>
      </c>
      <c r="AS675" s="60"/>
      <c r="AT675" s="58"/>
      <c r="AU675" s="62">
        <f t="shared" ref="AU675" si="2074">SUM(AR675+AS675-AT675)</f>
        <v>1</v>
      </c>
      <c r="AV675" s="96">
        <f t="shared" ref="AV675" si="2075">SUM(L675+O675+R675+U675+X675+AA675+AD675+AG675+AJ675+AM675+AP675+AS675)</f>
        <v>0</v>
      </c>
      <c r="AW675" s="83">
        <f t="shared" si="2002"/>
        <v>0</v>
      </c>
      <c r="AX675" s="98">
        <f t="shared" ref="AX675" si="2076">SUM(M675,P675,S675,V675,Y675,AB675,AE675,AH675,AK675,AN675,AQ675,AT675)</f>
        <v>0</v>
      </c>
      <c r="AY675" s="99" t="e">
        <f t="shared" ref="AY675" si="2077">AVERAGE(M675,P675,S675,V675,Y675,AB675,AE675,AH675,AK675,AN675,AQ675,AT675)</f>
        <v>#DIV/0!</v>
      </c>
      <c r="AZ675" s="100">
        <f t="shared" ref="AZ675" si="2078">COUNT(M675,P675,S675,V675,Y675,AB675,AE675,AH675,AK675,AN675,AQ675,AT675)</f>
        <v>0</v>
      </c>
      <c r="BA675" s="101">
        <v>1</v>
      </c>
      <c r="BB675" s="102">
        <v>0</v>
      </c>
      <c r="BC675" s="84">
        <f t="shared" si="2003"/>
        <v>1</v>
      </c>
      <c r="BD675" s="83">
        <f t="shared" si="2004"/>
        <v>1</v>
      </c>
      <c r="BE675" s="85">
        <v>2</v>
      </c>
      <c r="BF675" s="86">
        <v>45513.47011574074</v>
      </c>
      <c r="BG675" s="72" t="e">
        <f t="shared" si="1941"/>
        <v>#REF!</v>
      </c>
      <c r="BH675" s="103" t="e">
        <f t="shared" ref="BH675" si="2079">BG675-BF675</f>
        <v>#REF!</v>
      </c>
      <c r="BI675" s="80" t="e">
        <f t="shared" si="2005"/>
        <v>#REF!</v>
      </c>
      <c r="BJ675" s="238">
        <v>65065</v>
      </c>
    </row>
    <row r="676" spans="1:62" ht="13">
      <c r="A676" s="49"/>
      <c r="B676" s="50"/>
      <c r="C676" s="77">
        <v>674</v>
      </c>
      <c r="D676" s="145" t="s">
        <v>1923</v>
      </c>
      <c r="E676" s="145">
        <v>4</v>
      </c>
      <c r="F676" s="80" t="s">
        <v>1038</v>
      </c>
      <c r="G676" s="81" t="s">
        <v>1039</v>
      </c>
      <c r="H676" s="81" t="s">
        <v>294</v>
      </c>
      <c r="I676" s="80" t="s">
        <v>458</v>
      </c>
      <c r="J676" s="82">
        <f t="shared" ref="J676:J685" si="2080">AU676</f>
        <v>1</v>
      </c>
      <c r="K676" s="80">
        <v>1</v>
      </c>
      <c r="L676" s="57"/>
      <c r="M676" s="58"/>
      <c r="N676" s="59">
        <f t="shared" ref="N676:N685" si="2081">SUM(K676+L676-M676)</f>
        <v>1</v>
      </c>
      <c r="O676" s="60"/>
      <c r="P676" s="58"/>
      <c r="Q676" s="59">
        <f t="shared" ref="Q676:Q685" si="2082">SUM(N676+O676-P676)</f>
        <v>1</v>
      </c>
      <c r="R676" s="60"/>
      <c r="S676" s="58"/>
      <c r="T676" s="61">
        <f t="shared" ref="T676:T685" si="2083">SUM(Q676+R676-S676)</f>
        <v>1</v>
      </c>
      <c r="U676" s="60"/>
      <c r="V676" s="58"/>
      <c r="W676" s="59">
        <f t="shared" ref="W676:W685" si="2084">SUM(T676+U676-V676)</f>
        <v>1</v>
      </c>
      <c r="X676" s="60"/>
      <c r="Y676" s="58"/>
      <c r="Z676" s="61">
        <f t="shared" ref="Z676:Z685" si="2085">SUM(W676+X676-Y676)</f>
        <v>1</v>
      </c>
      <c r="AA676" s="60"/>
      <c r="AB676" s="58"/>
      <c r="AC676" s="59">
        <f t="shared" ref="AC676:AC685" si="2086">SUM(Z676+AA676-AB676)</f>
        <v>1</v>
      </c>
      <c r="AD676" s="57"/>
      <c r="AE676" s="58"/>
      <c r="AF676" s="243">
        <f t="shared" ref="AF676:AF685" si="2087">SUM(AC676+AD676-AE676)</f>
        <v>1</v>
      </c>
      <c r="AG676" s="60"/>
      <c r="AH676" s="58"/>
      <c r="AI676" s="62">
        <f t="shared" ref="AI676:AI685" si="2088">SUM(AF676+AG676-AH676)</f>
        <v>1</v>
      </c>
      <c r="AJ676" s="60"/>
      <c r="AK676" s="58"/>
      <c r="AL676" s="62">
        <f t="shared" ref="AL676:AL685" si="2089">SUM(AI676+AJ676-AK676)</f>
        <v>1</v>
      </c>
      <c r="AM676" s="60"/>
      <c r="AN676" s="58"/>
      <c r="AO676" s="62">
        <f t="shared" ref="AO676:AO685" si="2090">SUM(AL676+AM676-AN676)</f>
        <v>1</v>
      </c>
      <c r="AP676" s="60"/>
      <c r="AQ676" s="58"/>
      <c r="AR676" s="104">
        <f t="shared" ref="AR676:AR685" si="2091">SUM(AO676+AP676-AQ676)</f>
        <v>1</v>
      </c>
      <c r="AS676" s="57"/>
      <c r="AT676" s="58"/>
      <c r="AU676" s="62">
        <f t="shared" ref="AU676:AU685" si="2092">SUM(AR676+AS676-AT676)</f>
        <v>1</v>
      </c>
      <c r="AV676" s="128">
        <f>SUM(L676+O676+R676+U676+X676+AA676+AD676+AG676+AJ676+AM676+AP676+AS676)</f>
        <v>0</v>
      </c>
      <c r="AW676" s="83">
        <f t="shared" si="2002"/>
        <v>0</v>
      </c>
      <c r="AX676" s="64">
        <f t="shared" ref="AX676:AX685" si="2093">SUM(M676,P676,S676,V676,Y676,AB676,AE676,AH676,AK676,AN676,AQ676,AT676)</f>
        <v>0</v>
      </c>
      <c r="AY676" s="65" t="e">
        <f t="shared" ref="AY676:AY685" si="2094">AVERAGE(M676,P676,S676,V676,Y676,AB676,AE676,AH676,AK676,AN676,AQ676,AT676)</f>
        <v>#DIV/0!</v>
      </c>
      <c r="AZ676" s="66">
        <f t="shared" ref="AZ676:AZ685" si="2095">COUNT(M676,P676,S676,V676,Y676,AB676,AE676,AH676,AK676,AN676,AQ676,AT676)</f>
        <v>0</v>
      </c>
      <c r="BA676" s="67">
        <f>MAX(0, Table176252626[[#This Row],[Column6]])</f>
        <v>1</v>
      </c>
      <c r="BB676" s="68">
        <v>0</v>
      </c>
      <c r="BC676" s="84">
        <f t="shared" si="2003"/>
        <v>1</v>
      </c>
      <c r="BD676" s="83">
        <f t="shared" si="2004"/>
        <v>1</v>
      </c>
      <c r="BE676" s="85">
        <v>2</v>
      </c>
      <c r="BF676" s="86">
        <v>45888</v>
      </c>
      <c r="BG676" s="72" t="e">
        <f t="shared" si="1941"/>
        <v>#REF!</v>
      </c>
      <c r="BH676" s="87" t="e">
        <f t="shared" ref="BH676:BH685" si="2096">BG676-BF676</f>
        <v>#REF!</v>
      </c>
      <c r="BI676" s="80" t="e">
        <f t="shared" si="2005"/>
        <v>#REF!</v>
      </c>
      <c r="BJ676" s="238">
        <v>114300</v>
      </c>
    </row>
    <row r="677" spans="1:62" ht="13">
      <c r="A677" s="75"/>
      <c r="B677" s="76"/>
      <c r="C677" s="77">
        <v>675</v>
      </c>
      <c r="D677" s="145" t="s">
        <v>1923</v>
      </c>
      <c r="E677" s="145">
        <v>4</v>
      </c>
      <c r="F677" s="80" t="s">
        <v>227</v>
      </c>
      <c r="G677" s="81" t="s">
        <v>1727</v>
      </c>
      <c r="H677" s="81" t="s">
        <v>300</v>
      </c>
      <c r="I677" s="80" t="s">
        <v>2</v>
      </c>
      <c r="J677" s="82">
        <f t="shared" si="2080"/>
        <v>1</v>
      </c>
      <c r="K677" s="80">
        <v>1</v>
      </c>
      <c r="L677" s="57"/>
      <c r="M677" s="58"/>
      <c r="N677" s="59">
        <f t="shared" si="2081"/>
        <v>1</v>
      </c>
      <c r="O677" s="60"/>
      <c r="P677" s="58"/>
      <c r="Q677" s="59">
        <f t="shared" si="2082"/>
        <v>1</v>
      </c>
      <c r="R677" s="60"/>
      <c r="S677" s="58"/>
      <c r="T677" s="61">
        <f t="shared" si="2083"/>
        <v>1</v>
      </c>
      <c r="U677" s="60"/>
      <c r="V677" s="58"/>
      <c r="W677" s="59">
        <f t="shared" si="2084"/>
        <v>1</v>
      </c>
      <c r="X677" s="60"/>
      <c r="Y677" s="58"/>
      <c r="Z677" s="61">
        <f t="shared" si="2085"/>
        <v>1</v>
      </c>
      <c r="AA677" s="60"/>
      <c r="AB677" s="58"/>
      <c r="AC677" s="59">
        <f t="shared" si="2086"/>
        <v>1</v>
      </c>
      <c r="AD677" s="57"/>
      <c r="AE677" s="58"/>
      <c r="AF677" s="243">
        <f t="shared" si="2087"/>
        <v>1</v>
      </c>
      <c r="AG677" s="60"/>
      <c r="AH677" s="58"/>
      <c r="AI677" s="62">
        <f t="shared" si="2088"/>
        <v>1</v>
      </c>
      <c r="AJ677" s="60"/>
      <c r="AK677" s="58"/>
      <c r="AL677" s="62">
        <f t="shared" si="2089"/>
        <v>1</v>
      </c>
      <c r="AM677" s="60"/>
      <c r="AN677" s="58"/>
      <c r="AO677" s="62">
        <f t="shared" si="2090"/>
        <v>1</v>
      </c>
      <c r="AP677" s="60"/>
      <c r="AQ677" s="58"/>
      <c r="AR677" s="62">
        <f t="shared" si="2091"/>
        <v>1</v>
      </c>
      <c r="AS677" s="60"/>
      <c r="AT677" s="58"/>
      <c r="AU677" s="62">
        <f t="shared" si="2092"/>
        <v>1</v>
      </c>
      <c r="AV677" s="83">
        <f t="shared" ref="AV677:AV678" si="2097">SUM(L677+O677+R677+U677+X677+AA677+AD677+AG677+AJ677+AM677+AP677+AS677)</f>
        <v>0</v>
      </c>
      <c r="AW677" s="83">
        <f t="shared" si="2002"/>
        <v>0</v>
      </c>
      <c r="AX677" s="64">
        <f t="shared" si="2093"/>
        <v>0</v>
      </c>
      <c r="AY677" s="65" t="e">
        <f t="shared" si="2094"/>
        <v>#DIV/0!</v>
      </c>
      <c r="AZ677" s="66">
        <f t="shared" si="2095"/>
        <v>0</v>
      </c>
      <c r="BA677" s="67">
        <f>MAX(0, Table176252626[[#This Row],[Column6]])</f>
        <v>1</v>
      </c>
      <c r="BB677" s="68">
        <v>0</v>
      </c>
      <c r="BC677" s="84">
        <f t="shared" si="2003"/>
        <v>1</v>
      </c>
      <c r="BD677" s="83">
        <f t="shared" si="2004"/>
        <v>1</v>
      </c>
      <c r="BE677" s="85">
        <v>2</v>
      </c>
      <c r="BF677" s="86">
        <v>43070.653368055559</v>
      </c>
      <c r="BG677" s="72" t="e">
        <f t="shared" si="1941"/>
        <v>#REF!</v>
      </c>
      <c r="BH677" s="87" t="e">
        <f t="shared" si="2096"/>
        <v>#REF!</v>
      </c>
      <c r="BI677" s="80" t="e">
        <f t="shared" si="2005"/>
        <v>#REF!</v>
      </c>
      <c r="BJ677" s="238">
        <v>47000</v>
      </c>
    </row>
    <row r="678" spans="1:62" ht="13">
      <c r="A678" s="49"/>
      <c r="B678" s="50"/>
      <c r="C678" s="51">
        <v>676</v>
      </c>
      <c r="D678" s="145" t="s">
        <v>1923</v>
      </c>
      <c r="E678" s="145">
        <v>4</v>
      </c>
      <c r="F678" s="88" t="s">
        <v>1028</v>
      </c>
      <c r="G678" s="89" t="s">
        <v>1029</v>
      </c>
      <c r="H678" s="81" t="s">
        <v>297</v>
      </c>
      <c r="I678" s="80" t="s">
        <v>458</v>
      </c>
      <c r="J678" s="82">
        <f t="shared" si="2080"/>
        <v>1</v>
      </c>
      <c r="K678" s="88">
        <v>1</v>
      </c>
      <c r="L678" s="57"/>
      <c r="M678" s="58"/>
      <c r="N678" s="59">
        <f t="shared" si="2081"/>
        <v>1</v>
      </c>
      <c r="O678" s="60"/>
      <c r="P678" s="58"/>
      <c r="Q678" s="59">
        <f t="shared" si="2082"/>
        <v>1</v>
      </c>
      <c r="R678" s="60"/>
      <c r="S678" s="58"/>
      <c r="T678" s="61">
        <f t="shared" si="2083"/>
        <v>1</v>
      </c>
      <c r="U678" s="60"/>
      <c r="V678" s="58"/>
      <c r="W678" s="59">
        <f t="shared" si="2084"/>
        <v>1</v>
      </c>
      <c r="X678" s="60"/>
      <c r="Y678" s="58"/>
      <c r="Z678" s="61">
        <f t="shared" si="2085"/>
        <v>1</v>
      </c>
      <c r="AA678" s="60"/>
      <c r="AB678" s="58"/>
      <c r="AC678" s="59">
        <f t="shared" si="2086"/>
        <v>1</v>
      </c>
      <c r="AD678" s="57"/>
      <c r="AE678" s="58"/>
      <c r="AF678" s="243">
        <f t="shared" si="2087"/>
        <v>1</v>
      </c>
      <c r="AG678" s="60"/>
      <c r="AH678" s="58"/>
      <c r="AI678" s="62">
        <f t="shared" si="2088"/>
        <v>1</v>
      </c>
      <c r="AJ678" s="60"/>
      <c r="AK678" s="58"/>
      <c r="AL678" s="62">
        <f t="shared" si="2089"/>
        <v>1</v>
      </c>
      <c r="AM678" s="60"/>
      <c r="AN678" s="58"/>
      <c r="AO678" s="62">
        <f t="shared" si="2090"/>
        <v>1</v>
      </c>
      <c r="AP678" s="60"/>
      <c r="AQ678" s="58"/>
      <c r="AR678" s="62">
        <f t="shared" si="2091"/>
        <v>1</v>
      </c>
      <c r="AS678" s="60"/>
      <c r="AT678" s="58"/>
      <c r="AU678" s="62">
        <f t="shared" si="2092"/>
        <v>1</v>
      </c>
      <c r="AV678" s="83">
        <f t="shared" si="2097"/>
        <v>0</v>
      </c>
      <c r="AW678" s="83">
        <f t="shared" si="2002"/>
        <v>0</v>
      </c>
      <c r="AX678" s="64">
        <f t="shared" si="2093"/>
        <v>0</v>
      </c>
      <c r="AY678" s="65" t="e">
        <f t="shared" si="2094"/>
        <v>#DIV/0!</v>
      </c>
      <c r="AZ678" s="66">
        <f t="shared" si="2095"/>
        <v>0</v>
      </c>
      <c r="BA678" s="67">
        <f>MAX(0, Table176252626[[#This Row],[Column6]])</f>
        <v>1</v>
      </c>
      <c r="BB678" s="68">
        <v>0</v>
      </c>
      <c r="BC678" s="84">
        <f t="shared" si="2003"/>
        <v>1</v>
      </c>
      <c r="BD678" s="83">
        <f t="shared" si="2004"/>
        <v>1</v>
      </c>
      <c r="BE678" s="85">
        <v>2</v>
      </c>
      <c r="BF678" s="86">
        <v>44323.58017361111</v>
      </c>
      <c r="BG678" s="72" t="e">
        <f t="shared" si="1941"/>
        <v>#REF!</v>
      </c>
      <c r="BH678" s="87" t="e">
        <f t="shared" si="2096"/>
        <v>#REF!</v>
      </c>
      <c r="BI678" s="80" t="e">
        <f t="shared" si="2005"/>
        <v>#REF!</v>
      </c>
      <c r="BJ678" s="238">
        <v>270000</v>
      </c>
    </row>
    <row r="679" spans="1:62" ht="13">
      <c r="A679" s="90"/>
      <c r="B679" s="91"/>
      <c r="C679" s="51">
        <v>677</v>
      </c>
      <c r="D679" s="144" t="s">
        <v>1530</v>
      </c>
      <c r="E679" s="144">
        <v>1</v>
      </c>
      <c r="F679" s="88" t="s">
        <v>1492</v>
      </c>
      <c r="G679" s="89" t="s">
        <v>1810</v>
      </c>
      <c r="H679" s="89" t="s">
        <v>1643</v>
      </c>
      <c r="I679" s="88" t="s">
        <v>458</v>
      </c>
      <c r="J679" s="93">
        <f t="shared" si="2080"/>
        <v>2</v>
      </c>
      <c r="K679" s="88">
        <v>7</v>
      </c>
      <c r="L679" s="58"/>
      <c r="M679" s="58"/>
      <c r="N679" s="62">
        <f t="shared" si="2081"/>
        <v>7</v>
      </c>
      <c r="O679" s="60"/>
      <c r="P679" s="58"/>
      <c r="Q679" s="62">
        <f t="shared" si="2082"/>
        <v>7</v>
      </c>
      <c r="R679" s="60"/>
      <c r="S679" s="58">
        <v>3</v>
      </c>
      <c r="T679" s="94">
        <f t="shared" si="2083"/>
        <v>4</v>
      </c>
      <c r="U679" s="60"/>
      <c r="V679" s="58"/>
      <c r="W679" s="62">
        <f t="shared" si="2084"/>
        <v>4</v>
      </c>
      <c r="X679" s="60"/>
      <c r="Y679" s="58"/>
      <c r="Z679" s="94">
        <f t="shared" si="2085"/>
        <v>4</v>
      </c>
      <c r="AA679" s="60"/>
      <c r="AB679" s="58"/>
      <c r="AC679" s="62">
        <f t="shared" si="2086"/>
        <v>4</v>
      </c>
      <c r="AD679" s="57"/>
      <c r="AE679" s="58"/>
      <c r="AF679" s="165">
        <f t="shared" si="2087"/>
        <v>4</v>
      </c>
      <c r="AG679" s="60"/>
      <c r="AH679" s="58">
        <v>2</v>
      </c>
      <c r="AI679" s="62">
        <f t="shared" si="2088"/>
        <v>2</v>
      </c>
      <c r="AJ679" s="60"/>
      <c r="AK679" s="58"/>
      <c r="AL679" s="62">
        <f t="shared" si="2089"/>
        <v>2</v>
      </c>
      <c r="AM679" s="60"/>
      <c r="AN679" s="58"/>
      <c r="AO679" s="62">
        <f t="shared" si="2090"/>
        <v>2</v>
      </c>
      <c r="AP679" s="60"/>
      <c r="AQ679" s="58"/>
      <c r="AR679" s="62">
        <f t="shared" si="2091"/>
        <v>2</v>
      </c>
      <c r="AS679" s="60"/>
      <c r="AT679" s="58"/>
      <c r="AU679" s="62">
        <f t="shared" si="2092"/>
        <v>2</v>
      </c>
      <c r="AV679" s="96">
        <f>SUM(L679+O679+R679+U679+X679+AA679+AD679+AG679+AJ679+AM679+AP679+AS679)</f>
        <v>0</v>
      </c>
      <c r="AW679" s="83">
        <f t="shared" si="2002"/>
        <v>5</v>
      </c>
      <c r="AX679" s="98">
        <f t="shared" si="2093"/>
        <v>5</v>
      </c>
      <c r="AY679" s="99">
        <f t="shared" si="2094"/>
        <v>2.5</v>
      </c>
      <c r="AZ679" s="100">
        <f t="shared" si="2095"/>
        <v>2</v>
      </c>
      <c r="BA679" s="101">
        <v>3</v>
      </c>
      <c r="BB679" s="102">
        <v>1</v>
      </c>
      <c r="BC679" s="84">
        <f t="shared" si="2003"/>
        <v>2</v>
      </c>
      <c r="BD679" s="83">
        <f t="shared" si="2004"/>
        <v>1</v>
      </c>
      <c r="BE679" s="85">
        <v>2</v>
      </c>
      <c r="BF679" s="86">
        <v>45769</v>
      </c>
      <c r="BG679" s="72" t="e">
        <f t="shared" si="1941"/>
        <v>#REF!</v>
      </c>
      <c r="BH679" s="103" t="e">
        <f t="shared" si="2096"/>
        <v>#REF!</v>
      </c>
      <c r="BI679" s="80" t="e">
        <f t="shared" si="2005"/>
        <v>#REF!</v>
      </c>
      <c r="BJ679" s="238">
        <v>17500</v>
      </c>
    </row>
    <row r="680" spans="1:62" ht="13">
      <c r="A680" s="90"/>
      <c r="B680" s="91"/>
      <c r="C680" s="51">
        <v>678</v>
      </c>
      <c r="D680" s="144" t="s">
        <v>1530</v>
      </c>
      <c r="E680" s="144">
        <v>1</v>
      </c>
      <c r="F680" s="88" t="s">
        <v>1918</v>
      </c>
      <c r="G680" s="89" t="s">
        <v>1919</v>
      </c>
      <c r="H680" s="89" t="s">
        <v>1643</v>
      </c>
      <c r="I680" s="88" t="s">
        <v>458</v>
      </c>
      <c r="J680" s="93">
        <f t="shared" si="2080"/>
        <v>2</v>
      </c>
      <c r="K680" s="88">
        <v>2</v>
      </c>
      <c r="L680" s="58"/>
      <c r="M680" s="58"/>
      <c r="N680" s="62">
        <f t="shared" si="2081"/>
        <v>2</v>
      </c>
      <c r="O680" s="60"/>
      <c r="P680" s="58"/>
      <c r="Q680" s="62">
        <f t="shared" si="2082"/>
        <v>2</v>
      </c>
      <c r="R680" s="60"/>
      <c r="S680" s="58"/>
      <c r="T680" s="94">
        <f t="shared" si="2083"/>
        <v>2</v>
      </c>
      <c r="U680" s="60"/>
      <c r="V680" s="58"/>
      <c r="W680" s="62">
        <f t="shared" si="2084"/>
        <v>2</v>
      </c>
      <c r="X680" s="60"/>
      <c r="Y680" s="58"/>
      <c r="Z680" s="94">
        <f t="shared" si="2085"/>
        <v>2</v>
      </c>
      <c r="AA680" s="60"/>
      <c r="AB680" s="58"/>
      <c r="AC680" s="62">
        <f t="shared" si="2086"/>
        <v>2</v>
      </c>
      <c r="AD680" s="57"/>
      <c r="AE680" s="58"/>
      <c r="AF680" s="165">
        <f t="shared" si="2087"/>
        <v>2</v>
      </c>
      <c r="AG680" s="60"/>
      <c r="AH680" s="58"/>
      <c r="AI680" s="62">
        <f t="shared" si="2088"/>
        <v>2</v>
      </c>
      <c r="AJ680" s="60"/>
      <c r="AK680" s="58"/>
      <c r="AL680" s="62">
        <f t="shared" si="2089"/>
        <v>2</v>
      </c>
      <c r="AM680" s="60"/>
      <c r="AN680" s="58"/>
      <c r="AO680" s="62">
        <f t="shared" si="2090"/>
        <v>2</v>
      </c>
      <c r="AP680" s="60"/>
      <c r="AQ680" s="58"/>
      <c r="AR680" s="62">
        <f t="shared" si="2091"/>
        <v>2</v>
      </c>
      <c r="AS680" s="60"/>
      <c r="AT680" s="58"/>
      <c r="AU680" s="62">
        <f t="shared" si="2092"/>
        <v>2</v>
      </c>
      <c r="AV680" s="96">
        <f>SUM(L680+O680+R680+U680+X680+AA680+AD680+AG680+AJ680+AM680+AP680+AS680)</f>
        <v>0</v>
      </c>
      <c r="AW680" s="83">
        <f t="shared" si="2002"/>
        <v>0</v>
      </c>
      <c r="AX680" s="98">
        <f t="shared" si="2093"/>
        <v>0</v>
      </c>
      <c r="AY680" s="99" t="e">
        <f t="shared" si="2094"/>
        <v>#DIV/0!</v>
      </c>
      <c r="AZ680" s="100">
        <f t="shared" si="2095"/>
        <v>0</v>
      </c>
      <c r="BA680" s="101">
        <v>2</v>
      </c>
      <c r="BB680" s="102">
        <v>1</v>
      </c>
      <c r="BC680" s="84">
        <f t="shared" si="2003"/>
        <v>2</v>
      </c>
      <c r="BD680" s="83">
        <f t="shared" si="2004"/>
        <v>1</v>
      </c>
      <c r="BE680" s="85">
        <v>2</v>
      </c>
      <c r="BF680" s="86">
        <v>45734</v>
      </c>
      <c r="BG680" s="72" t="e">
        <f t="shared" si="1941"/>
        <v>#REF!</v>
      </c>
      <c r="BH680" s="103" t="e">
        <f t="shared" si="2096"/>
        <v>#REF!</v>
      </c>
      <c r="BI680" s="80" t="e">
        <f t="shared" si="2005"/>
        <v>#REF!</v>
      </c>
      <c r="BJ680" s="238">
        <v>22500</v>
      </c>
    </row>
    <row r="681" spans="1:62" ht="13">
      <c r="A681" s="75"/>
      <c r="B681" s="76"/>
      <c r="C681" s="51">
        <v>679</v>
      </c>
      <c r="D681" s="144" t="s">
        <v>1530</v>
      </c>
      <c r="E681" s="144">
        <v>1</v>
      </c>
      <c r="F681" s="88" t="s">
        <v>942</v>
      </c>
      <c r="G681" s="89" t="s">
        <v>941</v>
      </c>
      <c r="H681" s="81" t="s">
        <v>291</v>
      </c>
      <c r="I681" s="80" t="s">
        <v>458</v>
      </c>
      <c r="J681" s="82">
        <f>AU681</f>
        <v>4</v>
      </c>
      <c r="K681" s="80">
        <v>4</v>
      </c>
      <c r="L681" s="57"/>
      <c r="M681" s="58"/>
      <c r="N681" s="59">
        <f>SUM(K681+L681-M681)</f>
        <v>4</v>
      </c>
      <c r="O681" s="60"/>
      <c r="P681" s="58"/>
      <c r="Q681" s="59">
        <f>SUM(N681+O681-P681)</f>
        <v>4</v>
      </c>
      <c r="R681" s="60"/>
      <c r="S681" s="58"/>
      <c r="T681" s="61">
        <f>SUM(Q681+R681-S681)</f>
        <v>4</v>
      </c>
      <c r="U681" s="60"/>
      <c r="V681" s="58"/>
      <c r="W681" s="59">
        <f>SUM(T681+U681-V681)</f>
        <v>4</v>
      </c>
      <c r="X681" s="60"/>
      <c r="Y681" s="58"/>
      <c r="Z681" s="61">
        <f>SUM(W681+X681-Y681)</f>
        <v>4</v>
      </c>
      <c r="AA681" s="60"/>
      <c r="AB681" s="58"/>
      <c r="AC681" s="59">
        <f>SUM(Z681+AA681-AB681)</f>
        <v>4</v>
      </c>
      <c r="AD681" s="57"/>
      <c r="AE681" s="58"/>
      <c r="AF681" s="243">
        <f>SUM(AC681+AD681-AE681)</f>
        <v>4</v>
      </c>
      <c r="AG681" s="60"/>
      <c r="AH681" s="58"/>
      <c r="AI681" s="62">
        <f>SUM(AF681+AG681-AH681)</f>
        <v>4</v>
      </c>
      <c r="AJ681" s="60"/>
      <c r="AK681" s="58"/>
      <c r="AL681" s="62">
        <f>SUM(AI681+AJ681-AK681)</f>
        <v>4</v>
      </c>
      <c r="AM681" s="60"/>
      <c r="AN681" s="58"/>
      <c r="AO681" s="62">
        <f>SUM(AL681+AM681-AN681)</f>
        <v>4</v>
      </c>
      <c r="AP681" s="60"/>
      <c r="AQ681" s="58"/>
      <c r="AR681" s="62">
        <f>SUM(AO681+AP681-AQ681)</f>
        <v>4</v>
      </c>
      <c r="AS681" s="60"/>
      <c r="AT681" s="58"/>
      <c r="AU681" s="62">
        <f>SUM(AR681+AS681-AT681)</f>
        <v>4</v>
      </c>
      <c r="AV681" s="83">
        <f>SUM(L681+O681+R681+U681+X681+AA681+AD681+AG681+AJ681+AM681+AP681+AS681)</f>
        <v>0</v>
      </c>
      <c r="AW681" s="83">
        <f>SUM(M681+P681+S681+V681+Y681+AB681+AE681+AH681+AK681+AN681+AQ681+AT681)</f>
        <v>0</v>
      </c>
      <c r="AX681" s="64">
        <f>SUM(M681,P681,S681,V681,Y681,AB681,AE681,AH681,AK681,AN681,AQ681,AT681)</f>
        <v>0</v>
      </c>
      <c r="AY681" s="65" t="e">
        <f>AVERAGE(M681,P681,S681,V681,Y681,AB681,AE681,AH681,AK681,AN681,AQ681,AT681)</f>
        <v>#DIV/0!</v>
      </c>
      <c r="AZ681" s="66">
        <f>COUNT(M681,P681,S681,V681,Y681,AB681,AE681,AH681,AK681,AN681,AQ681,AT681)</f>
        <v>0</v>
      </c>
      <c r="BA681" s="67">
        <f>MAX(0, Table176252626[[#This Row],[Column6]])</f>
        <v>4</v>
      </c>
      <c r="BB681" s="68">
        <v>1</v>
      </c>
      <c r="BC681" s="84">
        <f>J681</f>
        <v>4</v>
      </c>
      <c r="BD681" s="83">
        <f>SUM(BC681-BB681)</f>
        <v>3</v>
      </c>
      <c r="BE681" s="85">
        <v>2</v>
      </c>
      <c r="BF681" s="86">
        <v>45317.485763888886</v>
      </c>
      <c r="BG681" s="72" t="e">
        <f t="shared" si="1941"/>
        <v>#REF!</v>
      </c>
      <c r="BH681" s="87" t="e">
        <f>BG681-BF681</f>
        <v>#REF!</v>
      </c>
      <c r="BI681" s="80" t="e">
        <f>IF(AND(J681&gt;0,BH681&gt;365),"Dead Stock","")</f>
        <v>#REF!</v>
      </c>
      <c r="BJ681" s="238">
        <v>4200</v>
      </c>
    </row>
    <row r="682" spans="1:62" ht="13">
      <c r="A682" s="90"/>
      <c r="B682" s="91"/>
      <c r="C682" s="77">
        <v>680</v>
      </c>
      <c r="D682" s="144" t="s">
        <v>1530</v>
      </c>
      <c r="E682" s="144">
        <v>1</v>
      </c>
      <c r="F682" s="54" t="s">
        <v>595</v>
      </c>
      <c r="G682" s="55" t="s">
        <v>596</v>
      </c>
      <c r="H682" s="81" t="s">
        <v>296</v>
      </c>
      <c r="I682" s="88" t="s">
        <v>458</v>
      </c>
      <c r="J682" s="82">
        <f t="shared" si="2080"/>
        <v>1</v>
      </c>
      <c r="K682" s="129">
        <v>1</v>
      </c>
      <c r="L682" s="124"/>
      <c r="M682" s="125"/>
      <c r="N682" s="59">
        <f t="shared" si="2081"/>
        <v>1</v>
      </c>
      <c r="O682" s="126"/>
      <c r="P682" s="125"/>
      <c r="Q682" s="59">
        <f t="shared" si="2082"/>
        <v>1</v>
      </c>
      <c r="R682" s="126"/>
      <c r="S682" s="125"/>
      <c r="T682" s="61">
        <f t="shared" si="2083"/>
        <v>1</v>
      </c>
      <c r="U682" s="126"/>
      <c r="V682" s="125"/>
      <c r="W682" s="59">
        <f t="shared" si="2084"/>
        <v>1</v>
      </c>
      <c r="X682" s="126"/>
      <c r="Y682" s="125"/>
      <c r="Z682" s="61">
        <f t="shared" si="2085"/>
        <v>1</v>
      </c>
      <c r="AA682" s="126"/>
      <c r="AB682" s="125"/>
      <c r="AC682" s="59">
        <f t="shared" si="2086"/>
        <v>1</v>
      </c>
      <c r="AD682" s="124"/>
      <c r="AE682" s="125"/>
      <c r="AF682" s="243">
        <f t="shared" si="2087"/>
        <v>1</v>
      </c>
      <c r="AG682" s="126"/>
      <c r="AH682" s="125"/>
      <c r="AI682" s="62">
        <f t="shared" si="2088"/>
        <v>1</v>
      </c>
      <c r="AJ682" s="126"/>
      <c r="AK682" s="125"/>
      <c r="AL682" s="62">
        <f t="shared" si="2089"/>
        <v>1</v>
      </c>
      <c r="AM682" s="126"/>
      <c r="AN682" s="125"/>
      <c r="AO682" s="59">
        <f t="shared" si="2090"/>
        <v>1</v>
      </c>
      <c r="AP682" s="126"/>
      <c r="AQ682" s="125"/>
      <c r="AR682" s="59">
        <f t="shared" si="2091"/>
        <v>1</v>
      </c>
      <c r="AS682" s="126"/>
      <c r="AT682" s="125"/>
      <c r="AU682" s="59">
        <f t="shared" si="2092"/>
        <v>1</v>
      </c>
      <c r="AV682" s="83">
        <f t="shared" ref="AV682:AV683" si="2098">SUM(L682+O682+R682+U682+X682+AA682+AD682+AG682+AJ682+AM682+AP682+AS682)</f>
        <v>0</v>
      </c>
      <c r="AW682" s="83">
        <f t="shared" si="2002"/>
        <v>0</v>
      </c>
      <c r="AX682" s="64">
        <f t="shared" si="2093"/>
        <v>0</v>
      </c>
      <c r="AY682" s="65" t="e">
        <f t="shared" si="2094"/>
        <v>#DIV/0!</v>
      </c>
      <c r="AZ682" s="66">
        <f t="shared" si="2095"/>
        <v>0</v>
      </c>
      <c r="BA682" s="67">
        <f>MAX(0, Table176252626[[#This Row],[Column6]])</f>
        <v>1</v>
      </c>
      <c r="BB682" s="68">
        <v>0</v>
      </c>
      <c r="BC682" s="84">
        <f t="shared" si="2003"/>
        <v>1</v>
      </c>
      <c r="BD682" s="83">
        <f t="shared" si="2004"/>
        <v>1</v>
      </c>
      <c r="BE682" s="85">
        <v>2</v>
      </c>
      <c r="BF682" s="86">
        <v>45646.467129629629</v>
      </c>
      <c r="BG682" s="72" t="e">
        <f t="shared" si="1941"/>
        <v>#REF!</v>
      </c>
      <c r="BH682" s="87" t="e">
        <f t="shared" si="2096"/>
        <v>#REF!</v>
      </c>
      <c r="BI682" s="80" t="e">
        <f t="shared" si="2005"/>
        <v>#REF!</v>
      </c>
      <c r="BJ682" s="238">
        <v>9810</v>
      </c>
    </row>
    <row r="683" spans="1:62" ht="13">
      <c r="A683" s="49"/>
      <c r="B683" s="50"/>
      <c r="C683" s="77">
        <v>681</v>
      </c>
      <c r="D683" s="144" t="s">
        <v>1530</v>
      </c>
      <c r="E683" s="144">
        <v>1</v>
      </c>
      <c r="F683" s="80" t="s">
        <v>251</v>
      </c>
      <c r="G683" s="81" t="s">
        <v>1249</v>
      </c>
      <c r="H683" s="81" t="s">
        <v>296</v>
      </c>
      <c r="I683" s="80" t="s">
        <v>2</v>
      </c>
      <c r="J683" s="82">
        <f t="shared" si="2080"/>
        <v>1</v>
      </c>
      <c r="K683" s="80">
        <v>1</v>
      </c>
      <c r="L683" s="57"/>
      <c r="M683" s="58"/>
      <c r="N683" s="59">
        <f t="shared" si="2081"/>
        <v>1</v>
      </c>
      <c r="O683" s="60"/>
      <c r="P683" s="58"/>
      <c r="Q683" s="59">
        <f t="shared" si="2082"/>
        <v>1</v>
      </c>
      <c r="R683" s="60"/>
      <c r="S683" s="58"/>
      <c r="T683" s="61">
        <f t="shared" si="2083"/>
        <v>1</v>
      </c>
      <c r="U683" s="60"/>
      <c r="V683" s="58"/>
      <c r="W683" s="59">
        <f t="shared" si="2084"/>
        <v>1</v>
      </c>
      <c r="X683" s="60"/>
      <c r="Y683" s="58"/>
      <c r="Z683" s="61">
        <f t="shared" si="2085"/>
        <v>1</v>
      </c>
      <c r="AA683" s="60"/>
      <c r="AB683" s="58"/>
      <c r="AC683" s="59">
        <f t="shared" si="2086"/>
        <v>1</v>
      </c>
      <c r="AD683" s="57"/>
      <c r="AE683" s="58"/>
      <c r="AF683" s="243">
        <f t="shared" si="2087"/>
        <v>1</v>
      </c>
      <c r="AG683" s="60"/>
      <c r="AH683" s="58"/>
      <c r="AI683" s="62">
        <f t="shared" si="2088"/>
        <v>1</v>
      </c>
      <c r="AJ683" s="60"/>
      <c r="AK683" s="58"/>
      <c r="AL683" s="62">
        <f t="shared" si="2089"/>
        <v>1</v>
      </c>
      <c r="AM683" s="60"/>
      <c r="AN683" s="58"/>
      <c r="AO683" s="62">
        <f t="shared" si="2090"/>
        <v>1</v>
      </c>
      <c r="AP683" s="60"/>
      <c r="AQ683" s="58"/>
      <c r="AR683" s="62">
        <f t="shared" si="2091"/>
        <v>1</v>
      </c>
      <c r="AS683" s="60"/>
      <c r="AT683" s="58"/>
      <c r="AU683" s="62">
        <f t="shared" si="2092"/>
        <v>1</v>
      </c>
      <c r="AV683" s="83">
        <f t="shared" si="2098"/>
        <v>0</v>
      </c>
      <c r="AW683" s="83">
        <f t="shared" si="2002"/>
        <v>0</v>
      </c>
      <c r="AX683" s="64">
        <f t="shared" si="2093"/>
        <v>0</v>
      </c>
      <c r="AY683" s="65" t="e">
        <f t="shared" si="2094"/>
        <v>#DIV/0!</v>
      </c>
      <c r="AZ683" s="66">
        <f t="shared" si="2095"/>
        <v>0</v>
      </c>
      <c r="BA683" s="67">
        <f>MAX(0, Table176252626[[#This Row],[Column6]])</f>
        <v>1</v>
      </c>
      <c r="BB683" s="68">
        <v>0</v>
      </c>
      <c r="BC683" s="84">
        <f t="shared" si="2003"/>
        <v>1</v>
      </c>
      <c r="BD683" s="83">
        <f t="shared" si="2004"/>
        <v>1</v>
      </c>
      <c r="BE683" s="85">
        <v>2</v>
      </c>
      <c r="BF683" s="86">
        <v>45013.635138888887</v>
      </c>
      <c r="BG683" s="72" t="e">
        <f t="shared" si="1941"/>
        <v>#REF!</v>
      </c>
      <c r="BH683" s="87" t="e">
        <f t="shared" si="2096"/>
        <v>#REF!</v>
      </c>
      <c r="BI683" s="80" t="e">
        <f t="shared" si="2005"/>
        <v>#REF!</v>
      </c>
      <c r="BJ683" s="238">
        <v>5500</v>
      </c>
    </row>
    <row r="684" spans="1:62" ht="13">
      <c r="A684" s="49"/>
      <c r="B684" s="50"/>
      <c r="C684" s="51">
        <v>682</v>
      </c>
      <c r="D684" s="144" t="s">
        <v>1530</v>
      </c>
      <c r="E684" s="144">
        <v>2</v>
      </c>
      <c r="F684" s="88" t="s">
        <v>1666</v>
      </c>
      <c r="G684" s="89" t="s">
        <v>2050</v>
      </c>
      <c r="H684" s="81" t="s">
        <v>289</v>
      </c>
      <c r="I684" s="80" t="s">
        <v>458</v>
      </c>
      <c r="J684" s="93">
        <f t="shared" si="2080"/>
        <v>2</v>
      </c>
      <c r="K684" s="80">
        <v>2</v>
      </c>
      <c r="L684" s="58"/>
      <c r="M684" s="58"/>
      <c r="N684" s="62">
        <f t="shared" si="2081"/>
        <v>2</v>
      </c>
      <c r="O684" s="60"/>
      <c r="P684" s="58">
        <v>1</v>
      </c>
      <c r="Q684" s="62">
        <f t="shared" si="2082"/>
        <v>1</v>
      </c>
      <c r="R684" s="60">
        <v>1</v>
      </c>
      <c r="S684" s="58">
        <v>1</v>
      </c>
      <c r="T684" s="94">
        <f t="shared" si="2083"/>
        <v>1</v>
      </c>
      <c r="U684" s="60"/>
      <c r="V684" s="58"/>
      <c r="W684" s="62">
        <f t="shared" si="2084"/>
        <v>1</v>
      </c>
      <c r="X684" s="60"/>
      <c r="Y684" s="58">
        <v>1</v>
      </c>
      <c r="Z684" s="94">
        <f t="shared" si="2085"/>
        <v>0</v>
      </c>
      <c r="AA684" s="60">
        <v>2</v>
      </c>
      <c r="AB684" s="58"/>
      <c r="AC684" s="62">
        <f t="shared" si="2086"/>
        <v>2</v>
      </c>
      <c r="AD684" s="57"/>
      <c r="AE684" s="58"/>
      <c r="AF684" s="165">
        <f t="shared" si="2087"/>
        <v>2</v>
      </c>
      <c r="AG684" s="60"/>
      <c r="AH684" s="58"/>
      <c r="AI684" s="62">
        <f t="shared" si="2088"/>
        <v>2</v>
      </c>
      <c r="AJ684" s="60"/>
      <c r="AK684" s="58"/>
      <c r="AL684" s="62">
        <f t="shared" si="2089"/>
        <v>2</v>
      </c>
      <c r="AM684" s="60"/>
      <c r="AN684" s="58"/>
      <c r="AO684" s="62">
        <f t="shared" si="2090"/>
        <v>2</v>
      </c>
      <c r="AP684" s="60"/>
      <c r="AQ684" s="58"/>
      <c r="AR684" s="62">
        <f t="shared" si="2091"/>
        <v>2</v>
      </c>
      <c r="AS684" s="60"/>
      <c r="AT684" s="58"/>
      <c r="AU684" s="62">
        <f t="shared" si="2092"/>
        <v>2</v>
      </c>
      <c r="AV684" s="96">
        <f t="shared" ref="AV684:AV685" si="2099">SUM(L684+O684+R684+U684+X684+AA684+AD684+AG684+AJ684+AM684+AP684+AS684)</f>
        <v>3</v>
      </c>
      <c r="AW684" s="83">
        <f t="shared" si="2002"/>
        <v>3</v>
      </c>
      <c r="AX684" s="98">
        <f t="shared" si="2093"/>
        <v>3</v>
      </c>
      <c r="AY684" s="99">
        <f t="shared" si="2094"/>
        <v>1</v>
      </c>
      <c r="AZ684" s="100">
        <f t="shared" si="2095"/>
        <v>3</v>
      </c>
      <c r="BA684" s="101">
        <v>2</v>
      </c>
      <c r="BB684" s="102">
        <v>1</v>
      </c>
      <c r="BC684" s="84">
        <f t="shared" si="2003"/>
        <v>2</v>
      </c>
      <c r="BD684" s="83">
        <f t="shared" si="2004"/>
        <v>1</v>
      </c>
      <c r="BE684" s="85">
        <v>2</v>
      </c>
      <c r="BF684" s="86">
        <v>46197</v>
      </c>
      <c r="BG684" s="72" t="e">
        <f t="shared" si="1941"/>
        <v>#REF!</v>
      </c>
      <c r="BH684" s="103" t="e">
        <f t="shared" si="2096"/>
        <v>#REF!</v>
      </c>
      <c r="BI684" s="80" t="e">
        <f t="shared" si="2005"/>
        <v>#REF!</v>
      </c>
      <c r="BJ684" s="238">
        <v>38355.79</v>
      </c>
    </row>
    <row r="685" spans="1:62" ht="13">
      <c r="A685" s="75"/>
      <c r="B685" s="76"/>
      <c r="C685" s="51">
        <v>683</v>
      </c>
      <c r="D685" s="144" t="s">
        <v>1530</v>
      </c>
      <c r="E685" s="144">
        <v>2</v>
      </c>
      <c r="F685" s="88" t="s">
        <v>1667</v>
      </c>
      <c r="G685" s="89" t="s">
        <v>2051</v>
      </c>
      <c r="H685" s="81" t="s">
        <v>289</v>
      </c>
      <c r="I685" s="80" t="s">
        <v>458</v>
      </c>
      <c r="J685" s="93">
        <f t="shared" si="2080"/>
        <v>1</v>
      </c>
      <c r="K685" s="88">
        <v>2</v>
      </c>
      <c r="L685" s="58"/>
      <c r="M685" s="58"/>
      <c r="N685" s="62">
        <f t="shared" si="2081"/>
        <v>2</v>
      </c>
      <c r="O685" s="60"/>
      <c r="P685" s="58">
        <v>1</v>
      </c>
      <c r="Q685" s="62">
        <f t="shared" si="2082"/>
        <v>1</v>
      </c>
      <c r="R685" s="60">
        <v>1</v>
      </c>
      <c r="S685" s="58"/>
      <c r="T685" s="94">
        <f t="shared" si="2083"/>
        <v>2</v>
      </c>
      <c r="U685" s="60"/>
      <c r="V685" s="58">
        <v>1</v>
      </c>
      <c r="W685" s="62">
        <f t="shared" si="2084"/>
        <v>1</v>
      </c>
      <c r="X685" s="60"/>
      <c r="Y685" s="58"/>
      <c r="Z685" s="94">
        <f t="shared" si="2085"/>
        <v>1</v>
      </c>
      <c r="AA685" s="60"/>
      <c r="AB685" s="58"/>
      <c r="AC685" s="62">
        <f t="shared" si="2086"/>
        <v>1</v>
      </c>
      <c r="AD685" s="57">
        <v>1</v>
      </c>
      <c r="AE685" s="58">
        <v>1</v>
      </c>
      <c r="AF685" s="165">
        <f t="shared" si="2087"/>
        <v>1</v>
      </c>
      <c r="AG685" s="60"/>
      <c r="AH685" s="58"/>
      <c r="AI685" s="62">
        <f t="shared" si="2088"/>
        <v>1</v>
      </c>
      <c r="AJ685" s="60"/>
      <c r="AK685" s="58"/>
      <c r="AL685" s="62">
        <f t="shared" si="2089"/>
        <v>1</v>
      </c>
      <c r="AM685" s="60"/>
      <c r="AN685" s="58"/>
      <c r="AO685" s="62">
        <f t="shared" si="2090"/>
        <v>1</v>
      </c>
      <c r="AP685" s="60"/>
      <c r="AQ685" s="58"/>
      <c r="AR685" s="62">
        <f t="shared" si="2091"/>
        <v>1</v>
      </c>
      <c r="AS685" s="60"/>
      <c r="AT685" s="58"/>
      <c r="AU685" s="62">
        <f t="shared" si="2092"/>
        <v>1</v>
      </c>
      <c r="AV685" s="96">
        <f t="shared" si="2099"/>
        <v>2</v>
      </c>
      <c r="AW685" s="83">
        <f t="shared" si="2002"/>
        <v>3</v>
      </c>
      <c r="AX685" s="98">
        <f t="shared" si="2093"/>
        <v>3</v>
      </c>
      <c r="AY685" s="99">
        <f t="shared" si="2094"/>
        <v>1</v>
      </c>
      <c r="AZ685" s="100">
        <f t="shared" si="2095"/>
        <v>3</v>
      </c>
      <c r="BA685" s="101">
        <f>MAX(M685,P685,S685,V685,Y685,AB685,AE685,AH685,AK685,AN685,AQ685,AT685)</f>
        <v>1</v>
      </c>
      <c r="BB685" s="102">
        <v>0</v>
      </c>
      <c r="BC685" s="84">
        <f t="shared" si="2003"/>
        <v>1</v>
      </c>
      <c r="BD685" s="83">
        <f t="shared" si="2004"/>
        <v>1</v>
      </c>
      <c r="BE685" s="85">
        <v>2</v>
      </c>
      <c r="BF685" s="86">
        <v>46230</v>
      </c>
      <c r="BG685" s="72" t="e">
        <f t="shared" si="1941"/>
        <v>#REF!</v>
      </c>
      <c r="BH685" s="103" t="e">
        <f t="shared" si="2096"/>
        <v>#REF!</v>
      </c>
      <c r="BI685" s="80" t="e">
        <f t="shared" si="2005"/>
        <v>#REF!</v>
      </c>
      <c r="BJ685" s="238">
        <v>38355.79</v>
      </c>
    </row>
    <row r="686" spans="1:62" ht="13">
      <c r="A686" s="75"/>
      <c r="B686" s="76"/>
      <c r="C686" s="51">
        <v>684</v>
      </c>
      <c r="D686" s="144" t="s">
        <v>1530</v>
      </c>
      <c r="E686" s="144">
        <v>2</v>
      </c>
      <c r="F686" s="88" t="s">
        <v>1731</v>
      </c>
      <c r="G686" s="89" t="s">
        <v>1732</v>
      </c>
      <c r="H686" s="89" t="s">
        <v>1733</v>
      </c>
      <c r="I686" s="88" t="s">
        <v>1052</v>
      </c>
      <c r="J686" s="93">
        <f t="shared" ref="J686" si="2100">AU686</f>
        <v>3</v>
      </c>
      <c r="K686" s="88">
        <v>2</v>
      </c>
      <c r="L686" s="58"/>
      <c r="M686" s="58"/>
      <c r="N686" s="62">
        <f t="shared" ref="N686" si="2101">SUM(K686+L686-M686)</f>
        <v>2</v>
      </c>
      <c r="O686" s="60"/>
      <c r="P686" s="58"/>
      <c r="Q686" s="62">
        <f t="shared" ref="Q686" si="2102">SUM(N686+O686-P686)</f>
        <v>2</v>
      </c>
      <c r="R686" s="60"/>
      <c r="S686" s="58">
        <v>1</v>
      </c>
      <c r="T686" s="94">
        <f t="shared" ref="T686" si="2103">SUM(Q686+R686-S686)</f>
        <v>1</v>
      </c>
      <c r="U686" s="60">
        <f>1+1</f>
        <v>2</v>
      </c>
      <c r="V686" s="58">
        <v>2</v>
      </c>
      <c r="W686" s="62">
        <f t="shared" ref="W686" si="2104">SUM(T686+U686-V686)</f>
        <v>1</v>
      </c>
      <c r="X686" s="60"/>
      <c r="Y686" s="58"/>
      <c r="Z686" s="94">
        <f t="shared" ref="Z686" si="2105">SUM(W686+X686-Y686)</f>
        <v>1</v>
      </c>
      <c r="AA686" s="60">
        <v>2</v>
      </c>
      <c r="AB686" s="58"/>
      <c r="AC686" s="62">
        <f t="shared" ref="AC686" si="2106">SUM(Z686+AA686-AB686)</f>
        <v>3</v>
      </c>
      <c r="AD686" s="57"/>
      <c r="AE686" s="58"/>
      <c r="AF686" s="165">
        <f t="shared" ref="AF686" si="2107">SUM(AC686+AD686-AE686)</f>
        <v>3</v>
      </c>
      <c r="AG686" s="60"/>
      <c r="AH686" s="58"/>
      <c r="AI686" s="62">
        <f t="shared" ref="AI686" si="2108">SUM(AF686+AG686-AH686)</f>
        <v>3</v>
      </c>
      <c r="AJ686" s="60"/>
      <c r="AK686" s="58"/>
      <c r="AL686" s="62">
        <f t="shared" ref="AL686" si="2109">SUM(AI686+AJ686-AK686)</f>
        <v>3</v>
      </c>
      <c r="AM686" s="60"/>
      <c r="AN686" s="58"/>
      <c r="AO686" s="62">
        <f t="shared" ref="AO686" si="2110">SUM(AL686+AM686-AN686)</f>
        <v>3</v>
      </c>
      <c r="AP686" s="60"/>
      <c r="AQ686" s="58"/>
      <c r="AR686" s="62">
        <f t="shared" ref="AR686" si="2111">SUM(AO686+AP686-AQ686)</f>
        <v>3</v>
      </c>
      <c r="AS686" s="60"/>
      <c r="AT686" s="58"/>
      <c r="AU686" s="62">
        <f t="shared" ref="AU686" si="2112">SUM(AR686+AS686-AT686)</f>
        <v>3</v>
      </c>
      <c r="AV686" s="96">
        <f t="shared" ref="AV686" si="2113">SUM(L686+O686+R686+U686+X686+AA686+AD686+AG686+AJ686+AM686+AP686+AS686)</f>
        <v>4</v>
      </c>
      <c r="AW686" s="83">
        <f t="shared" si="2002"/>
        <v>3</v>
      </c>
      <c r="AX686" s="98">
        <f t="shared" ref="AX686" si="2114">SUM(M686,P686,S686,V686,Y686,AB686,AE686,AH686,AK686,AN686,AQ686,AT686)</f>
        <v>3</v>
      </c>
      <c r="AY686" s="99">
        <f t="shared" ref="AY686" si="2115">AVERAGE(M686,P686,S686,V686,Y686,AB686,AE686,AH686,AK686,AN686,AQ686,AT686)</f>
        <v>1.5</v>
      </c>
      <c r="AZ686" s="100">
        <f t="shared" ref="AZ686" si="2116">COUNT(M686,P686,S686,V686,Y686,AB686,AE686,AH686,AK686,AN686,AQ686,AT686)</f>
        <v>2</v>
      </c>
      <c r="BA686" s="67">
        <f>MAX(0, Table176252626[[#This Row],[Column6]])</f>
        <v>3</v>
      </c>
      <c r="BB686" s="68">
        <v>1</v>
      </c>
      <c r="BC686" s="84">
        <f t="shared" si="2003"/>
        <v>3</v>
      </c>
      <c r="BD686" s="83">
        <f t="shared" si="2004"/>
        <v>2</v>
      </c>
      <c r="BE686" s="85">
        <v>2</v>
      </c>
      <c r="BF686" s="86">
        <v>46196</v>
      </c>
      <c r="BG686" s="72" t="e">
        <f t="shared" si="1941"/>
        <v>#REF!</v>
      </c>
      <c r="BH686" s="87" t="e">
        <f t="shared" ref="BH686" si="2117">BG686-BF686</f>
        <v>#REF!</v>
      </c>
      <c r="BI686" s="80" t="e">
        <f t="shared" si="2005"/>
        <v>#REF!</v>
      </c>
      <c r="BJ686" s="238">
        <v>26000</v>
      </c>
    </row>
    <row r="687" spans="1:62" ht="13">
      <c r="A687" s="49"/>
      <c r="B687" s="76"/>
      <c r="C687" s="51">
        <v>685</v>
      </c>
      <c r="D687" s="144" t="s">
        <v>1530</v>
      </c>
      <c r="E687" s="144">
        <v>2</v>
      </c>
      <c r="F687" s="80" t="s">
        <v>1734</v>
      </c>
      <c r="G687" s="81" t="s">
        <v>1735</v>
      </c>
      <c r="H687" s="81" t="s">
        <v>1733</v>
      </c>
      <c r="I687" s="80" t="s">
        <v>1052</v>
      </c>
      <c r="J687" s="82">
        <f t="shared" ref="J687:J694" si="2118">AU687</f>
        <v>3</v>
      </c>
      <c r="K687" s="80">
        <v>3</v>
      </c>
      <c r="L687" s="57"/>
      <c r="M687" s="58"/>
      <c r="N687" s="59">
        <f t="shared" ref="N687:N694" si="2119">SUM(K687+L687-M687)</f>
        <v>3</v>
      </c>
      <c r="O687" s="60"/>
      <c r="P687" s="58"/>
      <c r="Q687" s="59">
        <f t="shared" ref="Q687:Q694" si="2120">SUM(N687+O687-P687)</f>
        <v>3</v>
      </c>
      <c r="R687" s="60"/>
      <c r="S687" s="58"/>
      <c r="T687" s="61">
        <f t="shared" ref="T687:T694" si="2121">SUM(Q687+R687-S687)</f>
        <v>3</v>
      </c>
      <c r="U687" s="60"/>
      <c r="V687" s="58"/>
      <c r="W687" s="59">
        <f t="shared" ref="W687:W694" si="2122">SUM(T687+U687-V687)</f>
        <v>3</v>
      </c>
      <c r="X687" s="60"/>
      <c r="Y687" s="58"/>
      <c r="Z687" s="61">
        <f t="shared" ref="Z687:Z694" si="2123">SUM(W687+X687-Y687)</f>
        <v>3</v>
      </c>
      <c r="AA687" s="60"/>
      <c r="AB687" s="58"/>
      <c r="AC687" s="59">
        <f t="shared" ref="AC687:AC694" si="2124">SUM(Z687+AA687-AB687)</f>
        <v>3</v>
      </c>
      <c r="AD687" s="57"/>
      <c r="AE687" s="58"/>
      <c r="AF687" s="243">
        <f t="shared" ref="AF687:AF694" si="2125">SUM(AC687+AD687-AE687)</f>
        <v>3</v>
      </c>
      <c r="AG687" s="60"/>
      <c r="AH687" s="58"/>
      <c r="AI687" s="62">
        <f t="shared" ref="AI687:AI694" si="2126">SUM(AF687+AG687-AH687)</f>
        <v>3</v>
      </c>
      <c r="AJ687" s="60"/>
      <c r="AK687" s="58"/>
      <c r="AL687" s="62">
        <f t="shared" ref="AL687:AL694" si="2127">SUM(AI687+AJ687-AK687)</f>
        <v>3</v>
      </c>
      <c r="AM687" s="60"/>
      <c r="AN687" s="58"/>
      <c r="AO687" s="62">
        <f t="shared" ref="AO687:AO694" si="2128">SUM(AL687+AM687-AN687)</f>
        <v>3</v>
      </c>
      <c r="AP687" s="60"/>
      <c r="AQ687" s="58"/>
      <c r="AR687" s="62">
        <f t="shared" ref="AR687:AR694" si="2129">SUM(AO687+AP687-AQ687)</f>
        <v>3</v>
      </c>
      <c r="AS687" s="60"/>
      <c r="AT687" s="58"/>
      <c r="AU687" s="62">
        <f t="shared" ref="AU687:AU694" si="2130">SUM(AR687+AS687-AT687)</f>
        <v>3</v>
      </c>
      <c r="AV687" s="83">
        <f>SUM(L687+O687+R687+U687+X687+AA687+AD687+AG687+AJ687+AM687+AP687+AS687)</f>
        <v>0</v>
      </c>
      <c r="AW687" s="83">
        <f t="shared" si="2002"/>
        <v>0</v>
      </c>
      <c r="AX687" s="64">
        <f t="shared" ref="AX687:AX694" si="2131">SUM(M687,P687,S687,V687,Y687,AB687,AE687,AH687,AK687,AN687,AQ687,AT687)</f>
        <v>0</v>
      </c>
      <c r="AY687" s="65" t="e">
        <f t="shared" ref="AY687:AY694" si="2132">AVERAGE(M687,P687,S687,V687,Y687,AB687,AE687,AH687,AK687,AN687,AQ687,AT687)</f>
        <v>#DIV/0!</v>
      </c>
      <c r="AZ687" s="66">
        <f t="shared" ref="AZ687:AZ694" si="2133">COUNT(M687,P687,S687,V687,Y687,AB687,AE687,AH687,AK687,AN687,AQ687,AT687)</f>
        <v>0</v>
      </c>
      <c r="BA687" s="67">
        <f>MAX(0, Table176252626[[#This Row],[Column6]])</f>
        <v>3</v>
      </c>
      <c r="BB687" s="68">
        <v>1</v>
      </c>
      <c r="BC687" s="84">
        <f t="shared" si="2003"/>
        <v>3</v>
      </c>
      <c r="BD687" s="83">
        <f t="shared" si="2004"/>
        <v>2</v>
      </c>
      <c r="BE687" s="85">
        <v>2</v>
      </c>
      <c r="BF687" s="86">
        <v>45810</v>
      </c>
      <c r="BG687" s="72" t="e">
        <f t="shared" si="1941"/>
        <v>#REF!</v>
      </c>
      <c r="BH687" s="87" t="e">
        <f t="shared" ref="BH687:BH694" si="2134">BG687-BF687</f>
        <v>#REF!</v>
      </c>
      <c r="BI687" s="80" t="e">
        <f t="shared" si="2005"/>
        <v>#REF!</v>
      </c>
      <c r="BJ687" s="238">
        <v>70500</v>
      </c>
    </row>
    <row r="688" spans="1:62" ht="13">
      <c r="A688" s="75"/>
      <c r="B688" s="76"/>
      <c r="C688" s="77">
        <v>686</v>
      </c>
      <c r="D688" s="144" t="s">
        <v>1530</v>
      </c>
      <c r="E688" s="144">
        <v>3</v>
      </c>
      <c r="F688" s="88" t="s">
        <v>1601</v>
      </c>
      <c r="G688" s="89" t="s">
        <v>1602</v>
      </c>
      <c r="H688" s="89" t="s">
        <v>293</v>
      </c>
      <c r="I688" s="80" t="s">
        <v>458</v>
      </c>
      <c r="J688" s="93">
        <f t="shared" si="2118"/>
        <v>2</v>
      </c>
      <c r="K688" s="80">
        <v>2</v>
      </c>
      <c r="L688" s="58"/>
      <c r="M688" s="58"/>
      <c r="N688" s="62">
        <f t="shared" si="2119"/>
        <v>2</v>
      </c>
      <c r="O688" s="60"/>
      <c r="P688" s="58"/>
      <c r="Q688" s="62">
        <f t="shared" si="2120"/>
        <v>2</v>
      </c>
      <c r="R688" s="60"/>
      <c r="S688" s="58"/>
      <c r="T688" s="94">
        <f t="shared" si="2121"/>
        <v>2</v>
      </c>
      <c r="U688" s="60"/>
      <c r="V688" s="58"/>
      <c r="W688" s="62">
        <f t="shared" si="2122"/>
        <v>2</v>
      </c>
      <c r="X688" s="60"/>
      <c r="Y688" s="58"/>
      <c r="Z688" s="94">
        <f t="shared" si="2123"/>
        <v>2</v>
      </c>
      <c r="AA688" s="60"/>
      <c r="AB688" s="58"/>
      <c r="AC688" s="62">
        <f t="shared" si="2124"/>
        <v>2</v>
      </c>
      <c r="AD688" s="57"/>
      <c r="AE688" s="58"/>
      <c r="AF688" s="165">
        <f t="shared" si="2125"/>
        <v>2</v>
      </c>
      <c r="AG688" s="60"/>
      <c r="AH688" s="58"/>
      <c r="AI688" s="62">
        <f t="shared" si="2126"/>
        <v>2</v>
      </c>
      <c r="AJ688" s="60"/>
      <c r="AK688" s="58"/>
      <c r="AL688" s="62">
        <f t="shared" si="2127"/>
        <v>2</v>
      </c>
      <c r="AM688" s="60"/>
      <c r="AN688" s="58"/>
      <c r="AO688" s="62">
        <f t="shared" si="2128"/>
        <v>2</v>
      </c>
      <c r="AP688" s="60"/>
      <c r="AQ688" s="58"/>
      <c r="AR688" s="62">
        <f t="shared" si="2129"/>
        <v>2</v>
      </c>
      <c r="AS688" s="60"/>
      <c r="AT688" s="58"/>
      <c r="AU688" s="62">
        <f t="shared" si="2130"/>
        <v>2</v>
      </c>
      <c r="AV688" s="96">
        <f t="shared" ref="AV688" si="2135">SUM(L688+O688+R688+U688+X688+AA688+AD688+AG688+AJ688+AM688+AP688+AS688)</f>
        <v>0</v>
      </c>
      <c r="AW688" s="83">
        <f t="shared" si="2002"/>
        <v>0</v>
      </c>
      <c r="AX688" s="98">
        <f t="shared" si="2131"/>
        <v>0</v>
      </c>
      <c r="AY688" s="99" t="e">
        <f t="shared" si="2132"/>
        <v>#DIV/0!</v>
      </c>
      <c r="AZ688" s="100">
        <f t="shared" si="2133"/>
        <v>0</v>
      </c>
      <c r="BA688" s="101">
        <v>2</v>
      </c>
      <c r="BB688" s="102">
        <v>1</v>
      </c>
      <c r="BC688" s="84">
        <f t="shared" si="2003"/>
        <v>2</v>
      </c>
      <c r="BD688" s="83">
        <f t="shared" si="2004"/>
        <v>1</v>
      </c>
      <c r="BE688" s="85">
        <v>2</v>
      </c>
      <c r="BF688" s="86">
        <v>45674.560717592591</v>
      </c>
      <c r="BG688" s="72" t="e">
        <f t="shared" si="1941"/>
        <v>#REF!</v>
      </c>
      <c r="BH688" s="103" t="e">
        <f t="shared" si="2134"/>
        <v>#REF!</v>
      </c>
      <c r="BI688" s="80" t="e">
        <f t="shared" si="2005"/>
        <v>#REF!</v>
      </c>
      <c r="BJ688" s="238">
        <v>20900</v>
      </c>
    </row>
    <row r="689" spans="1:62" ht="13">
      <c r="A689" s="75"/>
      <c r="B689" s="76"/>
      <c r="C689" s="77">
        <v>687</v>
      </c>
      <c r="D689" s="144" t="s">
        <v>1530</v>
      </c>
      <c r="E689" s="144">
        <v>3</v>
      </c>
      <c r="F689" s="105" t="s">
        <v>744</v>
      </c>
      <c r="G689" s="112" t="s">
        <v>2049</v>
      </c>
      <c r="H689" s="81" t="s">
        <v>743</v>
      </c>
      <c r="I689" s="80" t="s">
        <v>458</v>
      </c>
      <c r="J689" s="82">
        <f t="shared" si="2118"/>
        <v>1</v>
      </c>
      <c r="K689" s="80">
        <v>1</v>
      </c>
      <c r="L689" s="57"/>
      <c r="M689" s="58"/>
      <c r="N689" s="59">
        <f t="shared" si="2119"/>
        <v>1</v>
      </c>
      <c r="O689" s="60"/>
      <c r="P689" s="58"/>
      <c r="Q689" s="59">
        <f t="shared" si="2120"/>
        <v>1</v>
      </c>
      <c r="R689" s="60"/>
      <c r="S689" s="58"/>
      <c r="T689" s="61">
        <f t="shared" si="2121"/>
        <v>1</v>
      </c>
      <c r="U689" s="60"/>
      <c r="V689" s="58"/>
      <c r="W689" s="59">
        <f t="shared" si="2122"/>
        <v>1</v>
      </c>
      <c r="X689" s="60"/>
      <c r="Y689" s="58"/>
      <c r="Z689" s="61">
        <f t="shared" si="2123"/>
        <v>1</v>
      </c>
      <c r="AA689" s="60"/>
      <c r="AB689" s="58"/>
      <c r="AC689" s="59">
        <f t="shared" si="2124"/>
        <v>1</v>
      </c>
      <c r="AD689" s="57"/>
      <c r="AE689" s="58"/>
      <c r="AF689" s="243">
        <f t="shared" si="2125"/>
        <v>1</v>
      </c>
      <c r="AG689" s="60"/>
      <c r="AH689" s="58"/>
      <c r="AI689" s="62">
        <f t="shared" si="2126"/>
        <v>1</v>
      </c>
      <c r="AJ689" s="60"/>
      <c r="AK689" s="58"/>
      <c r="AL689" s="62">
        <f t="shared" si="2127"/>
        <v>1</v>
      </c>
      <c r="AM689" s="60"/>
      <c r="AN689" s="58"/>
      <c r="AO689" s="62">
        <f t="shared" si="2128"/>
        <v>1</v>
      </c>
      <c r="AP689" s="60"/>
      <c r="AQ689" s="58"/>
      <c r="AR689" s="62">
        <f t="shared" si="2129"/>
        <v>1</v>
      </c>
      <c r="AS689" s="60"/>
      <c r="AT689" s="58"/>
      <c r="AU689" s="62">
        <f t="shared" si="2130"/>
        <v>1</v>
      </c>
      <c r="AV689" s="83">
        <f>SUM(L689+O689+R689+U689+X689+AA689+AD689+AG689+AJ689+AM689+AP689+AS689)</f>
        <v>0</v>
      </c>
      <c r="AW689" s="83">
        <f t="shared" si="2002"/>
        <v>0</v>
      </c>
      <c r="AX689" s="64">
        <f t="shared" si="2131"/>
        <v>0</v>
      </c>
      <c r="AY689" s="65" t="e">
        <f t="shared" si="2132"/>
        <v>#DIV/0!</v>
      </c>
      <c r="AZ689" s="66">
        <f t="shared" si="2133"/>
        <v>0</v>
      </c>
      <c r="BA689" s="67">
        <f>MAX(0, Table176252626[[#This Row],[Column6]])</f>
        <v>1</v>
      </c>
      <c r="BB689" s="68">
        <v>0</v>
      </c>
      <c r="BC689" s="84">
        <f t="shared" si="2003"/>
        <v>1</v>
      </c>
      <c r="BD689" s="83">
        <f t="shared" si="2004"/>
        <v>1</v>
      </c>
      <c r="BE689" s="85">
        <v>2</v>
      </c>
      <c r="BF689" s="86">
        <v>43630.653738425928</v>
      </c>
      <c r="BG689" s="72" t="e">
        <f t="shared" si="1941"/>
        <v>#REF!</v>
      </c>
      <c r="BH689" s="107" t="e">
        <f t="shared" si="2134"/>
        <v>#REF!</v>
      </c>
      <c r="BI689" s="80" t="e">
        <f t="shared" si="2005"/>
        <v>#REF!</v>
      </c>
      <c r="BJ689" s="238">
        <v>70000</v>
      </c>
    </row>
    <row r="690" spans="1:62" ht="13">
      <c r="A690" s="90"/>
      <c r="B690" s="91"/>
      <c r="C690" s="51">
        <v>688</v>
      </c>
      <c r="D690" s="144" t="s">
        <v>1530</v>
      </c>
      <c r="E690" s="144">
        <v>3</v>
      </c>
      <c r="F690" s="88" t="s">
        <v>1638</v>
      </c>
      <c r="G690" s="89" t="s">
        <v>1637</v>
      </c>
      <c r="H690" s="89" t="s">
        <v>293</v>
      </c>
      <c r="I690" s="88" t="s">
        <v>458</v>
      </c>
      <c r="J690" s="93">
        <f t="shared" si="2118"/>
        <v>2</v>
      </c>
      <c r="K690" s="88">
        <v>2</v>
      </c>
      <c r="L690" s="58"/>
      <c r="M690" s="58"/>
      <c r="N690" s="62">
        <f t="shared" si="2119"/>
        <v>2</v>
      </c>
      <c r="O690" s="60"/>
      <c r="P690" s="58"/>
      <c r="Q690" s="62">
        <f t="shared" si="2120"/>
        <v>2</v>
      </c>
      <c r="R690" s="60"/>
      <c r="S690" s="58"/>
      <c r="T690" s="94">
        <f t="shared" si="2121"/>
        <v>2</v>
      </c>
      <c r="U690" s="60"/>
      <c r="V690" s="58"/>
      <c r="W690" s="62">
        <f t="shared" si="2122"/>
        <v>2</v>
      </c>
      <c r="X690" s="60"/>
      <c r="Y690" s="58"/>
      <c r="Z690" s="94">
        <f t="shared" si="2123"/>
        <v>2</v>
      </c>
      <c r="AA690" s="60"/>
      <c r="AB690" s="58"/>
      <c r="AC690" s="62">
        <f t="shared" si="2124"/>
        <v>2</v>
      </c>
      <c r="AD690" s="57"/>
      <c r="AE690" s="58"/>
      <c r="AF690" s="165">
        <f t="shared" si="2125"/>
        <v>2</v>
      </c>
      <c r="AG690" s="60"/>
      <c r="AH690" s="58"/>
      <c r="AI690" s="62">
        <f t="shared" si="2126"/>
        <v>2</v>
      </c>
      <c r="AJ690" s="60"/>
      <c r="AK690" s="58"/>
      <c r="AL690" s="62">
        <f t="shared" si="2127"/>
        <v>2</v>
      </c>
      <c r="AM690" s="60"/>
      <c r="AN690" s="58"/>
      <c r="AO690" s="62">
        <f t="shared" si="2128"/>
        <v>2</v>
      </c>
      <c r="AP690" s="60"/>
      <c r="AQ690" s="58"/>
      <c r="AR690" s="62">
        <f t="shared" si="2129"/>
        <v>2</v>
      </c>
      <c r="AS690" s="60"/>
      <c r="AT690" s="58"/>
      <c r="AU690" s="62">
        <f t="shared" si="2130"/>
        <v>2</v>
      </c>
      <c r="AV690" s="96">
        <f t="shared" ref="AV690" si="2136">SUM(L690+O690+R690+U690+X690+AA690+AD690+AG690+AJ690+AM690+AP690+AS690)</f>
        <v>0</v>
      </c>
      <c r="AW690" s="83">
        <f t="shared" si="2002"/>
        <v>0</v>
      </c>
      <c r="AX690" s="98">
        <f t="shared" si="2131"/>
        <v>0</v>
      </c>
      <c r="AY690" s="99" t="e">
        <f t="shared" si="2132"/>
        <v>#DIV/0!</v>
      </c>
      <c r="AZ690" s="100">
        <f t="shared" si="2133"/>
        <v>0</v>
      </c>
      <c r="BA690" s="101">
        <v>2</v>
      </c>
      <c r="BB690" s="102">
        <v>1</v>
      </c>
      <c r="BC690" s="84">
        <f t="shared" si="2003"/>
        <v>2</v>
      </c>
      <c r="BD690" s="83">
        <f t="shared" si="2004"/>
        <v>1</v>
      </c>
      <c r="BE690" s="85">
        <v>2</v>
      </c>
      <c r="BF690" s="86">
        <v>45674.560717592591</v>
      </c>
      <c r="BG690" s="72" t="e">
        <f t="shared" si="1941"/>
        <v>#REF!</v>
      </c>
      <c r="BH690" s="103" t="e">
        <f t="shared" si="2134"/>
        <v>#REF!</v>
      </c>
      <c r="BI690" s="80" t="e">
        <f t="shared" si="2005"/>
        <v>#REF!</v>
      </c>
      <c r="BJ690" s="238">
        <v>15841</v>
      </c>
    </row>
    <row r="691" spans="1:62" ht="13">
      <c r="A691" s="75"/>
      <c r="B691" s="76"/>
      <c r="C691" s="51">
        <v>689</v>
      </c>
      <c r="D691" s="144" t="s">
        <v>1530</v>
      </c>
      <c r="E691" s="144">
        <v>3</v>
      </c>
      <c r="F691" s="88" t="s">
        <v>1541</v>
      </c>
      <c r="G691" s="89" t="s">
        <v>1540</v>
      </c>
      <c r="H691" s="89" t="s">
        <v>921</v>
      </c>
      <c r="I691" s="80" t="s">
        <v>458</v>
      </c>
      <c r="J691" s="93">
        <f t="shared" si="2118"/>
        <v>1</v>
      </c>
      <c r="K691" s="80">
        <v>1</v>
      </c>
      <c r="L691" s="58"/>
      <c r="M691" s="58"/>
      <c r="N691" s="62">
        <f t="shared" si="2119"/>
        <v>1</v>
      </c>
      <c r="O691" s="60"/>
      <c r="P691" s="58"/>
      <c r="Q691" s="62">
        <f t="shared" si="2120"/>
        <v>1</v>
      </c>
      <c r="R691" s="60"/>
      <c r="S691" s="58"/>
      <c r="T691" s="94">
        <f t="shared" si="2121"/>
        <v>1</v>
      </c>
      <c r="U691" s="60"/>
      <c r="V691" s="58"/>
      <c r="W691" s="62">
        <f t="shared" si="2122"/>
        <v>1</v>
      </c>
      <c r="X691" s="60"/>
      <c r="Y691" s="58"/>
      <c r="Z691" s="94">
        <f t="shared" si="2123"/>
        <v>1</v>
      </c>
      <c r="AA691" s="60"/>
      <c r="AB691" s="58"/>
      <c r="AC691" s="62">
        <f t="shared" si="2124"/>
        <v>1</v>
      </c>
      <c r="AD691" s="57"/>
      <c r="AE691" s="58"/>
      <c r="AF691" s="165">
        <f t="shared" si="2125"/>
        <v>1</v>
      </c>
      <c r="AG691" s="60"/>
      <c r="AH691" s="58"/>
      <c r="AI691" s="62">
        <f t="shared" si="2126"/>
        <v>1</v>
      </c>
      <c r="AJ691" s="60"/>
      <c r="AK691" s="58"/>
      <c r="AL691" s="62">
        <f t="shared" si="2127"/>
        <v>1</v>
      </c>
      <c r="AM691" s="60"/>
      <c r="AN691" s="58"/>
      <c r="AO691" s="62">
        <f t="shared" si="2128"/>
        <v>1</v>
      </c>
      <c r="AP691" s="60"/>
      <c r="AQ691" s="58"/>
      <c r="AR691" s="62">
        <f t="shared" si="2129"/>
        <v>1</v>
      </c>
      <c r="AS691" s="60"/>
      <c r="AT691" s="58"/>
      <c r="AU691" s="62">
        <f t="shared" si="2130"/>
        <v>1</v>
      </c>
      <c r="AV691" s="96">
        <f>SUM(L691+O691+R691+U691+X691+AA691+AD691+AG691+AJ691+AM691+AP691+AS691)</f>
        <v>0</v>
      </c>
      <c r="AW691" s="83">
        <f t="shared" si="2002"/>
        <v>0</v>
      </c>
      <c r="AX691" s="98">
        <f t="shared" si="2131"/>
        <v>0</v>
      </c>
      <c r="AY691" s="99" t="e">
        <f t="shared" si="2132"/>
        <v>#DIV/0!</v>
      </c>
      <c r="AZ691" s="100">
        <f t="shared" si="2133"/>
        <v>0</v>
      </c>
      <c r="BA691" s="101">
        <v>1</v>
      </c>
      <c r="BB691" s="102">
        <v>0</v>
      </c>
      <c r="BC691" s="84">
        <f t="shared" si="2003"/>
        <v>1</v>
      </c>
      <c r="BD691" s="83">
        <f t="shared" si="2004"/>
        <v>1</v>
      </c>
      <c r="BE691" s="85">
        <v>2</v>
      </c>
      <c r="BF691" s="86">
        <v>45455.477581018517</v>
      </c>
      <c r="BG691" s="72" t="e">
        <f t="shared" si="1941"/>
        <v>#REF!</v>
      </c>
      <c r="BH691" s="103" t="e">
        <f t="shared" si="2134"/>
        <v>#REF!</v>
      </c>
      <c r="BI691" s="80" t="e">
        <f t="shared" si="2005"/>
        <v>#REF!</v>
      </c>
      <c r="BJ691" s="238">
        <v>16150</v>
      </c>
    </row>
    <row r="692" spans="1:62" ht="13">
      <c r="A692" s="49"/>
      <c r="B692" s="50"/>
      <c r="C692" s="51">
        <v>690</v>
      </c>
      <c r="D692" s="144" t="s">
        <v>1530</v>
      </c>
      <c r="E692" s="144">
        <v>3</v>
      </c>
      <c r="F692" s="88" t="s">
        <v>1375</v>
      </c>
      <c r="G692" s="89" t="s">
        <v>1376</v>
      </c>
      <c r="H692" s="89" t="s">
        <v>1483</v>
      </c>
      <c r="I692" s="80" t="s">
        <v>458</v>
      </c>
      <c r="J692" s="93">
        <f t="shared" si="2118"/>
        <v>1</v>
      </c>
      <c r="K692" s="88">
        <v>1</v>
      </c>
      <c r="L692" s="58"/>
      <c r="M692" s="58"/>
      <c r="N692" s="62">
        <f t="shared" si="2119"/>
        <v>1</v>
      </c>
      <c r="O692" s="60"/>
      <c r="P692" s="58"/>
      <c r="Q692" s="62">
        <f t="shared" si="2120"/>
        <v>1</v>
      </c>
      <c r="R692" s="60"/>
      <c r="S692" s="58"/>
      <c r="T692" s="94">
        <f t="shared" si="2121"/>
        <v>1</v>
      </c>
      <c r="U692" s="60"/>
      <c r="V692" s="58"/>
      <c r="W692" s="62">
        <f t="shared" si="2122"/>
        <v>1</v>
      </c>
      <c r="X692" s="60"/>
      <c r="Y692" s="58"/>
      <c r="Z692" s="94">
        <f t="shared" si="2123"/>
        <v>1</v>
      </c>
      <c r="AA692" s="60"/>
      <c r="AB692" s="58"/>
      <c r="AC692" s="62">
        <f t="shared" si="2124"/>
        <v>1</v>
      </c>
      <c r="AD692" s="57"/>
      <c r="AE692" s="58"/>
      <c r="AF692" s="165">
        <f t="shared" si="2125"/>
        <v>1</v>
      </c>
      <c r="AG692" s="60"/>
      <c r="AH692" s="58"/>
      <c r="AI692" s="62">
        <f t="shared" si="2126"/>
        <v>1</v>
      </c>
      <c r="AJ692" s="60"/>
      <c r="AK692" s="58"/>
      <c r="AL692" s="62">
        <f t="shared" si="2127"/>
        <v>1</v>
      </c>
      <c r="AM692" s="60"/>
      <c r="AN692" s="58"/>
      <c r="AO692" s="62">
        <f t="shared" si="2128"/>
        <v>1</v>
      </c>
      <c r="AP692" s="60"/>
      <c r="AQ692" s="58"/>
      <c r="AR692" s="62">
        <f t="shared" si="2129"/>
        <v>1</v>
      </c>
      <c r="AS692" s="60"/>
      <c r="AT692" s="58"/>
      <c r="AU692" s="62">
        <f t="shared" si="2130"/>
        <v>1</v>
      </c>
      <c r="AV692" s="96">
        <f>SUM(L692+O692+R692+U692+X692+AA692+AD692+AG692+AJ692+AM692+AP692+AS692)</f>
        <v>0</v>
      </c>
      <c r="AW692" s="83">
        <f t="shared" si="2002"/>
        <v>0</v>
      </c>
      <c r="AX692" s="98">
        <f t="shared" si="2131"/>
        <v>0</v>
      </c>
      <c r="AY692" s="99" t="e">
        <f t="shared" si="2132"/>
        <v>#DIV/0!</v>
      </c>
      <c r="AZ692" s="100">
        <f t="shared" si="2133"/>
        <v>0</v>
      </c>
      <c r="BA692" s="101">
        <v>1</v>
      </c>
      <c r="BB692" s="102">
        <v>0</v>
      </c>
      <c r="BC692" s="84">
        <f t="shared" si="2003"/>
        <v>1</v>
      </c>
      <c r="BD692" s="83">
        <f t="shared" si="2004"/>
        <v>1</v>
      </c>
      <c r="BE692" s="85">
        <v>2</v>
      </c>
      <c r="BF692" s="86">
        <v>45219.618391203701</v>
      </c>
      <c r="BG692" s="72" t="e">
        <f t="shared" si="1941"/>
        <v>#REF!</v>
      </c>
      <c r="BH692" s="103" t="e">
        <f t="shared" si="2134"/>
        <v>#REF!</v>
      </c>
      <c r="BI692" s="80" t="e">
        <f t="shared" si="2005"/>
        <v>#REF!</v>
      </c>
      <c r="BJ692" s="238">
        <v>12150</v>
      </c>
    </row>
    <row r="693" spans="1:62" ht="13">
      <c r="A693" s="49"/>
      <c r="B693" s="50"/>
      <c r="C693" s="51">
        <v>691</v>
      </c>
      <c r="D693" s="144" t="s">
        <v>1530</v>
      </c>
      <c r="E693" s="144">
        <v>3</v>
      </c>
      <c r="F693" s="88" t="s">
        <v>1283</v>
      </c>
      <c r="G693" s="89" t="s">
        <v>1282</v>
      </c>
      <c r="H693" s="89" t="s">
        <v>1281</v>
      </c>
      <c r="I693" s="88" t="s">
        <v>458</v>
      </c>
      <c r="J693" s="93">
        <f t="shared" si="2118"/>
        <v>1</v>
      </c>
      <c r="K693" s="88">
        <v>1</v>
      </c>
      <c r="L693" s="58"/>
      <c r="M693" s="58"/>
      <c r="N693" s="62">
        <f t="shared" si="2119"/>
        <v>1</v>
      </c>
      <c r="O693" s="60"/>
      <c r="P693" s="58"/>
      <c r="Q693" s="62">
        <f t="shared" si="2120"/>
        <v>1</v>
      </c>
      <c r="R693" s="60"/>
      <c r="S693" s="58"/>
      <c r="T693" s="94">
        <f t="shared" si="2121"/>
        <v>1</v>
      </c>
      <c r="U693" s="60"/>
      <c r="V693" s="58"/>
      <c r="W693" s="62">
        <f t="shared" si="2122"/>
        <v>1</v>
      </c>
      <c r="X693" s="60"/>
      <c r="Y693" s="58"/>
      <c r="Z693" s="94">
        <f t="shared" si="2123"/>
        <v>1</v>
      </c>
      <c r="AA693" s="60"/>
      <c r="AB693" s="58"/>
      <c r="AC693" s="62">
        <f t="shared" si="2124"/>
        <v>1</v>
      </c>
      <c r="AD693" s="57"/>
      <c r="AE693" s="58"/>
      <c r="AF693" s="165">
        <f t="shared" si="2125"/>
        <v>1</v>
      </c>
      <c r="AG693" s="60"/>
      <c r="AH693" s="58"/>
      <c r="AI693" s="62">
        <f t="shared" si="2126"/>
        <v>1</v>
      </c>
      <c r="AJ693" s="60"/>
      <c r="AK693" s="58"/>
      <c r="AL693" s="62">
        <f t="shared" si="2127"/>
        <v>1</v>
      </c>
      <c r="AM693" s="60"/>
      <c r="AN693" s="58"/>
      <c r="AO693" s="62">
        <f t="shared" si="2128"/>
        <v>1</v>
      </c>
      <c r="AP693" s="60"/>
      <c r="AQ693" s="58"/>
      <c r="AR693" s="62">
        <f t="shared" si="2129"/>
        <v>1</v>
      </c>
      <c r="AS693" s="60"/>
      <c r="AT693" s="58"/>
      <c r="AU693" s="62">
        <f t="shared" si="2130"/>
        <v>1</v>
      </c>
      <c r="AV693" s="96">
        <f t="shared" ref="AV693" si="2137">SUM(L693+O693+R693+U693+X693+AA693+AD693+AG693+AJ693+AM693+AP693+AS693)</f>
        <v>0</v>
      </c>
      <c r="AW693" s="83">
        <f t="shared" si="2002"/>
        <v>0</v>
      </c>
      <c r="AX693" s="98">
        <f t="shared" si="2131"/>
        <v>0</v>
      </c>
      <c r="AY693" s="99" t="e">
        <f t="shared" si="2132"/>
        <v>#DIV/0!</v>
      </c>
      <c r="AZ693" s="100">
        <f t="shared" si="2133"/>
        <v>0</v>
      </c>
      <c r="BA693" s="67">
        <f>MAX(0, Table176252626[[#This Row],[Column6]])</f>
        <v>1</v>
      </c>
      <c r="BB693" s="68">
        <v>0</v>
      </c>
      <c r="BC693" s="84">
        <f t="shared" si="2003"/>
        <v>1</v>
      </c>
      <c r="BD693" s="83">
        <f t="shared" si="2004"/>
        <v>1</v>
      </c>
      <c r="BE693" s="85">
        <v>2</v>
      </c>
      <c r="BF693" s="86">
        <v>45041.604722222219</v>
      </c>
      <c r="BG693" s="72" t="e">
        <f t="shared" si="1941"/>
        <v>#REF!</v>
      </c>
      <c r="BH693" s="87" t="e">
        <f t="shared" si="2134"/>
        <v>#REF!</v>
      </c>
      <c r="BI693" s="80" t="e">
        <f t="shared" si="2005"/>
        <v>#REF!</v>
      </c>
      <c r="BJ693" s="238">
        <v>4600</v>
      </c>
    </row>
    <row r="694" spans="1:62" ht="13">
      <c r="A694" s="49"/>
      <c r="B694" s="76"/>
      <c r="C694" s="77">
        <v>692</v>
      </c>
      <c r="D694" s="144" t="s">
        <v>1530</v>
      </c>
      <c r="E694" s="144">
        <v>3</v>
      </c>
      <c r="F694" s="88" t="s">
        <v>1644</v>
      </c>
      <c r="G694" s="89" t="s">
        <v>1645</v>
      </c>
      <c r="H694" s="89" t="s">
        <v>301</v>
      </c>
      <c r="I694" s="88" t="s">
        <v>458</v>
      </c>
      <c r="J694" s="93">
        <f t="shared" si="2118"/>
        <v>1</v>
      </c>
      <c r="K694" s="88">
        <v>1</v>
      </c>
      <c r="L694" s="58"/>
      <c r="M694" s="58"/>
      <c r="N694" s="62">
        <f t="shared" si="2119"/>
        <v>1</v>
      </c>
      <c r="O694" s="60"/>
      <c r="P694" s="58"/>
      <c r="Q694" s="62">
        <f t="shared" si="2120"/>
        <v>1</v>
      </c>
      <c r="R694" s="60"/>
      <c r="S694" s="58"/>
      <c r="T694" s="94">
        <f t="shared" si="2121"/>
        <v>1</v>
      </c>
      <c r="U694" s="60"/>
      <c r="V694" s="58"/>
      <c r="W694" s="62">
        <f t="shared" si="2122"/>
        <v>1</v>
      </c>
      <c r="X694" s="60"/>
      <c r="Y694" s="58"/>
      <c r="Z694" s="94">
        <f t="shared" si="2123"/>
        <v>1</v>
      </c>
      <c r="AA694" s="60"/>
      <c r="AB694" s="58"/>
      <c r="AC694" s="62">
        <f t="shared" si="2124"/>
        <v>1</v>
      </c>
      <c r="AD694" s="57"/>
      <c r="AE694" s="58"/>
      <c r="AF694" s="165">
        <f t="shared" si="2125"/>
        <v>1</v>
      </c>
      <c r="AG694" s="60"/>
      <c r="AH694" s="58"/>
      <c r="AI694" s="62">
        <f t="shared" si="2126"/>
        <v>1</v>
      </c>
      <c r="AJ694" s="60"/>
      <c r="AK694" s="58"/>
      <c r="AL694" s="62">
        <f t="shared" si="2127"/>
        <v>1</v>
      </c>
      <c r="AM694" s="60"/>
      <c r="AN694" s="58"/>
      <c r="AO694" s="62">
        <f t="shared" si="2128"/>
        <v>1</v>
      </c>
      <c r="AP694" s="60"/>
      <c r="AQ694" s="58"/>
      <c r="AR694" s="62">
        <f t="shared" si="2129"/>
        <v>1</v>
      </c>
      <c r="AS694" s="60"/>
      <c r="AT694" s="58"/>
      <c r="AU694" s="62">
        <f t="shared" si="2130"/>
        <v>1</v>
      </c>
      <c r="AV694" s="96">
        <f t="shared" ref="AV694" si="2138">SUM(L694+O694+R694+U694+X694+AA694+AD694+AG694+AJ694+AM694+AP694+AS694)</f>
        <v>0</v>
      </c>
      <c r="AW694" s="83">
        <f t="shared" si="2002"/>
        <v>0</v>
      </c>
      <c r="AX694" s="98">
        <f t="shared" si="2131"/>
        <v>0</v>
      </c>
      <c r="AY694" s="99" t="e">
        <f t="shared" si="2132"/>
        <v>#DIV/0!</v>
      </c>
      <c r="AZ694" s="100">
        <f t="shared" si="2133"/>
        <v>0</v>
      </c>
      <c r="BA694" s="101">
        <v>1</v>
      </c>
      <c r="BB694" s="102">
        <v>0</v>
      </c>
      <c r="BC694" s="84">
        <f t="shared" si="2003"/>
        <v>1</v>
      </c>
      <c r="BD694" s="83">
        <f t="shared" si="2004"/>
        <v>1</v>
      </c>
      <c r="BE694" s="85">
        <v>2</v>
      </c>
      <c r="BF694" s="86">
        <v>45616.700949074075</v>
      </c>
      <c r="BG694" s="72" t="e">
        <f t="shared" si="1941"/>
        <v>#REF!</v>
      </c>
      <c r="BH694" s="103" t="e">
        <f t="shared" si="2134"/>
        <v>#REF!</v>
      </c>
      <c r="BI694" s="80" t="e">
        <f t="shared" si="2005"/>
        <v>#REF!</v>
      </c>
      <c r="BJ694" s="238">
        <v>11500</v>
      </c>
    </row>
    <row r="695" spans="1:62" ht="13">
      <c r="A695" s="90"/>
      <c r="B695" s="91"/>
      <c r="C695" s="77">
        <v>693</v>
      </c>
      <c r="D695" s="144" t="s">
        <v>1530</v>
      </c>
      <c r="E695" s="144">
        <v>3</v>
      </c>
      <c r="F695" s="54" t="s">
        <v>1759</v>
      </c>
      <c r="G695" s="55" t="s">
        <v>1760</v>
      </c>
      <c r="H695" s="81" t="s">
        <v>2002</v>
      </c>
      <c r="I695" s="80" t="s">
        <v>458</v>
      </c>
      <c r="J695" s="82">
        <f t="shared" ref="J695" si="2139">AU695</f>
        <v>1</v>
      </c>
      <c r="K695" s="129">
        <v>1</v>
      </c>
      <c r="L695" s="124"/>
      <c r="M695" s="125"/>
      <c r="N695" s="59">
        <f t="shared" ref="N695" si="2140">SUM(K695+L695-M695)</f>
        <v>1</v>
      </c>
      <c r="O695" s="126"/>
      <c r="P695" s="125"/>
      <c r="Q695" s="59">
        <f t="shared" ref="Q695" si="2141">SUM(N695+O695-P695)</f>
        <v>1</v>
      </c>
      <c r="R695" s="126"/>
      <c r="S695" s="125"/>
      <c r="T695" s="61">
        <f t="shared" ref="T695" si="2142">SUM(Q695+R695-S695)</f>
        <v>1</v>
      </c>
      <c r="U695" s="126"/>
      <c r="V695" s="125"/>
      <c r="W695" s="59">
        <f t="shared" ref="W695" si="2143">SUM(T695+U695-V695)</f>
        <v>1</v>
      </c>
      <c r="X695" s="126"/>
      <c r="Y695" s="125"/>
      <c r="Z695" s="61">
        <f t="shared" ref="Z695" si="2144">SUM(W695+X695-Y695)</f>
        <v>1</v>
      </c>
      <c r="AA695" s="126"/>
      <c r="AB695" s="125"/>
      <c r="AC695" s="59">
        <f t="shared" ref="AC695" si="2145">SUM(Z695+AA695-AB695)</f>
        <v>1</v>
      </c>
      <c r="AD695" s="124"/>
      <c r="AE695" s="125"/>
      <c r="AF695" s="243">
        <f t="shared" ref="AF695" si="2146">SUM(AC695+AD695-AE695)</f>
        <v>1</v>
      </c>
      <c r="AG695" s="126"/>
      <c r="AH695" s="125"/>
      <c r="AI695" s="62">
        <f t="shared" ref="AI695" si="2147">SUM(AF695+AG695-AH695)</f>
        <v>1</v>
      </c>
      <c r="AJ695" s="126"/>
      <c r="AK695" s="125"/>
      <c r="AL695" s="62">
        <f t="shared" ref="AL695" si="2148">SUM(AI695+AJ695-AK695)</f>
        <v>1</v>
      </c>
      <c r="AM695" s="126"/>
      <c r="AN695" s="125"/>
      <c r="AO695" s="59">
        <f t="shared" ref="AO695" si="2149">SUM(AL695+AM695-AN695)</f>
        <v>1</v>
      </c>
      <c r="AP695" s="126"/>
      <c r="AQ695" s="125"/>
      <c r="AR695" s="59">
        <f t="shared" ref="AR695" si="2150">SUM(AO695+AP695-AQ695)</f>
        <v>1</v>
      </c>
      <c r="AS695" s="126"/>
      <c r="AT695" s="125"/>
      <c r="AU695" s="59">
        <f t="shared" ref="AU695" si="2151">SUM(AR695+AS695-AT695)</f>
        <v>1</v>
      </c>
      <c r="AV695" s="83">
        <f t="shared" ref="AV695" si="2152">SUM(L695+O695+R695+U695+X695+AA695+AD695+AG695+AJ695+AM695+AP695+AS695)</f>
        <v>0</v>
      </c>
      <c r="AW695" s="83">
        <f t="shared" si="2002"/>
        <v>0</v>
      </c>
      <c r="AX695" s="64">
        <f t="shared" ref="AX695" si="2153">SUM(M695,P695,S695,V695,Y695,AB695,AE695,AH695,AK695,AN695,AQ695,AT695)</f>
        <v>0</v>
      </c>
      <c r="AY695" s="65" t="e">
        <f t="shared" ref="AY695" si="2154">AVERAGE(M695,P695,S695,V695,Y695,AB695,AE695,AH695,AK695,AN695,AQ695,AT695)</f>
        <v>#DIV/0!</v>
      </c>
      <c r="AZ695" s="66">
        <f t="shared" ref="AZ695" si="2155">COUNT(M695,P695,S695,V695,Y695,AB695,AE695,AH695,AK695,AN695,AQ695,AT695)</f>
        <v>0</v>
      </c>
      <c r="BA695" s="67">
        <f>MAX(0, Table176252626[[#This Row],[Column6]])</f>
        <v>1</v>
      </c>
      <c r="BB695" s="68">
        <v>0</v>
      </c>
      <c r="BC695" s="84">
        <f t="shared" si="2003"/>
        <v>1</v>
      </c>
      <c r="BD695" s="83">
        <f t="shared" si="2004"/>
        <v>1</v>
      </c>
      <c r="BE695" s="85">
        <v>2</v>
      </c>
      <c r="BF695" s="86">
        <v>45860</v>
      </c>
      <c r="BG695" s="72" t="e">
        <f t="shared" si="1941"/>
        <v>#REF!</v>
      </c>
      <c r="BH695" s="87" t="e">
        <f t="shared" ref="BH695" si="2156">BG695-BF695</f>
        <v>#REF!</v>
      </c>
      <c r="BI695" s="80" t="e">
        <f t="shared" si="2005"/>
        <v>#REF!</v>
      </c>
      <c r="BJ695" s="238">
        <v>8925.7000000000007</v>
      </c>
    </row>
    <row r="696" spans="1:62" ht="13">
      <c r="A696" s="49"/>
      <c r="B696" s="76"/>
      <c r="C696" s="51">
        <v>694</v>
      </c>
      <c r="D696" s="144" t="s">
        <v>1530</v>
      </c>
      <c r="E696" s="144">
        <v>3</v>
      </c>
      <c r="F696" s="80" t="s">
        <v>424</v>
      </c>
      <c r="G696" s="81" t="s">
        <v>1018</v>
      </c>
      <c r="H696" s="81" t="s">
        <v>296</v>
      </c>
      <c r="I696" s="80" t="s">
        <v>458</v>
      </c>
      <c r="J696" s="82">
        <f>AU696</f>
        <v>2</v>
      </c>
      <c r="K696" s="80">
        <v>1</v>
      </c>
      <c r="L696" s="57">
        <v>1</v>
      </c>
      <c r="M696" s="58">
        <v>1</v>
      </c>
      <c r="N696" s="59">
        <f>SUM(K696+L696-M696)</f>
        <v>1</v>
      </c>
      <c r="O696" s="60"/>
      <c r="P696" s="58"/>
      <c r="Q696" s="59">
        <f>SUM(N696+O696-P696)</f>
        <v>1</v>
      </c>
      <c r="R696" s="60"/>
      <c r="S696" s="58"/>
      <c r="T696" s="61">
        <f>SUM(Q696+R696-S696)</f>
        <v>1</v>
      </c>
      <c r="U696" s="60"/>
      <c r="V696" s="58"/>
      <c r="W696" s="59">
        <f>SUM(T696+U696-V696)</f>
        <v>1</v>
      </c>
      <c r="X696" s="60"/>
      <c r="Y696" s="58"/>
      <c r="Z696" s="61">
        <f>SUM(W696+X696-Y696)</f>
        <v>1</v>
      </c>
      <c r="AA696" s="60">
        <v>1</v>
      </c>
      <c r="AB696" s="58"/>
      <c r="AC696" s="59">
        <f>SUM(Z696+AA696-AB696)</f>
        <v>2</v>
      </c>
      <c r="AD696" s="57"/>
      <c r="AE696" s="58"/>
      <c r="AF696" s="243">
        <f>SUM(AC696+AD696-AE696)</f>
        <v>2</v>
      </c>
      <c r="AG696" s="60"/>
      <c r="AH696" s="58"/>
      <c r="AI696" s="62">
        <f>SUM(AF696+AG696-AH696)</f>
        <v>2</v>
      </c>
      <c r="AJ696" s="60"/>
      <c r="AK696" s="58"/>
      <c r="AL696" s="62">
        <f>SUM(AI696+AJ696-AK696)</f>
        <v>2</v>
      </c>
      <c r="AM696" s="60"/>
      <c r="AN696" s="58"/>
      <c r="AO696" s="62">
        <f>SUM(AL696+AM696-AN696)</f>
        <v>2</v>
      </c>
      <c r="AP696" s="60"/>
      <c r="AQ696" s="58"/>
      <c r="AR696" s="62">
        <f>SUM(AO696+AP696-AQ696)</f>
        <v>2</v>
      </c>
      <c r="AS696" s="60"/>
      <c r="AT696" s="58"/>
      <c r="AU696" s="62">
        <f>SUM(AR696+AS696-AT696)</f>
        <v>2</v>
      </c>
      <c r="AV696" s="83">
        <f>SUM(L696+O696+R696+U696+X696+AA696+AD696+AG696+AJ696+AM696+AP696+AS696)</f>
        <v>2</v>
      </c>
      <c r="AW696" s="83">
        <f t="shared" ref="AW696:AW718" si="2157">SUM(M696+P696+S696+V696+Y696+AB696+AE696+AH696+AK696+AN696+AQ696+AT696)</f>
        <v>1</v>
      </c>
      <c r="AX696" s="64">
        <f>SUM(M696,P696,S696,V696,Y696,AB696,AE696,AH696,AK696,AN696,AQ696,AT696)</f>
        <v>1</v>
      </c>
      <c r="AY696" s="65">
        <f>AVERAGE(M696,P696,S696,V696,Y696,AB696,AE696,AH696,AK696,AN696,AQ696,AT696)</f>
        <v>1</v>
      </c>
      <c r="AZ696" s="66">
        <f>COUNT(M696,P696,S696,V696,Y696,AB696,AE696,AH696,AK696,AN696,AQ696,AT696)</f>
        <v>1</v>
      </c>
      <c r="BA696" s="67">
        <v>2</v>
      </c>
      <c r="BB696" s="68">
        <v>1</v>
      </c>
      <c r="BC696" s="84">
        <f t="shared" ref="BC696:BC726" si="2158">J696</f>
        <v>2</v>
      </c>
      <c r="BD696" s="83">
        <f t="shared" si="2004"/>
        <v>1</v>
      </c>
      <c r="BE696" s="85">
        <v>2</v>
      </c>
      <c r="BF696" s="86">
        <v>46189</v>
      </c>
      <c r="BG696" s="72" t="e">
        <f t="shared" si="1941"/>
        <v>#REF!</v>
      </c>
      <c r="BH696" s="87" t="e">
        <f>BG696-BF696</f>
        <v>#REF!</v>
      </c>
      <c r="BI696" s="80" t="e">
        <f t="shared" si="2005"/>
        <v>#REF!</v>
      </c>
      <c r="BJ696" s="238">
        <v>88452</v>
      </c>
    </row>
    <row r="697" spans="1:62" ht="13">
      <c r="A697" s="75"/>
      <c r="B697" s="76"/>
      <c r="C697" s="51">
        <v>695</v>
      </c>
      <c r="D697" s="144" t="s">
        <v>1530</v>
      </c>
      <c r="E697" s="144">
        <v>3</v>
      </c>
      <c r="F697" s="54" t="s">
        <v>718</v>
      </c>
      <c r="G697" s="55" t="s">
        <v>719</v>
      </c>
      <c r="H697" s="81" t="s">
        <v>296</v>
      </c>
      <c r="I697" s="80" t="s">
        <v>458</v>
      </c>
      <c r="J697" s="82">
        <f t="shared" ref="J697" si="2159">AU697</f>
        <v>1</v>
      </c>
      <c r="K697" s="80">
        <v>1</v>
      </c>
      <c r="L697" s="57"/>
      <c r="M697" s="58"/>
      <c r="N697" s="59">
        <f t="shared" ref="N697" si="2160">SUM(K697+L697-M697)</f>
        <v>1</v>
      </c>
      <c r="O697" s="60"/>
      <c r="P697" s="58"/>
      <c r="Q697" s="59">
        <f t="shared" ref="Q697" si="2161">SUM(N697+O697-P697)</f>
        <v>1</v>
      </c>
      <c r="R697" s="60"/>
      <c r="S697" s="58"/>
      <c r="T697" s="61">
        <f t="shared" ref="T697" si="2162">SUM(Q697+R697-S697)</f>
        <v>1</v>
      </c>
      <c r="U697" s="60"/>
      <c r="V697" s="58"/>
      <c r="W697" s="59">
        <f t="shared" ref="W697" si="2163">SUM(T697+U697-V697)</f>
        <v>1</v>
      </c>
      <c r="X697" s="60"/>
      <c r="Y697" s="58"/>
      <c r="Z697" s="61">
        <f t="shared" ref="Z697" si="2164">SUM(W697+X697-Y697)</f>
        <v>1</v>
      </c>
      <c r="AA697" s="60"/>
      <c r="AB697" s="58"/>
      <c r="AC697" s="59">
        <f t="shared" ref="AC697" si="2165">SUM(Z697+AA697-AB697)</f>
        <v>1</v>
      </c>
      <c r="AD697" s="57"/>
      <c r="AE697" s="58"/>
      <c r="AF697" s="243">
        <f t="shared" ref="AF697" si="2166">SUM(AC697+AD697-AE697)</f>
        <v>1</v>
      </c>
      <c r="AG697" s="60"/>
      <c r="AH697" s="58"/>
      <c r="AI697" s="62">
        <f t="shared" ref="AI697" si="2167">SUM(AF697+AG697-AH697)</f>
        <v>1</v>
      </c>
      <c r="AJ697" s="60"/>
      <c r="AK697" s="58"/>
      <c r="AL697" s="62">
        <f t="shared" ref="AL697" si="2168">SUM(AI697+AJ697-AK697)</f>
        <v>1</v>
      </c>
      <c r="AM697" s="60"/>
      <c r="AN697" s="58"/>
      <c r="AO697" s="62">
        <f t="shared" ref="AO697" si="2169">SUM(AL697+AM697-AN697)</f>
        <v>1</v>
      </c>
      <c r="AP697" s="60"/>
      <c r="AQ697" s="58"/>
      <c r="AR697" s="62">
        <f t="shared" ref="AR697" si="2170">SUM(AO697+AP697-AQ697)</f>
        <v>1</v>
      </c>
      <c r="AS697" s="60"/>
      <c r="AT697" s="58"/>
      <c r="AU697" s="62">
        <f t="shared" ref="AU697" si="2171">SUM(AR697+AS697-AT697)</f>
        <v>1</v>
      </c>
      <c r="AV697" s="83">
        <f t="shared" ref="AV697" si="2172">SUM(L697+O697+R697+U697+X697+AA697+AD697+AG697+AJ697+AM697+AP697+AS697)</f>
        <v>0</v>
      </c>
      <c r="AW697" s="83">
        <f t="shared" si="2157"/>
        <v>0</v>
      </c>
      <c r="AX697" s="64">
        <f t="shared" ref="AX697" si="2173">SUM(M697,P697,S697,V697,Y697,AB697,AE697,AH697,AK697,AN697,AQ697,AT697)</f>
        <v>0</v>
      </c>
      <c r="AY697" s="65" t="e">
        <f t="shared" ref="AY697" si="2174">AVERAGE(M697,P697,S697,V697,Y697,AB697,AE697,AH697,AK697,AN697,AQ697,AT697)</f>
        <v>#DIV/0!</v>
      </c>
      <c r="AZ697" s="66">
        <f t="shared" ref="AZ697" si="2175">COUNT(M697,P697,S697,V697,Y697,AB697,AE697,AH697,AK697,AN697,AQ697,AT697)</f>
        <v>0</v>
      </c>
      <c r="BA697" s="67">
        <f>MAX(0, Table176252626[[#This Row],[Column6]])</f>
        <v>1</v>
      </c>
      <c r="BB697" s="68">
        <v>0</v>
      </c>
      <c r="BC697" s="84">
        <f t="shared" si="2158"/>
        <v>1</v>
      </c>
      <c r="BD697" s="83">
        <f t="shared" si="2004"/>
        <v>1</v>
      </c>
      <c r="BE697" s="85">
        <v>2</v>
      </c>
      <c r="BF697" s="86">
        <v>45451.377222222225</v>
      </c>
      <c r="BG697" s="72" t="e">
        <f t="shared" si="1941"/>
        <v>#REF!</v>
      </c>
      <c r="BH697" s="87" t="e">
        <f t="shared" ref="BH697" si="2176">BG697-BF697</f>
        <v>#REF!</v>
      </c>
      <c r="BI697" s="80" t="e">
        <f t="shared" si="2005"/>
        <v>#REF!</v>
      </c>
      <c r="BJ697" s="238">
        <v>35000</v>
      </c>
    </row>
    <row r="698" spans="1:62" ht="13">
      <c r="A698" s="49"/>
      <c r="B698" s="76"/>
      <c r="C698" s="51">
        <v>696</v>
      </c>
      <c r="D698" s="144" t="s">
        <v>1530</v>
      </c>
      <c r="E698" s="144">
        <v>3</v>
      </c>
      <c r="F698" s="80" t="s">
        <v>1094</v>
      </c>
      <c r="G698" s="81" t="s">
        <v>1330</v>
      </c>
      <c r="H698" s="89" t="s">
        <v>289</v>
      </c>
      <c r="I698" s="80" t="s">
        <v>458</v>
      </c>
      <c r="J698" s="82">
        <f>AU698</f>
        <v>1</v>
      </c>
      <c r="K698" s="80">
        <v>1</v>
      </c>
      <c r="L698" s="57"/>
      <c r="M698" s="58"/>
      <c r="N698" s="59">
        <f>SUM(K698+L698-M698)</f>
        <v>1</v>
      </c>
      <c r="O698" s="60"/>
      <c r="P698" s="58"/>
      <c r="Q698" s="59">
        <f>SUM(N698+O698-P698)</f>
        <v>1</v>
      </c>
      <c r="R698" s="60"/>
      <c r="S698" s="58"/>
      <c r="T698" s="61">
        <f>SUM(Q698+R698-S698)</f>
        <v>1</v>
      </c>
      <c r="U698" s="60"/>
      <c r="V698" s="58"/>
      <c r="W698" s="59">
        <f>SUM(T698+U698-V698)</f>
        <v>1</v>
      </c>
      <c r="X698" s="60"/>
      <c r="Y698" s="58"/>
      <c r="Z698" s="61">
        <f>SUM(W698+X698-Y698)</f>
        <v>1</v>
      </c>
      <c r="AA698" s="60"/>
      <c r="AB698" s="58"/>
      <c r="AC698" s="59">
        <f>SUM(Z698+AA698-AB698)</f>
        <v>1</v>
      </c>
      <c r="AD698" s="57"/>
      <c r="AE698" s="58"/>
      <c r="AF698" s="243">
        <f>SUM(AC698+AD698-AE698)</f>
        <v>1</v>
      </c>
      <c r="AG698" s="60"/>
      <c r="AH698" s="58"/>
      <c r="AI698" s="62">
        <f>SUM(AF698+AG698-AH698)</f>
        <v>1</v>
      </c>
      <c r="AJ698" s="60"/>
      <c r="AK698" s="58"/>
      <c r="AL698" s="62">
        <f>SUM(AI698+AJ698-AK698)</f>
        <v>1</v>
      </c>
      <c r="AM698" s="60"/>
      <c r="AN698" s="58"/>
      <c r="AO698" s="62">
        <f>SUM(AL698+AM698-AN698)</f>
        <v>1</v>
      </c>
      <c r="AP698" s="60"/>
      <c r="AQ698" s="58"/>
      <c r="AR698" s="62">
        <f>SUM(AO698+AP698-AQ698)</f>
        <v>1</v>
      </c>
      <c r="AS698" s="60"/>
      <c r="AT698" s="58"/>
      <c r="AU698" s="62">
        <f>SUM(AR698+AS698-AT698)</f>
        <v>1</v>
      </c>
      <c r="AV698" s="128">
        <f>SUM(L698+O698+R698+U698+X698+AA698+AD698+AG698+AJ698+AM698+AP698+AS698)</f>
        <v>0</v>
      </c>
      <c r="AW698" s="83">
        <f t="shared" si="2157"/>
        <v>0</v>
      </c>
      <c r="AX698" s="64">
        <f>SUM(M698,P698,S698,V698,Y698,AB698,AE698,AH698,AK698,AN698,AQ698,AT698)</f>
        <v>0</v>
      </c>
      <c r="AY698" s="65" t="e">
        <f>AVERAGE(M698,P698,S698,V698,Y698,AB698,AE698,AH698,AK698,AN698,AQ698,AT698)</f>
        <v>#DIV/0!</v>
      </c>
      <c r="AZ698" s="66">
        <f>COUNT(M698,P698,S698,V698,Y698,AB698,AE698,AH698,AK698,AN698,AQ698,AT698)</f>
        <v>0</v>
      </c>
      <c r="BA698" s="67">
        <f>MAX(0, Table176252626[[#This Row],[Column6]])</f>
        <v>1</v>
      </c>
      <c r="BB698" s="68">
        <v>0</v>
      </c>
      <c r="BC698" s="84">
        <f t="shared" si="2158"/>
        <v>1</v>
      </c>
      <c r="BD698" s="83">
        <f t="shared" si="2004"/>
        <v>1</v>
      </c>
      <c r="BE698" s="85">
        <v>2</v>
      </c>
      <c r="BF698" s="86">
        <v>44784.456979166665</v>
      </c>
      <c r="BG698" s="72" t="e">
        <f t="shared" si="1941"/>
        <v>#REF!</v>
      </c>
      <c r="BH698" s="87" t="e">
        <f>BG698-BF698</f>
        <v>#REF!</v>
      </c>
      <c r="BI698" s="80" t="e">
        <f t="shared" si="2005"/>
        <v>#REF!</v>
      </c>
      <c r="BJ698" s="238">
        <v>67000</v>
      </c>
    </row>
    <row r="699" spans="1:62" ht="13">
      <c r="A699" s="49"/>
      <c r="B699" s="76"/>
      <c r="C699" s="51">
        <v>697</v>
      </c>
      <c r="D699" s="144" t="s">
        <v>1530</v>
      </c>
      <c r="E699" s="144">
        <v>3</v>
      </c>
      <c r="F699" s="88" t="s">
        <v>1654</v>
      </c>
      <c r="G699" s="118" t="s">
        <v>2048</v>
      </c>
      <c r="H699" s="89" t="s">
        <v>305</v>
      </c>
      <c r="I699" s="88" t="s">
        <v>458</v>
      </c>
      <c r="J699" s="93">
        <f t="shared" ref="J699" si="2177">AU699</f>
        <v>1</v>
      </c>
      <c r="K699" s="80">
        <v>1</v>
      </c>
      <c r="L699" s="58"/>
      <c r="M699" s="58"/>
      <c r="N699" s="62">
        <f t="shared" ref="N699" si="2178">SUM(K699+L699-M699)</f>
        <v>1</v>
      </c>
      <c r="O699" s="60"/>
      <c r="P699" s="58"/>
      <c r="Q699" s="62">
        <f t="shared" ref="Q699" si="2179">SUM(N699+O699-P699)</f>
        <v>1</v>
      </c>
      <c r="R699" s="60"/>
      <c r="S699" s="58"/>
      <c r="T699" s="94">
        <f t="shared" ref="T699" si="2180">SUM(Q699+R699-S699)</f>
        <v>1</v>
      </c>
      <c r="U699" s="60"/>
      <c r="V699" s="58"/>
      <c r="W699" s="62">
        <f t="shared" ref="W699" si="2181">SUM(T699+U699-V699)</f>
        <v>1</v>
      </c>
      <c r="X699" s="60"/>
      <c r="Y699" s="58"/>
      <c r="Z699" s="94">
        <f t="shared" ref="Z699" si="2182">SUM(W699+X699-Y699)</f>
        <v>1</v>
      </c>
      <c r="AA699" s="60"/>
      <c r="AB699" s="58"/>
      <c r="AC699" s="62">
        <f t="shared" ref="AC699" si="2183">SUM(Z699+AA699-AB699)</f>
        <v>1</v>
      </c>
      <c r="AD699" s="57"/>
      <c r="AE699" s="58"/>
      <c r="AF699" s="165">
        <f t="shared" ref="AF699" si="2184">SUM(AC699+AD699-AE699)</f>
        <v>1</v>
      </c>
      <c r="AG699" s="60"/>
      <c r="AH699" s="58"/>
      <c r="AI699" s="62">
        <f t="shared" ref="AI699" si="2185">SUM(AF699+AG699-AH699)</f>
        <v>1</v>
      </c>
      <c r="AJ699" s="60"/>
      <c r="AK699" s="58"/>
      <c r="AL699" s="62">
        <f t="shared" ref="AL699" si="2186">SUM(AI699+AJ699-AK699)</f>
        <v>1</v>
      </c>
      <c r="AM699" s="60"/>
      <c r="AN699" s="58"/>
      <c r="AO699" s="62">
        <f t="shared" ref="AO699" si="2187">SUM(AL699+AM699-AN699)</f>
        <v>1</v>
      </c>
      <c r="AP699" s="60"/>
      <c r="AQ699" s="58"/>
      <c r="AR699" s="62">
        <f t="shared" ref="AR699" si="2188">SUM(AO699+AP699-AQ699)</f>
        <v>1</v>
      </c>
      <c r="AS699" s="60"/>
      <c r="AT699" s="58"/>
      <c r="AU699" s="62">
        <f t="shared" ref="AU699" si="2189">SUM(AR699+AS699-AT699)</f>
        <v>1</v>
      </c>
      <c r="AV699" s="83">
        <f>SUM(L699+O699+R699+U699+X699+AA699+AD699+AG699+AJ699+AM699+AP699+AS699)</f>
        <v>0</v>
      </c>
      <c r="AW699" s="83">
        <f t="shared" si="2157"/>
        <v>0</v>
      </c>
      <c r="AX699" s="98">
        <f t="shared" ref="AX699" si="2190">SUM(M699,P699,S699,V699,Y699,AB699,AE699,AH699,AK699,AN699,AQ699,AT699)</f>
        <v>0</v>
      </c>
      <c r="AY699" s="99" t="e">
        <f t="shared" ref="AY699" si="2191">AVERAGE(M699,P699,S699,V699,Y699,AB699,AE699,AH699,AK699,AN699,AQ699,AT699)</f>
        <v>#DIV/0!</v>
      </c>
      <c r="AZ699" s="100">
        <f t="shared" ref="AZ699" si="2192">COUNT(M699,P699,S699,V699,Y699,AB699,AE699,AH699,AK699,AN699,AQ699,AT699)</f>
        <v>0</v>
      </c>
      <c r="BA699" s="101">
        <v>1</v>
      </c>
      <c r="BB699" s="102">
        <v>0</v>
      </c>
      <c r="BC699" s="84">
        <f t="shared" si="2158"/>
        <v>1</v>
      </c>
      <c r="BD699" s="83">
        <f t="shared" si="2004"/>
        <v>1</v>
      </c>
      <c r="BE699" s="85">
        <v>2</v>
      </c>
      <c r="BF699" s="86">
        <v>45639.629606481481</v>
      </c>
      <c r="BG699" s="72" t="e">
        <f t="shared" si="1941"/>
        <v>#REF!</v>
      </c>
      <c r="BH699" s="103" t="e">
        <f t="shared" ref="BH699" si="2193">BG699-BF699</f>
        <v>#REF!</v>
      </c>
      <c r="BI699" s="80" t="e">
        <f t="shared" si="2005"/>
        <v>#REF!</v>
      </c>
      <c r="BJ699" s="238">
        <v>65000</v>
      </c>
    </row>
    <row r="700" spans="1:62" ht="13">
      <c r="A700" s="159"/>
      <c r="B700" s="160"/>
      <c r="C700" s="77">
        <v>698</v>
      </c>
      <c r="D700" s="144" t="s">
        <v>1530</v>
      </c>
      <c r="E700" s="144">
        <v>4</v>
      </c>
      <c r="F700" s="54" t="s">
        <v>540</v>
      </c>
      <c r="G700" s="55" t="s">
        <v>541</v>
      </c>
      <c r="H700" s="81" t="s">
        <v>532</v>
      </c>
      <c r="I700" s="80" t="s">
        <v>458</v>
      </c>
      <c r="J700" s="82">
        <f>AU700</f>
        <v>1</v>
      </c>
      <c r="K700" s="80">
        <v>1</v>
      </c>
      <c r="L700" s="57"/>
      <c r="M700" s="58"/>
      <c r="N700" s="59">
        <f>SUM(K700+L700-M700)</f>
        <v>1</v>
      </c>
      <c r="O700" s="60"/>
      <c r="P700" s="58"/>
      <c r="Q700" s="59">
        <f>SUM(N700+O700-P700)</f>
        <v>1</v>
      </c>
      <c r="R700" s="60"/>
      <c r="S700" s="58"/>
      <c r="T700" s="61">
        <f>SUM(Q700+R700-S700)</f>
        <v>1</v>
      </c>
      <c r="U700" s="60"/>
      <c r="V700" s="58"/>
      <c r="W700" s="59">
        <f>SUM(T700+U700-V700)</f>
        <v>1</v>
      </c>
      <c r="X700" s="60"/>
      <c r="Y700" s="58"/>
      <c r="Z700" s="61">
        <f>SUM(W700+X700-Y700)</f>
        <v>1</v>
      </c>
      <c r="AA700" s="60"/>
      <c r="AB700" s="58"/>
      <c r="AC700" s="59">
        <f>SUM(Z700+AA700-AB700)</f>
        <v>1</v>
      </c>
      <c r="AD700" s="57"/>
      <c r="AE700" s="58"/>
      <c r="AF700" s="243">
        <f>SUM(AC700+AD700-AE700)</f>
        <v>1</v>
      </c>
      <c r="AG700" s="60"/>
      <c r="AH700" s="58"/>
      <c r="AI700" s="62">
        <f>SUM(AF700+AG700-AH700)</f>
        <v>1</v>
      </c>
      <c r="AJ700" s="60"/>
      <c r="AK700" s="58"/>
      <c r="AL700" s="62">
        <f>SUM(AI700+AJ700-AK700)</f>
        <v>1</v>
      </c>
      <c r="AM700" s="60"/>
      <c r="AN700" s="58"/>
      <c r="AO700" s="62">
        <f>SUM(AL700+AM700-AN700)</f>
        <v>1</v>
      </c>
      <c r="AP700" s="60"/>
      <c r="AQ700" s="58"/>
      <c r="AR700" s="104">
        <f>SUM(AO700+AP700-AQ700)</f>
        <v>1</v>
      </c>
      <c r="AS700" s="57"/>
      <c r="AT700" s="58"/>
      <c r="AU700" s="62">
        <f>SUM(AR700+AS700-AT700)</f>
        <v>1</v>
      </c>
      <c r="AV700" s="83">
        <f t="shared" ref="AV700" si="2194">SUM(L700+O700+R700+U700+X700+AA700+AD700+AG700+AJ700+AM700+AP700+AS700)</f>
        <v>0</v>
      </c>
      <c r="AW700" s="83">
        <f t="shared" si="2157"/>
        <v>0</v>
      </c>
      <c r="AX700" s="64">
        <f>SUM(M700,P700,S700,V700,Y700,AB700,AE700,AH700,AK700,AN700,AQ700,AT700)</f>
        <v>0</v>
      </c>
      <c r="AY700" s="65" t="e">
        <f>AVERAGE(M700,P700,S700,V700,Y700,AB700,AE700,AH700,AK700,AN700,AQ700,AT700)</f>
        <v>#DIV/0!</v>
      </c>
      <c r="AZ700" s="66">
        <f>COUNT(M700,P700,S700,V700,Y700,AB700,AE700,AH700,AK700,AN700,AQ700,AT700)</f>
        <v>0</v>
      </c>
      <c r="BA700" s="67">
        <f>MAX(0, Table176252626[[#This Row],[Column6]])</f>
        <v>1</v>
      </c>
      <c r="BB700" s="68">
        <v>0</v>
      </c>
      <c r="BC700" s="84">
        <f t="shared" si="2158"/>
        <v>1</v>
      </c>
      <c r="BD700" s="83">
        <f t="shared" si="2004"/>
        <v>1</v>
      </c>
      <c r="BE700" s="85">
        <v>2</v>
      </c>
      <c r="BF700" s="86">
        <v>45769</v>
      </c>
      <c r="BG700" s="72" t="e">
        <f t="shared" si="1941"/>
        <v>#REF!</v>
      </c>
      <c r="BH700" s="107" t="e">
        <f>BG700-BF700</f>
        <v>#REF!</v>
      </c>
      <c r="BI700" s="80" t="e">
        <f t="shared" si="2005"/>
        <v>#REF!</v>
      </c>
      <c r="BJ700" s="238">
        <v>16836.8</v>
      </c>
    </row>
    <row r="701" spans="1:62" ht="13">
      <c r="A701" s="161"/>
      <c r="B701" s="162"/>
      <c r="C701" s="77">
        <v>699</v>
      </c>
      <c r="D701" s="144" t="s">
        <v>1530</v>
      </c>
      <c r="E701" s="144">
        <v>4</v>
      </c>
      <c r="F701" s="54" t="s">
        <v>542</v>
      </c>
      <c r="G701" s="55" t="s">
        <v>543</v>
      </c>
      <c r="H701" s="81" t="s">
        <v>532</v>
      </c>
      <c r="I701" s="80" t="s">
        <v>458</v>
      </c>
      <c r="J701" s="82">
        <f>AU701</f>
        <v>1</v>
      </c>
      <c r="K701" s="80">
        <v>1</v>
      </c>
      <c r="L701" s="57"/>
      <c r="M701" s="58"/>
      <c r="N701" s="59">
        <f>SUM(K701+L701-M701)</f>
        <v>1</v>
      </c>
      <c r="O701" s="60"/>
      <c r="P701" s="58"/>
      <c r="Q701" s="59">
        <f>SUM(N701+O701-P701)</f>
        <v>1</v>
      </c>
      <c r="R701" s="60"/>
      <c r="S701" s="58"/>
      <c r="T701" s="61">
        <f>SUM(Q701+R701-S701)</f>
        <v>1</v>
      </c>
      <c r="U701" s="60"/>
      <c r="V701" s="58"/>
      <c r="W701" s="59">
        <f>SUM(T701+U701-V701)</f>
        <v>1</v>
      </c>
      <c r="X701" s="60"/>
      <c r="Y701" s="58"/>
      <c r="Z701" s="61">
        <f>SUM(W701+X701-Y701)</f>
        <v>1</v>
      </c>
      <c r="AA701" s="60"/>
      <c r="AB701" s="58"/>
      <c r="AC701" s="59">
        <f>SUM(Z701+AA701-AB701)</f>
        <v>1</v>
      </c>
      <c r="AD701" s="57"/>
      <c r="AE701" s="58"/>
      <c r="AF701" s="243">
        <f>SUM(AC701+AD701-AE701)</f>
        <v>1</v>
      </c>
      <c r="AG701" s="60"/>
      <c r="AH701" s="58"/>
      <c r="AI701" s="62">
        <f>SUM(AF701+AG701-AH701)</f>
        <v>1</v>
      </c>
      <c r="AJ701" s="60"/>
      <c r="AK701" s="58"/>
      <c r="AL701" s="62">
        <f>SUM(AI701+AJ701-AK701)</f>
        <v>1</v>
      </c>
      <c r="AM701" s="60"/>
      <c r="AN701" s="58"/>
      <c r="AO701" s="62">
        <f>SUM(AL701+AM701-AN701)</f>
        <v>1</v>
      </c>
      <c r="AP701" s="60"/>
      <c r="AQ701" s="58"/>
      <c r="AR701" s="104">
        <f>SUM(AO701+AP701-AQ701)</f>
        <v>1</v>
      </c>
      <c r="AS701" s="57"/>
      <c r="AT701" s="58"/>
      <c r="AU701" s="62">
        <f>SUM(AR701+AS701-AT701)</f>
        <v>1</v>
      </c>
      <c r="AV701" s="83">
        <f>SUM(L701+O701+R701+U701+X701+AA701+AD701+AG701+AJ701+AM701+AP701+AS701)</f>
        <v>0</v>
      </c>
      <c r="AW701" s="83">
        <f t="shared" si="2157"/>
        <v>0</v>
      </c>
      <c r="AX701" s="64">
        <f>SUM(M701,P701,S701,V701,Y701,AB701,AE701,AH701,AK701,AN701,AQ701,AT701)</f>
        <v>0</v>
      </c>
      <c r="AY701" s="65" t="e">
        <f>AVERAGE(M701,P701,S701,V701,Y701,AB701,AE701,AH701,AK701,AN701,AQ701,AT701)</f>
        <v>#DIV/0!</v>
      </c>
      <c r="AZ701" s="66">
        <f>COUNT(M701,P701,S701,V701,Y701,AB701,AE701,AH701,AK701,AN701,AQ701,AT701)</f>
        <v>0</v>
      </c>
      <c r="BA701" s="67">
        <f>MAX(0, Table176252626[[#This Row],[Column6]])</f>
        <v>1</v>
      </c>
      <c r="BB701" s="68">
        <v>0</v>
      </c>
      <c r="BC701" s="84">
        <f t="shared" si="2158"/>
        <v>1</v>
      </c>
      <c r="BD701" s="83">
        <f t="shared" si="2004"/>
        <v>1</v>
      </c>
      <c r="BE701" s="85">
        <v>2</v>
      </c>
      <c r="BF701" s="86">
        <v>45769</v>
      </c>
      <c r="BG701" s="72" t="e">
        <f t="shared" si="1941"/>
        <v>#REF!</v>
      </c>
      <c r="BH701" s="107" t="e">
        <f>BG701-BF701</f>
        <v>#REF!</v>
      </c>
      <c r="BI701" s="80" t="e">
        <f t="shared" si="2005"/>
        <v>#REF!</v>
      </c>
      <c r="BJ701" s="238">
        <v>16836.8</v>
      </c>
    </row>
    <row r="702" spans="1:62" ht="13">
      <c r="A702" s="161"/>
      <c r="B702" s="162"/>
      <c r="C702" s="51">
        <v>700</v>
      </c>
      <c r="D702" s="144" t="s">
        <v>1530</v>
      </c>
      <c r="E702" s="144">
        <v>4</v>
      </c>
      <c r="F702" s="54" t="s">
        <v>538</v>
      </c>
      <c r="G702" s="55" t="s">
        <v>858</v>
      </c>
      <c r="H702" s="81" t="s">
        <v>1501</v>
      </c>
      <c r="I702" s="80" t="s">
        <v>458</v>
      </c>
      <c r="J702" s="82">
        <f>AU702</f>
        <v>2</v>
      </c>
      <c r="K702" s="80">
        <v>2</v>
      </c>
      <c r="L702" s="57"/>
      <c r="M702" s="58"/>
      <c r="N702" s="59">
        <f>SUM(K702+L702-M702)</f>
        <v>2</v>
      </c>
      <c r="O702" s="60"/>
      <c r="P702" s="58"/>
      <c r="Q702" s="59">
        <f>SUM(N702+O702-P702)</f>
        <v>2</v>
      </c>
      <c r="R702" s="60">
        <v>4</v>
      </c>
      <c r="S702" s="58">
        <v>2</v>
      </c>
      <c r="T702" s="61">
        <f>SUM(Q702+R702-S702)</f>
        <v>4</v>
      </c>
      <c r="U702" s="60"/>
      <c r="V702" s="58">
        <v>2</v>
      </c>
      <c r="W702" s="59">
        <f>SUM(T702+U702-V702)</f>
        <v>2</v>
      </c>
      <c r="X702" s="60"/>
      <c r="Y702" s="58"/>
      <c r="Z702" s="61">
        <f>SUM(W702+X702-Y702)</f>
        <v>2</v>
      </c>
      <c r="AA702" s="60"/>
      <c r="AB702" s="58"/>
      <c r="AC702" s="59">
        <f>SUM(Z702+AA702-AB702)</f>
        <v>2</v>
      </c>
      <c r="AD702" s="57"/>
      <c r="AE702" s="58"/>
      <c r="AF702" s="243">
        <f>SUM(AC702+AD702-AE702)</f>
        <v>2</v>
      </c>
      <c r="AG702" s="60"/>
      <c r="AH702" s="58"/>
      <c r="AI702" s="62">
        <f>SUM(AF702+AG702-AH702)</f>
        <v>2</v>
      </c>
      <c r="AJ702" s="60"/>
      <c r="AK702" s="58"/>
      <c r="AL702" s="62">
        <f>SUM(AI702+AJ702-AK702)</f>
        <v>2</v>
      </c>
      <c r="AM702" s="60"/>
      <c r="AN702" s="58"/>
      <c r="AO702" s="62">
        <f>SUM(AL702+AM702-AN702)</f>
        <v>2</v>
      </c>
      <c r="AP702" s="60"/>
      <c r="AQ702" s="58"/>
      <c r="AR702" s="104">
        <f>SUM(AO702+AP702-AQ702)</f>
        <v>2</v>
      </c>
      <c r="AS702" s="57"/>
      <c r="AT702" s="58"/>
      <c r="AU702" s="62">
        <f>SUM(AR702+AS702-AT702)</f>
        <v>2</v>
      </c>
      <c r="AV702" s="83">
        <f>SUM(L702+O702+R702+U702+X702+AA702+AD702+AG702+AJ702+AM702+AP702+AS702)</f>
        <v>4</v>
      </c>
      <c r="AW702" s="83">
        <f t="shared" si="2157"/>
        <v>4</v>
      </c>
      <c r="AX702" s="64">
        <f>SUM(M702,P702,S702,V702,Y702,AB702,AE702,AH702,AK702,AN702,AQ702,AT702)</f>
        <v>4</v>
      </c>
      <c r="AY702" s="65">
        <f>AVERAGE(M702,P702,S702,V702,Y702,AB702,AE702,AH702,AK702,AN702,AQ702,AT702)</f>
        <v>2</v>
      </c>
      <c r="AZ702" s="66">
        <f>COUNT(M702,P702,S702,V702,Y702,AB702,AE702,AH702,AK702,AN702,AQ702,AT702)</f>
        <v>2</v>
      </c>
      <c r="BA702" s="67">
        <v>2</v>
      </c>
      <c r="BB702" s="68">
        <v>1</v>
      </c>
      <c r="BC702" s="84">
        <f t="shared" si="2158"/>
        <v>2</v>
      </c>
      <c r="BD702" s="83">
        <f t="shared" si="2004"/>
        <v>1</v>
      </c>
      <c r="BE702" s="85">
        <v>2</v>
      </c>
      <c r="BF702" s="86">
        <v>46108</v>
      </c>
      <c r="BG702" s="72" t="e">
        <f t="shared" si="1941"/>
        <v>#REF!</v>
      </c>
      <c r="BH702" s="87" t="e">
        <f>BG702-BF702</f>
        <v>#REF!</v>
      </c>
      <c r="BI702" s="80" t="e">
        <f t="shared" si="2005"/>
        <v>#REF!</v>
      </c>
      <c r="BJ702" s="238">
        <v>4348.8</v>
      </c>
    </row>
    <row r="703" spans="1:62" ht="13">
      <c r="A703" s="159"/>
      <c r="B703" s="163"/>
      <c r="C703" s="51">
        <v>701</v>
      </c>
      <c r="D703" s="144" t="s">
        <v>1530</v>
      </c>
      <c r="E703" s="144">
        <v>4</v>
      </c>
      <c r="F703" s="54" t="s">
        <v>522</v>
      </c>
      <c r="G703" s="55" t="s">
        <v>523</v>
      </c>
      <c r="H703" s="81" t="s">
        <v>1501</v>
      </c>
      <c r="I703" s="80" t="s">
        <v>458</v>
      </c>
      <c r="J703" s="82">
        <f t="shared" ref="J703:J704" si="2195">AU703</f>
        <v>4</v>
      </c>
      <c r="K703" s="80">
        <v>0</v>
      </c>
      <c r="L703" s="57"/>
      <c r="M703" s="58"/>
      <c r="N703" s="59">
        <f t="shared" ref="N703:N704" si="2196">SUM(K703+L703-M703)</f>
        <v>0</v>
      </c>
      <c r="O703" s="60"/>
      <c r="P703" s="58"/>
      <c r="Q703" s="59">
        <f t="shared" ref="Q703:Q704" si="2197">SUM(N703+O703-P703)</f>
        <v>0</v>
      </c>
      <c r="R703" s="60"/>
      <c r="S703" s="58"/>
      <c r="T703" s="61">
        <f t="shared" ref="T703:T704" si="2198">SUM(Q703+R703-S703)</f>
        <v>0</v>
      </c>
      <c r="U703" s="60"/>
      <c r="V703" s="58"/>
      <c r="W703" s="59">
        <f t="shared" ref="W703:W704" si="2199">SUM(T703+U703-V703)</f>
        <v>0</v>
      </c>
      <c r="X703" s="60">
        <v>4</v>
      </c>
      <c r="Y703" s="58"/>
      <c r="Z703" s="61">
        <f t="shared" ref="Z703:Z704" si="2200">SUM(W703+X703-Y703)</f>
        <v>4</v>
      </c>
      <c r="AA703" s="60"/>
      <c r="AB703" s="58"/>
      <c r="AC703" s="59">
        <f t="shared" ref="AC703:AC704" si="2201">SUM(Z703+AA703-AB703)</f>
        <v>4</v>
      </c>
      <c r="AD703" s="57"/>
      <c r="AE703" s="58"/>
      <c r="AF703" s="243">
        <f t="shared" ref="AF703:AF704" si="2202">SUM(AC703+AD703-AE703)</f>
        <v>4</v>
      </c>
      <c r="AG703" s="60"/>
      <c r="AH703" s="58"/>
      <c r="AI703" s="62">
        <f t="shared" ref="AI703:AI704" si="2203">SUM(AF703+AG703-AH703)</f>
        <v>4</v>
      </c>
      <c r="AJ703" s="60"/>
      <c r="AK703" s="58"/>
      <c r="AL703" s="62">
        <f t="shared" ref="AL703:AL704" si="2204">SUM(AI703+AJ703-AK703)</f>
        <v>4</v>
      </c>
      <c r="AM703" s="60"/>
      <c r="AN703" s="58"/>
      <c r="AO703" s="62">
        <f t="shared" ref="AO703:AO704" si="2205">SUM(AL703+AM703-AN703)</f>
        <v>4</v>
      </c>
      <c r="AP703" s="60"/>
      <c r="AQ703" s="58"/>
      <c r="AR703" s="104">
        <f t="shared" ref="AR703:AR704" si="2206">SUM(AO703+AP703-AQ703)</f>
        <v>4</v>
      </c>
      <c r="AS703" s="57"/>
      <c r="AT703" s="58"/>
      <c r="AU703" s="62">
        <f t="shared" ref="AU703:AU704" si="2207">SUM(AR703+AS703-AT703)</f>
        <v>4</v>
      </c>
      <c r="AV703" s="83">
        <f t="shared" ref="AV703:AV704" si="2208">SUM(L703+O703+R703+U703+X703+AA703+AD703+AG703+AJ703+AM703+AP703+AS703)</f>
        <v>4</v>
      </c>
      <c r="AW703" s="83">
        <f t="shared" si="2157"/>
        <v>0</v>
      </c>
      <c r="AX703" s="64">
        <f t="shared" ref="AX703:AX704" si="2209">SUM(M703,P703,S703,V703,Y703,AB703,AE703,AH703,AK703,AN703,AQ703,AT703)</f>
        <v>0</v>
      </c>
      <c r="AY703" s="65" t="e">
        <f t="shared" ref="AY703:AY704" si="2210">AVERAGE(M703,P703,S703,V703,Y703,AB703,AE703,AH703,AK703,AN703,AQ703,AT703)</f>
        <v>#DIV/0!</v>
      </c>
      <c r="AZ703" s="66">
        <f t="shared" ref="AZ703:AZ704" si="2211">COUNT(M703,P703,S703,V703,Y703,AB703,AE703,AH703,AK703,AN703,AQ703,AT703)</f>
        <v>0</v>
      </c>
      <c r="BA703" s="67">
        <v>4</v>
      </c>
      <c r="BB703" s="68">
        <v>1</v>
      </c>
      <c r="BC703" s="84">
        <f t="shared" si="2158"/>
        <v>4</v>
      </c>
      <c r="BD703" s="83">
        <f t="shared" si="2004"/>
        <v>3</v>
      </c>
      <c r="BE703" s="85">
        <v>2</v>
      </c>
      <c r="BF703" s="86">
        <v>46161</v>
      </c>
      <c r="BG703" s="72" t="e">
        <f t="shared" si="1941"/>
        <v>#REF!</v>
      </c>
      <c r="BH703" s="87" t="e">
        <f t="shared" ref="BH703:BH704" si="2212">BG703-BF703</f>
        <v>#REF!</v>
      </c>
      <c r="BI703" s="80" t="e">
        <f t="shared" si="2005"/>
        <v>#REF!</v>
      </c>
      <c r="BJ703" s="238">
        <v>6256.8</v>
      </c>
    </row>
    <row r="704" spans="1:62" ht="13">
      <c r="A704" s="161"/>
      <c r="B704" s="160"/>
      <c r="C704" s="51">
        <v>702</v>
      </c>
      <c r="D704" s="144" t="s">
        <v>1530</v>
      </c>
      <c r="E704" s="144">
        <v>4</v>
      </c>
      <c r="F704" s="54" t="s">
        <v>539</v>
      </c>
      <c r="G704" s="55" t="s">
        <v>1295</v>
      </c>
      <c r="H704" s="81" t="s">
        <v>1501</v>
      </c>
      <c r="I704" s="80" t="s">
        <v>801</v>
      </c>
      <c r="J704" s="82">
        <f t="shared" si="2195"/>
        <v>2</v>
      </c>
      <c r="K704" s="80">
        <v>5</v>
      </c>
      <c r="L704" s="57"/>
      <c r="M704" s="58"/>
      <c r="N704" s="59">
        <f t="shared" si="2196"/>
        <v>5</v>
      </c>
      <c r="O704" s="60"/>
      <c r="P704" s="58"/>
      <c r="Q704" s="59">
        <f t="shared" si="2197"/>
        <v>5</v>
      </c>
      <c r="R704" s="60">
        <v>2</v>
      </c>
      <c r="S704" s="58">
        <f>5-1.5</f>
        <v>3.5</v>
      </c>
      <c r="T704" s="61">
        <f t="shared" si="2198"/>
        <v>3.5</v>
      </c>
      <c r="U704" s="60"/>
      <c r="V704" s="58">
        <v>3.5</v>
      </c>
      <c r="W704" s="59">
        <f t="shared" si="2199"/>
        <v>0</v>
      </c>
      <c r="X704" s="60">
        <v>2</v>
      </c>
      <c r="Y704" s="58"/>
      <c r="Z704" s="61">
        <f t="shared" si="2200"/>
        <v>2</v>
      </c>
      <c r="AA704" s="60"/>
      <c r="AB704" s="58"/>
      <c r="AC704" s="59">
        <f t="shared" si="2201"/>
        <v>2</v>
      </c>
      <c r="AD704" s="57"/>
      <c r="AE704" s="58"/>
      <c r="AF704" s="243">
        <f t="shared" si="2202"/>
        <v>2</v>
      </c>
      <c r="AG704" s="60">
        <v>2</v>
      </c>
      <c r="AH704" s="58">
        <v>2</v>
      </c>
      <c r="AI704" s="62">
        <f t="shared" si="2203"/>
        <v>2</v>
      </c>
      <c r="AJ704" s="60"/>
      <c r="AK704" s="58"/>
      <c r="AL704" s="62">
        <f t="shared" si="2204"/>
        <v>2</v>
      </c>
      <c r="AM704" s="60"/>
      <c r="AN704" s="58"/>
      <c r="AO704" s="62">
        <f t="shared" si="2205"/>
        <v>2</v>
      </c>
      <c r="AP704" s="60"/>
      <c r="AQ704" s="58"/>
      <c r="AR704" s="104">
        <f t="shared" si="2206"/>
        <v>2</v>
      </c>
      <c r="AS704" s="57"/>
      <c r="AT704" s="58"/>
      <c r="AU704" s="62">
        <f t="shared" si="2207"/>
        <v>2</v>
      </c>
      <c r="AV704" s="83">
        <f t="shared" si="2208"/>
        <v>6</v>
      </c>
      <c r="AW704" s="83">
        <f t="shared" si="2157"/>
        <v>9</v>
      </c>
      <c r="AX704" s="64">
        <f t="shared" si="2209"/>
        <v>9</v>
      </c>
      <c r="AY704" s="65">
        <f t="shared" si="2210"/>
        <v>3</v>
      </c>
      <c r="AZ704" s="66">
        <f t="shared" si="2211"/>
        <v>3</v>
      </c>
      <c r="BA704" s="67">
        <v>2</v>
      </c>
      <c r="BB704" s="68">
        <v>1</v>
      </c>
      <c r="BC704" s="84">
        <f t="shared" si="2158"/>
        <v>2</v>
      </c>
      <c r="BD704" s="83">
        <f t="shared" si="2004"/>
        <v>1</v>
      </c>
      <c r="BE704" s="85">
        <v>2</v>
      </c>
      <c r="BF704" s="86">
        <v>46259</v>
      </c>
      <c r="BG704" s="72" t="e">
        <f t="shared" si="1941"/>
        <v>#REF!</v>
      </c>
      <c r="BH704" s="87" t="e">
        <f t="shared" si="2212"/>
        <v>#REF!</v>
      </c>
      <c r="BI704" s="80" t="e">
        <f t="shared" si="2005"/>
        <v>#REF!</v>
      </c>
      <c r="BJ704" s="238">
        <v>17712</v>
      </c>
    </row>
    <row r="705" spans="1:62" ht="13">
      <c r="A705" s="159"/>
      <c r="B705" s="163"/>
      <c r="C705" s="51">
        <v>703</v>
      </c>
      <c r="D705" s="149" t="s">
        <v>1527</v>
      </c>
      <c r="E705" s="149">
        <v>2</v>
      </c>
      <c r="F705" s="88" t="s">
        <v>1683</v>
      </c>
      <c r="G705" s="89" t="s">
        <v>1675</v>
      </c>
      <c r="H705" s="89" t="s">
        <v>1686</v>
      </c>
      <c r="I705" s="88" t="s">
        <v>458</v>
      </c>
      <c r="J705" s="93">
        <f>AU705</f>
        <v>1</v>
      </c>
      <c r="K705" s="88">
        <v>1</v>
      </c>
      <c r="L705" s="58"/>
      <c r="M705" s="58"/>
      <c r="N705" s="62">
        <f>SUM(K705+L705-M705)</f>
        <v>1</v>
      </c>
      <c r="O705" s="60"/>
      <c r="P705" s="58"/>
      <c r="Q705" s="62">
        <f>SUM(N705+O705-P705)</f>
        <v>1</v>
      </c>
      <c r="R705" s="60"/>
      <c r="S705" s="58"/>
      <c r="T705" s="94">
        <f>SUM(Q705+R705-S705)</f>
        <v>1</v>
      </c>
      <c r="U705" s="60"/>
      <c r="V705" s="58"/>
      <c r="W705" s="62">
        <f>SUM(T705+U705-V705)</f>
        <v>1</v>
      </c>
      <c r="X705" s="60"/>
      <c r="Y705" s="58"/>
      <c r="Z705" s="94">
        <f>SUM(W705+X705-Y705)</f>
        <v>1</v>
      </c>
      <c r="AA705" s="60"/>
      <c r="AB705" s="58"/>
      <c r="AC705" s="62">
        <f>SUM(Z705+AA705-AB705)</f>
        <v>1</v>
      </c>
      <c r="AD705" s="57"/>
      <c r="AE705" s="58"/>
      <c r="AF705" s="165">
        <f>SUM(AC705+AD705-AE705)</f>
        <v>1</v>
      </c>
      <c r="AG705" s="60"/>
      <c r="AH705" s="58"/>
      <c r="AI705" s="62">
        <f>SUM(AF705+AG705-AH705)</f>
        <v>1</v>
      </c>
      <c r="AJ705" s="60"/>
      <c r="AK705" s="58"/>
      <c r="AL705" s="62">
        <f>SUM(AI705+AJ705-AK705)</f>
        <v>1</v>
      </c>
      <c r="AM705" s="60"/>
      <c r="AN705" s="58"/>
      <c r="AO705" s="62">
        <f>SUM(AL705+AM705-AN705)</f>
        <v>1</v>
      </c>
      <c r="AP705" s="60"/>
      <c r="AQ705" s="58"/>
      <c r="AR705" s="62">
        <f>SUM(AO705+AP705-AQ705)</f>
        <v>1</v>
      </c>
      <c r="AS705" s="60"/>
      <c r="AT705" s="58"/>
      <c r="AU705" s="62">
        <f>SUM(AR705+AS705-AT705)</f>
        <v>1</v>
      </c>
      <c r="AV705" s="96">
        <f t="shared" ref="AV705:AV717" si="2213">SUM(L705+O705+R705+U705+X705+AA705+AD705+AG705+AJ705+AM705+AP705+AS705)</f>
        <v>0</v>
      </c>
      <c r="AW705" s="83">
        <f t="shared" si="2157"/>
        <v>0</v>
      </c>
      <c r="AX705" s="98">
        <f>SUM(M705,P705,S705,V705,Y705,AB705,AE705,AH705,AK705,AN705,AQ705,AT705)</f>
        <v>0</v>
      </c>
      <c r="AY705" s="99" t="e">
        <f>AVERAGE(M705,P705,S705,V705,Y705,AB705,AE705,AH705,AK705,AN705,AQ705,AT705)</f>
        <v>#DIV/0!</v>
      </c>
      <c r="AZ705" s="100">
        <f>COUNT(M705,P705,S705,V705,Y705,AB705,AE705,AH705,AK705,AN705,AQ705,AT705)</f>
        <v>0</v>
      </c>
      <c r="BA705" s="101">
        <v>1</v>
      </c>
      <c r="BB705" s="102">
        <f>MIN(M705,P705,S705,V705,Y705,AB705,AE705,AH705,AK705,AN705,AQ705,AT705)</f>
        <v>0</v>
      </c>
      <c r="BC705" s="84">
        <f t="shared" si="2158"/>
        <v>1</v>
      </c>
      <c r="BD705" s="83">
        <f t="shared" si="2004"/>
        <v>1</v>
      </c>
      <c r="BE705" s="85">
        <v>2</v>
      </c>
      <c r="BF705" s="86">
        <v>45681</v>
      </c>
      <c r="BG705" s="72" t="e">
        <f t="shared" si="1941"/>
        <v>#REF!</v>
      </c>
      <c r="BH705" s="103" t="e">
        <f>BG705-BF705</f>
        <v>#REF!</v>
      </c>
      <c r="BI705" s="80" t="e">
        <f t="shared" si="2005"/>
        <v>#REF!</v>
      </c>
      <c r="BJ705" s="238">
        <v>1974</v>
      </c>
    </row>
    <row r="706" spans="1:62" ht="13">
      <c r="A706" s="159"/>
      <c r="B706" s="160"/>
      <c r="C706" s="77">
        <v>704</v>
      </c>
      <c r="D706" s="149" t="s">
        <v>1527</v>
      </c>
      <c r="E706" s="149">
        <v>2</v>
      </c>
      <c r="F706" s="88" t="s">
        <v>1685</v>
      </c>
      <c r="G706" s="89" t="s">
        <v>1677</v>
      </c>
      <c r="H706" s="89" t="s">
        <v>1686</v>
      </c>
      <c r="I706" s="88" t="s">
        <v>458</v>
      </c>
      <c r="J706" s="93">
        <f t="shared" ref="J706" si="2214">AU706</f>
        <v>1</v>
      </c>
      <c r="K706" s="88">
        <v>1</v>
      </c>
      <c r="L706" s="58"/>
      <c r="M706" s="58"/>
      <c r="N706" s="62">
        <f t="shared" ref="N706" si="2215">SUM(K706+L706-M706)</f>
        <v>1</v>
      </c>
      <c r="O706" s="60"/>
      <c r="P706" s="58"/>
      <c r="Q706" s="62">
        <f t="shared" ref="Q706" si="2216">SUM(N706+O706-P706)</f>
        <v>1</v>
      </c>
      <c r="R706" s="60"/>
      <c r="S706" s="58"/>
      <c r="T706" s="94">
        <f t="shared" ref="T706" si="2217">SUM(Q706+R706-S706)</f>
        <v>1</v>
      </c>
      <c r="U706" s="60"/>
      <c r="V706" s="58"/>
      <c r="W706" s="62">
        <f t="shared" ref="W706" si="2218">SUM(T706+U706-V706)</f>
        <v>1</v>
      </c>
      <c r="X706" s="60"/>
      <c r="Y706" s="58"/>
      <c r="Z706" s="94">
        <f t="shared" ref="Z706" si="2219">SUM(W706+X706-Y706)</f>
        <v>1</v>
      </c>
      <c r="AA706" s="60"/>
      <c r="AB706" s="58"/>
      <c r="AC706" s="62">
        <f t="shared" ref="AC706" si="2220">SUM(Z706+AA706-AB706)</f>
        <v>1</v>
      </c>
      <c r="AD706" s="57"/>
      <c r="AE706" s="58"/>
      <c r="AF706" s="165">
        <f t="shared" ref="AF706" si="2221">SUM(AC706+AD706-AE706)</f>
        <v>1</v>
      </c>
      <c r="AG706" s="60"/>
      <c r="AH706" s="58"/>
      <c r="AI706" s="62">
        <f t="shared" ref="AI706" si="2222">SUM(AF706+AG706-AH706)</f>
        <v>1</v>
      </c>
      <c r="AJ706" s="60"/>
      <c r="AK706" s="58"/>
      <c r="AL706" s="62">
        <f t="shared" ref="AL706" si="2223">SUM(AI706+AJ706-AK706)</f>
        <v>1</v>
      </c>
      <c r="AM706" s="60"/>
      <c r="AN706" s="58"/>
      <c r="AO706" s="62">
        <f t="shared" ref="AO706" si="2224">SUM(AL706+AM706-AN706)</f>
        <v>1</v>
      </c>
      <c r="AP706" s="60"/>
      <c r="AQ706" s="58"/>
      <c r="AR706" s="62">
        <f t="shared" ref="AR706" si="2225">SUM(AO706+AP706-AQ706)</f>
        <v>1</v>
      </c>
      <c r="AS706" s="60"/>
      <c r="AT706" s="58"/>
      <c r="AU706" s="62">
        <f t="shared" ref="AU706" si="2226">SUM(AR706+AS706-AT706)</f>
        <v>1</v>
      </c>
      <c r="AV706" s="96">
        <f t="shared" si="2213"/>
        <v>0</v>
      </c>
      <c r="AW706" s="83">
        <f t="shared" si="2157"/>
        <v>0</v>
      </c>
      <c r="AX706" s="98">
        <f t="shared" ref="AX706" si="2227">SUM(M706,P706,S706,V706,Y706,AB706,AE706,AH706,AK706,AN706,AQ706,AT706)</f>
        <v>0</v>
      </c>
      <c r="AY706" s="99" t="e">
        <f t="shared" ref="AY706" si="2228">AVERAGE(M706,P706,S706,V706,Y706,AB706,AE706,AH706,AK706,AN706,AQ706,AT706)</f>
        <v>#DIV/0!</v>
      </c>
      <c r="AZ706" s="100">
        <f t="shared" ref="AZ706" si="2229">COUNT(M706,P706,S706,V706,Y706,AB706,AE706,AH706,AK706,AN706,AQ706,AT706)</f>
        <v>0</v>
      </c>
      <c r="BA706" s="101">
        <v>1</v>
      </c>
      <c r="BB706" s="102">
        <v>0</v>
      </c>
      <c r="BC706" s="84">
        <f t="shared" si="2158"/>
        <v>1</v>
      </c>
      <c r="BD706" s="83">
        <f t="shared" si="2004"/>
        <v>1</v>
      </c>
      <c r="BE706" s="85">
        <v>2</v>
      </c>
      <c r="BF706" s="86">
        <v>45681</v>
      </c>
      <c r="BG706" s="72" t="e">
        <f t="shared" si="1941"/>
        <v>#REF!</v>
      </c>
      <c r="BH706" s="103" t="e">
        <f t="shared" ref="BH706" si="2230">BG706-BF706</f>
        <v>#REF!</v>
      </c>
      <c r="BI706" s="80" t="e">
        <f t="shared" si="2005"/>
        <v>#REF!</v>
      </c>
      <c r="BJ706" s="238">
        <v>1974</v>
      </c>
    </row>
    <row r="707" spans="1:62" ht="13">
      <c r="A707" s="161"/>
      <c r="B707" s="162"/>
      <c r="C707" s="77">
        <v>705</v>
      </c>
      <c r="D707" s="149" t="s">
        <v>1527</v>
      </c>
      <c r="E707" s="149">
        <v>2</v>
      </c>
      <c r="F707" s="88" t="s">
        <v>1680</v>
      </c>
      <c r="G707" s="89" t="s">
        <v>1672</v>
      </c>
      <c r="H707" s="89" t="s">
        <v>1686</v>
      </c>
      <c r="I707" s="88" t="s">
        <v>458</v>
      </c>
      <c r="J707" s="93">
        <f t="shared" ref="J707:J718" si="2231">AU707</f>
        <v>1</v>
      </c>
      <c r="K707" s="80">
        <v>1</v>
      </c>
      <c r="L707" s="58"/>
      <c r="M707" s="58"/>
      <c r="N707" s="62">
        <f t="shared" ref="N707:N717" si="2232">SUM(K707+L707-M707)</f>
        <v>1</v>
      </c>
      <c r="O707" s="60"/>
      <c r="P707" s="58"/>
      <c r="Q707" s="62">
        <f t="shared" ref="Q707:Q718" si="2233">SUM(N707+O707-P707)</f>
        <v>1</v>
      </c>
      <c r="R707" s="60"/>
      <c r="S707" s="58"/>
      <c r="T707" s="94">
        <f t="shared" ref="T707:T718" si="2234">SUM(Q707+R707-S707)</f>
        <v>1</v>
      </c>
      <c r="U707" s="60"/>
      <c r="V707" s="58"/>
      <c r="W707" s="62">
        <f t="shared" ref="W707:W718" si="2235">SUM(T707+U707-V707)</f>
        <v>1</v>
      </c>
      <c r="X707" s="60"/>
      <c r="Y707" s="58"/>
      <c r="Z707" s="94">
        <f t="shared" ref="Z707:Z718" si="2236">SUM(W707+X707-Y707)</f>
        <v>1</v>
      </c>
      <c r="AA707" s="60"/>
      <c r="AB707" s="58"/>
      <c r="AC707" s="62">
        <f t="shared" ref="AC707:AC718" si="2237">SUM(Z707+AA707-AB707)</f>
        <v>1</v>
      </c>
      <c r="AD707" s="57"/>
      <c r="AE707" s="58"/>
      <c r="AF707" s="165">
        <f t="shared" ref="AF707:AF718" si="2238">SUM(AC707+AD707-AE707)</f>
        <v>1</v>
      </c>
      <c r="AG707" s="60"/>
      <c r="AH707" s="58"/>
      <c r="AI707" s="62">
        <f t="shared" ref="AI707:AI718" si="2239">SUM(AF707+AG707-AH707)</f>
        <v>1</v>
      </c>
      <c r="AJ707" s="60"/>
      <c r="AK707" s="58"/>
      <c r="AL707" s="62">
        <f t="shared" ref="AL707:AL718" si="2240">SUM(AI707+AJ707-AK707)</f>
        <v>1</v>
      </c>
      <c r="AM707" s="60"/>
      <c r="AN707" s="58"/>
      <c r="AO707" s="62">
        <f t="shared" ref="AO707:AO718" si="2241">SUM(AL707+AM707-AN707)</f>
        <v>1</v>
      </c>
      <c r="AP707" s="60"/>
      <c r="AQ707" s="58"/>
      <c r="AR707" s="62">
        <f t="shared" ref="AR707:AR718" si="2242">SUM(AO707+AP707-AQ707)</f>
        <v>1</v>
      </c>
      <c r="AS707" s="60"/>
      <c r="AT707" s="58"/>
      <c r="AU707" s="62">
        <f t="shared" ref="AU707:AU717" si="2243">SUM(AR707+AS707-AT707)</f>
        <v>1</v>
      </c>
      <c r="AV707" s="96">
        <f t="shared" si="2213"/>
        <v>0</v>
      </c>
      <c r="AW707" s="83">
        <f t="shared" si="2157"/>
        <v>0</v>
      </c>
      <c r="AX707" s="98">
        <f t="shared" ref="AX707:AX717" si="2244">SUM(M707,P707,S707,V707,Y707,AB707,AE707,AH707,AK707,AN707,AQ707,AT707)</f>
        <v>0</v>
      </c>
      <c r="AY707" s="99" t="e">
        <f t="shared" ref="AY707:AY718" si="2245">AVERAGE(M707,P707,S707,V707,Y707,AB707,AE707,AH707,AK707,AN707,AQ707,AT707)</f>
        <v>#DIV/0!</v>
      </c>
      <c r="AZ707" s="100">
        <f t="shared" ref="AZ707:AZ718" si="2246">COUNT(M707,P707,S707,V707,Y707,AB707,AE707,AH707,AK707,AN707,AQ707,AT707)</f>
        <v>0</v>
      </c>
      <c r="BA707" s="101">
        <v>1</v>
      </c>
      <c r="BB707" s="102">
        <f>MIN(M707,P707,S707,V707,Y707,AB707,AE707,AH707,AK707,AN707,AQ707,AT707)</f>
        <v>0</v>
      </c>
      <c r="BC707" s="84">
        <f t="shared" si="2158"/>
        <v>1</v>
      </c>
      <c r="BD707" s="83">
        <f t="shared" si="2004"/>
        <v>1</v>
      </c>
      <c r="BE707" s="85">
        <v>2</v>
      </c>
      <c r="BF707" s="86">
        <v>45681</v>
      </c>
      <c r="BG707" s="72" t="e">
        <f t="shared" si="1941"/>
        <v>#REF!</v>
      </c>
      <c r="BH707" s="103" t="e">
        <f t="shared" ref="BH707:BH718" si="2247">BG707-BF707</f>
        <v>#REF!</v>
      </c>
      <c r="BI707" s="80" t="e">
        <f t="shared" si="2005"/>
        <v>#REF!</v>
      </c>
      <c r="BJ707" s="238">
        <v>1499</v>
      </c>
    </row>
    <row r="708" spans="1:62" ht="13">
      <c r="A708" s="90"/>
      <c r="B708" s="91"/>
      <c r="C708" s="51">
        <v>706</v>
      </c>
      <c r="D708" s="149" t="s">
        <v>1527</v>
      </c>
      <c r="E708" s="149">
        <v>2</v>
      </c>
      <c r="F708" s="88" t="s">
        <v>1889</v>
      </c>
      <c r="G708" s="89" t="s">
        <v>1890</v>
      </c>
      <c r="H708" s="89" t="s">
        <v>292</v>
      </c>
      <c r="I708" s="80" t="s">
        <v>458</v>
      </c>
      <c r="J708" s="93">
        <f t="shared" si="2231"/>
        <v>520</v>
      </c>
      <c r="K708" s="80">
        <v>520</v>
      </c>
      <c r="L708" s="58"/>
      <c r="M708" s="58"/>
      <c r="N708" s="62">
        <f t="shared" si="2232"/>
        <v>520</v>
      </c>
      <c r="O708" s="60"/>
      <c r="P708" s="58"/>
      <c r="Q708" s="62">
        <f t="shared" si="2233"/>
        <v>520</v>
      </c>
      <c r="R708" s="60"/>
      <c r="S708" s="58"/>
      <c r="T708" s="94">
        <f t="shared" si="2234"/>
        <v>520</v>
      </c>
      <c r="U708" s="60"/>
      <c r="V708" s="58"/>
      <c r="W708" s="62">
        <f t="shared" si="2235"/>
        <v>520</v>
      </c>
      <c r="X708" s="60"/>
      <c r="Y708" s="58"/>
      <c r="Z708" s="94">
        <f t="shared" si="2236"/>
        <v>520</v>
      </c>
      <c r="AA708" s="60"/>
      <c r="AB708" s="58"/>
      <c r="AC708" s="62">
        <f t="shared" si="2237"/>
        <v>520</v>
      </c>
      <c r="AD708" s="57"/>
      <c r="AE708" s="58"/>
      <c r="AF708" s="165">
        <f t="shared" si="2238"/>
        <v>520</v>
      </c>
      <c r="AG708" s="60"/>
      <c r="AH708" s="58"/>
      <c r="AI708" s="62">
        <f t="shared" si="2239"/>
        <v>520</v>
      </c>
      <c r="AJ708" s="60"/>
      <c r="AK708" s="58"/>
      <c r="AL708" s="62">
        <f t="shared" si="2240"/>
        <v>520</v>
      </c>
      <c r="AM708" s="60"/>
      <c r="AN708" s="58"/>
      <c r="AO708" s="62">
        <f t="shared" si="2241"/>
        <v>520</v>
      </c>
      <c r="AP708" s="60"/>
      <c r="AQ708" s="58"/>
      <c r="AR708" s="62">
        <f t="shared" si="2242"/>
        <v>520</v>
      </c>
      <c r="AS708" s="60"/>
      <c r="AT708" s="58"/>
      <c r="AU708" s="62">
        <f t="shared" si="2243"/>
        <v>520</v>
      </c>
      <c r="AV708" s="96">
        <f t="shared" si="2213"/>
        <v>0</v>
      </c>
      <c r="AW708" s="83">
        <f t="shared" si="2157"/>
        <v>0</v>
      </c>
      <c r="AX708" s="98">
        <f t="shared" si="2244"/>
        <v>0</v>
      </c>
      <c r="AY708" s="99" t="e">
        <f t="shared" si="2245"/>
        <v>#DIV/0!</v>
      </c>
      <c r="AZ708" s="100">
        <f t="shared" si="2246"/>
        <v>0</v>
      </c>
      <c r="BA708" s="101">
        <f>MAX(M708,P708,S708,V708,Y708,AB708,AE708,AH708,AK708,AN708,AQ708,AT708)</f>
        <v>0</v>
      </c>
      <c r="BB708" s="102">
        <f>MIN(M708,P708,S708,V708,Y708,AB708,AE708,AH708,AK708,AN708,AQ708,AT708)</f>
        <v>0</v>
      </c>
      <c r="BC708" s="84">
        <f t="shared" si="2158"/>
        <v>520</v>
      </c>
      <c r="BD708" s="83">
        <f t="shared" si="2004"/>
        <v>520</v>
      </c>
      <c r="BE708" s="85">
        <v>2</v>
      </c>
      <c r="BF708" s="86">
        <v>45987.496990740743</v>
      </c>
      <c r="BG708" s="72" t="e">
        <f t="shared" si="1941"/>
        <v>#REF!</v>
      </c>
      <c r="BH708" s="103" t="e">
        <f t="shared" si="2247"/>
        <v>#REF!</v>
      </c>
      <c r="BI708" s="80" t="e">
        <f t="shared" si="2005"/>
        <v>#REF!</v>
      </c>
      <c r="BJ708" s="238">
        <v>26</v>
      </c>
    </row>
    <row r="709" spans="1:62" ht="13">
      <c r="A709" s="90"/>
      <c r="B709" s="91"/>
      <c r="C709" s="51">
        <v>707</v>
      </c>
      <c r="D709" s="149" t="s">
        <v>1527</v>
      </c>
      <c r="E709" s="149">
        <v>2</v>
      </c>
      <c r="F709" s="88" t="s">
        <v>1891</v>
      </c>
      <c r="G709" s="89" t="s">
        <v>1892</v>
      </c>
      <c r="H709" s="89" t="s">
        <v>292</v>
      </c>
      <c r="I709" s="80" t="s">
        <v>458</v>
      </c>
      <c r="J709" s="93">
        <f t="shared" si="2231"/>
        <v>520</v>
      </c>
      <c r="K709" s="88">
        <v>520</v>
      </c>
      <c r="L709" s="58"/>
      <c r="M709" s="58"/>
      <c r="N709" s="62">
        <f t="shared" si="2232"/>
        <v>520</v>
      </c>
      <c r="O709" s="60"/>
      <c r="P709" s="58"/>
      <c r="Q709" s="62">
        <f t="shared" si="2233"/>
        <v>520</v>
      </c>
      <c r="R709" s="60"/>
      <c r="S709" s="58"/>
      <c r="T709" s="94">
        <f t="shared" si="2234"/>
        <v>520</v>
      </c>
      <c r="U709" s="60"/>
      <c r="V709" s="58"/>
      <c r="W709" s="62">
        <f t="shared" si="2235"/>
        <v>520</v>
      </c>
      <c r="X709" s="60"/>
      <c r="Y709" s="58"/>
      <c r="Z709" s="94">
        <f t="shared" si="2236"/>
        <v>520</v>
      </c>
      <c r="AA709" s="60"/>
      <c r="AB709" s="58"/>
      <c r="AC709" s="62">
        <f t="shared" si="2237"/>
        <v>520</v>
      </c>
      <c r="AD709" s="57"/>
      <c r="AE709" s="58"/>
      <c r="AF709" s="165">
        <f t="shared" si="2238"/>
        <v>520</v>
      </c>
      <c r="AG709" s="60"/>
      <c r="AH709" s="58"/>
      <c r="AI709" s="62">
        <f t="shared" si="2239"/>
        <v>520</v>
      </c>
      <c r="AJ709" s="60"/>
      <c r="AK709" s="58"/>
      <c r="AL709" s="62">
        <f t="shared" si="2240"/>
        <v>520</v>
      </c>
      <c r="AM709" s="60"/>
      <c r="AN709" s="58"/>
      <c r="AO709" s="62">
        <f t="shared" si="2241"/>
        <v>520</v>
      </c>
      <c r="AP709" s="60"/>
      <c r="AQ709" s="58"/>
      <c r="AR709" s="62">
        <f t="shared" si="2242"/>
        <v>520</v>
      </c>
      <c r="AS709" s="60"/>
      <c r="AT709" s="58"/>
      <c r="AU709" s="62">
        <f t="shared" si="2243"/>
        <v>520</v>
      </c>
      <c r="AV709" s="96">
        <f t="shared" si="2213"/>
        <v>0</v>
      </c>
      <c r="AW709" s="83">
        <f t="shared" si="2157"/>
        <v>0</v>
      </c>
      <c r="AX709" s="98">
        <f t="shared" si="2244"/>
        <v>0</v>
      </c>
      <c r="AY709" s="99" t="e">
        <f t="shared" si="2245"/>
        <v>#DIV/0!</v>
      </c>
      <c r="AZ709" s="100">
        <f t="shared" si="2246"/>
        <v>0</v>
      </c>
      <c r="BA709" s="101">
        <f t="shared" ref="BA709" si="2248">MAX(M709,P709,S709,V709,Y709,AB709,AE709,AH709,AK709,AN709,AQ709,AT709)</f>
        <v>0</v>
      </c>
      <c r="BB709" s="102">
        <f t="shared" ref="BB709" si="2249">MIN(M709,P709,S709,V709,Y709,AB709,AE709,AH709,AK709,AN709,AQ709,AT709)</f>
        <v>0</v>
      </c>
      <c r="BC709" s="84">
        <f t="shared" si="2158"/>
        <v>520</v>
      </c>
      <c r="BD709" s="83">
        <f t="shared" si="2004"/>
        <v>520</v>
      </c>
      <c r="BE709" s="85">
        <v>2</v>
      </c>
      <c r="BF709" s="86">
        <v>45987.496990740743</v>
      </c>
      <c r="BG709" s="72" t="e">
        <f t="shared" si="1941"/>
        <v>#REF!</v>
      </c>
      <c r="BH709" s="103" t="e">
        <f t="shared" si="2247"/>
        <v>#REF!</v>
      </c>
      <c r="BI709" s="80" t="e">
        <f t="shared" si="2005"/>
        <v>#REF!</v>
      </c>
      <c r="BJ709" s="238">
        <v>35</v>
      </c>
    </row>
    <row r="710" spans="1:62" ht="13">
      <c r="A710" s="90"/>
      <c r="B710" s="91"/>
      <c r="C710" s="51">
        <v>708</v>
      </c>
      <c r="D710" s="149" t="s">
        <v>1527</v>
      </c>
      <c r="E710" s="149">
        <v>2</v>
      </c>
      <c r="F710" s="88" t="s">
        <v>1895</v>
      </c>
      <c r="G710" s="89" t="s">
        <v>1896</v>
      </c>
      <c r="H710" s="89" t="s">
        <v>292</v>
      </c>
      <c r="I710" s="80" t="s">
        <v>458</v>
      </c>
      <c r="J710" s="93">
        <f t="shared" si="2231"/>
        <v>10</v>
      </c>
      <c r="K710" s="80">
        <v>10</v>
      </c>
      <c r="L710" s="58"/>
      <c r="M710" s="58"/>
      <c r="N710" s="62">
        <f t="shared" si="2232"/>
        <v>10</v>
      </c>
      <c r="O710" s="60"/>
      <c r="P710" s="58"/>
      <c r="Q710" s="62">
        <f t="shared" si="2233"/>
        <v>10</v>
      </c>
      <c r="R710" s="60"/>
      <c r="S710" s="58"/>
      <c r="T710" s="94">
        <f t="shared" si="2234"/>
        <v>10</v>
      </c>
      <c r="U710" s="60"/>
      <c r="V710" s="58"/>
      <c r="W710" s="62">
        <f t="shared" si="2235"/>
        <v>10</v>
      </c>
      <c r="X710" s="60"/>
      <c r="Y710" s="58"/>
      <c r="Z710" s="94">
        <f t="shared" si="2236"/>
        <v>10</v>
      </c>
      <c r="AA710" s="60"/>
      <c r="AB710" s="58"/>
      <c r="AC710" s="62">
        <f t="shared" si="2237"/>
        <v>10</v>
      </c>
      <c r="AD710" s="57"/>
      <c r="AE710" s="58"/>
      <c r="AF710" s="165">
        <f t="shared" si="2238"/>
        <v>10</v>
      </c>
      <c r="AG710" s="60"/>
      <c r="AH710" s="58"/>
      <c r="AI710" s="62">
        <f t="shared" si="2239"/>
        <v>10</v>
      </c>
      <c r="AJ710" s="60"/>
      <c r="AK710" s="58"/>
      <c r="AL710" s="62">
        <f t="shared" si="2240"/>
        <v>10</v>
      </c>
      <c r="AM710" s="60"/>
      <c r="AN710" s="58"/>
      <c r="AO710" s="62">
        <f t="shared" si="2241"/>
        <v>10</v>
      </c>
      <c r="AP710" s="60"/>
      <c r="AQ710" s="58"/>
      <c r="AR710" s="62">
        <f t="shared" si="2242"/>
        <v>10</v>
      </c>
      <c r="AS710" s="60"/>
      <c r="AT710" s="58"/>
      <c r="AU710" s="62">
        <f t="shared" si="2243"/>
        <v>10</v>
      </c>
      <c r="AV710" s="96">
        <f t="shared" si="2213"/>
        <v>0</v>
      </c>
      <c r="AW710" s="83">
        <f t="shared" si="2157"/>
        <v>0</v>
      </c>
      <c r="AX710" s="98">
        <f t="shared" si="2244"/>
        <v>0</v>
      </c>
      <c r="AY710" s="99" t="e">
        <f t="shared" si="2245"/>
        <v>#DIV/0!</v>
      </c>
      <c r="AZ710" s="100">
        <f t="shared" si="2246"/>
        <v>0</v>
      </c>
      <c r="BA710" s="101">
        <v>10</v>
      </c>
      <c r="BB710" s="102">
        <v>1</v>
      </c>
      <c r="BC710" s="84">
        <f t="shared" si="2158"/>
        <v>10</v>
      </c>
      <c r="BD710" s="83">
        <f t="shared" si="2004"/>
        <v>9</v>
      </c>
      <c r="BE710" s="85">
        <v>2</v>
      </c>
      <c r="BF710" s="86">
        <v>45987.496990740743</v>
      </c>
      <c r="BG710" s="72" t="e">
        <f t="shared" si="1941"/>
        <v>#REF!</v>
      </c>
      <c r="BH710" s="103" t="e">
        <f t="shared" si="2247"/>
        <v>#REF!</v>
      </c>
      <c r="BI710" s="80" t="e">
        <f t="shared" si="2005"/>
        <v>#REF!</v>
      </c>
      <c r="BJ710" s="238">
        <v>700</v>
      </c>
    </row>
    <row r="711" spans="1:62" ht="13">
      <c r="A711" s="90"/>
      <c r="B711" s="91"/>
      <c r="C711" s="51">
        <v>709</v>
      </c>
      <c r="D711" s="149" t="s">
        <v>1527</v>
      </c>
      <c r="E711" s="149">
        <v>2</v>
      </c>
      <c r="F711" s="88" t="s">
        <v>1885</v>
      </c>
      <c r="G711" s="89" t="s">
        <v>1886</v>
      </c>
      <c r="H711" s="89" t="s">
        <v>292</v>
      </c>
      <c r="I711" s="80" t="s">
        <v>458</v>
      </c>
      <c r="J711" s="93">
        <f t="shared" si="2231"/>
        <v>10</v>
      </c>
      <c r="K711" s="80">
        <v>10</v>
      </c>
      <c r="L711" s="58"/>
      <c r="M711" s="58"/>
      <c r="N711" s="62">
        <f t="shared" si="2232"/>
        <v>10</v>
      </c>
      <c r="O711" s="60"/>
      <c r="P711" s="58"/>
      <c r="Q711" s="62">
        <f t="shared" si="2233"/>
        <v>10</v>
      </c>
      <c r="R711" s="60"/>
      <c r="S711" s="58"/>
      <c r="T711" s="94">
        <f t="shared" si="2234"/>
        <v>10</v>
      </c>
      <c r="U711" s="60"/>
      <c r="V711" s="58"/>
      <c r="W711" s="62">
        <f t="shared" si="2235"/>
        <v>10</v>
      </c>
      <c r="X711" s="60"/>
      <c r="Y711" s="58"/>
      <c r="Z711" s="94">
        <f t="shared" si="2236"/>
        <v>10</v>
      </c>
      <c r="AA711" s="60"/>
      <c r="AB711" s="58"/>
      <c r="AC711" s="62">
        <f t="shared" si="2237"/>
        <v>10</v>
      </c>
      <c r="AD711" s="57"/>
      <c r="AE711" s="58"/>
      <c r="AF711" s="165">
        <f t="shared" si="2238"/>
        <v>10</v>
      </c>
      <c r="AG711" s="60"/>
      <c r="AH711" s="58"/>
      <c r="AI711" s="62">
        <f t="shared" si="2239"/>
        <v>10</v>
      </c>
      <c r="AJ711" s="60"/>
      <c r="AK711" s="58"/>
      <c r="AL711" s="62">
        <f t="shared" si="2240"/>
        <v>10</v>
      </c>
      <c r="AM711" s="60"/>
      <c r="AN711" s="58"/>
      <c r="AO711" s="62">
        <f t="shared" si="2241"/>
        <v>10</v>
      </c>
      <c r="AP711" s="60"/>
      <c r="AQ711" s="58"/>
      <c r="AR711" s="62">
        <f t="shared" si="2242"/>
        <v>10</v>
      </c>
      <c r="AS711" s="60"/>
      <c r="AT711" s="58"/>
      <c r="AU711" s="62">
        <f t="shared" si="2243"/>
        <v>10</v>
      </c>
      <c r="AV711" s="96">
        <f t="shared" si="2213"/>
        <v>0</v>
      </c>
      <c r="AW711" s="83">
        <f t="shared" si="2157"/>
        <v>0</v>
      </c>
      <c r="AX711" s="98">
        <f t="shared" si="2244"/>
        <v>0</v>
      </c>
      <c r="AY711" s="99" t="e">
        <f t="shared" si="2245"/>
        <v>#DIV/0!</v>
      </c>
      <c r="AZ711" s="100">
        <f t="shared" si="2246"/>
        <v>0</v>
      </c>
      <c r="BA711" s="101">
        <v>10</v>
      </c>
      <c r="BB711" s="102">
        <v>1</v>
      </c>
      <c r="BC711" s="84">
        <f t="shared" si="2158"/>
        <v>10</v>
      </c>
      <c r="BD711" s="83">
        <f t="shared" si="2004"/>
        <v>9</v>
      </c>
      <c r="BE711" s="85">
        <v>2</v>
      </c>
      <c r="BF711" s="86">
        <v>45987.496990740743</v>
      </c>
      <c r="BG711" s="72" t="e">
        <f t="shared" si="1941"/>
        <v>#REF!</v>
      </c>
      <c r="BH711" s="103" t="e">
        <f t="shared" si="2247"/>
        <v>#REF!</v>
      </c>
      <c r="BI711" s="80" t="e">
        <f t="shared" si="2005"/>
        <v>#REF!</v>
      </c>
      <c r="BJ711" s="238">
        <v>1720</v>
      </c>
    </row>
    <row r="712" spans="1:62" ht="13">
      <c r="A712" s="90"/>
      <c r="B712" s="91"/>
      <c r="C712" s="77">
        <v>710</v>
      </c>
      <c r="D712" s="149" t="s">
        <v>1527</v>
      </c>
      <c r="E712" s="149">
        <v>2</v>
      </c>
      <c r="F712" s="88" t="s">
        <v>1887</v>
      </c>
      <c r="G712" s="89" t="s">
        <v>1888</v>
      </c>
      <c r="H712" s="89" t="s">
        <v>292</v>
      </c>
      <c r="I712" s="80" t="s">
        <v>458</v>
      </c>
      <c r="J712" s="93">
        <f t="shared" si="2231"/>
        <v>10</v>
      </c>
      <c r="K712" s="88">
        <v>10</v>
      </c>
      <c r="L712" s="58"/>
      <c r="M712" s="58"/>
      <c r="N712" s="62">
        <f t="shared" si="2232"/>
        <v>10</v>
      </c>
      <c r="O712" s="60"/>
      <c r="P712" s="58"/>
      <c r="Q712" s="62">
        <f t="shared" si="2233"/>
        <v>10</v>
      </c>
      <c r="R712" s="60"/>
      <c r="S712" s="58"/>
      <c r="T712" s="94">
        <f t="shared" si="2234"/>
        <v>10</v>
      </c>
      <c r="U712" s="60"/>
      <c r="V712" s="58"/>
      <c r="W712" s="62">
        <f t="shared" si="2235"/>
        <v>10</v>
      </c>
      <c r="X712" s="60"/>
      <c r="Y712" s="58"/>
      <c r="Z712" s="94">
        <f t="shared" si="2236"/>
        <v>10</v>
      </c>
      <c r="AA712" s="60"/>
      <c r="AB712" s="58"/>
      <c r="AC712" s="62">
        <f t="shared" si="2237"/>
        <v>10</v>
      </c>
      <c r="AD712" s="57"/>
      <c r="AE712" s="58"/>
      <c r="AF712" s="165">
        <f t="shared" si="2238"/>
        <v>10</v>
      </c>
      <c r="AG712" s="60"/>
      <c r="AH712" s="58"/>
      <c r="AI712" s="62">
        <f t="shared" si="2239"/>
        <v>10</v>
      </c>
      <c r="AJ712" s="60"/>
      <c r="AK712" s="58"/>
      <c r="AL712" s="62">
        <f t="shared" si="2240"/>
        <v>10</v>
      </c>
      <c r="AM712" s="60"/>
      <c r="AN712" s="58"/>
      <c r="AO712" s="62">
        <f t="shared" si="2241"/>
        <v>10</v>
      </c>
      <c r="AP712" s="60"/>
      <c r="AQ712" s="58"/>
      <c r="AR712" s="62">
        <f t="shared" si="2242"/>
        <v>10</v>
      </c>
      <c r="AS712" s="60"/>
      <c r="AT712" s="58"/>
      <c r="AU712" s="62">
        <f t="shared" si="2243"/>
        <v>10</v>
      </c>
      <c r="AV712" s="96">
        <f t="shared" si="2213"/>
        <v>0</v>
      </c>
      <c r="AW712" s="83">
        <f t="shared" si="2157"/>
        <v>0</v>
      </c>
      <c r="AX712" s="98">
        <f t="shared" si="2244"/>
        <v>0</v>
      </c>
      <c r="AY712" s="99" t="e">
        <f t="shared" si="2245"/>
        <v>#DIV/0!</v>
      </c>
      <c r="AZ712" s="100">
        <f t="shared" si="2246"/>
        <v>0</v>
      </c>
      <c r="BA712" s="101">
        <v>10</v>
      </c>
      <c r="BB712" s="102">
        <v>1</v>
      </c>
      <c r="BC712" s="84">
        <f t="shared" si="2158"/>
        <v>10</v>
      </c>
      <c r="BD712" s="83">
        <f t="shared" si="2004"/>
        <v>9</v>
      </c>
      <c r="BE712" s="85">
        <v>2</v>
      </c>
      <c r="BF712" s="86">
        <v>45987.496990740743</v>
      </c>
      <c r="BG712" s="72" t="e">
        <f t="shared" si="1941"/>
        <v>#REF!</v>
      </c>
      <c r="BH712" s="103" t="e">
        <f t="shared" si="2247"/>
        <v>#REF!</v>
      </c>
      <c r="BI712" s="80" t="e">
        <f t="shared" si="2005"/>
        <v>#REF!</v>
      </c>
      <c r="BJ712" s="238">
        <v>700</v>
      </c>
    </row>
    <row r="713" spans="1:62" ht="13">
      <c r="A713" s="90"/>
      <c r="B713" s="91"/>
      <c r="C713" s="77">
        <v>711</v>
      </c>
      <c r="D713" s="149" t="s">
        <v>1527</v>
      </c>
      <c r="E713" s="149">
        <v>2</v>
      </c>
      <c r="F713" s="88" t="s">
        <v>1897</v>
      </c>
      <c r="G713" s="89" t="s">
        <v>1898</v>
      </c>
      <c r="H713" s="89" t="s">
        <v>292</v>
      </c>
      <c r="I713" s="80" t="s">
        <v>458</v>
      </c>
      <c r="J713" s="93">
        <f t="shared" si="2231"/>
        <v>10</v>
      </c>
      <c r="K713" s="88">
        <v>10</v>
      </c>
      <c r="L713" s="58"/>
      <c r="M713" s="58"/>
      <c r="N713" s="62">
        <f t="shared" si="2232"/>
        <v>10</v>
      </c>
      <c r="O713" s="60"/>
      <c r="P713" s="58"/>
      <c r="Q713" s="62">
        <f t="shared" si="2233"/>
        <v>10</v>
      </c>
      <c r="R713" s="60"/>
      <c r="S713" s="58"/>
      <c r="T713" s="94">
        <f t="shared" si="2234"/>
        <v>10</v>
      </c>
      <c r="U713" s="60"/>
      <c r="V713" s="58"/>
      <c r="W713" s="62">
        <f t="shared" si="2235"/>
        <v>10</v>
      </c>
      <c r="X713" s="60"/>
      <c r="Y713" s="58"/>
      <c r="Z713" s="94">
        <f t="shared" si="2236"/>
        <v>10</v>
      </c>
      <c r="AA713" s="60"/>
      <c r="AB713" s="58"/>
      <c r="AC713" s="62">
        <f t="shared" si="2237"/>
        <v>10</v>
      </c>
      <c r="AD713" s="57"/>
      <c r="AE713" s="58"/>
      <c r="AF713" s="165">
        <f t="shared" si="2238"/>
        <v>10</v>
      </c>
      <c r="AG713" s="60"/>
      <c r="AH713" s="58"/>
      <c r="AI713" s="62">
        <f t="shared" si="2239"/>
        <v>10</v>
      </c>
      <c r="AJ713" s="60"/>
      <c r="AK713" s="58"/>
      <c r="AL713" s="62">
        <f t="shared" si="2240"/>
        <v>10</v>
      </c>
      <c r="AM713" s="60"/>
      <c r="AN713" s="58"/>
      <c r="AO713" s="62">
        <f t="shared" si="2241"/>
        <v>10</v>
      </c>
      <c r="AP713" s="60"/>
      <c r="AQ713" s="58"/>
      <c r="AR713" s="62">
        <f t="shared" si="2242"/>
        <v>10</v>
      </c>
      <c r="AS713" s="60"/>
      <c r="AT713" s="58"/>
      <c r="AU713" s="62">
        <f t="shared" si="2243"/>
        <v>10</v>
      </c>
      <c r="AV713" s="96">
        <f t="shared" si="2213"/>
        <v>0</v>
      </c>
      <c r="AW713" s="83">
        <f t="shared" si="2157"/>
        <v>0</v>
      </c>
      <c r="AX713" s="98">
        <f t="shared" si="2244"/>
        <v>0</v>
      </c>
      <c r="AY713" s="99" t="e">
        <f t="shared" si="2245"/>
        <v>#DIV/0!</v>
      </c>
      <c r="AZ713" s="100">
        <f t="shared" si="2246"/>
        <v>0</v>
      </c>
      <c r="BA713" s="101">
        <v>10</v>
      </c>
      <c r="BB713" s="102">
        <v>1</v>
      </c>
      <c r="BC713" s="84">
        <f t="shared" si="2158"/>
        <v>10</v>
      </c>
      <c r="BD713" s="83">
        <f t="shared" si="2004"/>
        <v>9</v>
      </c>
      <c r="BE713" s="85">
        <v>2</v>
      </c>
      <c r="BF713" s="86">
        <v>45987.496990740743</v>
      </c>
      <c r="BG713" s="72" t="e">
        <f t="shared" ref="BG713:BG776" si="2250">BG712</f>
        <v>#REF!</v>
      </c>
      <c r="BH713" s="103" t="e">
        <f t="shared" si="2247"/>
        <v>#REF!</v>
      </c>
      <c r="BI713" s="80" t="e">
        <f t="shared" si="2005"/>
        <v>#REF!</v>
      </c>
      <c r="BJ713" s="238">
        <v>1010</v>
      </c>
    </row>
    <row r="714" spans="1:62" ht="13">
      <c r="A714" s="75"/>
      <c r="B714" s="76"/>
      <c r="C714" s="51">
        <v>712</v>
      </c>
      <c r="D714" s="149" t="s">
        <v>1527</v>
      </c>
      <c r="E714" s="149">
        <v>2</v>
      </c>
      <c r="F714" s="88" t="s">
        <v>1967</v>
      </c>
      <c r="G714" s="89" t="s">
        <v>1968</v>
      </c>
      <c r="H714" s="89" t="s">
        <v>1969</v>
      </c>
      <c r="I714" s="80" t="s">
        <v>458</v>
      </c>
      <c r="J714" s="93">
        <f t="shared" si="2231"/>
        <v>1</v>
      </c>
      <c r="K714" s="80">
        <v>0</v>
      </c>
      <c r="L714" s="58"/>
      <c r="M714" s="58"/>
      <c r="N714" s="62">
        <f t="shared" si="2232"/>
        <v>0</v>
      </c>
      <c r="O714" s="60"/>
      <c r="P714" s="58"/>
      <c r="Q714" s="62">
        <f t="shared" si="2233"/>
        <v>0</v>
      </c>
      <c r="R714" s="60"/>
      <c r="S714" s="58"/>
      <c r="T714" s="94">
        <f t="shared" si="2234"/>
        <v>0</v>
      </c>
      <c r="U714" s="60"/>
      <c r="V714" s="58"/>
      <c r="W714" s="62">
        <f t="shared" si="2235"/>
        <v>0</v>
      </c>
      <c r="X714" s="60"/>
      <c r="Y714" s="58"/>
      <c r="Z714" s="94">
        <f t="shared" si="2236"/>
        <v>0</v>
      </c>
      <c r="AA714" s="60">
        <v>1</v>
      </c>
      <c r="AB714" s="58"/>
      <c r="AC714" s="62">
        <f t="shared" si="2237"/>
        <v>1</v>
      </c>
      <c r="AD714" s="57"/>
      <c r="AE714" s="58"/>
      <c r="AF714" s="165">
        <f t="shared" si="2238"/>
        <v>1</v>
      </c>
      <c r="AG714" s="60"/>
      <c r="AH714" s="58"/>
      <c r="AI714" s="62">
        <f t="shared" si="2239"/>
        <v>1</v>
      </c>
      <c r="AJ714" s="60"/>
      <c r="AK714" s="58"/>
      <c r="AL714" s="62">
        <f t="shared" si="2240"/>
        <v>1</v>
      </c>
      <c r="AM714" s="60"/>
      <c r="AN714" s="58"/>
      <c r="AO714" s="62">
        <f t="shared" si="2241"/>
        <v>1</v>
      </c>
      <c r="AP714" s="60"/>
      <c r="AQ714" s="58"/>
      <c r="AR714" s="62">
        <f t="shared" si="2242"/>
        <v>1</v>
      </c>
      <c r="AS714" s="60"/>
      <c r="AT714" s="58"/>
      <c r="AU714" s="62">
        <f t="shared" si="2243"/>
        <v>1</v>
      </c>
      <c r="AV714" s="96">
        <f t="shared" si="2213"/>
        <v>1</v>
      </c>
      <c r="AW714" s="83">
        <f t="shared" si="2157"/>
        <v>0</v>
      </c>
      <c r="AX714" s="98">
        <f t="shared" si="2244"/>
        <v>0</v>
      </c>
      <c r="AY714" s="99" t="e">
        <f t="shared" si="2245"/>
        <v>#DIV/0!</v>
      </c>
      <c r="AZ714" s="100">
        <f t="shared" si="2246"/>
        <v>0</v>
      </c>
      <c r="BA714" s="101">
        <v>1</v>
      </c>
      <c r="BB714" s="102">
        <v>0</v>
      </c>
      <c r="BC714" s="84">
        <f t="shared" si="2158"/>
        <v>1</v>
      </c>
      <c r="BD714" s="83">
        <f t="shared" si="2004"/>
        <v>1</v>
      </c>
      <c r="BE714" s="85">
        <v>2</v>
      </c>
      <c r="BF714" s="86">
        <v>46189</v>
      </c>
      <c r="BG714" s="72" t="e">
        <f t="shared" si="2250"/>
        <v>#REF!</v>
      </c>
      <c r="BH714" s="103" t="e">
        <f t="shared" si="2247"/>
        <v>#REF!</v>
      </c>
      <c r="BI714" s="80" t="e">
        <f t="shared" si="2005"/>
        <v>#REF!</v>
      </c>
      <c r="BJ714" s="238">
        <v>9112.5</v>
      </c>
    </row>
    <row r="715" spans="1:62" ht="13">
      <c r="A715" s="49"/>
      <c r="B715" s="76"/>
      <c r="C715" s="51">
        <v>713</v>
      </c>
      <c r="D715" s="149" t="s">
        <v>1527</v>
      </c>
      <c r="E715" s="149">
        <v>2</v>
      </c>
      <c r="F715" s="88" t="s">
        <v>1959</v>
      </c>
      <c r="G715" s="89" t="s">
        <v>1960</v>
      </c>
      <c r="H715" s="89" t="s">
        <v>292</v>
      </c>
      <c r="I715" s="80" t="s">
        <v>458</v>
      </c>
      <c r="J715" s="93">
        <f t="shared" si="2231"/>
        <v>1</v>
      </c>
      <c r="K715" s="88">
        <v>0</v>
      </c>
      <c r="L715" s="58"/>
      <c r="M715" s="58"/>
      <c r="N715" s="62">
        <f t="shared" si="2232"/>
        <v>0</v>
      </c>
      <c r="O715" s="60"/>
      <c r="P715" s="58"/>
      <c r="Q715" s="62">
        <f t="shared" si="2233"/>
        <v>0</v>
      </c>
      <c r="R715" s="60"/>
      <c r="S715" s="58"/>
      <c r="T715" s="94">
        <f t="shared" si="2234"/>
        <v>0</v>
      </c>
      <c r="U715" s="60"/>
      <c r="V715" s="58"/>
      <c r="W715" s="62">
        <f t="shared" si="2235"/>
        <v>0</v>
      </c>
      <c r="X715" s="60">
        <v>1</v>
      </c>
      <c r="Y715" s="58"/>
      <c r="Z715" s="94">
        <f t="shared" si="2236"/>
        <v>1</v>
      </c>
      <c r="AA715" s="60"/>
      <c r="AB715" s="58"/>
      <c r="AC715" s="62">
        <f t="shared" si="2237"/>
        <v>1</v>
      </c>
      <c r="AD715" s="57"/>
      <c r="AE715" s="58"/>
      <c r="AF715" s="165">
        <f t="shared" si="2238"/>
        <v>1</v>
      </c>
      <c r="AG715" s="60"/>
      <c r="AH715" s="58"/>
      <c r="AI715" s="62">
        <f t="shared" si="2239"/>
        <v>1</v>
      </c>
      <c r="AJ715" s="60"/>
      <c r="AK715" s="58"/>
      <c r="AL715" s="62">
        <f t="shared" si="2240"/>
        <v>1</v>
      </c>
      <c r="AM715" s="60"/>
      <c r="AN715" s="58"/>
      <c r="AO715" s="62">
        <f t="shared" si="2241"/>
        <v>1</v>
      </c>
      <c r="AP715" s="60"/>
      <c r="AQ715" s="58"/>
      <c r="AR715" s="62">
        <f t="shared" si="2242"/>
        <v>1</v>
      </c>
      <c r="AS715" s="60"/>
      <c r="AT715" s="58"/>
      <c r="AU715" s="62">
        <f t="shared" si="2243"/>
        <v>1</v>
      </c>
      <c r="AV715" s="96">
        <f t="shared" si="2213"/>
        <v>1</v>
      </c>
      <c r="AW715" s="83">
        <f t="shared" si="2157"/>
        <v>0</v>
      </c>
      <c r="AX715" s="98">
        <f t="shared" si="2244"/>
        <v>0</v>
      </c>
      <c r="AY715" s="99" t="e">
        <f t="shared" si="2245"/>
        <v>#DIV/0!</v>
      </c>
      <c r="AZ715" s="100">
        <f t="shared" si="2246"/>
        <v>0</v>
      </c>
      <c r="BA715" s="101">
        <v>1</v>
      </c>
      <c r="BB715" s="102">
        <v>0</v>
      </c>
      <c r="BC715" s="84">
        <f t="shared" si="2158"/>
        <v>1</v>
      </c>
      <c r="BD715" s="83">
        <f t="shared" si="2004"/>
        <v>1</v>
      </c>
      <c r="BE715" s="85">
        <v>2</v>
      </c>
      <c r="BF715" s="86">
        <v>46160</v>
      </c>
      <c r="BG715" s="72" t="e">
        <f t="shared" si="2250"/>
        <v>#REF!</v>
      </c>
      <c r="BH715" s="103" t="e">
        <f t="shared" si="2247"/>
        <v>#REF!</v>
      </c>
      <c r="BI715" s="80" t="e">
        <f t="shared" si="2005"/>
        <v>#REF!</v>
      </c>
      <c r="BJ715" s="238">
        <v>8140.5</v>
      </c>
    </row>
    <row r="716" spans="1:62" ht="13">
      <c r="A716" s="75"/>
      <c r="B716" s="76"/>
      <c r="C716" s="51">
        <v>714</v>
      </c>
      <c r="D716" s="149" t="s">
        <v>1527</v>
      </c>
      <c r="E716" s="149">
        <v>2</v>
      </c>
      <c r="F716" s="88" t="s">
        <v>1693</v>
      </c>
      <c r="G716" s="89" t="s">
        <v>1694</v>
      </c>
      <c r="H716" s="89" t="s">
        <v>299</v>
      </c>
      <c r="I716" s="88" t="s">
        <v>458</v>
      </c>
      <c r="J716" s="93">
        <f t="shared" si="2231"/>
        <v>1</v>
      </c>
      <c r="K716" s="88">
        <v>1</v>
      </c>
      <c r="L716" s="58"/>
      <c r="M716" s="58"/>
      <c r="N716" s="62">
        <f t="shared" si="2232"/>
        <v>1</v>
      </c>
      <c r="O716" s="60"/>
      <c r="P716" s="58"/>
      <c r="Q716" s="62">
        <f t="shared" si="2233"/>
        <v>1</v>
      </c>
      <c r="R716" s="60"/>
      <c r="S716" s="58"/>
      <c r="T716" s="94">
        <f t="shared" si="2234"/>
        <v>1</v>
      </c>
      <c r="U716" s="60"/>
      <c r="V716" s="58"/>
      <c r="W716" s="62">
        <f t="shared" si="2235"/>
        <v>1</v>
      </c>
      <c r="X716" s="60"/>
      <c r="Y716" s="58"/>
      <c r="Z716" s="94">
        <f t="shared" si="2236"/>
        <v>1</v>
      </c>
      <c r="AA716" s="60"/>
      <c r="AB716" s="58"/>
      <c r="AC716" s="62">
        <f t="shared" si="2237"/>
        <v>1</v>
      </c>
      <c r="AD716" s="57"/>
      <c r="AE716" s="58"/>
      <c r="AF716" s="165">
        <f t="shared" si="2238"/>
        <v>1</v>
      </c>
      <c r="AG716" s="60"/>
      <c r="AH716" s="58"/>
      <c r="AI716" s="62">
        <f t="shared" si="2239"/>
        <v>1</v>
      </c>
      <c r="AJ716" s="60"/>
      <c r="AK716" s="58"/>
      <c r="AL716" s="62">
        <f t="shared" si="2240"/>
        <v>1</v>
      </c>
      <c r="AM716" s="60"/>
      <c r="AN716" s="58"/>
      <c r="AO716" s="62">
        <f t="shared" si="2241"/>
        <v>1</v>
      </c>
      <c r="AP716" s="60"/>
      <c r="AQ716" s="58"/>
      <c r="AR716" s="62">
        <f t="shared" si="2242"/>
        <v>1</v>
      </c>
      <c r="AS716" s="60"/>
      <c r="AT716" s="58"/>
      <c r="AU716" s="62">
        <f t="shared" si="2243"/>
        <v>1</v>
      </c>
      <c r="AV716" s="96">
        <f t="shared" si="2213"/>
        <v>0</v>
      </c>
      <c r="AW716" s="83">
        <f t="shared" si="2157"/>
        <v>0</v>
      </c>
      <c r="AX716" s="98">
        <f t="shared" si="2244"/>
        <v>0</v>
      </c>
      <c r="AY716" s="99" t="e">
        <f t="shared" si="2245"/>
        <v>#DIV/0!</v>
      </c>
      <c r="AZ716" s="100">
        <f t="shared" si="2246"/>
        <v>0</v>
      </c>
      <c r="BA716" s="101">
        <v>1</v>
      </c>
      <c r="BB716" s="102">
        <v>0</v>
      </c>
      <c r="BC716" s="84">
        <f t="shared" si="2158"/>
        <v>1</v>
      </c>
      <c r="BD716" s="83">
        <f t="shared" si="2004"/>
        <v>1</v>
      </c>
      <c r="BE716" s="85">
        <v>2</v>
      </c>
      <c r="BF716" s="86">
        <v>45706</v>
      </c>
      <c r="BG716" s="72" t="e">
        <f t="shared" si="2250"/>
        <v>#REF!</v>
      </c>
      <c r="BH716" s="103" t="e">
        <f t="shared" si="2247"/>
        <v>#REF!</v>
      </c>
      <c r="BI716" s="80" t="e">
        <f t="shared" si="2005"/>
        <v>#REF!</v>
      </c>
      <c r="BJ716" s="238">
        <v>7500</v>
      </c>
    </row>
    <row r="717" spans="1:62" ht="13">
      <c r="A717" s="49"/>
      <c r="B717" s="50"/>
      <c r="C717" s="51">
        <v>715</v>
      </c>
      <c r="D717" s="149" t="s">
        <v>1527</v>
      </c>
      <c r="E717" s="149">
        <v>2</v>
      </c>
      <c r="F717" s="88" t="s">
        <v>1695</v>
      </c>
      <c r="G717" s="89" t="s">
        <v>1696</v>
      </c>
      <c r="H717" s="89" t="s">
        <v>299</v>
      </c>
      <c r="I717" s="88" t="s">
        <v>458</v>
      </c>
      <c r="J717" s="93">
        <f t="shared" si="2231"/>
        <v>2</v>
      </c>
      <c r="K717" s="88">
        <v>2</v>
      </c>
      <c r="L717" s="58"/>
      <c r="M717" s="58"/>
      <c r="N717" s="62">
        <f t="shared" si="2232"/>
        <v>2</v>
      </c>
      <c r="O717" s="60"/>
      <c r="P717" s="58"/>
      <c r="Q717" s="62">
        <f t="shared" si="2233"/>
        <v>2</v>
      </c>
      <c r="R717" s="60"/>
      <c r="S717" s="58"/>
      <c r="T717" s="94">
        <f t="shared" si="2234"/>
        <v>2</v>
      </c>
      <c r="U717" s="60"/>
      <c r="V717" s="58"/>
      <c r="W717" s="62">
        <f t="shared" si="2235"/>
        <v>2</v>
      </c>
      <c r="X717" s="60"/>
      <c r="Y717" s="58"/>
      <c r="Z717" s="94">
        <f t="shared" si="2236"/>
        <v>2</v>
      </c>
      <c r="AA717" s="60"/>
      <c r="AB717" s="58"/>
      <c r="AC717" s="62">
        <f t="shared" si="2237"/>
        <v>2</v>
      </c>
      <c r="AD717" s="57"/>
      <c r="AE717" s="58"/>
      <c r="AF717" s="165">
        <f t="shared" si="2238"/>
        <v>2</v>
      </c>
      <c r="AG717" s="60"/>
      <c r="AH717" s="58"/>
      <c r="AI717" s="62">
        <f t="shared" si="2239"/>
        <v>2</v>
      </c>
      <c r="AJ717" s="60"/>
      <c r="AK717" s="58"/>
      <c r="AL717" s="62">
        <f t="shared" si="2240"/>
        <v>2</v>
      </c>
      <c r="AM717" s="60"/>
      <c r="AN717" s="58"/>
      <c r="AO717" s="62">
        <f t="shared" si="2241"/>
        <v>2</v>
      </c>
      <c r="AP717" s="60"/>
      <c r="AQ717" s="58"/>
      <c r="AR717" s="62">
        <f t="shared" si="2242"/>
        <v>2</v>
      </c>
      <c r="AS717" s="60"/>
      <c r="AT717" s="58"/>
      <c r="AU717" s="62">
        <f t="shared" si="2243"/>
        <v>2</v>
      </c>
      <c r="AV717" s="96">
        <f t="shared" si="2213"/>
        <v>0</v>
      </c>
      <c r="AW717" s="83">
        <f t="shared" si="2157"/>
        <v>0</v>
      </c>
      <c r="AX717" s="98">
        <f t="shared" si="2244"/>
        <v>0</v>
      </c>
      <c r="AY717" s="99" t="e">
        <f t="shared" si="2245"/>
        <v>#DIV/0!</v>
      </c>
      <c r="AZ717" s="100">
        <f t="shared" si="2246"/>
        <v>0</v>
      </c>
      <c r="BA717" s="101">
        <v>2</v>
      </c>
      <c r="BB717" s="102">
        <v>1</v>
      </c>
      <c r="BC717" s="84">
        <f t="shared" si="2158"/>
        <v>2</v>
      </c>
      <c r="BD717" s="83">
        <f t="shared" si="2004"/>
        <v>1</v>
      </c>
      <c r="BE717" s="85">
        <v>2</v>
      </c>
      <c r="BF717" s="86">
        <v>45706</v>
      </c>
      <c r="BG717" s="72" t="e">
        <f t="shared" si="2250"/>
        <v>#REF!</v>
      </c>
      <c r="BH717" s="103" t="e">
        <f t="shared" si="2247"/>
        <v>#REF!</v>
      </c>
      <c r="BI717" s="80" t="e">
        <f t="shared" si="2005"/>
        <v>#REF!</v>
      </c>
      <c r="BJ717" s="238">
        <v>4500</v>
      </c>
    </row>
    <row r="718" spans="1:62" ht="13">
      <c r="A718" s="49"/>
      <c r="B718" s="50"/>
      <c r="C718" s="77">
        <v>716</v>
      </c>
      <c r="D718" s="149" t="s">
        <v>1527</v>
      </c>
      <c r="E718" s="149">
        <v>2</v>
      </c>
      <c r="F718" s="80" t="s">
        <v>1697</v>
      </c>
      <c r="G718" s="81" t="s">
        <v>1698</v>
      </c>
      <c r="H718" s="81" t="s">
        <v>299</v>
      </c>
      <c r="I718" s="88" t="s">
        <v>458</v>
      </c>
      <c r="J718" s="82">
        <f t="shared" si="2231"/>
        <v>2</v>
      </c>
      <c r="K718" s="80">
        <v>2</v>
      </c>
      <c r="L718" s="57"/>
      <c r="M718" s="58"/>
      <c r="N718" s="59">
        <f t="shared" ref="N718" si="2251">SUM(K718+L718-M718)</f>
        <v>2</v>
      </c>
      <c r="O718" s="60"/>
      <c r="P718" s="58"/>
      <c r="Q718" s="59">
        <f t="shared" si="2233"/>
        <v>2</v>
      </c>
      <c r="R718" s="60"/>
      <c r="S718" s="58"/>
      <c r="T718" s="61">
        <f t="shared" si="2234"/>
        <v>2</v>
      </c>
      <c r="U718" s="60"/>
      <c r="V718" s="58"/>
      <c r="W718" s="59">
        <f t="shared" si="2235"/>
        <v>2</v>
      </c>
      <c r="X718" s="60"/>
      <c r="Y718" s="58"/>
      <c r="Z718" s="61">
        <f t="shared" si="2236"/>
        <v>2</v>
      </c>
      <c r="AA718" s="60"/>
      <c r="AB718" s="58"/>
      <c r="AC718" s="59">
        <f t="shared" si="2237"/>
        <v>2</v>
      </c>
      <c r="AD718" s="57"/>
      <c r="AE718" s="58"/>
      <c r="AF718" s="243">
        <f t="shared" si="2238"/>
        <v>2</v>
      </c>
      <c r="AG718" s="60"/>
      <c r="AH718" s="58"/>
      <c r="AI718" s="62">
        <f t="shared" si="2239"/>
        <v>2</v>
      </c>
      <c r="AJ718" s="60"/>
      <c r="AK718" s="58"/>
      <c r="AL718" s="62">
        <f t="shared" si="2240"/>
        <v>2</v>
      </c>
      <c r="AM718" s="60"/>
      <c r="AN718" s="58"/>
      <c r="AO718" s="62">
        <f t="shared" si="2241"/>
        <v>2</v>
      </c>
      <c r="AP718" s="60"/>
      <c r="AQ718" s="58"/>
      <c r="AR718" s="62">
        <f t="shared" si="2242"/>
        <v>2</v>
      </c>
      <c r="AS718" s="60"/>
      <c r="AT718" s="58"/>
      <c r="AU718" s="62">
        <f t="shared" ref="AU718" si="2252">SUM(AR718+AS718-AT718)</f>
        <v>2</v>
      </c>
      <c r="AV718" s="83">
        <f t="shared" ref="AV718" si="2253">SUM(L718+O718+R718+U718+X718+AA718+AD718+AG718+AJ718+AM718+AP718+AS718)</f>
        <v>0</v>
      </c>
      <c r="AW718" s="83">
        <f t="shared" si="2157"/>
        <v>0</v>
      </c>
      <c r="AX718" s="64">
        <f t="shared" ref="AX718" si="2254">SUM(M718,P718,S718,V718,Y718,AB718,AE718,AH718,AK718,AN718,AQ718,AT718)</f>
        <v>0</v>
      </c>
      <c r="AY718" s="65" t="e">
        <f t="shared" si="2245"/>
        <v>#DIV/0!</v>
      </c>
      <c r="AZ718" s="66">
        <f t="shared" si="2246"/>
        <v>0</v>
      </c>
      <c r="BA718" s="67">
        <v>2</v>
      </c>
      <c r="BB718" s="68">
        <v>1</v>
      </c>
      <c r="BC718" s="84">
        <f t="shared" si="2158"/>
        <v>2</v>
      </c>
      <c r="BD718" s="83">
        <f t="shared" si="2004"/>
        <v>1</v>
      </c>
      <c r="BE718" s="85">
        <v>2</v>
      </c>
      <c r="BF718" s="86">
        <v>45706</v>
      </c>
      <c r="BG718" s="72" t="e">
        <f t="shared" si="2250"/>
        <v>#REF!</v>
      </c>
      <c r="BH718" s="87" t="e">
        <f t="shared" si="2247"/>
        <v>#REF!</v>
      </c>
      <c r="BI718" s="80" t="e">
        <f t="shared" si="2005"/>
        <v>#REF!</v>
      </c>
      <c r="BJ718" s="238">
        <v>7500</v>
      </c>
    </row>
    <row r="719" spans="1:62" ht="13">
      <c r="A719" s="90"/>
      <c r="B719" s="91"/>
      <c r="C719" s="77">
        <v>717</v>
      </c>
      <c r="D719" s="149" t="s">
        <v>1527</v>
      </c>
      <c r="E719" s="149">
        <v>2</v>
      </c>
      <c r="F719" s="88" t="s">
        <v>1837</v>
      </c>
      <c r="G719" s="89" t="s">
        <v>1838</v>
      </c>
      <c r="H719" s="89" t="s">
        <v>1009</v>
      </c>
      <c r="I719" s="88" t="s">
        <v>458</v>
      </c>
      <c r="J719" s="93">
        <f t="shared" ref="J719" si="2255">AU719</f>
        <v>1</v>
      </c>
      <c r="K719" s="80">
        <v>2</v>
      </c>
      <c r="L719" s="58"/>
      <c r="M719" s="58"/>
      <c r="N719" s="62">
        <f t="shared" ref="N719" si="2256">SUM(K719+L719-M719)</f>
        <v>2</v>
      </c>
      <c r="O719" s="60"/>
      <c r="P719" s="58"/>
      <c r="Q719" s="62">
        <f t="shared" ref="Q719" si="2257">SUM(N719+O719-P719)</f>
        <v>2</v>
      </c>
      <c r="R719" s="60"/>
      <c r="S719" s="58"/>
      <c r="T719" s="94">
        <f t="shared" ref="T719" si="2258">SUM(Q719+R719-S719)</f>
        <v>2</v>
      </c>
      <c r="U719" s="60"/>
      <c r="V719" s="58"/>
      <c r="W719" s="62">
        <f t="shared" ref="W719" si="2259">SUM(T719+U719-V719)</f>
        <v>2</v>
      </c>
      <c r="X719" s="60"/>
      <c r="Y719" s="58"/>
      <c r="Z719" s="94">
        <f t="shared" ref="Z719" si="2260">SUM(W719+X719-Y719)</f>
        <v>2</v>
      </c>
      <c r="AA719" s="60"/>
      <c r="AB719" s="58"/>
      <c r="AC719" s="62">
        <f t="shared" ref="AC719" si="2261">SUM(Z719+AA719-AB719)</f>
        <v>2</v>
      </c>
      <c r="AD719" s="57"/>
      <c r="AE719" s="58">
        <v>1</v>
      </c>
      <c r="AF719" s="165">
        <f t="shared" ref="AF719" si="2262">SUM(AC719+AD719-AE719)</f>
        <v>1</v>
      </c>
      <c r="AG719" s="60"/>
      <c r="AH719" s="58"/>
      <c r="AI719" s="62">
        <f t="shared" ref="AI719" si="2263">SUM(AF719+AG719-AH719)</f>
        <v>1</v>
      </c>
      <c r="AJ719" s="60"/>
      <c r="AK719" s="58"/>
      <c r="AL719" s="62">
        <f t="shared" ref="AL719" si="2264">SUM(AI719+AJ719-AK719)</f>
        <v>1</v>
      </c>
      <c r="AM719" s="60"/>
      <c r="AN719" s="58"/>
      <c r="AO719" s="62">
        <f t="shared" ref="AO719" si="2265">SUM(AL719+AM719-AN719)</f>
        <v>1</v>
      </c>
      <c r="AP719" s="60"/>
      <c r="AQ719" s="58"/>
      <c r="AR719" s="62">
        <f t="shared" ref="AR719" si="2266">SUM(AO719+AP719-AQ719)</f>
        <v>1</v>
      </c>
      <c r="AS719" s="60"/>
      <c r="AT719" s="58"/>
      <c r="AU719" s="62">
        <f t="shared" ref="AU719" si="2267">SUM(AR719+AS719-AT719)</f>
        <v>1</v>
      </c>
      <c r="AV719" s="96">
        <f t="shared" ref="AV719:AV725" si="2268">SUM(L719+O719+R719+U719+X719+AA719+AD719+AG719+AJ719+AM719+AP719+AS719)</f>
        <v>0</v>
      </c>
      <c r="AW719" s="83">
        <f t="shared" ref="AW719" si="2269">SUM(M719+P719+S719+V719+Y719+AB719+AE719+AH719+AK719+AN719+AQ719+AT719)</f>
        <v>1</v>
      </c>
      <c r="AX719" s="98">
        <f t="shared" ref="AX719" si="2270">SUM(M719,P719,S719,V719,Y719,AB719,AE719,AH719,AK719,AN719,AQ719,AT719)</f>
        <v>1</v>
      </c>
      <c r="AY719" s="99">
        <f t="shared" ref="AY719" si="2271">AVERAGE(M719,P719,S719,V719,Y719,AB719,AE719,AH719,AK719,AN719,AQ719,AT719)</f>
        <v>1</v>
      </c>
      <c r="AZ719" s="100">
        <f t="shared" ref="AZ719" si="2272">COUNT(M719,P719,S719,V719,Y719,AB719,AE719,AH719,AK719,AN719,AQ719,AT719)</f>
        <v>1</v>
      </c>
      <c r="BA719" s="101">
        <f t="shared" ref="BA719" si="2273">MAX(M719,P719,S719,V719,Y719,AB719,AE719,AH719,AK719,AN719,AQ719,AT719)</f>
        <v>1</v>
      </c>
      <c r="BB719" s="102">
        <v>0</v>
      </c>
      <c r="BC719" s="84">
        <f t="shared" si="2158"/>
        <v>1</v>
      </c>
      <c r="BD719" s="83">
        <f t="shared" si="2004"/>
        <v>1</v>
      </c>
      <c r="BE719" s="85">
        <v>2</v>
      </c>
      <c r="BF719" s="86">
        <v>45944</v>
      </c>
      <c r="BG719" s="72" t="e">
        <f t="shared" si="2250"/>
        <v>#REF!</v>
      </c>
      <c r="BH719" s="103" t="e">
        <f t="shared" ref="BH719" si="2274">BG719-BF719</f>
        <v>#REF!</v>
      </c>
      <c r="BI719" s="80" t="e">
        <f t="shared" si="2005"/>
        <v>#REF!</v>
      </c>
      <c r="BJ719" s="238">
        <v>2580</v>
      </c>
    </row>
    <row r="720" spans="1:62" ht="13">
      <c r="A720" s="49"/>
      <c r="B720" s="50"/>
      <c r="C720" s="51">
        <v>718</v>
      </c>
      <c r="D720" s="149" t="s">
        <v>1527</v>
      </c>
      <c r="E720" s="149">
        <v>2</v>
      </c>
      <c r="F720" s="105" t="s">
        <v>772</v>
      </c>
      <c r="G720" s="81" t="s">
        <v>1543</v>
      </c>
      <c r="H720" s="81" t="s">
        <v>296</v>
      </c>
      <c r="I720" s="80" t="s">
        <v>458</v>
      </c>
      <c r="J720" s="82">
        <f t="shared" ref="J720:J729" si="2275">AU720</f>
        <v>2</v>
      </c>
      <c r="K720" s="80">
        <v>2</v>
      </c>
      <c r="L720" s="57"/>
      <c r="M720" s="58"/>
      <c r="N720" s="59">
        <f t="shared" ref="N720:N729" si="2276">SUM(K720+L720-M720)</f>
        <v>2</v>
      </c>
      <c r="O720" s="60"/>
      <c r="P720" s="58"/>
      <c r="Q720" s="59">
        <f t="shared" ref="Q720:Q726" si="2277">SUM(N720+O720-P720)</f>
        <v>2</v>
      </c>
      <c r="R720" s="60"/>
      <c r="S720" s="58"/>
      <c r="T720" s="61">
        <f t="shared" ref="T720:T729" si="2278">SUM(Q720+R720-S720)</f>
        <v>2</v>
      </c>
      <c r="U720" s="60"/>
      <c r="V720" s="58"/>
      <c r="W720" s="59">
        <f t="shared" ref="W720:W726" si="2279">SUM(T720+U720-V720)</f>
        <v>2</v>
      </c>
      <c r="X720" s="60"/>
      <c r="Y720" s="58"/>
      <c r="Z720" s="61">
        <f t="shared" ref="Z720:Z729" si="2280">SUM(W720+X720-Y720)</f>
        <v>2</v>
      </c>
      <c r="AA720" s="60"/>
      <c r="AB720" s="58"/>
      <c r="AC720" s="59">
        <f t="shared" ref="AC720:AC729" si="2281">SUM(Z720+AA720-AB720)</f>
        <v>2</v>
      </c>
      <c r="AD720" s="57"/>
      <c r="AE720" s="58"/>
      <c r="AF720" s="243">
        <f t="shared" ref="AF720:AF729" si="2282">SUM(AC720+AD720-AE720)</f>
        <v>2</v>
      </c>
      <c r="AG720" s="60"/>
      <c r="AH720" s="58"/>
      <c r="AI720" s="62">
        <f t="shared" ref="AI720:AI729" si="2283">SUM(AF720+AG720-AH720)</f>
        <v>2</v>
      </c>
      <c r="AJ720" s="60"/>
      <c r="AK720" s="58"/>
      <c r="AL720" s="62">
        <f t="shared" ref="AL720:AL729" si="2284">SUM(AI720+AJ720-AK720)</f>
        <v>2</v>
      </c>
      <c r="AM720" s="60"/>
      <c r="AN720" s="58"/>
      <c r="AO720" s="62">
        <f t="shared" ref="AO720:AO729" si="2285">SUM(AL720+AM720-AN720)</f>
        <v>2</v>
      </c>
      <c r="AP720" s="60"/>
      <c r="AQ720" s="58"/>
      <c r="AR720" s="62">
        <f t="shared" ref="AR720:AR729" si="2286">SUM(AO720+AP720-AQ720)</f>
        <v>2</v>
      </c>
      <c r="AS720" s="60"/>
      <c r="AT720" s="58"/>
      <c r="AU720" s="62">
        <f t="shared" ref="AU720:AU726" si="2287">SUM(AR720+AS720-AT720)</f>
        <v>2</v>
      </c>
      <c r="AV720" s="83">
        <f t="shared" si="2268"/>
        <v>0</v>
      </c>
      <c r="AW720" s="83">
        <f t="shared" ref="AW720:AW726" si="2288">SUM(M720+P720+S720+V720+Y720+AB720+AE720+AH720+AK720+AN720+AQ720+AT720)</f>
        <v>0</v>
      </c>
      <c r="AX720" s="64">
        <f t="shared" ref="AX720:AX726" si="2289">SUM(M720,P720,S720,V720,Y720,AB720,AE720,AH720,AK720,AN720,AQ720,AT720)</f>
        <v>0</v>
      </c>
      <c r="AY720" s="65" t="e">
        <f t="shared" ref="AY720:AY726" si="2290">AVERAGE(M720,P720,S720,V720,Y720,AB720,AE720,AH720,AK720,AN720,AQ720,AT720)</f>
        <v>#DIV/0!</v>
      </c>
      <c r="AZ720" s="66">
        <f t="shared" ref="AZ720:AZ726" si="2291">COUNT(M720,P720,S720,V720,Y720,AB720,AE720,AH720,AK720,AN720,AQ720,AT720)</f>
        <v>0</v>
      </c>
      <c r="BA720" s="67">
        <v>2</v>
      </c>
      <c r="BB720" s="68">
        <v>1</v>
      </c>
      <c r="BC720" s="84">
        <f t="shared" si="2158"/>
        <v>2</v>
      </c>
      <c r="BD720" s="83">
        <f t="shared" si="2004"/>
        <v>1</v>
      </c>
      <c r="BE720" s="85">
        <v>2</v>
      </c>
      <c r="BF720" s="86">
        <v>44291.41915509259</v>
      </c>
      <c r="BG720" s="72" t="e">
        <f t="shared" si="2250"/>
        <v>#REF!</v>
      </c>
      <c r="BH720" s="87" t="e">
        <f t="shared" ref="BH720:BH726" si="2292">BG720-BF720</f>
        <v>#REF!</v>
      </c>
      <c r="BI720" s="80" t="e">
        <f t="shared" si="2005"/>
        <v>#REF!</v>
      </c>
      <c r="BJ720" s="238">
        <v>4398.75</v>
      </c>
    </row>
    <row r="721" spans="1:62" ht="13">
      <c r="A721" s="49"/>
      <c r="B721" s="76"/>
      <c r="C721" s="51">
        <v>719</v>
      </c>
      <c r="D721" s="149" t="s">
        <v>1527</v>
      </c>
      <c r="E721" s="149">
        <v>2</v>
      </c>
      <c r="F721" s="88" t="s">
        <v>1976</v>
      </c>
      <c r="G721" s="89" t="s">
        <v>1977</v>
      </c>
      <c r="H721" s="89" t="s">
        <v>921</v>
      </c>
      <c r="I721" s="80" t="s">
        <v>458</v>
      </c>
      <c r="J721" s="93">
        <f t="shared" si="2275"/>
        <v>1</v>
      </c>
      <c r="K721" s="88">
        <v>0</v>
      </c>
      <c r="L721" s="58"/>
      <c r="M721" s="58"/>
      <c r="N721" s="62">
        <f t="shared" si="2276"/>
        <v>0</v>
      </c>
      <c r="O721" s="60"/>
      <c r="P721" s="58"/>
      <c r="Q721" s="62">
        <f t="shared" si="2277"/>
        <v>0</v>
      </c>
      <c r="R721" s="60"/>
      <c r="S721" s="58"/>
      <c r="T721" s="94">
        <f t="shared" si="2278"/>
        <v>0</v>
      </c>
      <c r="U721" s="60"/>
      <c r="V721" s="58"/>
      <c r="W721" s="62">
        <f t="shared" si="2279"/>
        <v>0</v>
      </c>
      <c r="X721" s="60"/>
      <c r="Y721" s="58"/>
      <c r="Z721" s="94">
        <f t="shared" si="2280"/>
        <v>0</v>
      </c>
      <c r="AA721" s="60"/>
      <c r="AB721" s="58"/>
      <c r="AC721" s="62">
        <f t="shared" si="2281"/>
        <v>0</v>
      </c>
      <c r="AD721" s="57">
        <v>1</v>
      </c>
      <c r="AE721" s="58"/>
      <c r="AF721" s="165">
        <f t="shared" si="2282"/>
        <v>1</v>
      </c>
      <c r="AG721" s="60"/>
      <c r="AH721" s="58"/>
      <c r="AI721" s="62">
        <f t="shared" si="2283"/>
        <v>1</v>
      </c>
      <c r="AJ721" s="60"/>
      <c r="AK721" s="58"/>
      <c r="AL721" s="62">
        <f t="shared" si="2284"/>
        <v>1</v>
      </c>
      <c r="AM721" s="60"/>
      <c r="AN721" s="58"/>
      <c r="AO721" s="62">
        <f t="shared" si="2285"/>
        <v>1</v>
      </c>
      <c r="AP721" s="60"/>
      <c r="AQ721" s="58"/>
      <c r="AR721" s="62">
        <f t="shared" si="2286"/>
        <v>1</v>
      </c>
      <c r="AS721" s="60"/>
      <c r="AT721" s="58"/>
      <c r="AU721" s="62">
        <f t="shared" si="2287"/>
        <v>1</v>
      </c>
      <c r="AV721" s="96">
        <f t="shared" si="2268"/>
        <v>1</v>
      </c>
      <c r="AW721" s="83">
        <f t="shared" si="2288"/>
        <v>0</v>
      </c>
      <c r="AX721" s="98">
        <f t="shared" si="2289"/>
        <v>0</v>
      </c>
      <c r="AY721" s="99" t="e">
        <f t="shared" si="2290"/>
        <v>#DIV/0!</v>
      </c>
      <c r="AZ721" s="100">
        <f t="shared" si="2291"/>
        <v>0</v>
      </c>
      <c r="BA721" s="101">
        <v>1</v>
      </c>
      <c r="BB721" s="102">
        <v>0</v>
      </c>
      <c r="BC721" s="84">
        <f t="shared" si="2158"/>
        <v>1</v>
      </c>
      <c r="BD721" s="83">
        <f t="shared" si="2004"/>
        <v>1</v>
      </c>
      <c r="BE721" s="85">
        <v>2</v>
      </c>
      <c r="BF721" s="86">
        <v>46216</v>
      </c>
      <c r="BG721" s="72" t="e">
        <f t="shared" si="2250"/>
        <v>#REF!</v>
      </c>
      <c r="BH721" s="103" t="e">
        <f t="shared" si="2292"/>
        <v>#REF!</v>
      </c>
      <c r="BI721" s="80" t="e">
        <f t="shared" si="2005"/>
        <v>#REF!</v>
      </c>
      <c r="BJ721" s="238">
        <v>19080</v>
      </c>
    </row>
    <row r="722" spans="1:62" ht="13">
      <c r="A722" s="49"/>
      <c r="B722" s="76"/>
      <c r="C722" s="51">
        <v>720</v>
      </c>
      <c r="D722" s="149" t="s">
        <v>1527</v>
      </c>
      <c r="E722" s="149">
        <v>2</v>
      </c>
      <c r="F722" s="88" t="s">
        <v>1978</v>
      </c>
      <c r="G722" s="89" t="s">
        <v>1979</v>
      </c>
      <c r="H722" s="89" t="s">
        <v>921</v>
      </c>
      <c r="I722" s="80" t="s">
        <v>458</v>
      </c>
      <c r="J722" s="93">
        <f t="shared" si="2275"/>
        <v>2</v>
      </c>
      <c r="K722" s="80">
        <v>0</v>
      </c>
      <c r="L722" s="58"/>
      <c r="M722" s="58"/>
      <c r="N722" s="62">
        <f t="shared" si="2276"/>
        <v>0</v>
      </c>
      <c r="O722" s="60"/>
      <c r="P722" s="58"/>
      <c r="Q722" s="62">
        <f t="shared" si="2277"/>
        <v>0</v>
      </c>
      <c r="R722" s="60"/>
      <c r="S722" s="58"/>
      <c r="T722" s="94">
        <f t="shared" si="2278"/>
        <v>0</v>
      </c>
      <c r="U722" s="60"/>
      <c r="V722" s="58"/>
      <c r="W722" s="62">
        <f t="shared" si="2279"/>
        <v>0</v>
      </c>
      <c r="X722" s="60"/>
      <c r="Y722" s="58"/>
      <c r="Z722" s="94">
        <f t="shared" si="2280"/>
        <v>0</v>
      </c>
      <c r="AA722" s="60"/>
      <c r="AB722" s="58"/>
      <c r="AC722" s="62">
        <f t="shared" si="2281"/>
        <v>0</v>
      </c>
      <c r="AD722" s="57">
        <v>2</v>
      </c>
      <c r="AE722" s="58"/>
      <c r="AF722" s="165">
        <f t="shared" si="2282"/>
        <v>2</v>
      </c>
      <c r="AG722" s="60"/>
      <c r="AH722" s="58"/>
      <c r="AI722" s="62">
        <f t="shared" si="2283"/>
        <v>2</v>
      </c>
      <c r="AJ722" s="60"/>
      <c r="AK722" s="58"/>
      <c r="AL722" s="62">
        <f t="shared" si="2284"/>
        <v>2</v>
      </c>
      <c r="AM722" s="60"/>
      <c r="AN722" s="58"/>
      <c r="AO722" s="62">
        <f t="shared" si="2285"/>
        <v>2</v>
      </c>
      <c r="AP722" s="60"/>
      <c r="AQ722" s="58"/>
      <c r="AR722" s="62">
        <f t="shared" si="2286"/>
        <v>2</v>
      </c>
      <c r="AS722" s="60"/>
      <c r="AT722" s="58"/>
      <c r="AU722" s="62">
        <f t="shared" si="2287"/>
        <v>2</v>
      </c>
      <c r="AV722" s="96">
        <f t="shared" si="2268"/>
        <v>2</v>
      </c>
      <c r="AW722" s="83">
        <f t="shared" si="2288"/>
        <v>0</v>
      </c>
      <c r="AX722" s="98">
        <f t="shared" si="2289"/>
        <v>0</v>
      </c>
      <c r="AY722" s="99" t="e">
        <f t="shared" si="2290"/>
        <v>#DIV/0!</v>
      </c>
      <c r="AZ722" s="100">
        <f t="shared" si="2291"/>
        <v>0</v>
      </c>
      <c r="BA722" s="101">
        <v>2</v>
      </c>
      <c r="BB722" s="102">
        <v>1</v>
      </c>
      <c r="BC722" s="84">
        <f t="shared" si="2158"/>
        <v>2</v>
      </c>
      <c r="BD722" s="83">
        <f t="shared" si="2004"/>
        <v>1</v>
      </c>
      <c r="BE722" s="85">
        <v>2</v>
      </c>
      <c r="BF722" s="86">
        <v>46216</v>
      </c>
      <c r="BG722" s="72" t="e">
        <f t="shared" si="2250"/>
        <v>#REF!</v>
      </c>
      <c r="BH722" s="103" t="e">
        <f t="shared" si="2292"/>
        <v>#REF!</v>
      </c>
      <c r="BI722" s="80" t="e">
        <f t="shared" si="2005"/>
        <v>#REF!</v>
      </c>
      <c r="BJ722" s="238">
        <v>4635</v>
      </c>
    </row>
    <row r="723" spans="1:62" ht="13">
      <c r="A723" s="49"/>
      <c r="B723" s="50"/>
      <c r="C723" s="51">
        <v>721</v>
      </c>
      <c r="D723" s="149" t="s">
        <v>1527</v>
      </c>
      <c r="E723" s="149">
        <v>2</v>
      </c>
      <c r="F723" s="88" t="s">
        <v>1512</v>
      </c>
      <c r="G723" s="89" t="s">
        <v>1513</v>
      </c>
      <c r="H723" s="89" t="s">
        <v>289</v>
      </c>
      <c r="I723" s="88" t="s">
        <v>458</v>
      </c>
      <c r="J723" s="93">
        <f t="shared" si="2275"/>
        <v>4</v>
      </c>
      <c r="K723" s="88">
        <v>4</v>
      </c>
      <c r="L723" s="58"/>
      <c r="M723" s="58"/>
      <c r="N723" s="62">
        <f t="shared" si="2276"/>
        <v>4</v>
      </c>
      <c r="O723" s="60"/>
      <c r="P723" s="58"/>
      <c r="Q723" s="62">
        <f t="shared" si="2277"/>
        <v>4</v>
      </c>
      <c r="R723" s="60"/>
      <c r="S723" s="58"/>
      <c r="T723" s="94">
        <f t="shared" si="2278"/>
        <v>4</v>
      </c>
      <c r="U723" s="60"/>
      <c r="V723" s="58"/>
      <c r="W723" s="62">
        <f t="shared" si="2279"/>
        <v>4</v>
      </c>
      <c r="X723" s="60"/>
      <c r="Y723" s="58"/>
      <c r="Z723" s="94">
        <f t="shared" si="2280"/>
        <v>4</v>
      </c>
      <c r="AA723" s="60"/>
      <c r="AB723" s="58"/>
      <c r="AC723" s="62">
        <f t="shared" si="2281"/>
        <v>4</v>
      </c>
      <c r="AD723" s="57"/>
      <c r="AE723" s="58"/>
      <c r="AF723" s="165">
        <f t="shared" si="2282"/>
        <v>4</v>
      </c>
      <c r="AG723" s="60"/>
      <c r="AH723" s="58"/>
      <c r="AI723" s="62">
        <f t="shared" si="2283"/>
        <v>4</v>
      </c>
      <c r="AJ723" s="60"/>
      <c r="AK723" s="58"/>
      <c r="AL723" s="62">
        <f t="shared" si="2284"/>
        <v>4</v>
      </c>
      <c r="AM723" s="60"/>
      <c r="AN723" s="58"/>
      <c r="AO723" s="62">
        <f t="shared" si="2285"/>
        <v>4</v>
      </c>
      <c r="AP723" s="60"/>
      <c r="AQ723" s="58"/>
      <c r="AR723" s="62">
        <f t="shared" si="2286"/>
        <v>4</v>
      </c>
      <c r="AS723" s="60"/>
      <c r="AT723" s="58"/>
      <c r="AU723" s="62">
        <f t="shared" si="2287"/>
        <v>4</v>
      </c>
      <c r="AV723" s="96">
        <f t="shared" si="2268"/>
        <v>0</v>
      </c>
      <c r="AW723" s="83">
        <f t="shared" si="2288"/>
        <v>0</v>
      </c>
      <c r="AX723" s="98">
        <f t="shared" si="2289"/>
        <v>0</v>
      </c>
      <c r="AY723" s="99" t="e">
        <f t="shared" si="2290"/>
        <v>#DIV/0!</v>
      </c>
      <c r="AZ723" s="100">
        <f t="shared" si="2291"/>
        <v>0</v>
      </c>
      <c r="BA723" s="101">
        <v>4</v>
      </c>
      <c r="BB723" s="102">
        <v>1</v>
      </c>
      <c r="BC723" s="84">
        <f t="shared" si="2158"/>
        <v>4</v>
      </c>
      <c r="BD723" s="83">
        <f t="shared" si="2004"/>
        <v>3</v>
      </c>
      <c r="BE723" s="85">
        <v>2</v>
      </c>
      <c r="BF723" s="86">
        <v>45281.5546412037</v>
      </c>
      <c r="BG723" s="72" t="e">
        <f t="shared" si="2250"/>
        <v>#REF!</v>
      </c>
      <c r="BH723" s="103" t="e">
        <f t="shared" si="2292"/>
        <v>#REF!</v>
      </c>
      <c r="BI723" s="80" t="e">
        <f t="shared" si="2005"/>
        <v>#REF!</v>
      </c>
      <c r="BJ723" s="238">
        <v>4300</v>
      </c>
    </row>
    <row r="724" spans="1:62" ht="13">
      <c r="A724" s="49"/>
      <c r="B724" s="76"/>
      <c r="C724" s="77">
        <v>722</v>
      </c>
      <c r="D724" s="149" t="s">
        <v>1527</v>
      </c>
      <c r="E724" s="149">
        <v>2</v>
      </c>
      <c r="F724" s="88" t="s">
        <v>1534</v>
      </c>
      <c r="G724" s="89" t="s">
        <v>1535</v>
      </c>
      <c r="H724" s="89" t="s">
        <v>289</v>
      </c>
      <c r="I724" s="80" t="s">
        <v>458</v>
      </c>
      <c r="J724" s="93">
        <f t="shared" si="2275"/>
        <v>3</v>
      </c>
      <c r="K724" s="88">
        <v>3</v>
      </c>
      <c r="L724" s="58"/>
      <c r="M724" s="58"/>
      <c r="N724" s="62">
        <f t="shared" si="2276"/>
        <v>3</v>
      </c>
      <c r="O724" s="60"/>
      <c r="P724" s="58"/>
      <c r="Q724" s="62">
        <f t="shared" si="2277"/>
        <v>3</v>
      </c>
      <c r="R724" s="60"/>
      <c r="S724" s="58"/>
      <c r="T724" s="94">
        <f t="shared" si="2278"/>
        <v>3</v>
      </c>
      <c r="U724" s="60"/>
      <c r="V724" s="58"/>
      <c r="W724" s="62">
        <f t="shared" si="2279"/>
        <v>3</v>
      </c>
      <c r="X724" s="60"/>
      <c r="Y724" s="58"/>
      <c r="Z724" s="94">
        <f t="shared" si="2280"/>
        <v>3</v>
      </c>
      <c r="AA724" s="60"/>
      <c r="AB724" s="58"/>
      <c r="AC724" s="62">
        <f t="shared" si="2281"/>
        <v>3</v>
      </c>
      <c r="AD724" s="57"/>
      <c r="AE724" s="58"/>
      <c r="AF724" s="165">
        <f t="shared" si="2282"/>
        <v>3</v>
      </c>
      <c r="AG724" s="60"/>
      <c r="AH724" s="58"/>
      <c r="AI724" s="62">
        <f t="shared" si="2283"/>
        <v>3</v>
      </c>
      <c r="AJ724" s="60"/>
      <c r="AK724" s="58"/>
      <c r="AL724" s="62">
        <f t="shared" si="2284"/>
        <v>3</v>
      </c>
      <c r="AM724" s="60"/>
      <c r="AN724" s="58"/>
      <c r="AO724" s="62">
        <f t="shared" si="2285"/>
        <v>3</v>
      </c>
      <c r="AP724" s="60"/>
      <c r="AQ724" s="58"/>
      <c r="AR724" s="62">
        <f t="shared" si="2286"/>
        <v>3</v>
      </c>
      <c r="AS724" s="60"/>
      <c r="AT724" s="58"/>
      <c r="AU724" s="62">
        <f t="shared" si="2287"/>
        <v>3</v>
      </c>
      <c r="AV724" s="96">
        <f t="shared" si="2268"/>
        <v>0</v>
      </c>
      <c r="AW724" s="83">
        <f t="shared" si="2288"/>
        <v>0</v>
      </c>
      <c r="AX724" s="98">
        <f t="shared" si="2289"/>
        <v>0</v>
      </c>
      <c r="AY724" s="99" t="e">
        <f t="shared" si="2290"/>
        <v>#DIV/0!</v>
      </c>
      <c r="AZ724" s="100">
        <f t="shared" si="2291"/>
        <v>0</v>
      </c>
      <c r="BA724" s="101">
        <v>3</v>
      </c>
      <c r="BB724" s="102">
        <v>1</v>
      </c>
      <c r="BC724" s="84">
        <f t="shared" si="2158"/>
        <v>3</v>
      </c>
      <c r="BD724" s="83">
        <f t="shared" si="2004"/>
        <v>2</v>
      </c>
      <c r="BE724" s="85">
        <v>2</v>
      </c>
      <c r="BF724" s="86">
        <v>45315.558298611111</v>
      </c>
      <c r="BG724" s="72" t="e">
        <f t="shared" si="2250"/>
        <v>#REF!</v>
      </c>
      <c r="BH724" s="103" t="e">
        <f t="shared" si="2292"/>
        <v>#REF!</v>
      </c>
      <c r="BI724" s="80" t="e">
        <f t="shared" si="2005"/>
        <v>#REF!</v>
      </c>
      <c r="BJ724" s="238">
        <v>8290</v>
      </c>
    </row>
    <row r="725" spans="1:62" ht="13">
      <c r="A725" s="75"/>
      <c r="B725" s="76"/>
      <c r="C725" s="77">
        <v>723</v>
      </c>
      <c r="D725" s="149" t="s">
        <v>1527</v>
      </c>
      <c r="E725" s="149">
        <v>2</v>
      </c>
      <c r="F725" s="88" t="s">
        <v>1490</v>
      </c>
      <c r="G725" s="89" t="s">
        <v>1491</v>
      </c>
      <c r="H725" s="89" t="s">
        <v>299</v>
      </c>
      <c r="I725" s="88" t="s">
        <v>458</v>
      </c>
      <c r="J725" s="93">
        <f t="shared" si="2275"/>
        <v>2</v>
      </c>
      <c r="K725" s="80">
        <v>2</v>
      </c>
      <c r="L725" s="58"/>
      <c r="M725" s="58"/>
      <c r="N725" s="62">
        <f t="shared" si="2276"/>
        <v>2</v>
      </c>
      <c r="O725" s="60"/>
      <c r="P725" s="58"/>
      <c r="Q725" s="62">
        <f t="shared" si="2277"/>
        <v>2</v>
      </c>
      <c r="R725" s="60"/>
      <c r="S725" s="58"/>
      <c r="T725" s="94">
        <f t="shared" si="2278"/>
        <v>2</v>
      </c>
      <c r="U725" s="60"/>
      <c r="V725" s="58"/>
      <c r="W725" s="62">
        <f t="shared" si="2279"/>
        <v>2</v>
      </c>
      <c r="X725" s="60"/>
      <c r="Y725" s="58"/>
      <c r="Z725" s="94">
        <f t="shared" si="2280"/>
        <v>2</v>
      </c>
      <c r="AA725" s="60"/>
      <c r="AB725" s="58"/>
      <c r="AC725" s="62">
        <f t="shared" si="2281"/>
        <v>2</v>
      </c>
      <c r="AD725" s="57"/>
      <c r="AE725" s="58"/>
      <c r="AF725" s="165">
        <f t="shared" si="2282"/>
        <v>2</v>
      </c>
      <c r="AG725" s="60"/>
      <c r="AH725" s="58"/>
      <c r="AI725" s="62">
        <f t="shared" si="2283"/>
        <v>2</v>
      </c>
      <c r="AJ725" s="60"/>
      <c r="AK725" s="58"/>
      <c r="AL725" s="62">
        <f t="shared" si="2284"/>
        <v>2</v>
      </c>
      <c r="AM725" s="60"/>
      <c r="AN725" s="58"/>
      <c r="AO725" s="62">
        <f t="shared" si="2285"/>
        <v>2</v>
      </c>
      <c r="AP725" s="60"/>
      <c r="AQ725" s="58"/>
      <c r="AR725" s="62">
        <f t="shared" si="2286"/>
        <v>2</v>
      </c>
      <c r="AS725" s="60"/>
      <c r="AT725" s="58"/>
      <c r="AU725" s="62">
        <f t="shared" si="2287"/>
        <v>2</v>
      </c>
      <c r="AV725" s="83">
        <f t="shared" si="2268"/>
        <v>0</v>
      </c>
      <c r="AW725" s="83">
        <f t="shared" si="2288"/>
        <v>0</v>
      </c>
      <c r="AX725" s="98">
        <f t="shared" si="2289"/>
        <v>0</v>
      </c>
      <c r="AY725" s="99" t="e">
        <f t="shared" si="2290"/>
        <v>#DIV/0!</v>
      </c>
      <c r="AZ725" s="100">
        <f t="shared" si="2291"/>
        <v>0</v>
      </c>
      <c r="BA725" s="101">
        <v>2</v>
      </c>
      <c r="BB725" s="102">
        <v>1</v>
      </c>
      <c r="BC725" s="84">
        <f t="shared" si="2158"/>
        <v>2</v>
      </c>
      <c r="BD725" s="83">
        <f t="shared" si="2004"/>
        <v>1</v>
      </c>
      <c r="BE725" s="85">
        <v>2</v>
      </c>
      <c r="BF725" s="86">
        <v>45243.588437500002</v>
      </c>
      <c r="BG725" s="72" t="e">
        <f t="shared" si="2250"/>
        <v>#REF!</v>
      </c>
      <c r="BH725" s="103" t="e">
        <f t="shared" si="2292"/>
        <v>#REF!</v>
      </c>
      <c r="BI725" s="80" t="e">
        <f t="shared" si="2005"/>
        <v>#REF!</v>
      </c>
      <c r="BJ725" s="238">
        <v>28000</v>
      </c>
    </row>
    <row r="726" spans="1:62" ht="13">
      <c r="A726" s="49"/>
      <c r="B726" s="50"/>
      <c r="C726" s="51">
        <v>724</v>
      </c>
      <c r="D726" s="149" t="s">
        <v>1527</v>
      </c>
      <c r="E726" s="149">
        <v>2</v>
      </c>
      <c r="F726" s="88" t="s">
        <v>1488</v>
      </c>
      <c r="G726" s="89" t="s">
        <v>1489</v>
      </c>
      <c r="H726" s="89" t="s">
        <v>299</v>
      </c>
      <c r="I726" s="88" t="s">
        <v>458</v>
      </c>
      <c r="J726" s="93">
        <f t="shared" si="2275"/>
        <v>2</v>
      </c>
      <c r="K726" s="88">
        <v>2</v>
      </c>
      <c r="L726" s="58"/>
      <c r="M726" s="58"/>
      <c r="N726" s="62">
        <f t="shared" si="2276"/>
        <v>2</v>
      </c>
      <c r="O726" s="60"/>
      <c r="P726" s="58"/>
      <c r="Q726" s="62">
        <f t="shared" si="2277"/>
        <v>2</v>
      </c>
      <c r="R726" s="60"/>
      <c r="S726" s="58"/>
      <c r="T726" s="94">
        <f t="shared" si="2278"/>
        <v>2</v>
      </c>
      <c r="U726" s="60"/>
      <c r="V726" s="58"/>
      <c r="W726" s="62">
        <f t="shared" si="2279"/>
        <v>2</v>
      </c>
      <c r="X726" s="60"/>
      <c r="Y726" s="58"/>
      <c r="Z726" s="94">
        <f t="shared" si="2280"/>
        <v>2</v>
      </c>
      <c r="AA726" s="60"/>
      <c r="AB726" s="58"/>
      <c r="AC726" s="62">
        <f t="shared" si="2281"/>
        <v>2</v>
      </c>
      <c r="AD726" s="57"/>
      <c r="AE726" s="58"/>
      <c r="AF726" s="165">
        <f t="shared" si="2282"/>
        <v>2</v>
      </c>
      <c r="AG726" s="60"/>
      <c r="AH726" s="58"/>
      <c r="AI726" s="62">
        <f t="shared" si="2283"/>
        <v>2</v>
      </c>
      <c r="AJ726" s="60"/>
      <c r="AK726" s="58"/>
      <c r="AL726" s="62">
        <f t="shared" si="2284"/>
        <v>2</v>
      </c>
      <c r="AM726" s="60"/>
      <c r="AN726" s="58"/>
      <c r="AO726" s="62">
        <f t="shared" si="2285"/>
        <v>2</v>
      </c>
      <c r="AP726" s="60"/>
      <c r="AQ726" s="58"/>
      <c r="AR726" s="62">
        <f t="shared" si="2286"/>
        <v>2</v>
      </c>
      <c r="AS726" s="60"/>
      <c r="AT726" s="58"/>
      <c r="AU726" s="62">
        <f t="shared" si="2287"/>
        <v>2</v>
      </c>
      <c r="AV726" s="83">
        <f t="shared" ref="AV726" si="2293">SUM(L726+O726+R726+U726+X726+AA726+AD726+AG726+AJ726+AM726+AP726+AS726)</f>
        <v>0</v>
      </c>
      <c r="AW726" s="83">
        <f t="shared" si="2288"/>
        <v>0</v>
      </c>
      <c r="AX726" s="98">
        <f t="shared" si="2289"/>
        <v>0</v>
      </c>
      <c r="AY726" s="99" t="e">
        <f t="shared" si="2290"/>
        <v>#DIV/0!</v>
      </c>
      <c r="AZ726" s="100">
        <f t="shared" si="2291"/>
        <v>0</v>
      </c>
      <c r="BA726" s="101">
        <v>2</v>
      </c>
      <c r="BB726" s="102">
        <v>1</v>
      </c>
      <c r="BC726" s="84">
        <f t="shared" si="2158"/>
        <v>2</v>
      </c>
      <c r="BD726" s="83">
        <f t="shared" si="2004"/>
        <v>1</v>
      </c>
      <c r="BE726" s="85">
        <v>2</v>
      </c>
      <c r="BF726" s="86">
        <v>45243.588437500002</v>
      </c>
      <c r="BG726" s="72" t="e">
        <f t="shared" si="2250"/>
        <v>#REF!</v>
      </c>
      <c r="BH726" s="103" t="e">
        <f t="shared" si="2292"/>
        <v>#REF!</v>
      </c>
      <c r="BI726" s="80" t="e">
        <f t="shared" si="2005"/>
        <v>#REF!</v>
      </c>
      <c r="BJ726" s="238">
        <v>8000</v>
      </c>
    </row>
    <row r="727" spans="1:62" ht="13">
      <c r="A727" s="161"/>
      <c r="B727" s="162"/>
      <c r="C727" s="51">
        <v>725</v>
      </c>
      <c r="D727" s="149" t="s">
        <v>1527</v>
      </c>
      <c r="E727" s="149">
        <v>3</v>
      </c>
      <c r="F727" s="80" t="s">
        <v>1237</v>
      </c>
      <c r="G727" s="81" t="s">
        <v>1238</v>
      </c>
      <c r="H727" s="81" t="s">
        <v>1208</v>
      </c>
      <c r="I727" s="80" t="s">
        <v>458</v>
      </c>
      <c r="J727" s="82">
        <f t="shared" si="2275"/>
        <v>1</v>
      </c>
      <c r="K727" s="80">
        <v>1</v>
      </c>
      <c r="L727" s="58"/>
      <c r="M727" s="58"/>
      <c r="N727" s="104">
        <f t="shared" si="2276"/>
        <v>1</v>
      </c>
      <c r="O727" s="58"/>
      <c r="P727" s="58"/>
      <c r="Q727" s="104">
        <f t="shared" ref="Q727:Q736" si="2294">SUM(N727+O727-P727)</f>
        <v>1</v>
      </c>
      <c r="R727" s="58"/>
      <c r="S727" s="58"/>
      <c r="T727" s="136">
        <f t="shared" si="2278"/>
        <v>1</v>
      </c>
      <c r="U727" s="58"/>
      <c r="V727" s="58"/>
      <c r="W727" s="104">
        <f t="shared" ref="W727:W736" si="2295">SUM(T727+U727-V727)</f>
        <v>1</v>
      </c>
      <c r="X727" s="58"/>
      <c r="Y727" s="58"/>
      <c r="Z727" s="136">
        <f t="shared" si="2280"/>
        <v>1</v>
      </c>
      <c r="AA727" s="58"/>
      <c r="AB727" s="58"/>
      <c r="AC727" s="104">
        <f t="shared" si="2281"/>
        <v>1</v>
      </c>
      <c r="AD727" s="58"/>
      <c r="AE727" s="58"/>
      <c r="AF727" s="104">
        <f t="shared" si="2282"/>
        <v>1</v>
      </c>
      <c r="AG727" s="58"/>
      <c r="AH727" s="58"/>
      <c r="AI727" s="104">
        <f t="shared" si="2283"/>
        <v>1</v>
      </c>
      <c r="AJ727" s="58"/>
      <c r="AK727" s="58"/>
      <c r="AL727" s="104">
        <f t="shared" si="2284"/>
        <v>1</v>
      </c>
      <c r="AM727" s="58"/>
      <c r="AN727" s="58"/>
      <c r="AO727" s="104">
        <f t="shared" si="2285"/>
        <v>1</v>
      </c>
      <c r="AP727" s="58"/>
      <c r="AQ727" s="58"/>
      <c r="AR727" s="104">
        <f t="shared" si="2286"/>
        <v>1</v>
      </c>
      <c r="AS727" s="58"/>
      <c r="AT727" s="58"/>
      <c r="AU727" s="165">
        <f t="shared" ref="AU727:AU736" si="2296">SUM(AR727+AS727-AT727)</f>
        <v>1</v>
      </c>
      <c r="AV727" s="151">
        <f t="shared" ref="AV727:AW729" si="2297">SUM(L727+O727+R727+U727+X727+AA727+AD727+AG727+AJ727+AM727+AP727+AS727)</f>
        <v>0</v>
      </c>
      <c r="AW727" s="83">
        <f t="shared" si="2297"/>
        <v>0</v>
      </c>
      <c r="AX727" s="64">
        <f t="shared" ref="AX727:AX736" si="2298">SUM(M727,P727,S727,V727,Y727,AB727,AE727,AH727,AK727,AN727,AQ727,AT727)</f>
        <v>0</v>
      </c>
      <c r="AY727" s="65" t="e">
        <f t="shared" ref="AY727:AY746" si="2299">AVERAGE(M727,P727,S727,V727,Y727,AB727,AE727,AH727,AK727,AN727,AQ727,AT727)</f>
        <v>#DIV/0!</v>
      </c>
      <c r="AZ727" s="66">
        <f t="shared" ref="AZ727:AZ746" si="2300">COUNT(M727,P727,S727,V727,Y727,AB727,AE727,AH727,AK727,AN727,AQ727,AT727)</f>
        <v>0</v>
      </c>
      <c r="BA727" s="67">
        <f>MAX(0, Table176252626[[#This Row],[Column6]])</f>
        <v>1</v>
      </c>
      <c r="BB727" s="68">
        <v>0</v>
      </c>
      <c r="BC727" s="84">
        <f t="shared" ref="BC727:BC747" si="2301">J727</f>
        <v>1</v>
      </c>
      <c r="BD727" s="83">
        <f t="shared" ref="BD727:BD788" si="2302">SUM(BC727-BB727)</f>
        <v>1</v>
      </c>
      <c r="BE727" s="85">
        <v>2</v>
      </c>
      <c r="BF727" s="86">
        <v>45667.435914351852</v>
      </c>
      <c r="BG727" s="72" t="e">
        <f t="shared" si="2250"/>
        <v>#REF!</v>
      </c>
      <c r="BH727" s="87" t="e">
        <f t="shared" ref="BH727:BH746" si="2303">BG727-BF727</f>
        <v>#REF!</v>
      </c>
      <c r="BI727" s="80" t="e">
        <f t="shared" ref="BI727:BI788" si="2304">IF(AND(J727&gt;0,BH727&gt;365),"Dead Stock","")</f>
        <v>#REF!</v>
      </c>
      <c r="BJ727" s="238">
        <v>6068</v>
      </c>
    </row>
    <row r="728" spans="1:62" s="173" customFormat="1" ht="13">
      <c r="A728" s="161"/>
      <c r="B728" s="160"/>
      <c r="C728" s="51">
        <v>726</v>
      </c>
      <c r="D728" s="149" t="s">
        <v>1527</v>
      </c>
      <c r="E728" s="149">
        <v>3</v>
      </c>
      <c r="F728" s="88" t="s">
        <v>1197</v>
      </c>
      <c r="G728" s="89" t="s">
        <v>1198</v>
      </c>
      <c r="H728" s="81" t="s">
        <v>1208</v>
      </c>
      <c r="I728" s="105" t="s">
        <v>2</v>
      </c>
      <c r="J728" s="82">
        <f t="shared" si="2275"/>
        <v>1</v>
      </c>
      <c r="K728" s="105">
        <v>1</v>
      </c>
      <c r="L728" s="166"/>
      <c r="M728" s="167"/>
      <c r="N728" s="168">
        <f t="shared" si="2276"/>
        <v>1</v>
      </c>
      <c r="O728" s="169"/>
      <c r="P728" s="167"/>
      <c r="Q728" s="168">
        <f t="shared" si="2294"/>
        <v>1</v>
      </c>
      <c r="R728" s="169"/>
      <c r="S728" s="167"/>
      <c r="T728" s="170">
        <f t="shared" si="2278"/>
        <v>1</v>
      </c>
      <c r="U728" s="169"/>
      <c r="V728" s="167"/>
      <c r="W728" s="59">
        <f t="shared" si="2295"/>
        <v>1</v>
      </c>
      <c r="X728" s="169"/>
      <c r="Y728" s="167"/>
      <c r="Z728" s="170">
        <f t="shared" si="2280"/>
        <v>1</v>
      </c>
      <c r="AA728" s="169"/>
      <c r="AB728" s="167"/>
      <c r="AC728" s="168">
        <f t="shared" si="2281"/>
        <v>1</v>
      </c>
      <c r="AD728" s="166"/>
      <c r="AE728" s="167"/>
      <c r="AF728" s="245">
        <f t="shared" si="2282"/>
        <v>1</v>
      </c>
      <c r="AG728" s="169"/>
      <c r="AH728" s="167"/>
      <c r="AI728" s="171">
        <f t="shared" si="2283"/>
        <v>1</v>
      </c>
      <c r="AJ728" s="169"/>
      <c r="AK728" s="167"/>
      <c r="AL728" s="171">
        <f t="shared" si="2284"/>
        <v>1</v>
      </c>
      <c r="AM728" s="169"/>
      <c r="AN728" s="167"/>
      <c r="AO728" s="171">
        <f t="shared" si="2285"/>
        <v>1</v>
      </c>
      <c r="AP728" s="169"/>
      <c r="AQ728" s="167"/>
      <c r="AR728" s="171">
        <f t="shared" si="2286"/>
        <v>1</v>
      </c>
      <c r="AS728" s="60"/>
      <c r="AT728" s="167"/>
      <c r="AU728" s="171">
        <f t="shared" si="2296"/>
        <v>1</v>
      </c>
      <c r="AV728" s="172">
        <f t="shared" si="2297"/>
        <v>0</v>
      </c>
      <c r="AW728" s="83">
        <f t="shared" si="2297"/>
        <v>0</v>
      </c>
      <c r="AX728" s="64">
        <f t="shared" si="2298"/>
        <v>0</v>
      </c>
      <c r="AY728" s="65" t="e">
        <f t="shared" si="2299"/>
        <v>#DIV/0!</v>
      </c>
      <c r="AZ728" s="66">
        <f t="shared" si="2300"/>
        <v>0</v>
      </c>
      <c r="BA728" s="67">
        <f>MAX(0, Table176252626[[#This Row],[Column6]])</f>
        <v>1</v>
      </c>
      <c r="BB728" s="68">
        <v>0</v>
      </c>
      <c r="BC728" s="84">
        <f t="shared" si="2301"/>
        <v>1</v>
      </c>
      <c r="BD728" s="83">
        <f t="shared" si="2302"/>
        <v>1</v>
      </c>
      <c r="BE728" s="85">
        <v>2</v>
      </c>
      <c r="BF728" s="86">
        <v>44897.597592592596</v>
      </c>
      <c r="BG728" s="72" t="e">
        <f t="shared" si="2250"/>
        <v>#REF!</v>
      </c>
      <c r="BH728" s="107" t="e">
        <f t="shared" si="2303"/>
        <v>#REF!</v>
      </c>
      <c r="BI728" s="80" t="e">
        <f t="shared" si="2304"/>
        <v>#REF!</v>
      </c>
      <c r="BJ728" s="238">
        <v>7341</v>
      </c>
    </row>
    <row r="729" spans="1:62" ht="13">
      <c r="A729" s="159"/>
      <c r="B729" s="160"/>
      <c r="C729" s="51">
        <v>727</v>
      </c>
      <c r="D729" s="149" t="s">
        <v>1527</v>
      </c>
      <c r="E729" s="149">
        <v>3</v>
      </c>
      <c r="F729" s="88" t="s">
        <v>1200</v>
      </c>
      <c r="G729" s="89" t="s">
        <v>1227</v>
      </c>
      <c r="H729" s="81" t="s">
        <v>1208</v>
      </c>
      <c r="I729" s="80" t="s">
        <v>458</v>
      </c>
      <c r="J729" s="82">
        <f t="shared" si="2275"/>
        <v>1</v>
      </c>
      <c r="K729" s="80">
        <v>1</v>
      </c>
      <c r="L729" s="57"/>
      <c r="M729" s="58"/>
      <c r="N729" s="59">
        <f t="shared" si="2276"/>
        <v>1</v>
      </c>
      <c r="O729" s="60"/>
      <c r="P729" s="58"/>
      <c r="Q729" s="59">
        <f t="shared" si="2294"/>
        <v>1</v>
      </c>
      <c r="R729" s="60"/>
      <c r="S729" s="58"/>
      <c r="T729" s="61">
        <f t="shared" si="2278"/>
        <v>1</v>
      </c>
      <c r="U729" s="60"/>
      <c r="V729" s="58"/>
      <c r="W729" s="59">
        <f t="shared" si="2295"/>
        <v>1</v>
      </c>
      <c r="X729" s="60"/>
      <c r="Y729" s="58"/>
      <c r="Z729" s="61">
        <f t="shared" si="2280"/>
        <v>1</v>
      </c>
      <c r="AA729" s="60"/>
      <c r="AB729" s="58"/>
      <c r="AC729" s="59">
        <f t="shared" si="2281"/>
        <v>1</v>
      </c>
      <c r="AD729" s="57"/>
      <c r="AE729" s="58"/>
      <c r="AF729" s="243">
        <f t="shared" si="2282"/>
        <v>1</v>
      </c>
      <c r="AG729" s="60"/>
      <c r="AH729" s="58"/>
      <c r="AI729" s="62">
        <f t="shared" si="2283"/>
        <v>1</v>
      </c>
      <c r="AJ729" s="60"/>
      <c r="AK729" s="58"/>
      <c r="AL729" s="62">
        <f t="shared" si="2284"/>
        <v>1</v>
      </c>
      <c r="AM729" s="60"/>
      <c r="AN729" s="58"/>
      <c r="AO729" s="62">
        <f t="shared" si="2285"/>
        <v>1</v>
      </c>
      <c r="AP729" s="60"/>
      <c r="AQ729" s="58"/>
      <c r="AR729" s="62">
        <f t="shared" si="2286"/>
        <v>1</v>
      </c>
      <c r="AS729" s="60"/>
      <c r="AT729" s="58"/>
      <c r="AU729" s="62">
        <f t="shared" si="2296"/>
        <v>1</v>
      </c>
      <c r="AV729" s="83">
        <f t="shared" si="2297"/>
        <v>0</v>
      </c>
      <c r="AW729" s="83">
        <f t="shared" si="2297"/>
        <v>0</v>
      </c>
      <c r="AX729" s="64">
        <f t="shared" si="2298"/>
        <v>0</v>
      </c>
      <c r="AY729" s="65" t="e">
        <f t="shared" si="2299"/>
        <v>#DIV/0!</v>
      </c>
      <c r="AZ729" s="66">
        <f t="shared" si="2300"/>
        <v>0</v>
      </c>
      <c r="BA729" s="67">
        <f>MAX(0, Table176252626[[#This Row],[Column6]])</f>
        <v>1</v>
      </c>
      <c r="BB729" s="68">
        <v>0</v>
      </c>
      <c r="BC729" s="84">
        <f t="shared" si="2301"/>
        <v>1</v>
      </c>
      <c r="BD729" s="83">
        <f t="shared" si="2302"/>
        <v>1</v>
      </c>
      <c r="BE729" s="85">
        <v>2</v>
      </c>
      <c r="BF729" s="86">
        <v>44897.603263888886</v>
      </c>
      <c r="BG729" s="72" t="e">
        <f t="shared" si="2250"/>
        <v>#REF!</v>
      </c>
      <c r="BH729" s="87" t="e">
        <f t="shared" si="2303"/>
        <v>#REF!</v>
      </c>
      <c r="BI729" s="80" t="e">
        <f t="shared" si="2304"/>
        <v>#REF!</v>
      </c>
      <c r="BJ729" s="238">
        <v>3711</v>
      </c>
    </row>
    <row r="730" spans="1:62" ht="13">
      <c r="A730" s="161"/>
      <c r="B730" s="162"/>
      <c r="C730" s="77">
        <v>728</v>
      </c>
      <c r="D730" s="149" t="s">
        <v>1527</v>
      </c>
      <c r="E730" s="149">
        <v>3</v>
      </c>
      <c r="F730" s="88" t="s">
        <v>1194</v>
      </c>
      <c r="G730" s="89" t="s">
        <v>1228</v>
      </c>
      <c r="H730" s="81" t="s">
        <v>1208</v>
      </c>
      <c r="I730" s="80" t="s">
        <v>458</v>
      </c>
      <c r="J730" s="82">
        <f t="shared" ref="J730" si="2305">AU730</f>
        <v>1</v>
      </c>
      <c r="K730" s="80">
        <v>1</v>
      </c>
      <c r="L730" s="57"/>
      <c r="M730" s="58"/>
      <c r="N730" s="59">
        <f t="shared" ref="N730" si="2306">SUM(K730+L730-M730)</f>
        <v>1</v>
      </c>
      <c r="O730" s="60"/>
      <c r="P730" s="58"/>
      <c r="Q730" s="59">
        <f t="shared" si="2294"/>
        <v>1</v>
      </c>
      <c r="R730" s="60"/>
      <c r="S730" s="58"/>
      <c r="T730" s="61">
        <f t="shared" ref="T730" si="2307">SUM(Q730+R730-S730)</f>
        <v>1</v>
      </c>
      <c r="U730" s="60"/>
      <c r="V730" s="58"/>
      <c r="W730" s="59">
        <f t="shared" si="2295"/>
        <v>1</v>
      </c>
      <c r="X730" s="60"/>
      <c r="Y730" s="58"/>
      <c r="Z730" s="61">
        <f t="shared" ref="Z730" si="2308">SUM(W730+X730-Y730)</f>
        <v>1</v>
      </c>
      <c r="AA730" s="60"/>
      <c r="AB730" s="58"/>
      <c r="AC730" s="59">
        <f t="shared" ref="AC730" si="2309">SUM(Z730+AA730-AB730)</f>
        <v>1</v>
      </c>
      <c r="AD730" s="57"/>
      <c r="AE730" s="58"/>
      <c r="AF730" s="243">
        <f t="shared" ref="AF730" si="2310">SUM(AC730+AD730-AE730)</f>
        <v>1</v>
      </c>
      <c r="AG730" s="60"/>
      <c r="AH730" s="58"/>
      <c r="AI730" s="62">
        <f t="shared" ref="AI730" si="2311">SUM(AF730+AG730-AH730)</f>
        <v>1</v>
      </c>
      <c r="AJ730" s="60"/>
      <c r="AK730" s="58"/>
      <c r="AL730" s="62">
        <f t="shared" ref="AL730" si="2312">SUM(AI730+AJ730-AK730)</f>
        <v>1</v>
      </c>
      <c r="AM730" s="60"/>
      <c r="AN730" s="58"/>
      <c r="AO730" s="62">
        <f t="shared" ref="AO730" si="2313">SUM(AL730+AM730-AN730)</f>
        <v>1</v>
      </c>
      <c r="AP730" s="60"/>
      <c r="AQ730" s="58"/>
      <c r="AR730" s="62">
        <f t="shared" ref="AR730" si="2314">SUM(AO730+AP730-AQ730)</f>
        <v>1</v>
      </c>
      <c r="AS730" s="60"/>
      <c r="AT730" s="58"/>
      <c r="AU730" s="62">
        <f t="shared" si="2296"/>
        <v>1</v>
      </c>
      <c r="AV730" s="83">
        <f t="shared" ref="AV730" si="2315">SUM(L730+O730+R730+U730+X730+AA730+AD730+AG730+AJ730+AM730+AP730+AS730)</f>
        <v>0</v>
      </c>
      <c r="AW730" s="83">
        <f t="shared" ref="AW730:AW747" si="2316">SUM(M730+P730+S730+V730+Y730+AB730+AE730+AH730+AK730+AN730+AQ730+AT730)</f>
        <v>0</v>
      </c>
      <c r="AX730" s="64">
        <f t="shared" si="2298"/>
        <v>0</v>
      </c>
      <c r="AY730" s="65" t="e">
        <f t="shared" si="2299"/>
        <v>#DIV/0!</v>
      </c>
      <c r="AZ730" s="66">
        <f t="shared" si="2300"/>
        <v>0</v>
      </c>
      <c r="BA730" s="67">
        <f>MAX(0, Table176252626[[#This Row],[Column6]])</f>
        <v>1</v>
      </c>
      <c r="BB730" s="68">
        <v>0</v>
      </c>
      <c r="BC730" s="84">
        <f t="shared" si="2301"/>
        <v>1</v>
      </c>
      <c r="BD730" s="83">
        <f t="shared" si="2302"/>
        <v>1</v>
      </c>
      <c r="BE730" s="85">
        <v>2</v>
      </c>
      <c r="BF730" s="86">
        <v>44897.597592592596</v>
      </c>
      <c r="BG730" s="72" t="e">
        <f t="shared" si="2250"/>
        <v>#REF!</v>
      </c>
      <c r="BH730" s="107" t="e">
        <f t="shared" si="2303"/>
        <v>#REF!</v>
      </c>
      <c r="BI730" s="80" t="e">
        <f t="shared" si="2304"/>
        <v>#REF!</v>
      </c>
      <c r="BJ730" s="238">
        <v>4453</v>
      </c>
    </row>
    <row r="731" spans="1:62" ht="13">
      <c r="A731" s="159"/>
      <c r="B731" s="163"/>
      <c r="C731" s="77">
        <v>729</v>
      </c>
      <c r="D731" s="149" t="s">
        <v>1527</v>
      </c>
      <c r="E731" s="149">
        <v>3</v>
      </c>
      <c r="F731" s="88" t="s">
        <v>1796</v>
      </c>
      <c r="G731" s="89" t="s">
        <v>1797</v>
      </c>
      <c r="H731" s="89" t="s">
        <v>292</v>
      </c>
      <c r="I731" s="80" t="s">
        <v>458</v>
      </c>
      <c r="J731" s="93">
        <f t="shared" ref="J731:J746" si="2317">AU731</f>
        <v>1</v>
      </c>
      <c r="K731" s="80">
        <v>2</v>
      </c>
      <c r="L731" s="58"/>
      <c r="M731" s="58"/>
      <c r="N731" s="62">
        <f t="shared" ref="N731:N746" si="2318">SUM(K731+L731-M731)</f>
        <v>2</v>
      </c>
      <c r="O731" s="60"/>
      <c r="P731" s="58"/>
      <c r="Q731" s="62">
        <f t="shared" si="2294"/>
        <v>2</v>
      </c>
      <c r="R731" s="60"/>
      <c r="S731" s="58"/>
      <c r="T731" s="94">
        <f t="shared" ref="T731:T746" si="2319">SUM(Q731+R731-S731)</f>
        <v>2</v>
      </c>
      <c r="U731" s="60"/>
      <c r="V731" s="58"/>
      <c r="W731" s="62">
        <f t="shared" si="2295"/>
        <v>2</v>
      </c>
      <c r="X731" s="60"/>
      <c r="Y731" s="58"/>
      <c r="Z731" s="94">
        <f t="shared" ref="Z731:Z742" si="2320">SUM(W731+X731-Y731)</f>
        <v>2</v>
      </c>
      <c r="AA731" s="60"/>
      <c r="AB731" s="58"/>
      <c r="AC731" s="62">
        <f t="shared" ref="AC731:AC742" si="2321">SUM(Z731+AA731-AB731)</f>
        <v>2</v>
      </c>
      <c r="AD731" s="57"/>
      <c r="AE731" s="58"/>
      <c r="AF731" s="165">
        <f t="shared" ref="AF731:AF742" si="2322">SUM(AC731+AD731-AE731)</f>
        <v>2</v>
      </c>
      <c r="AG731" s="60"/>
      <c r="AH731" s="58">
        <v>1</v>
      </c>
      <c r="AI731" s="62">
        <f t="shared" ref="AI731:AI742" si="2323">SUM(AF731+AG731-AH731)</f>
        <v>1</v>
      </c>
      <c r="AJ731" s="60"/>
      <c r="AK731" s="58"/>
      <c r="AL731" s="62">
        <f t="shared" ref="AL731:AL742" si="2324">SUM(AI731+AJ731-AK731)</f>
        <v>1</v>
      </c>
      <c r="AM731" s="60"/>
      <c r="AN731" s="58"/>
      <c r="AO731" s="62">
        <f t="shared" ref="AO731:AO742" si="2325">SUM(AL731+AM731-AN731)</f>
        <v>1</v>
      </c>
      <c r="AP731" s="60"/>
      <c r="AQ731" s="58"/>
      <c r="AR731" s="62">
        <f t="shared" ref="AR731:AR746" si="2326">SUM(AO731+AP731-AQ731)</f>
        <v>1</v>
      </c>
      <c r="AS731" s="60"/>
      <c r="AT731" s="58"/>
      <c r="AU731" s="62">
        <f t="shared" si="2296"/>
        <v>1</v>
      </c>
      <c r="AV731" s="96">
        <f>SUM(L731+O731+R731+U731+X731+AA731+AD731+AG731+AJ731+AM731+AP731+AS731)</f>
        <v>0</v>
      </c>
      <c r="AW731" s="83">
        <f t="shared" si="2316"/>
        <v>1</v>
      </c>
      <c r="AX731" s="98">
        <f t="shared" si="2298"/>
        <v>1</v>
      </c>
      <c r="AY731" s="99">
        <f t="shared" si="2299"/>
        <v>1</v>
      </c>
      <c r="AZ731" s="100">
        <f t="shared" si="2300"/>
        <v>1</v>
      </c>
      <c r="BA731" s="101">
        <v>1</v>
      </c>
      <c r="BB731" s="102">
        <v>1</v>
      </c>
      <c r="BC731" s="84">
        <f t="shared" si="2301"/>
        <v>1</v>
      </c>
      <c r="BD731" s="83">
        <f t="shared" si="2302"/>
        <v>0</v>
      </c>
      <c r="BE731" s="85">
        <v>2</v>
      </c>
      <c r="BF731" s="86">
        <v>45894.445833333331</v>
      </c>
      <c r="BG731" s="72" t="e">
        <f t="shared" si="2250"/>
        <v>#REF!</v>
      </c>
      <c r="BH731" s="103" t="e">
        <f t="shared" si="2303"/>
        <v>#REF!</v>
      </c>
      <c r="BI731" s="80" t="e">
        <f t="shared" si="2304"/>
        <v>#REF!</v>
      </c>
      <c r="BJ731" s="238">
        <v>1999</v>
      </c>
    </row>
    <row r="732" spans="1:62" ht="13">
      <c r="A732" s="159"/>
      <c r="B732" s="163"/>
      <c r="C732" s="51">
        <v>730</v>
      </c>
      <c r="D732" s="149" t="s">
        <v>1527</v>
      </c>
      <c r="E732" s="149">
        <v>3</v>
      </c>
      <c r="F732" s="88" t="s">
        <v>1875</v>
      </c>
      <c r="G732" s="89" t="s">
        <v>1876</v>
      </c>
      <c r="H732" s="89" t="s">
        <v>292</v>
      </c>
      <c r="I732" s="80" t="s">
        <v>458</v>
      </c>
      <c r="J732" s="93">
        <f t="shared" si="2317"/>
        <v>2</v>
      </c>
      <c r="K732" s="80">
        <v>2</v>
      </c>
      <c r="L732" s="58"/>
      <c r="M732" s="58"/>
      <c r="N732" s="62">
        <f t="shared" si="2318"/>
        <v>2</v>
      </c>
      <c r="O732" s="60"/>
      <c r="P732" s="58"/>
      <c r="Q732" s="62">
        <f t="shared" si="2294"/>
        <v>2</v>
      </c>
      <c r="R732" s="60"/>
      <c r="S732" s="58"/>
      <c r="T732" s="94">
        <f t="shared" si="2319"/>
        <v>2</v>
      </c>
      <c r="U732" s="60"/>
      <c r="V732" s="58"/>
      <c r="W732" s="62">
        <f t="shared" si="2295"/>
        <v>2</v>
      </c>
      <c r="X732" s="60"/>
      <c r="Y732" s="58"/>
      <c r="Z732" s="94">
        <f t="shared" si="2320"/>
        <v>2</v>
      </c>
      <c r="AA732" s="60"/>
      <c r="AB732" s="58"/>
      <c r="AC732" s="62">
        <f t="shared" si="2321"/>
        <v>2</v>
      </c>
      <c r="AD732" s="57"/>
      <c r="AE732" s="58"/>
      <c r="AF732" s="165">
        <f t="shared" si="2322"/>
        <v>2</v>
      </c>
      <c r="AG732" s="60"/>
      <c r="AH732" s="58"/>
      <c r="AI732" s="62">
        <f t="shared" si="2323"/>
        <v>2</v>
      </c>
      <c r="AJ732" s="60"/>
      <c r="AK732" s="58"/>
      <c r="AL732" s="62">
        <f t="shared" si="2324"/>
        <v>2</v>
      </c>
      <c r="AM732" s="60"/>
      <c r="AN732" s="58"/>
      <c r="AO732" s="62">
        <f t="shared" si="2325"/>
        <v>2</v>
      </c>
      <c r="AP732" s="60"/>
      <c r="AQ732" s="58"/>
      <c r="AR732" s="62">
        <f t="shared" si="2326"/>
        <v>2</v>
      </c>
      <c r="AS732" s="60"/>
      <c r="AT732" s="58"/>
      <c r="AU732" s="62">
        <f t="shared" si="2296"/>
        <v>2</v>
      </c>
      <c r="AV732" s="96">
        <f>SUM(L732+O732+R732+U732+X732+AA732+AD732+AG732+AJ732+AM732+AP732+AS732)</f>
        <v>0</v>
      </c>
      <c r="AW732" s="83">
        <f t="shared" si="2316"/>
        <v>0</v>
      </c>
      <c r="AX732" s="98">
        <f t="shared" si="2298"/>
        <v>0</v>
      </c>
      <c r="AY732" s="99" t="e">
        <f t="shared" si="2299"/>
        <v>#DIV/0!</v>
      </c>
      <c r="AZ732" s="100">
        <f t="shared" si="2300"/>
        <v>0</v>
      </c>
      <c r="BA732" s="101">
        <v>2</v>
      </c>
      <c r="BB732" s="102">
        <v>1</v>
      </c>
      <c r="BC732" s="84">
        <f t="shared" si="2301"/>
        <v>2</v>
      </c>
      <c r="BD732" s="83">
        <f t="shared" si="2302"/>
        <v>1</v>
      </c>
      <c r="BE732" s="85">
        <v>2</v>
      </c>
      <c r="BF732" s="86">
        <v>46001.409456018519</v>
      </c>
      <c r="BG732" s="72" t="e">
        <f t="shared" si="2250"/>
        <v>#REF!</v>
      </c>
      <c r="BH732" s="103" t="e">
        <f t="shared" si="2303"/>
        <v>#REF!</v>
      </c>
      <c r="BI732" s="80" t="e">
        <f t="shared" si="2304"/>
        <v>#REF!</v>
      </c>
      <c r="BJ732" s="238">
        <v>3152</v>
      </c>
    </row>
    <row r="733" spans="1:62" ht="13">
      <c r="A733" s="161"/>
      <c r="B733" s="160"/>
      <c r="C733" s="51">
        <v>731</v>
      </c>
      <c r="D733" s="149" t="s">
        <v>1527</v>
      </c>
      <c r="E733" s="149">
        <v>3</v>
      </c>
      <c r="F733" s="88" t="s">
        <v>1678</v>
      </c>
      <c r="G733" s="89" t="s">
        <v>1670</v>
      </c>
      <c r="H733" s="89" t="s">
        <v>1686</v>
      </c>
      <c r="I733" s="88" t="s">
        <v>458</v>
      </c>
      <c r="J733" s="93">
        <f t="shared" si="2317"/>
        <v>1</v>
      </c>
      <c r="K733" s="88">
        <v>1</v>
      </c>
      <c r="L733" s="58"/>
      <c r="M733" s="58"/>
      <c r="N733" s="62">
        <f t="shared" si="2318"/>
        <v>1</v>
      </c>
      <c r="O733" s="60"/>
      <c r="P733" s="58"/>
      <c r="Q733" s="62">
        <f t="shared" si="2294"/>
        <v>1</v>
      </c>
      <c r="R733" s="60"/>
      <c r="S733" s="58"/>
      <c r="T733" s="94">
        <f t="shared" si="2319"/>
        <v>1</v>
      </c>
      <c r="U733" s="60"/>
      <c r="V733" s="58"/>
      <c r="W733" s="62">
        <f t="shared" si="2295"/>
        <v>1</v>
      </c>
      <c r="X733" s="60"/>
      <c r="Y733" s="58"/>
      <c r="Z733" s="94">
        <f t="shared" si="2320"/>
        <v>1</v>
      </c>
      <c r="AA733" s="60"/>
      <c r="AB733" s="58"/>
      <c r="AC733" s="62">
        <f t="shared" si="2321"/>
        <v>1</v>
      </c>
      <c r="AD733" s="57"/>
      <c r="AE733" s="58"/>
      <c r="AF733" s="165">
        <f t="shared" si="2322"/>
        <v>1</v>
      </c>
      <c r="AG733" s="60"/>
      <c r="AH733" s="58"/>
      <c r="AI733" s="62">
        <f t="shared" si="2323"/>
        <v>1</v>
      </c>
      <c r="AJ733" s="60"/>
      <c r="AK733" s="58"/>
      <c r="AL733" s="62">
        <f t="shared" si="2324"/>
        <v>1</v>
      </c>
      <c r="AM733" s="60"/>
      <c r="AN733" s="58"/>
      <c r="AO733" s="62">
        <f t="shared" si="2325"/>
        <v>1</v>
      </c>
      <c r="AP733" s="60"/>
      <c r="AQ733" s="58"/>
      <c r="AR733" s="62">
        <f t="shared" si="2326"/>
        <v>1</v>
      </c>
      <c r="AS733" s="60"/>
      <c r="AT733" s="58"/>
      <c r="AU733" s="62">
        <f t="shared" si="2296"/>
        <v>1</v>
      </c>
      <c r="AV733" s="96">
        <f>SUM(L733+O733+R733+U733+X733+AA733+AD733+AG733+AJ733+AM733+AP733+AS733)</f>
        <v>0</v>
      </c>
      <c r="AW733" s="83">
        <f t="shared" si="2316"/>
        <v>0</v>
      </c>
      <c r="AX733" s="98">
        <f t="shared" si="2298"/>
        <v>0</v>
      </c>
      <c r="AY733" s="99" t="e">
        <f t="shared" si="2299"/>
        <v>#DIV/0!</v>
      </c>
      <c r="AZ733" s="100">
        <f t="shared" si="2300"/>
        <v>0</v>
      </c>
      <c r="BA733" s="101">
        <v>1</v>
      </c>
      <c r="BB733" s="102">
        <f>MIN(M733,P733,S733,V733,Y733,AB733,AE733,AH733,AK733,AN733,AQ733,AT733)</f>
        <v>0</v>
      </c>
      <c r="BC733" s="84">
        <f t="shared" si="2301"/>
        <v>1</v>
      </c>
      <c r="BD733" s="83">
        <f t="shared" si="2302"/>
        <v>1</v>
      </c>
      <c r="BE733" s="85">
        <v>2</v>
      </c>
      <c r="BF733" s="86">
        <v>45681.571631944447</v>
      </c>
      <c r="BG733" s="72" t="e">
        <f t="shared" si="2250"/>
        <v>#REF!</v>
      </c>
      <c r="BH733" s="103" t="e">
        <f t="shared" si="2303"/>
        <v>#REF!</v>
      </c>
      <c r="BI733" s="80" t="e">
        <f t="shared" si="2304"/>
        <v>#REF!</v>
      </c>
      <c r="BJ733" s="238">
        <v>2094</v>
      </c>
    </row>
    <row r="734" spans="1:62" ht="13">
      <c r="A734" s="161"/>
      <c r="B734" s="160"/>
      <c r="C734" s="51">
        <v>732</v>
      </c>
      <c r="D734" s="149" t="s">
        <v>1527</v>
      </c>
      <c r="E734" s="149">
        <v>3</v>
      </c>
      <c r="F734" s="88" t="s">
        <v>1679</v>
      </c>
      <c r="G734" s="89" t="s">
        <v>1671</v>
      </c>
      <c r="H734" s="89" t="s">
        <v>1686</v>
      </c>
      <c r="I734" s="88" t="s">
        <v>458</v>
      </c>
      <c r="J734" s="93">
        <f t="shared" si="2317"/>
        <v>1</v>
      </c>
      <c r="K734" s="80">
        <v>1</v>
      </c>
      <c r="L734" s="58"/>
      <c r="M734" s="58"/>
      <c r="N734" s="62">
        <f t="shared" si="2318"/>
        <v>1</v>
      </c>
      <c r="O734" s="60"/>
      <c r="P734" s="58"/>
      <c r="Q734" s="62">
        <f t="shared" si="2294"/>
        <v>1</v>
      </c>
      <c r="R734" s="60"/>
      <c r="S734" s="58"/>
      <c r="T734" s="94">
        <f t="shared" si="2319"/>
        <v>1</v>
      </c>
      <c r="U734" s="60"/>
      <c r="V734" s="58"/>
      <c r="W734" s="62">
        <f t="shared" si="2295"/>
        <v>1</v>
      </c>
      <c r="X734" s="60"/>
      <c r="Y734" s="58"/>
      <c r="Z734" s="94">
        <f t="shared" si="2320"/>
        <v>1</v>
      </c>
      <c r="AA734" s="60"/>
      <c r="AB734" s="58"/>
      <c r="AC734" s="62">
        <f t="shared" si="2321"/>
        <v>1</v>
      </c>
      <c r="AD734" s="57"/>
      <c r="AE734" s="58"/>
      <c r="AF734" s="165">
        <f t="shared" si="2322"/>
        <v>1</v>
      </c>
      <c r="AG734" s="60"/>
      <c r="AH734" s="58"/>
      <c r="AI734" s="62">
        <f t="shared" si="2323"/>
        <v>1</v>
      </c>
      <c r="AJ734" s="60"/>
      <c r="AK734" s="58"/>
      <c r="AL734" s="62">
        <f t="shared" si="2324"/>
        <v>1</v>
      </c>
      <c r="AM734" s="60"/>
      <c r="AN734" s="58"/>
      <c r="AO734" s="62">
        <f t="shared" si="2325"/>
        <v>1</v>
      </c>
      <c r="AP734" s="60"/>
      <c r="AQ734" s="58"/>
      <c r="AR734" s="62">
        <f t="shared" si="2326"/>
        <v>1</v>
      </c>
      <c r="AS734" s="60"/>
      <c r="AT734" s="58"/>
      <c r="AU734" s="62">
        <f t="shared" si="2296"/>
        <v>1</v>
      </c>
      <c r="AV734" s="96">
        <f>SUM(L734+O734+R734+U734+X734+AA734+AD734+AG734+AJ734+AM734+AP734+AS734)</f>
        <v>0</v>
      </c>
      <c r="AW734" s="83">
        <f t="shared" si="2316"/>
        <v>0</v>
      </c>
      <c r="AX734" s="98">
        <f t="shared" si="2298"/>
        <v>0</v>
      </c>
      <c r="AY734" s="99" t="e">
        <f t="shared" si="2299"/>
        <v>#DIV/0!</v>
      </c>
      <c r="AZ734" s="100">
        <f t="shared" si="2300"/>
        <v>0</v>
      </c>
      <c r="BA734" s="101">
        <v>1</v>
      </c>
      <c r="BB734" s="102">
        <v>0</v>
      </c>
      <c r="BC734" s="84">
        <f t="shared" si="2301"/>
        <v>1</v>
      </c>
      <c r="BD734" s="83">
        <f t="shared" si="2302"/>
        <v>1</v>
      </c>
      <c r="BE734" s="85">
        <v>2</v>
      </c>
      <c r="BF734" s="86">
        <v>45681.571631944447</v>
      </c>
      <c r="BG734" s="72" t="e">
        <f t="shared" si="2250"/>
        <v>#REF!</v>
      </c>
      <c r="BH734" s="103" t="e">
        <f t="shared" si="2303"/>
        <v>#REF!</v>
      </c>
      <c r="BI734" s="80" t="e">
        <f t="shared" si="2304"/>
        <v>#REF!</v>
      </c>
      <c r="BJ734" s="238">
        <v>2810</v>
      </c>
    </row>
    <row r="735" spans="1:62" ht="13">
      <c r="A735" s="161"/>
      <c r="B735" s="160"/>
      <c r="C735" s="51">
        <v>733</v>
      </c>
      <c r="D735" s="149" t="s">
        <v>1527</v>
      </c>
      <c r="E735" s="149">
        <v>3</v>
      </c>
      <c r="F735" s="88" t="s">
        <v>1407</v>
      </c>
      <c r="G735" s="89" t="s">
        <v>1199</v>
      </c>
      <c r="H735" s="81" t="s">
        <v>1208</v>
      </c>
      <c r="I735" s="80" t="s">
        <v>458</v>
      </c>
      <c r="J735" s="82">
        <f t="shared" si="2317"/>
        <v>1</v>
      </c>
      <c r="K735" s="80">
        <v>1</v>
      </c>
      <c r="L735" s="57"/>
      <c r="M735" s="58"/>
      <c r="N735" s="59">
        <f t="shared" si="2318"/>
        <v>1</v>
      </c>
      <c r="O735" s="60"/>
      <c r="P735" s="58"/>
      <c r="Q735" s="59">
        <f t="shared" si="2294"/>
        <v>1</v>
      </c>
      <c r="R735" s="60"/>
      <c r="S735" s="58"/>
      <c r="T735" s="61">
        <f t="shared" si="2319"/>
        <v>1</v>
      </c>
      <c r="U735" s="60"/>
      <c r="V735" s="58"/>
      <c r="W735" s="59">
        <f t="shared" si="2295"/>
        <v>1</v>
      </c>
      <c r="X735" s="60"/>
      <c r="Y735" s="58"/>
      <c r="Z735" s="61">
        <f t="shared" si="2320"/>
        <v>1</v>
      </c>
      <c r="AA735" s="60"/>
      <c r="AB735" s="58"/>
      <c r="AC735" s="59">
        <f t="shared" si="2321"/>
        <v>1</v>
      </c>
      <c r="AD735" s="57"/>
      <c r="AE735" s="58"/>
      <c r="AF735" s="243">
        <f t="shared" si="2322"/>
        <v>1</v>
      </c>
      <c r="AG735" s="60"/>
      <c r="AH735" s="58"/>
      <c r="AI735" s="62">
        <f t="shared" si="2323"/>
        <v>1</v>
      </c>
      <c r="AJ735" s="60"/>
      <c r="AK735" s="58"/>
      <c r="AL735" s="62">
        <f t="shared" si="2324"/>
        <v>1</v>
      </c>
      <c r="AM735" s="60"/>
      <c r="AN735" s="58"/>
      <c r="AO735" s="62">
        <f t="shared" si="2325"/>
        <v>1</v>
      </c>
      <c r="AP735" s="60"/>
      <c r="AQ735" s="58"/>
      <c r="AR735" s="62">
        <f t="shared" si="2326"/>
        <v>1</v>
      </c>
      <c r="AS735" s="60"/>
      <c r="AT735" s="58"/>
      <c r="AU735" s="62">
        <f t="shared" si="2296"/>
        <v>1</v>
      </c>
      <c r="AV735" s="83">
        <f>SUM(L735+O735+R735+U735+X735+AA735+AD735+AG735+AJ735+AM735+AP735+AS735)</f>
        <v>0</v>
      </c>
      <c r="AW735" s="83">
        <f t="shared" si="2316"/>
        <v>0</v>
      </c>
      <c r="AX735" s="64">
        <f t="shared" si="2298"/>
        <v>0</v>
      </c>
      <c r="AY735" s="65" t="e">
        <f t="shared" si="2299"/>
        <v>#DIV/0!</v>
      </c>
      <c r="AZ735" s="66">
        <f t="shared" si="2300"/>
        <v>0</v>
      </c>
      <c r="BA735" s="67">
        <f>MAX(0, Table176252626[[#This Row],[Column6]])</f>
        <v>1</v>
      </c>
      <c r="BB735" s="68">
        <v>0</v>
      </c>
      <c r="BC735" s="84">
        <f t="shared" si="2301"/>
        <v>1</v>
      </c>
      <c r="BD735" s="83">
        <f t="shared" si="2302"/>
        <v>1</v>
      </c>
      <c r="BE735" s="85">
        <v>2</v>
      </c>
      <c r="BF735" s="86">
        <v>44897.597592592596</v>
      </c>
      <c r="BG735" s="72" t="e">
        <f t="shared" si="2250"/>
        <v>#REF!</v>
      </c>
      <c r="BH735" s="87" t="e">
        <f t="shared" si="2303"/>
        <v>#REF!</v>
      </c>
      <c r="BI735" s="80" t="e">
        <f t="shared" si="2304"/>
        <v>#REF!</v>
      </c>
      <c r="BJ735" s="238">
        <v>10599</v>
      </c>
    </row>
    <row r="736" spans="1:62" ht="13">
      <c r="A736" s="161"/>
      <c r="B736" s="162"/>
      <c r="C736" s="77">
        <v>734</v>
      </c>
      <c r="D736" s="149" t="s">
        <v>1527</v>
      </c>
      <c r="E736" s="149">
        <v>3</v>
      </c>
      <c r="F736" s="120" t="s">
        <v>1410</v>
      </c>
      <c r="G736" s="89" t="s">
        <v>1201</v>
      </c>
      <c r="H736" s="81" t="s">
        <v>1208</v>
      </c>
      <c r="I736" s="80" t="s">
        <v>2</v>
      </c>
      <c r="J736" s="82">
        <f t="shared" si="2317"/>
        <v>1</v>
      </c>
      <c r="K736" s="80">
        <v>0</v>
      </c>
      <c r="L736" s="57"/>
      <c r="M736" s="58"/>
      <c r="N736" s="59">
        <f t="shared" si="2318"/>
        <v>0</v>
      </c>
      <c r="O736" s="60"/>
      <c r="P736" s="58"/>
      <c r="Q736" s="59">
        <f t="shared" si="2294"/>
        <v>0</v>
      </c>
      <c r="R736" s="60"/>
      <c r="S736" s="58"/>
      <c r="T736" s="61">
        <f t="shared" si="2319"/>
        <v>0</v>
      </c>
      <c r="U736" s="60"/>
      <c r="V736" s="58"/>
      <c r="W736" s="59">
        <f t="shared" si="2295"/>
        <v>0</v>
      </c>
      <c r="X736" s="60"/>
      <c r="Y736" s="58"/>
      <c r="Z736" s="61">
        <f t="shared" si="2320"/>
        <v>0</v>
      </c>
      <c r="AA736" s="60"/>
      <c r="AB736" s="58"/>
      <c r="AC736" s="59">
        <f t="shared" si="2321"/>
        <v>0</v>
      </c>
      <c r="AD736" s="57"/>
      <c r="AE736" s="58"/>
      <c r="AF736" s="243">
        <f t="shared" si="2322"/>
        <v>0</v>
      </c>
      <c r="AG736" s="60">
        <v>1</v>
      </c>
      <c r="AH736" s="58"/>
      <c r="AI736" s="62">
        <f t="shared" si="2323"/>
        <v>1</v>
      </c>
      <c r="AJ736" s="60"/>
      <c r="AK736" s="58"/>
      <c r="AL736" s="62">
        <f t="shared" si="2324"/>
        <v>1</v>
      </c>
      <c r="AM736" s="60"/>
      <c r="AN736" s="58"/>
      <c r="AO736" s="62">
        <f t="shared" si="2325"/>
        <v>1</v>
      </c>
      <c r="AP736" s="60"/>
      <c r="AQ736" s="58"/>
      <c r="AR736" s="62">
        <f t="shared" si="2326"/>
        <v>1</v>
      </c>
      <c r="AS736" s="60"/>
      <c r="AT736" s="58"/>
      <c r="AU736" s="62">
        <f t="shared" si="2296"/>
        <v>1</v>
      </c>
      <c r="AV736" s="83">
        <f t="shared" ref="AV736" si="2327">SUM(L736+O736+R736+U736+X736+AA736+AD736+AG736+AJ736+AM736+AP736+AS736)</f>
        <v>1</v>
      </c>
      <c r="AW736" s="83">
        <f t="shared" si="2316"/>
        <v>0</v>
      </c>
      <c r="AX736" s="64">
        <f t="shared" si="2298"/>
        <v>0</v>
      </c>
      <c r="AY736" s="65" t="e">
        <f t="shared" si="2299"/>
        <v>#DIV/0!</v>
      </c>
      <c r="AZ736" s="66">
        <f t="shared" si="2300"/>
        <v>0</v>
      </c>
      <c r="BA736" s="67">
        <f>MAX(0, Table176252626[[#This Row],[Column6]])</f>
        <v>1</v>
      </c>
      <c r="BB736" s="68">
        <v>0</v>
      </c>
      <c r="BC736" s="84">
        <f t="shared" si="2301"/>
        <v>1</v>
      </c>
      <c r="BD736" s="83">
        <f t="shared" si="2302"/>
        <v>1</v>
      </c>
      <c r="BE736" s="85">
        <v>2</v>
      </c>
      <c r="BF736" s="86"/>
      <c r="BG736" s="72" t="e">
        <f t="shared" si="2250"/>
        <v>#REF!</v>
      </c>
      <c r="BH736" s="87" t="e">
        <f t="shared" si="2303"/>
        <v>#REF!</v>
      </c>
      <c r="BI736" s="80" t="e">
        <f t="shared" si="2304"/>
        <v>#REF!</v>
      </c>
      <c r="BJ736" s="238">
        <v>14050</v>
      </c>
    </row>
    <row r="737" spans="1:62" ht="13">
      <c r="A737" s="159"/>
      <c r="B737" s="163"/>
      <c r="C737" s="77">
        <v>735</v>
      </c>
      <c r="D737" s="149" t="s">
        <v>1527</v>
      </c>
      <c r="E737" s="149">
        <v>3</v>
      </c>
      <c r="F737" s="88" t="s">
        <v>1195</v>
      </c>
      <c r="G737" s="89" t="s">
        <v>1225</v>
      </c>
      <c r="H737" s="81" t="s">
        <v>1208</v>
      </c>
      <c r="I737" s="80" t="s">
        <v>458</v>
      </c>
      <c r="J737" s="82">
        <f t="shared" si="2317"/>
        <v>1</v>
      </c>
      <c r="K737" s="80">
        <v>1</v>
      </c>
      <c r="L737" s="57"/>
      <c r="M737" s="58"/>
      <c r="N737" s="59">
        <f t="shared" si="2318"/>
        <v>1</v>
      </c>
      <c r="O737" s="60"/>
      <c r="P737" s="58"/>
      <c r="Q737" s="59">
        <f t="shared" ref="Q737" si="2328">SUM(N737+O737-P737)</f>
        <v>1</v>
      </c>
      <c r="R737" s="60"/>
      <c r="S737" s="58"/>
      <c r="T737" s="61">
        <f t="shared" si="2319"/>
        <v>1</v>
      </c>
      <c r="U737" s="60"/>
      <c r="V737" s="58"/>
      <c r="W737" s="59">
        <f t="shared" ref="W737" si="2329">SUM(T737+U737-V737)</f>
        <v>1</v>
      </c>
      <c r="X737" s="60"/>
      <c r="Y737" s="58"/>
      <c r="Z737" s="61">
        <f t="shared" si="2320"/>
        <v>1</v>
      </c>
      <c r="AA737" s="60"/>
      <c r="AB737" s="58"/>
      <c r="AC737" s="59">
        <f t="shared" si="2321"/>
        <v>1</v>
      </c>
      <c r="AD737" s="57"/>
      <c r="AE737" s="58"/>
      <c r="AF737" s="243">
        <f t="shared" si="2322"/>
        <v>1</v>
      </c>
      <c r="AG737" s="60"/>
      <c r="AH737" s="58"/>
      <c r="AI737" s="62">
        <f t="shared" si="2323"/>
        <v>1</v>
      </c>
      <c r="AJ737" s="60"/>
      <c r="AK737" s="58"/>
      <c r="AL737" s="62">
        <f t="shared" si="2324"/>
        <v>1</v>
      </c>
      <c r="AM737" s="60"/>
      <c r="AN737" s="58"/>
      <c r="AO737" s="62">
        <f t="shared" si="2325"/>
        <v>1</v>
      </c>
      <c r="AP737" s="60"/>
      <c r="AQ737" s="58"/>
      <c r="AR737" s="62">
        <f t="shared" si="2326"/>
        <v>1</v>
      </c>
      <c r="AS737" s="60"/>
      <c r="AT737" s="58"/>
      <c r="AU737" s="62">
        <f t="shared" ref="AU737" si="2330">SUM(AR737+AS737-AT737)</f>
        <v>1</v>
      </c>
      <c r="AV737" s="83">
        <f>SUM(L737+O737+R737+U737+X737+AA737+AD737+AG737+AJ737+AM737+AP737+AS737)</f>
        <v>0</v>
      </c>
      <c r="AW737" s="83">
        <f t="shared" si="2316"/>
        <v>0</v>
      </c>
      <c r="AX737" s="64">
        <f t="shared" ref="AX737" si="2331">SUM(M737,P737,S737,V737,Y737,AB737,AE737,AH737,AK737,AN737,AQ737,AT737)</f>
        <v>0</v>
      </c>
      <c r="AY737" s="65" t="e">
        <f t="shared" si="2299"/>
        <v>#DIV/0!</v>
      </c>
      <c r="AZ737" s="66">
        <f t="shared" si="2300"/>
        <v>0</v>
      </c>
      <c r="BA737" s="67">
        <f>MAX(0, Table176252626[[#This Row],[Column6]])</f>
        <v>1</v>
      </c>
      <c r="BB737" s="68">
        <v>0</v>
      </c>
      <c r="BC737" s="84">
        <f t="shared" si="2301"/>
        <v>1</v>
      </c>
      <c r="BD737" s="83">
        <f t="shared" si="2302"/>
        <v>1</v>
      </c>
      <c r="BE737" s="85">
        <v>2</v>
      </c>
      <c r="BF737" s="86">
        <v>44897.600312499999</v>
      </c>
      <c r="BG737" s="72" t="e">
        <f t="shared" si="2250"/>
        <v>#REF!</v>
      </c>
      <c r="BH737" s="107" t="e">
        <f t="shared" si="2303"/>
        <v>#REF!</v>
      </c>
      <c r="BI737" s="80" t="e">
        <f t="shared" si="2304"/>
        <v>#REF!</v>
      </c>
      <c r="BJ737" s="238">
        <v>2530</v>
      </c>
    </row>
    <row r="738" spans="1:62" ht="13">
      <c r="A738" s="161"/>
      <c r="B738" s="162"/>
      <c r="C738" s="51">
        <v>736</v>
      </c>
      <c r="D738" s="149" t="s">
        <v>1527</v>
      </c>
      <c r="E738" s="149">
        <v>3</v>
      </c>
      <c r="F738" s="88" t="s">
        <v>1202</v>
      </c>
      <c r="G738" s="89" t="s">
        <v>1203</v>
      </c>
      <c r="H738" s="81" t="s">
        <v>1208</v>
      </c>
      <c r="I738" s="80" t="s">
        <v>458</v>
      </c>
      <c r="J738" s="82">
        <f>AU738</f>
        <v>1</v>
      </c>
      <c r="K738" s="80">
        <v>1</v>
      </c>
      <c r="L738" s="57"/>
      <c r="M738" s="58"/>
      <c r="N738" s="59">
        <f>SUM(K738+L738-M738)</f>
        <v>1</v>
      </c>
      <c r="O738" s="60"/>
      <c r="P738" s="58"/>
      <c r="Q738" s="59">
        <f>SUM(N738+O738-P738)</f>
        <v>1</v>
      </c>
      <c r="R738" s="60"/>
      <c r="S738" s="58"/>
      <c r="T738" s="61">
        <f>SUM(Q738+R738-S738)</f>
        <v>1</v>
      </c>
      <c r="U738" s="60"/>
      <c r="V738" s="58"/>
      <c r="W738" s="59">
        <f>SUM(T738+U738-V738)</f>
        <v>1</v>
      </c>
      <c r="X738" s="60"/>
      <c r="Y738" s="58"/>
      <c r="Z738" s="61">
        <f>SUM(W738+X738-Y738)</f>
        <v>1</v>
      </c>
      <c r="AA738" s="60"/>
      <c r="AB738" s="58"/>
      <c r="AC738" s="59">
        <f>SUM(Z738+AA738-AB738)</f>
        <v>1</v>
      </c>
      <c r="AD738" s="57"/>
      <c r="AE738" s="58"/>
      <c r="AF738" s="243">
        <f>SUM(AC738+AD738-AE738)</f>
        <v>1</v>
      </c>
      <c r="AG738" s="60"/>
      <c r="AH738" s="58"/>
      <c r="AI738" s="62">
        <f>SUM(AF738+AG738-AH738)</f>
        <v>1</v>
      </c>
      <c r="AJ738" s="60"/>
      <c r="AK738" s="58"/>
      <c r="AL738" s="62">
        <f>SUM(AI738+AJ738-AK738)</f>
        <v>1</v>
      </c>
      <c r="AM738" s="60"/>
      <c r="AN738" s="58"/>
      <c r="AO738" s="62">
        <f>SUM(AL738+AM738-AN738)</f>
        <v>1</v>
      </c>
      <c r="AP738" s="60"/>
      <c r="AQ738" s="58"/>
      <c r="AR738" s="62">
        <f>SUM(AO738+AP738-AQ738)</f>
        <v>1</v>
      </c>
      <c r="AS738" s="60"/>
      <c r="AT738" s="58"/>
      <c r="AU738" s="62">
        <f>SUM(AR738+AS738-AT738)</f>
        <v>1</v>
      </c>
      <c r="AV738" s="83">
        <f>SUM(L738+O738+R738+U738+X738+AA738+AD738+AG738+AJ738+AM738+AP738+AS738)</f>
        <v>0</v>
      </c>
      <c r="AW738" s="83">
        <f>SUM(M738+P738+S738+V738+Y738+AB738+AE738+AH738+AK738+AN738+AQ738+AT738)</f>
        <v>0</v>
      </c>
      <c r="AX738" s="64">
        <f>SUM(M738,P738,S738,V738,Y738,AB738,AE738,AH738,AK738,AN738,AQ738,AT738)</f>
        <v>0</v>
      </c>
      <c r="AY738" s="65" t="e">
        <f>AVERAGE(M738,P738,S738,V738,Y738,AB738,AE738,AH738,AK738,AN738,AQ738,AT738)</f>
        <v>#DIV/0!</v>
      </c>
      <c r="AZ738" s="66">
        <f>COUNT(M738,P738,S738,V738,Y738,AB738,AE738,AH738,AK738,AN738,AQ738,AT738)</f>
        <v>0</v>
      </c>
      <c r="BA738" s="67">
        <f>MAX(0, Table176252626[[#This Row],[Column6]])</f>
        <v>1</v>
      </c>
      <c r="BB738" s="68">
        <v>0</v>
      </c>
      <c r="BC738" s="84">
        <f>J738</f>
        <v>1</v>
      </c>
      <c r="BD738" s="83">
        <f t="shared" si="2302"/>
        <v>1</v>
      </c>
      <c r="BE738" s="85">
        <v>2</v>
      </c>
      <c r="BF738" s="86">
        <v>44897.597592592596</v>
      </c>
      <c r="BG738" s="72" t="e">
        <f t="shared" si="2250"/>
        <v>#REF!</v>
      </c>
      <c r="BH738" s="87" t="e">
        <f>BG738-BF738</f>
        <v>#REF!</v>
      </c>
      <c r="BI738" s="80" t="e">
        <f t="shared" si="2304"/>
        <v>#REF!</v>
      </c>
      <c r="BJ738" s="238">
        <v>13177</v>
      </c>
    </row>
    <row r="739" spans="1:62" ht="13">
      <c r="A739" s="161"/>
      <c r="B739" s="160"/>
      <c r="C739" s="51">
        <v>737</v>
      </c>
      <c r="D739" s="149" t="s">
        <v>1527</v>
      </c>
      <c r="E739" s="149">
        <v>3</v>
      </c>
      <c r="F739" s="88" t="s">
        <v>1411</v>
      </c>
      <c r="G739" s="89" t="s">
        <v>1191</v>
      </c>
      <c r="H739" s="81" t="s">
        <v>1208</v>
      </c>
      <c r="I739" s="80" t="s">
        <v>458</v>
      </c>
      <c r="J739" s="82">
        <f t="shared" si="2317"/>
        <v>1</v>
      </c>
      <c r="K739" s="80">
        <v>1</v>
      </c>
      <c r="L739" s="57"/>
      <c r="M739" s="58"/>
      <c r="N739" s="59">
        <f t="shared" si="2318"/>
        <v>1</v>
      </c>
      <c r="O739" s="60"/>
      <c r="P739" s="58"/>
      <c r="Q739" s="59">
        <f t="shared" ref="Q739:Q746" si="2332">SUM(N739+O739-P739)</f>
        <v>1</v>
      </c>
      <c r="R739" s="60"/>
      <c r="S739" s="58"/>
      <c r="T739" s="61">
        <f t="shared" si="2319"/>
        <v>1</v>
      </c>
      <c r="U739" s="60"/>
      <c r="V739" s="58"/>
      <c r="W739" s="59">
        <f t="shared" ref="W739:W746" si="2333">SUM(T739+U739-V739)</f>
        <v>1</v>
      </c>
      <c r="X739" s="60"/>
      <c r="Y739" s="58"/>
      <c r="Z739" s="61">
        <f t="shared" si="2320"/>
        <v>1</v>
      </c>
      <c r="AA739" s="60"/>
      <c r="AB739" s="58"/>
      <c r="AC739" s="59">
        <f t="shared" si="2321"/>
        <v>1</v>
      </c>
      <c r="AD739" s="57"/>
      <c r="AE739" s="58"/>
      <c r="AF739" s="243">
        <f t="shared" si="2322"/>
        <v>1</v>
      </c>
      <c r="AG739" s="60"/>
      <c r="AH739" s="58"/>
      <c r="AI739" s="62">
        <f t="shared" si="2323"/>
        <v>1</v>
      </c>
      <c r="AJ739" s="60"/>
      <c r="AK739" s="58"/>
      <c r="AL739" s="62">
        <f t="shared" si="2324"/>
        <v>1</v>
      </c>
      <c r="AM739" s="60"/>
      <c r="AN739" s="58"/>
      <c r="AO739" s="62">
        <f t="shared" si="2325"/>
        <v>1</v>
      </c>
      <c r="AP739" s="60"/>
      <c r="AQ739" s="58"/>
      <c r="AR739" s="62">
        <f t="shared" si="2326"/>
        <v>1</v>
      </c>
      <c r="AS739" s="60"/>
      <c r="AT739" s="58"/>
      <c r="AU739" s="62">
        <f t="shared" ref="AU739:AU746" si="2334">SUM(AR739+AS739-AT739)</f>
        <v>1</v>
      </c>
      <c r="AV739" s="83">
        <f>SUM(L739+O739+R739+U739+X739+AA739+AD739+AG739+AJ739+AM739+AP739+AS739)</f>
        <v>0</v>
      </c>
      <c r="AW739" s="83">
        <f t="shared" si="2316"/>
        <v>0</v>
      </c>
      <c r="AX739" s="64">
        <f t="shared" ref="AX739:AX746" si="2335">SUM(M739,P739,S739,V739,Y739,AB739,AE739,AH739,AK739,AN739,AQ739,AT739)</f>
        <v>0</v>
      </c>
      <c r="AY739" s="65" t="e">
        <f t="shared" si="2299"/>
        <v>#DIV/0!</v>
      </c>
      <c r="AZ739" s="66">
        <f t="shared" si="2300"/>
        <v>0</v>
      </c>
      <c r="BA739" s="67">
        <f>MAX(0, Table176252626[[#This Row],[Column6]])</f>
        <v>1</v>
      </c>
      <c r="BB739" s="68">
        <v>0</v>
      </c>
      <c r="BC739" s="84">
        <f t="shared" si="2301"/>
        <v>1</v>
      </c>
      <c r="BD739" s="83">
        <f t="shared" si="2302"/>
        <v>1</v>
      </c>
      <c r="BE739" s="85">
        <v>2</v>
      </c>
      <c r="BF739" s="86">
        <v>44897.603263888886</v>
      </c>
      <c r="BG739" s="72" t="e">
        <f t="shared" si="2250"/>
        <v>#REF!</v>
      </c>
      <c r="BH739" s="107" t="e">
        <f t="shared" si="2303"/>
        <v>#REF!</v>
      </c>
      <c r="BI739" s="80" t="e">
        <f t="shared" si="2304"/>
        <v>#REF!</v>
      </c>
      <c r="BJ739" s="238">
        <v>6628</v>
      </c>
    </row>
    <row r="740" spans="1:62" ht="13">
      <c r="A740" s="161"/>
      <c r="B740" s="162"/>
      <c r="C740" s="51">
        <v>738</v>
      </c>
      <c r="D740" s="149" t="s">
        <v>1527</v>
      </c>
      <c r="E740" s="149">
        <v>3</v>
      </c>
      <c r="F740" s="80" t="s">
        <v>1235</v>
      </c>
      <c r="G740" s="81" t="s">
        <v>1236</v>
      </c>
      <c r="H740" s="81" t="s">
        <v>1208</v>
      </c>
      <c r="I740" s="80" t="s">
        <v>458</v>
      </c>
      <c r="J740" s="82">
        <f t="shared" si="2317"/>
        <v>1</v>
      </c>
      <c r="K740" s="80">
        <v>1</v>
      </c>
      <c r="L740" s="58"/>
      <c r="M740" s="58"/>
      <c r="N740" s="104">
        <f t="shared" si="2318"/>
        <v>1</v>
      </c>
      <c r="O740" s="58"/>
      <c r="P740" s="58"/>
      <c r="Q740" s="104">
        <f t="shared" si="2332"/>
        <v>1</v>
      </c>
      <c r="R740" s="58"/>
      <c r="S740" s="58"/>
      <c r="T740" s="136">
        <f t="shared" si="2319"/>
        <v>1</v>
      </c>
      <c r="U740" s="58"/>
      <c r="V740" s="58"/>
      <c r="W740" s="104">
        <f t="shared" si="2333"/>
        <v>1</v>
      </c>
      <c r="X740" s="58"/>
      <c r="Y740" s="58"/>
      <c r="Z740" s="136">
        <f t="shared" si="2320"/>
        <v>1</v>
      </c>
      <c r="AA740" s="58"/>
      <c r="AB740" s="58"/>
      <c r="AC740" s="104">
        <f t="shared" si="2321"/>
        <v>1</v>
      </c>
      <c r="AD740" s="58"/>
      <c r="AE740" s="58"/>
      <c r="AF740" s="104">
        <f t="shared" si="2322"/>
        <v>1</v>
      </c>
      <c r="AG740" s="58"/>
      <c r="AH740" s="58"/>
      <c r="AI740" s="104">
        <f t="shared" si="2323"/>
        <v>1</v>
      </c>
      <c r="AJ740" s="58"/>
      <c r="AK740" s="58"/>
      <c r="AL740" s="104">
        <f t="shared" si="2324"/>
        <v>1</v>
      </c>
      <c r="AM740" s="58"/>
      <c r="AN740" s="58"/>
      <c r="AO740" s="104">
        <f t="shared" si="2325"/>
        <v>1</v>
      </c>
      <c r="AP740" s="58"/>
      <c r="AQ740" s="58"/>
      <c r="AR740" s="104">
        <f t="shared" si="2326"/>
        <v>1</v>
      </c>
      <c r="AS740" s="58"/>
      <c r="AT740" s="58"/>
      <c r="AU740" s="165">
        <f t="shared" si="2334"/>
        <v>1</v>
      </c>
      <c r="AV740" s="151">
        <f t="shared" ref="AV740" si="2336">SUM(L740+O740+R740+U740+X740+AA740+AD740+AG740+AJ740+AM740+AP740+AS740)</f>
        <v>0</v>
      </c>
      <c r="AW740" s="83">
        <f t="shared" si="2316"/>
        <v>0</v>
      </c>
      <c r="AX740" s="64">
        <f t="shared" si="2335"/>
        <v>0</v>
      </c>
      <c r="AY740" s="65" t="e">
        <f t="shared" si="2299"/>
        <v>#DIV/0!</v>
      </c>
      <c r="AZ740" s="66">
        <f t="shared" si="2300"/>
        <v>0</v>
      </c>
      <c r="BA740" s="67">
        <f>MAX(0, Table176252626[[#This Row],[Column6]])</f>
        <v>1</v>
      </c>
      <c r="BB740" s="68">
        <v>0</v>
      </c>
      <c r="BC740" s="84">
        <f t="shared" si="2301"/>
        <v>1</v>
      </c>
      <c r="BD740" s="83">
        <f t="shared" si="2302"/>
        <v>1</v>
      </c>
      <c r="BE740" s="85">
        <v>2</v>
      </c>
      <c r="BF740" s="86">
        <v>45667.435914351852</v>
      </c>
      <c r="BG740" s="72" t="e">
        <f t="shared" si="2250"/>
        <v>#REF!</v>
      </c>
      <c r="BH740" s="87" t="e">
        <f t="shared" si="2303"/>
        <v>#REF!</v>
      </c>
      <c r="BI740" s="80" t="e">
        <f t="shared" si="2304"/>
        <v>#REF!</v>
      </c>
      <c r="BJ740" s="238">
        <v>14260</v>
      </c>
    </row>
    <row r="741" spans="1:62" ht="13">
      <c r="A741" s="161"/>
      <c r="B741" s="162"/>
      <c r="C741" s="51">
        <v>739</v>
      </c>
      <c r="D741" s="149" t="s">
        <v>1527</v>
      </c>
      <c r="E741" s="149">
        <v>3</v>
      </c>
      <c r="F741" s="88" t="s">
        <v>1497</v>
      </c>
      <c r="G741" s="89" t="s">
        <v>1498</v>
      </c>
      <c r="H741" s="89" t="s">
        <v>292</v>
      </c>
      <c r="I741" s="80" t="s">
        <v>458</v>
      </c>
      <c r="J741" s="93">
        <f t="shared" si="2317"/>
        <v>1</v>
      </c>
      <c r="K741" s="88">
        <v>1</v>
      </c>
      <c r="L741" s="58"/>
      <c r="M741" s="58"/>
      <c r="N741" s="62">
        <f t="shared" si="2318"/>
        <v>1</v>
      </c>
      <c r="O741" s="60"/>
      <c r="P741" s="58"/>
      <c r="Q741" s="62">
        <f t="shared" si="2332"/>
        <v>1</v>
      </c>
      <c r="R741" s="60"/>
      <c r="S741" s="58"/>
      <c r="T741" s="94">
        <f t="shared" si="2319"/>
        <v>1</v>
      </c>
      <c r="U741" s="60"/>
      <c r="V741" s="58"/>
      <c r="W741" s="62">
        <f t="shared" si="2333"/>
        <v>1</v>
      </c>
      <c r="X741" s="60"/>
      <c r="Y741" s="58">
        <v>1</v>
      </c>
      <c r="Z741" s="94">
        <f t="shared" si="2320"/>
        <v>0</v>
      </c>
      <c r="AA741" s="60">
        <v>1</v>
      </c>
      <c r="AB741" s="58"/>
      <c r="AC741" s="62">
        <f t="shared" si="2321"/>
        <v>1</v>
      </c>
      <c r="AD741" s="57"/>
      <c r="AE741" s="58"/>
      <c r="AF741" s="165">
        <f t="shared" si="2322"/>
        <v>1</v>
      </c>
      <c r="AG741" s="60"/>
      <c r="AH741" s="58"/>
      <c r="AI741" s="62">
        <f t="shared" si="2323"/>
        <v>1</v>
      </c>
      <c r="AJ741" s="60"/>
      <c r="AK741" s="58"/>
      <c r="AL741" s="62">
        <f t="shared" si="2324"/>
        <v>1</v>
      </c>
      <c r="AM741" s="60"/>
      <c r="AN741" s="58"/>
      <c r="AO741" s="62">
        <f t="shared" si="2325"/>
        <v>1</v>
      </c>
      <c r="AP741" s="60"/>
      <c r="AQ741" s="58"/>
      <c r="AR741" s="62">
        <f t="shared" si="2326"/>
        <v>1</v>
      </c>
      <c r="AS741" s="60"/>
      <c r="AT741" s="58"/>
      <c r="AU741" s="62">
        <f t="shared" si="2334"/>
        <v>1</v>
      </c>
      <c r="AV741" s="96">
        <f>SUM(L741+O741+R741+U741+X741+AA741+AD741+AG741+AJ741+AM741+AP741+AS741)</f>
        <v>1</v>
      </c>
      <c r="AW741" s="83">
        <f t="shared" si="2316"/>
        <v>1</v>
      </c>
      <c r="AX741" s="98">
        <f t="shared" si="2335"/>
        <v>1</v>
      </c>
      <c r="AY741" s="99">
        <f t="shared" si="2299"/>
        <v>1</v>
      </c>
      <c r="AZ741" s="100">
        <f t="shared" si="2300"/>
        <v>1</v>
      </c>
      <c r="BA741" s="101">
        <v>1</v>
      </c>
      <c r="BB741" s="102">
        <v>0</v>
      </c>
      <c r="BC741" s="84">
        <f t="shared" si="2301"/>
        <v>1</v>
      </c>
      <c r="BD741" s="83">
        <f t="shared" si="2302"/>
        <v>1</v>
      </c>
      <c r="BE741" s="85">
        <v>2</v>
      </c>
      <c r="BF741" s="86">
        <v>46174</v>
      </c>
      <c r="BG741" s="72" t="e">
        <f t="shared" si="2250"/>
        <v>#REF!</v>
      </c>
      <c r="BH741" s="103" t="e">
        <f t="shared" si="2303"/>
        <v>#REF!</v>
      </c>
      <c r="BI741" s="80" t="e">
        <f t="shared" si="2304"/>
        <v>#REF!</v>
      </c>
      <c r="BJ741" s="238">
        <v>4207</v>
      </c>
    </row>
    <row r="742" spans="1:62" ht="13">
      <c r="A742" s="161"/>
      <c r="B742" s="160"/>
      <c r="C742" s="77">
        <v>740</v>
      </c>
      <c r="D742" s="149" t="s">
        <v>1527</v>
      </c>
      <c r="E742" s="149">
        <v>3</v>
      </c>
      <c r="F742" s="88" t="s">
        <v>1206</v>
      </c>
      <c r="G742" s="89" t="s">
        <v>1207</v>
      </c>
      <c r="H742" s="81" t="s">
        <v>1208</v>
      </c>
      <c r="I742" s="80" t="s">
        <v>458</v>
      </c>
      <c r="J742" s="82">
        <f t="shared" si="2317"/>
        <v>2</v>
      </c>
      <c r="K742" s="80">
        <v>1</v>
      </c>
      <c r="L742" s="57">
        <v>1</v>
      </c>
      <c r="M742" s="58"/>
      <c r="N742" s="59">
        <f t="shared" si="2318"/>
        <v>2</v>
      </c>
      <c r="O742" s="60"/>
      <c r="P742" s="58"/>
      <c r="Q742" s="59">
        <f t="shared" si="2332"/>
        <v>2</v>
      </c>
      <c r="R742" s="60"/>
      <c r="S742" s="58"/>
      <c r="T742" s="61">
        <f t="shared" si="2319"/>
        <v>2</v>
      </c>
      <c r="U742" s="60"/>
      <c r="V742" s="58"/>
      <c r="W742" s="59">
        <f t="shared" si="2333"/>
        <v>2</v>
      </c>
      <c r="X742" s="60"/>
      <c r="Y742" s="58"/>
      <c r="Z742" s="61">
        <f t="shared" si="2320"/>
        <v>2</v>
      </c>
      <c r="AA742" s="60"/>
      <c r="AB742" s="58"/>
      <c r="AC742" s="59">
        <f t="shared" si="2321"/>
        <v>2</v>
      </c>
      <c r="AD742" s="57"/>
      <c r="AE742" s="58"/>
      <c r="AF742" s="243">
        <f t="shared" si="2322"/>
        <v>2</v>
      </c>
      <c r="AG742" s="60"/>
      <c r="AH742" s="58"/>
      <c r="AI742" s="62">
        <f t="shared" si="2323"/>
        <v>2</v>
      </c>
      <c r="AJ742" s="60"/>
      <c r="AK742" s="58"/>
      <c r="AL742" s="62">
        <f t="shared" si="2324"/>
        <v>2</v>
      </c>
      <c r="AM742" s="60"/>
      <c r="AN742" s="58"/>
      <c r="AO742" s="62">
        <f t="shared" si="2325"/>
        <v>2</v>
      </c>
      <c r="AP742" s="60"/>
      <c r="AQ742" s="58"/>
      <c r="AR742" s="104">
        <f t="shared" si="2326"/>
        <v>2</v>
      </c>
      <c r="AS742" s="60"/>
      <c r="AT742" s="58"/>
      <c r="AU742" s="62">
        <f t="shared" si="2334"/>
        <v>2</v>
      </c>
      <c r="AV742" s="83">
        <f>SUM(L742+O742+R742+U742+X742+AA742+AD742+AG742+AJ742+AM742+AP742+AS742)</f>
        <v>1</v>
      </c>
      <c r="AW742" s="83">
        <f t="shared" si="2316"/>
        <v>0</v>
      </c>
      <c r="AX742" s="64">
        <f t="shared" si="2335"/>
        <v>0</v>
      </c>
      <c r="AY742" s="65" t="e">
        <f t="shared" si="2299"/>
        <v>#DIV/0!</v>
      </c>
      <c r="AZ742" s="66">
        <f t="shared" si="2300"/>
        <v>0</v>
      </c>
      <c r="BA742" s="67">
        <v>2</v>
      </c>
      <c r="BB742" s="68">
        <v>1</v>
      </c>
      <c r="BC742" s="84">
        <f t="shared" si="2301"/>
        <v>2</v>
      </c>
      <c r="BD742" s="83">
        <f t="shared" si="2302"/>
        <v>1</v>
      </c>
      <c r="BE742" s="85">
        <v>2</v>
      </c>
      <c r="BF742" s="86">
        <v>46038</v>
      </c>
      <c r="BG742" s="72" t="e">
        <f t="shared" si="2250"/>
        <v>#REF!</v>
      </c>
      <c r="BH742" s="87" t="e">
        <f t="shared" si="2303"/>
        <v>#REF!</v>
      </c>
      <c r="BI742" s="80" t="e">
        <f t="shared" si="2304"/>
        <v>#REF!</v>
      </c>
      <c r="BJ742" s="238">
        <v>4224</v>
      </c>
    </row>
    <row r="743" spans="1:62" ht="13">
      <c r="A743" s="161"/>
      <c r="B743" s="162"/>
      <c r="C743" s="77">
        <v>741</v>
      </c>
      <c r="D743" s="149" t="s">
        <v>1527</v>
      </c>
      <c r="E743" s="149">
        <v>3</v>
      </c>
      <c r="F743" s="80" t="s">
        <v>1233</v>
      </c>
      <c r="G743" s="81" t="s">
        <v>1234</v>
      </c>
      <c r="H743" s="81" t="s">
        <v>1208</v>
      </c>
      <c r="I743" s="80" t="s">
        <v>458</v>
      </c>
      <c r="J743" s="82">
        <f t="shared" si="2317"/>
        <v>2</v>
      </c>
      <c r="K743" s="80">
        <v>1</v>
      </c>
      <c r="L743" s="58"/>
      <c r="M743" s="58"/>
      <c r="N743" s="104">
        <f t="shared" si="2318"/>
        <v>1</v>
      </c>
      <c r="O743" s="58"/>
      <c r="P743" s="58"/>
      <c r="Q743" s="104">
        <f t="shared" si="2332"/>
        <v>1</v>
      </c>
      <c r="R743" s="58"/>
      <c r="S743" s="58"/>
      <c r="T743" s="136">
        <f t="shared" si="2319"/>
        <v>1</v>
      </c>
      <c r="U743" s="58">
        <v>1</v>
      </c>
      <c r="V743" s="58"/>
      <c r="W743" s="104">
        <f t="shared" si="2333"/>
        <v>2</v>
      </c>
      <c r="X743" s="58"/>
      <c r="Y743" s="58"/>
      <c r="Z743" s="136">
        <f t="shared" ref="Z743" si="2337">SUM(W743+X743-Y743)</f>
        <v>2</v>
      </c>
      <c r="AA743" s="58"/>
      <c r="AB743" s="58"/>
      <c r="AC743" s="104">
        <f t="shared" ref="AC743" si="2338">SUM(Z743+AA743-AB743)</f>
        <v>2</v>
      </c>
      <c r="AD743" s="58"/>
      <c r="AE743" s="58"/>
      <c r="AF743" s="104">
        <f t="shared" ref="AF743" si="2339">SUM(AC743+AD743-AE743)</f>
        <v>2</v>
      </c>
      <c r="AG743" s="58"/>
      <c r="AH743" s="58"/>
      <c r="AI743" s="104">
        <f t="shared" ref="AI743" si="2340">SUM(AF743+AG743-AH743)</f>
        <v>2</v>
      </c>
      <c r="AJ743" s="58"/>
      <c r="AK743" s="58"/>
      <c r="AL743" s="104">
        <f t="shared" ref="AL743" si="2341">SUM(AI743+AJ743-AK743)</f>
        <v>2</v>
      </c>
      <c r="AM743" s="58"/>
      <c r="AN743" s="58"/>
      <c r="AO743" s="104">
        <f t="shared" ref="AO743" si="2342">SUM(AL743+AM743-AN743)</f>
        <v>2</v>
      </c>
      <c r="AP743" s="58"/>
      <c r="AQ743" s="58"/>
      <c r="AR743" s="104">
        <f t="shared" si="2326"/>
        <v>2</v>
      </c>
      <c r="AS743" s="58"/>
      <c r="AT743" s="58"/>
      <c r="AU743" s="104">
        <f t="shared" si="2334"/>
        <v>2</v>
      </c>
      <c r="AV743" s="83">
        <f>SUM(L743+O743+R743+U743+X743+AA743+AD743+AG743+AJ743+AM743+AP743+AS743)</f>
        <v>1</v>
      </c>
      <c r="AW743" s="83">
        <f t="shared" si="2316"/>
        <v>0</v>
      </c>
      <c r="AX743" s="64">
        <f t="shared" si="2335"/>
        <v>0</v>
      </c>
      <c r="AY743" s="65" t="e">
        <f t="shared" si="2299"/>
        <v>#DIV/0!</v>
      </c>
      <c r="AZ743" s="66">
        <f t="shared" si="2300"/>
        <v>0</v>
      </c>
      <c r="BA743" s="67">
        <f>MAX(0, Table176252626[[#This Row],[Column6]])</f>
        <v>2</v>
      </c>
      <c r="BB743" s="68">
        <v>0</v>
      </c>
      <c r="BC743" s="84">
        <f t="shared" si="2301"/>
        <v>2</v>
      </c>
      <c r="BD743" s="83">
        <f t="shared" si="2302"/>
        <v>2</v>
      </c>
      <c r="BE743" s="85">
        <v>2</v>
      </c>
      <c r="BF743" s="86">
        <v>46122</v>
      </c>
      <c r="BG743" s="72" t="e">
        <f t="shared" si="2250"/>
        <v>#REF!</v>
      </c>
      <c r="BH743" s="87" t="e">
        <f t="shared" si="2303"/>
        <v>#REF!</v>
      </c>
      <c r="BI743" s="80" t="e">
        <f t="shared" si="2304"/>
        <v>#REF!</v>
      </c>
      <c r="BJ743" s="238">
        <v>14260</v>
      </c>
    </row>
    <row r="744" spans="1:62" ht="13">
      <c r="A744" s="159"/>
      <c r="B744" s="160"/>
      <c r="C744" s="51">
        <v>742</v>
      </c>
      <c r="D744" s="149" t="s">
        <v>1527</v>
      </c>
      <c r="E744" s="149">
        <v>3</v>
      </c>
      <c r="F744" s="88" t="s">
        <v>1409</v>
      </c>
      <c r="G744" s="89" t="s">
        <v>1205</v>
      </c>
      <c r="H744" s="81" t="s">
        <v>1208</v>
      </c>
      <c r="I744" s="80" t="s">
        <v>458</v>
      </c>
      <c r="J744" s="82">
        <f t="shared" si="2317"/>
        <v>1</v>
      </c>
      <c r="K744" s="80">
        <v>1</v>
      </c>
      <c r="L744" s="57"/>
      <c r="M744" s="58"/>
      <c r="N744" s="59">
        <f t="shared" si="2318"/>
        <v>1</v>
      </c>
      <c r="O744" s="60"/>
      <c r="P744" s="58"/>
      <c r="Q744" s="59">
        <f t="shared" si="2332"/>
        <v>1</v>
      </c>
      <c r="R744" s="60"/>
      <c r="S744" s="58"/>
      <c r="T744" s="61">
        <f t="shared" si="2319"/>
        <v>1</v>
      </c>
      <c r="U744" s="60"/>
      <c r="V744" s="58"/>
      <c r="W744" s="59">
        <f t="shared" si="2333"/>
        <v>1</v>
      </c>
      <c r="X744" s="60"/>
      <c r="Y744" s="58"/>
      <c r="Z744" s="61">
        <f>SUM(W744+X744-Y744)</f>
        <v>1</v>
      </c>
      <c r="AA744" s="60"/>
      <c r="AB744" s="58"/>
      <c r="AC744" s="59">
        <f>SUM(Z744+AA744-AB744)</f>
        <v>1</v>
      </c>
      <c r="AD744" s="57"/>
      <c r="AE744" s="58"/>
      <c r="AF744" s="243">
        <f>SUM(AC744+AD744-AE744)</f>
        <v>1</v>
      </c>
      <c r="AG744" s="60"/>
      <c r="AH744" s="58"/>
      <c r="AI744" s="62">
        <f>SUM(AF744+AG744-AH744)</f>
        <v>1</v>
      </c>
      <c r="AJ744" s="60"/>
      <c r="AK744" s="58"/>
      <c r="AL744" s="62">
        <f>SUM(AI744+AJ744-AK744)</f>
        <v>1</v>
      </c>
      <c r="AM744" s="60"/>
      <c r="AN744" s="58"/>
      <c r="AO744" s="62">
        <f>SUM(AL744+AM744-AN744)</f>
        <v>1</v>
      </c>
      <c r="AP744" s="60"/>
      <c r="AQ744" s="58"/>
      <c r="AR744" s="104">
        <f t="shared" si="2326"/>
        <v>1</v>
      </c>
      <c r="AS744" s="60"/>
      <c r="AT744" s="58"/>
      <c r="AU744" s="62">
        <f t="shared" si="2334"/>
        <v>1</v>
      </c>
      <c r="AV744" s="83">
        <f t="shared" ref="AV744" si="2343">SUM(L744+O744+R744+U744+X744+AA744+AD744+AG744+AJ744+AM744+AP744+AS744)</f>
        <v>0</v>
      </c>
      <c r="AW744" s="83">
        <f t="shared" si="2316"/>
        <v>0</v>
      </c>
      <c r="AX744" s="64">
        <f t="shared" si="2335"/>
        <v>0</v>
      </c>
      <c r="AY744" s="65" t="e">
        <f t="shared" si="2299"/>
        <v>#DIV/0!</v>
      </c>
      <c r="AZ744" s="66">
        <f t="shared" si="2300"/>
        <v>0</v>
      </c>
      <c r="BA744" s="67">
        <f>MAX(0, Table176252626[[#This Row],[Column6]])</f>
        <v>1</v>
      </c>
      <c r="BB744" s="68">
        <v>0</v>
      </c>
      <c r="BC744" s="84">
        <f t="shared" si="2301"/>
        <v>1</v>
      </c>
      <c r="BD744" s="83">
        <f t="shared" si="2302"/>
        <v>1</v>
      </c>
      <c r="BE744" s="85">
        <v>2</v>
      </c>
      <c r="BF744" s="86">
        <v>45604.404120370367</v>
      </c>
      <c r="BG744" s="72" t="e">
        <f t="shared" si="2250"/>
        <v>#REF!</v>
      </c>
      <c r="BH744" s="87" t="e">
        <f t="shared" si="2303"/>
        <v>#REF!</v>
      </c>
      <c r="BI744" s="80" t="e">
        <f t="shared" si="2304"/>
        <v>#REF!</v>
      </c>
      <c r="BJ744" s="238">
        <v>18411</v>
      </c>
    </row>
    <row r="745" spans="1:62" ht="13">
      <c r="A745" s="161"/>
      <c r="B745" s="160"/>
      <c r="C745" s="51">
        <v>743</v>
      </c>
      <c r="D745" s="149" t="s">
        <v>1527</v>
      </c>
      <c r="E745" s="149">
        <v>3</v>
      </c>
      <c r="F745" s="80" t="s">
        <v>1231</v>
      </c>
      <c r="G745" s="81" t="s">
        <v>1232</v>
      </c>
      <c r="H745" s="81" t="s">
        <v>1208</v>
      </c>
      <c r="I745" s="80" t="s">
        <v>458</v>
      </c>
      <c r="J745" s="82">
        <f t="shared" si="2317"/>
        <v>1</v>
      </c>
      <c r="K745" s="80">
        <v>1</v>
      </c>
      <c r="L745" s="58"/>
      <c r="M745" s="58"/>
      <c r="N745" s="104">
        <f t="shared" si="2318"/>
        <v>1</v>
      </c>
      <c r="O745" s="58"/>
      <c r="P745" s="58"/>
      <c r="Q745" s="104">
        <f t="shared" si="2332"/>
        <v>1</v>
      </c>
      <c r="R745" s="58"/>
      <c r="S745" s="58"/>
      <c r="T745" s="136">
        <f t="shared" si="2319"/>
        <v>1</v>
      </c>
      <c r="U745" s="58"/>
      <c r="V745" s="58"/>
      <c r="W745" s="104">
        <f t="shared" si="2333"/>
        <v>1</v>
      </c>
      <c r="X745" s="60"/>
      <c r="Y745" s="58"/>
      <c r="Z745" s="94">
        <f>SUM(W745+X745-Y745)</f>
        <v>1</v>
      </c>
      <c r="AA745" s="60"/>
      <c r="AB745" s="58"/>
      <c r="AC745" s="62">
        <f>SUM(Z745+AA745-AB745)</f>
        <v>1</v>
      </c>
      <c r="AD745" s="57"/>
      <c r="AE745" s="58"/>
      <c r="AF745" s="165">
        <f>SUM(AC745+AD745-AE745)</f>
        <v>1</v>
      </c>
      <c r="AG745" s="60"/>
      <c r="AH745" s="58"/>
      <c r="AI745" s="62">
        <f>SUM(AF745+AG745-AH745)</f>
        <v>1</v>
      </c>
      <c r="AJ745" s="60"/>
      <c r="AK745" s="58"/>
      <c r="AL745" s="62">
        <f>SUM(AI745+AJ745-AK745)</f>
        <v>1</v>
      </c>
      <c r="AM745" s="60"/>
      <c r="AN745" s="58"/>
      <c r="AO745" s="62">
        <f>SUM(AL745+AM745-AN745)</f>
        <v>1</v>
      </c>
      <c r="AP745" s="60"/>
      <c r="AQ745" s="58"/>
      <c r="AR745" s="104">
        <f t="shared" si="2326"/>
        <v>1</v>
      </c>
      <c r="AS745" s="60"/>
      <c r="AT745" s="58"/>
      <c r="AU745" s="62">
        <f t="shared" si="2334"/>
        <v>1</v>
      </c>
      <c r="AV745" s="83">
        <f>SUM(L745+O745+R745+U745+X745+AA745+AD745+AG745+AJ745+AM745+AP745+AS745)</f>
        <v>0</v>
      </c>
      <c r="AW745" s="83">
        <f t="shared" si="2316"/>
        <v>0</v>
      </c>
      <c r="AX745" s="64">
        <f t="shared" si="2335"/>
        <v>0</v>
      </c>
      <c r="AY745" s="65" t="e">
        <f t="shared" si="2299"/>
        <v>#DIV/0!</v>
      </c>
      <c r="AZ745" s="66">
        <f t="shared" si="2300"/>
        <v>0</v>
      </c>
      <c r="BA745" s="67">
        <f>MAX(0, Table176252626[[#This Row],[Column6]])</f>
        <v>1</v>
      </c>
      <c r="BB745" s="68">
        <v>0</v>
      </c>
      <c r="BC745" s="84">
        <f t="shared" si="2301"/>
        <v>1</v>
      </c>
      <c r="BD745" s="83">
        <f t="shared" si="2302"/>
        <v>1</v>
      </c>
      <c r="BE745" s="85">
        <v>2</v>
      </c>
      <c r="BF745" s="86">
        <v>45180.604942129627</v>
      </c>
      <c r="BG745" s="72" t="e">
        <f t="shared" si="2250"/>
        <v>#REF!</v>
      </c>
      <c r="BH745" s="87" t="e">
        <f t="shared" si="2303"/>
        <v>#REF!</v>
      </c>
      <c r="BI745" s="80" t="e">
        <f t="shared" si="2304"/>
        <v>#REF!</v>
      </c>
      <c r="BJ745" s="238">
        <v>13177</v>
      </c>
    </row>
    <row r="746" spans="1:62" ht="13">
      <c r="A746" s="159"/>
      <c r="B746" s="160"/>
      <c r="C746" s="51">
        <v>744</v>
      </c>
      <c r="D746" s="149" t="s">
        <v>1527</v>
      </c>
      <c r="E746" s="149">
        <v>3</v>
      </c>
      <c r="F746" s="88" t="s">
        <v>1681</v>
      </c>
      <c r="G746" s="89" t="s">
        <v>1673</v>
      </c>
      <c r="H746" s="89" t="s">
        <v>1686</v>
      </c>
      <c r="I746" s="88" t="s">
        <v>458</v>
      </c>
      <c r="J746" s="93">
        <f t="shared" si="2317"/>
        <v>2</v>
      </c>
      <c r="K746" s="88">
        <v>2</v>
      </c>
      <c r="L746" s="58"/>
      <c r="M746" s="58"/>
      <c r="N746" s="62">
        <f t="shared" si="2318"/>
        <v>2</v>
      </c>
      <c r="O746" s="60"/>
      <c r="P746" s="58"/>
      <c r="Q746" s="62">
        <f t="shared" si="2332"/>
        <v>2</v>
      </c>
      <c r="R746" s="60"/>
      <c r="S746" s="58"/>
      <c r="T746" s="94">
        <f t="shared" si="2319"/>
        <v>2</v>
      </c>
      <c r="U746" s="60"/>
      <c r="V746" s="58"/>
      <c r="W746" s="62">
        <f t="shared" si="2333"/>
        <v>2</v>
      </c>
      <c r="X746" s="60"/>
      <c r="Y746" s="58"/>
      <c r="Z746" s="94">
        <f>SUM(W746+X746-Y746)</f>
        <v>2</v>
      </c>
      <c r="AA746" s="60"/>
      <c r="AB746" s="58"/>
      <c r="AC746" s="62">
        <f>SUM(Z746+AA746-AB746)</f>
        <v>2</v>
      </c>
      <c r="AD746" s="57"/>
      <c r="AE746" s="58"/>
      <c r="AF746" s="165">
        <f>SUM(AC746+AD746-AE746)</f>
        <v>2</v>
      </c>
      <c r="AG746" s="60"/>
      <c r="AH746" s="58"/>
      <c r="AI746" s="62">
        <f>SUM(AF746+AG746-AH746)</f>
        <v>2</v>
      </c>
      <c r="AJ746" s="60"/>
      <c r="AK746" s="58"/>
      <c r="AL746" s="62">
        <f>SUM(AI746+AJ746-AK746)</f>
        <v>2</v>
      </c>
      <c r="AM746" s="60"/>
      <c r="AN746" s="58"/>
      <c r="AO746" s="62">
        <f>SUM(AL746+AM746-AN746)</f>
        <v>2</v>
      </c>
      <c r="AP746" s="60"/>
      <c r="AQ746" s="58"/>
      <c r="AR746" s="62">
        <f t="shared" si="2326"/>
        <v>2</v>
      </c>
      <c r="AS746" s="60"/>
      <c r="AT746" s="58"/>
      <c r="AU746" s="62">
        <f t="shared" si="2334"/>
        <v>2</v>
      </c>
      <c r="AV746" s="96">
        <f>SUM(L746+O746+R746+U746+X746+AA746+AD746+AG746+AJ746+AM746+AP746+AS746)</f>
        <v>0</v>
      </c>
      <c r="AW746" s="83">
        <f t="shared" si="2316"/>
        <v>0</v>
      </c>
      <c r="AX746" s="98">
        <f t="shared" si="2335"/>
        <v>0</v>
      </c>
      <c r="AY746" s="99" t="e">
        <f t="shared" si="2299"/>
        <v>#DIV/0!</v>
      </c>
      <c r="AZ746" s="100">
        <f t="shared" si="2300"/>
        <v>0</v>
      </c>
      <c r="BA746" s="101">
        <v>2</v>
      </c>
      <c r="BB746" s="102">
        <v>1</v>
      </c>
      <c r="BC746" s="84">
        <f t="shared" si="2301"/>
        <v>2</v>
      </c>
      <c r="BD746" s="83">
        <f t="shared" si="2302"/>
        <v>1</v>
      </c>
      <c r="BE746" s="85">
        <v>2</v>
      </c>
      <c r="BF746" s="86">
        <v>45681</v>
      </c>
      <c r="BG746" s="72" t="e">
        <f t="shared" si="2250"/>
        <v>#REF!</v>
      </c>
      <c r="BH746" s="103" t="e">
        <f t="shared" si="2303"/>
        <v>#REF!</v>
      </c>
      <c r="BI746" s="80" t="e">
        <f t="shared" si="2304"/>
        <v>#REF!</v>
      </c>
      <c r="BJ746" s="238">
        <v>15149</v>
      </c>
    </row>
    <row r="747" spans="1:62" ht="13">
      <c r="A747" s="161"/>
      <c r="B747" s="162"/>
      <c r="C747" s="51">
        <v>745</v>
      </c>
      <c r="D747" s="149" t="s">
        <v>1527</v>
      </c>
      <c r="E747" s="149">
        <v>3</v>
      </c>
      <c r="F747" s="88" t="s">
        <v>1408</v>
      </c>
      <c r="G747" s="89" t="s">
        <v>1204</v>
      </c>
      <c r="H747" s="81" t="s">
        <v>1208</v>
      </c>
      <c r="I747" s="80" t="s">
        <v>458</v>
      </c>
      <c r="J747" s="82">
        <f t="shared" ref="J747" si="2344">AU747</f>
        <v>2</v>
      </c>
      <c r="K747" s="80">
        <v>1</v>
      </c>
      <c r="L747" s="57"/>
      <c r="M747" s="58"/>
      <c r="N747" s="59">
        <f t="shared" ref="N747" si="2345">SUM(K747+L747-M747)</f>
        <v>1</v>
      </c>
      <c r="O747" s="60"/>
      <c r="P747" s="58"/>
      <c r="Q747" s="59">
        <f t="shared" ref="Q747" si="2346">SUM(N747+O747-P747)</f>
        <v>1</v>
      </c>
      <c r="R747" s="60">
        <v>1</v>
      </c>
      <c r="S747" s="58"/>
      <c r="T747" s="61">
        <f t="shared" ref="T747" si="2347">SUM(Q747+R747-S747)</f>
        <v>2</v>
      </c>
      <c r="U747" s="60"/>
      <c r="V747" s="58"/>
      <c r="W747" s="59">
        <f t="shared" ref="W747" si="2348">SUM(T747+U747-V747)</f>
        <v>2</v>
      </c>
      <c r="X747" s="60"/>
      <c r="Y747" s="58"/>
      <c r="Z747" s="61">
        <f t="shared" ref="Z747" si="2349">SUM(W747+X747-Y747)</f>
        <v>2</v>
      </c>
      <c r="AA747" s="60"/>
      <c r="AB747" s="58"/>
      <c r="AC747" s="59">
        <f t="shared" ref="AC747" si="2350">SUM(Z747+AA747-AB747)</f>
        <v>2</v>
      </c>
      <c r="AD747" s="57"/>
      <c r="AE747" s="58"/>
      <c r="AF747" s="243">
        <f t="shared" ref="AF747" si="2351">SUM(AC747+AD747-AE747)</f>
        <v>2</v>
      </c>
      <c r="AG747" s="60"/>
      <c r="AH747" s="58"/>
      <c r="AI747" s="62">
        <f t="shared" ref="AI747" si="2352">SUM(AF747+AG747-AH747)</f>
        <v>2</v>
      </c>
      <c r="AJ747" s="60"/>
      <c r="AK747" s="58"/>
      <c r="AL747" s="62">
        <f t="shared" ref="AL747" si="2353">SUM(AI747+AJ747-AK747)</f>
        <v>2</v>
      </c>
      <c r="AM747" s="60"/>
      <c r="AN747" s="58"/>
      <c r="AO747" s="62">
        <f t="shared" ref="AO747" si="2354">SUM(AL747+AM747-AN747)</f>
        <v>2</v>
      </c>
      <c r="AP747" s="60"/>
      <c r="AQ747" s="58"/>
      <c r="AR747" s="62">
        <f t="shared" ref="AR747" si="2355">SUM(AO747+AP747-AQ747)</f>
        <v>2</v>
      </c>
      <c r="AS747" s="60"/>
      <c r="AT747" s="58"/>
      <c r="AU747" s="62">
        <f t="shared" ref="AU747" si="2356">SUM(AR747+AS747-AT747)</f>
        <v>2</v>
      </c>
      <c r="AV747" s="83">
        <f t="shared" ref="AV747" si="2357">SUM(L747+O747+R747+U747+X747+AA747+AD747+AG747+AJ747+AM747+AP747+AS747)</f>
        <v>1</v>
      </c>
      <c r="AW747" s="83">
        <f t="shared" si="2316"/>
        <v>0</v>
      </c>
      <c r="AX747" s="64">
        <f t="shared" ref="AX747" si="2358">SUM(M747,P747,S747,V747,Y747,AB747,AE747,AH747,AK747,AN747,AQ747,AT747)</f>
        <v>0</v>
      </c>
      <c r="AY747" s="65" t="e">
        <f t="shared" ref="AY747" si="2359">AVERAGE(M747,P747,S747,V747,Y747,AB747,AE747,AH747,AK747,AN747,AQ747,AT747)</f>
        <v>#DIV/0!</v>
      </c>
      <c r="AZ747" s="66">
        <f t="shared" ref="AZ747" si="2360">COUNT(M747,P747,S747,V747,Y747,AB747,AE747,AH747,AK747,AN747,AQ747,AT747)</f>
        <v>0</v>
      </c>
      <c r="BA747" s="67">
        <f>MAX(0, Table176252626[[#This Row],[Column6]])</f>
        <v>2</v>
      </c>
      <c r="BB747" s="68">
        <v>0</v>
      </c>
      <c r="BC747" s="84">
        <f t="shared" si="2301"/>
        <v>2</v>
      </c>
      <c r="BD747" s="83">
        <f t="shared" si="2302"/>
        <v>2</v>
      </c>
      <c r="BE747" s="85">
        <v>2</v>
      </c>
      <c r="BF747" s="86">
        <v>46085</v>
      </c>
      <c r="BG747" s="72" t="e">
        <f t="shared" si="2250"/>
        <v>#REF!</v>
      </c>
      <c r="BH747" s="107" t="e">
        <f t="shared" ref="BH747" si="2361">BG747-BF747</f>
        <v>#REF!</v>
      </c>
      <c r="BI747" s="80" t="e">
        <f t="shared" si="2304"/>
        <v>#REF!</v>
      </c>
      <c r="BJ747" s="238">
        <v>18411</v>
      </c>
    </row>
    <row r="748" spans="1:62" ht="13">
      <c r="A748" s="159"/>
      <c r="B748" s="160"/>
      <c r="C748" s="77">
        <v>746</v>
      </c>
      <c r="D748" s="149" t="s">
        <v>1527</v>
      </c>
      <c r="E748" s="149">
        <v>3</v>
      </c>
      <c r="F748" s="88" t="s">
        <v>1192</v>
      </c>
      <c r="G748" s="89" t="s">
        <v>1193</v>
      </c>
      <c r="H748" s="81" t="s">
        <v>1374</v>
      </c>
      <c r="I748" s="80" t="s">
        <v>458</v>
      </c>
      <c r="J748" s="82">
        <f t="shared" ref="J748" si="2362">AU748</f>
        <v>1</v>
      </c>
      <c r="K748" s="80">
        <v>1</v>
      </c>
      <c r="L748" s="57"/>
      <c r="M748" s="58"/>
      <c r="N748" s="59">
        <f t="shared" ref="N748" si="2363">SUM(K748+L748-M748)</f>
        <v>1</v>
      </c>
      <c r="O748" s="60"/>
      <c r="P748" s="58"/>
      <c r="Q748" s="59">
        <f t="shared" ref="Q748" si="2364">SUM(N748+O748-P748)</f>
        <v>1</v>
      </c>
      <c r="R748" s="60"/>
      <c r="S748" s="58"/>
      <c r="T748" s="61">
        <f t="shared" ref="T748" si="2365">SUM(Q748+R748-S748)</f>
        <v>1</v>
      </c>
      <c r="U748" s="60"/>
      <c r="V748" s="58"/>
      <c r="W748" s="59">
        <f t="shared" ref="W748" si="2366">SUM(T748+U748-V748)</f>
        <v>1</v>
      </c>
      <c r="X748" s="60"/>
      <c r="Y748" s="58"/>
      <c r="Z748" s="61">
        <f t="shared" ref="Z748" si="2367">SUM(W748+X748-Y748)</f>
        <v>1</v>
      </c>
      <c r="AA748" s="60"/>
      <c r="AB748" s="58"/>
      <c r="AC748" s="59">
        <f t="shared" ref="AC748" si="2368">SUM(Z748+AA748-AB748)</f>
        <v>1</v>
      </c>
      <c r="AD748" s="57"/>
      <c r="AE748" s="58"/>
      <c r="AF748" s="243">
        <f t="shared" ref="AF748" si="2369">SUM(AC748+AD748-AE748)</f>
        <v>1</v>
      </c>
      <c r="AG748" s="60"/>
      <c r="AH748" s="58"/>
      <c r="AI748" s="62">
        <f t="shared" ref="AI748" si="2370">SUM(AF748+AG748-AH748)</f>
        <v>1</v>
      </c>
      <c r="AJ748" s="60"/>
      <c r="AK748" s="58"/>
      <c r="AL748" s="62">
        <f t="shared" ref="AL748" si="2371">SUM(AI748+AJ748-AK748)</f>
        <v>1</v>
      </c>
      <c r="AM748" s="60"/>
      <c r="AN748" s="58"/>
      <c r="AO748" s="62">
        <f t="shared" ref="AO748" si="2372">SUM(AL748+AM748-AN748)</f>
        <v>1</v>
      </c>
      <c r="AP748" s="60"/>
      <c r="AQ748" s="58"/>
      <c r="AR748" s="62">
        <f t="shared" ref="AR748" si="2373">SUM(AO748+AP748-AQ748)</f>
        <v>1</v>
      </c>
      <c r="AS748" s="60"/>
      <c r="AT748" s="58"/>
      <c r="AU748" s="62">
        <f t="shared" ref="AU748" si="2374">SUM(AR748+AS748-AT748)</f>
        <v>1</v>
      </c>
      <c r="AV748" s="83">
        <f t="shared" ref="AV748" si="2375">SUM(L748+O748+R748+U748+X748+AA748+AD748+AG748+AJ748+AM748+AP748+AS748)</f>
        <v>0</v>
      </c>
      <c r="AW748" s="83">
        <f>SUM(M748+P748+S748+V748+Y748+AB748+AE748+AH748+AK748+AN748+AQ748+AT748)</f>
        <v>0</v>
      </c>
      <c r="AX748" s="64">
        <f t="shared" ref="AX748" si="2376">SUM(M748,P748,S748,V748,Y748,AB748,AE748,AH748,AK748,AN748,AQ748,AT748)</f>
        <v>0</v>
      </c>
      <c r="AY748" s="65" t="e">
        <f t="shared" ref="AY748" si="2377">AVERAGE(M748,P748,S748,V748,Y748,AB748,AE748,AH748,AK748,AN748,AQ748,AT748)</f>
        <v>#DIV/0!</v>
      </c>
      <c r="AZ748" s="66">
        <f t="shared" ref="AZ748" si="2378">COUNT(M748,P748,S748,V748,Y748,AB748,AE748,AH748,AK748,AN748,AQ748,AT748)</f>
        <v>0</v>
      </c>
      <c r="BA748" s="67">
        <f>MAX(0, Table176252626[[#This Row],[Column6]])</f>
        <v>1</v>
      </c>
      <c r="BB748" s="68">
        <v>0</v>
      </c>
      <c r="BC748" s="84">
        <f>J748</f>
        <v>1</v>
      </c>
      <c r="BD748" s="83">
        <f t="shared" si="2302"/>
        <v>1</v>
      </c>
      <c r="BE748" s="85">
        <v>2</v>
      </c>
      <c r="BF748" s="86">
        <v>44897.597592592596</v>
      </c>
      <c r="BG748" s="72" t="e">
        <f t="shared" si="2250"/>
        <v>#REF!</v>
      </c>
      <c r="BH748" s="107" t="e">
        <f t="shared" ref="BH748" si="2379">BG748-BF748</f>
        <v>#REF!</v>
      </c>
      <c r="BI748" s="80" t="e">
        <f t="shared" si="2304"/>
        <v>#REF!</v>
      </c>
      <c r="BJ748" s="238">
        <v>2533</v>
      </c>
    </row>
    <row r="749" spans="1:62" ht="13">
      <c r="A749" s="161"/>
      <c r="B749" s="162"/>
      <c r="C749" s="77">
        <v>747</v>
      </c>
      <c r="D749" s="149" t="s">
        <v>1527</v>
      </c>
      <c r="E749" s="149">
        <v>3</v>
      </c>
      <c r="F749" s="88" t="s">
        <v>1682</v>
      </c>
      <c r="G749" s="89" t="s">
        <v>1674</v>
      </c>
      <c r="H749" s="89" t="s">
        <v>1686</v>
      </c>
      <c r="I749" s="88" t="s">
        <v>458</v>
      </c>
      <c r="J749" s="93">
        <f>AU749</f>
        <v>1</v>
      </c>
      <c r="K749" s="80">
        <v>1</v>
      </c>
      <c r="L749" s="58"/>
      <c r="M749" s="58"/>
      <c r="N749" s="62">
        <f>SUM(K749+L749-M749)</f>
        <v>1</v>
      </c>
      <c r="O749" s="60"/>
      <c r="P749" s="58"/>
      <c r="Q749" s="62">
        <f>SUM(N749+O749-P749)</f>
        <v>1</v>
      </c>
      <c r="R749" s="60"/>
      <c r="S749" s="58"/>
      <c r="T749" s="94">
        <f>SUM(Q749+R749-S749)</f>
        <v>1</v>
      </c>
      <c r="U749" s="60"/>
      <c r="V749" s="58"/>
      <c r="W749" s="62">
        <f>SUM(T749+U749-V749)</f>
        <v>1</v>
      </c>
      <c r="X749" s="60"/>
      <c r="Y749" s="58"/>
      <c r="Z749" s="94">
        <f>SUM(W749+X749-Y749)</f>
        <v>1</v>
      </c>
      <c r="AA749" s="60"/>
      <c r="AB749" s="58"/>
      <c r="AC749" s="62">
        <f>SUM(Z749+AA749-AB749)</f>
        <v>1</v>
      </c>
      <c r="AD749" s="57"/>
      <c r="AE749" s="58"/>
      <c r="AF749" s="165">
        <f>SUM(AC749+AD749-AE749)</f>
        <v>1</v>
      </c>
      <c r="AG749" s="60"/>
      <c r="AH749" s="58"/>
      <c r="AI749" s="62">
        <f>SUM(AF749+AG749-AH749)</f>
        <v>1</v>
      </c>
      <c r="AJ749" s="60"/>
      <c r="AK749" s="58"/>
      <c r="AL749" s="62">
        <f>SUM(AI749+AJ749-AK749)</f>
        <v>1</v>
      </c>
      <c r="AM749" s="60"/>
      <c r="AN749" s="58"/>
      <c r="AO749" s="62">
        <f>SUM(AL749+AM749-AN749)</f>
        <v>1</v>
      </c>
      <c r="AP749" s="60"/>
      <c r="AQ749" s="58"/>
      <c r="AR749" s="62">
        <f>SUM(AO749+AP749-AQ749)</f>
        <v>1</v>
      </c>
      <c r="AS749" s="60"/>
      <c r="AT749" s="58"/>
      <c r="AU749" s="62">
        <f>SUM(AR749+AS749-AT749)</f>
        <v>1</v>
      </c>
      <c r="AV749" s="96">
        <f>SUM(L749+O749+R749+U749+X749+AA749+AD749+AG749+AJ749+AM749+AP749+AS749)</f>
        <v>0</v>
      </c>
      <c r="AW749" s="83">
        <f>SUM(M749+P749+S749+V749+Y749+AB749+AE749+AH749+AK749+AN749+AQ749+AT749)</f>
        <v>0</v>
      </c>
      <c r="AX749" s="98">
        <f>SUM(M749,P749,S749,V749,Y749,AB749,AE749,AH749,AK749,AN749,AQ749,AT749)</f>
        <v>0</v>
      </c>
      <c r="AY749" s="99" t="e">
        <f>AVERAGE(M749,P749,S749,V749,Y749,AB749,AE749,AH749,AK749,AN749,AQ749,AT749)</f>
        <v>#DIV/0!</v>
      </c>
      <c r="AZ749" s="100">
        <f>COUNT(M749,P749,S749,V749,Y749,AB749,AE749,AH749,AK749,AN749,AQ749,AT749)</f>
        <v>0</v>
      </c>
      <c r="BA749" s="101">
        <v>1</v>
      </c>
      <c r="BB749" s="102">
        <f t="shared" ref="BB749" si="2380">MIN(M749,P749,S749,V749,Y749,AB749,AE749,AH749,AK749,AN749,AQ749,AT749)</f>
        <v>0</v>
      </c>
      <c r="BC749" s="84">
        <f>J749</f>
        <v>1</v>
      </c>
      <c r="BD749" s="83">
        <f t="shared" si="2302"/>
        <v>1</v>
      </c>
      <c r="BE749" s="85">
        <v>2</v>
      </c>
      <c r="BF749" s="86">
        <v>45681</v>
      </c>
      <c r="BG749" s="72" t="e">
        <f t="shared" si="2250"/>
        <v>#REF!</v>
      </c>
      <c r="BH749" s="103" t="e">
        <f>BG749-BF749</f>
        <v>#REF!</v>
      </c>
      <c r="BI749" s="80" t="e">
        <f t="shared" si="2304"/>
        <v>#REF!</v>
      </c>
      <c r="BJ749" s="238">
        <v>1407</v>
      </c>
    </row>
    <row r="750" spans="1:62" ht="13">
      <c r="A750" s="161"/>
      <c r="B750" s="162"/>
      <c r="C750" s="51">
        <v>748</v>
      </c>
      <c r="D750" s="149" t="s">
        <v>1527</v>
      </c>
      <c r="E750" s="149">
        <v>3</v>
      </c>
      <c r="F750" s="88" t="s">
        <v>1684</v>
      </c>
      <c r="G750" s="89" t="s">
        <v>1676</v>
      </c>
      <c r="H750" s="89" t="s">
        <v>1686</v>
      </c>
      <c r="I750" s="88" t="s">
        <v>458</v>
      </c>
      <c r="J750" s="93">
        <f t="shared" ref="J750" si="2381">AU750</f>
        <v>1</v>
      </c>
      <c r="K750" s="80">
        <v>1</v>
      </c>
      <c r="L750" s="58"/>
      <c r="M750" s="58"/>
      <c r="N750" s="62">
        <f t="shared" ref="N750" si="2382">SUM(K750+L750-M750)</f>
        <v>1</v>
      </c>
      <c r="O750" s="60"/>
      <c r="P750" s="58"/>
      <c r="Q750" s="62">
        <f t="shared" ref="Q750" si="2383">SUM(N750+O750-P750)</f>
        <v>1</v>
      </c>
      <c r="R750" s="60"/>
      <c r="S750" s="58"/>
      <c r="T750" s="94">
        <f t="shared" ref="T750" si="2384">SUM(Q750+R750-S750)</f>
        <v>1</v>
      </c>
      <c r="U750" s="60"/>
      <c r="V750" s="58"/>
      <c r="W750" s="62">
        <f t="shared" ref="W750" si="2385">SUM(T750+U750-V750)</f>
        <v>1</v>
      </c>
      <c r="X750" s="60"/>
      <c r="Y750" s="58"/>
      <c r="Z750" s="94">
        <f t="shared" ref="Z750" si="2386">SUM(W750+X750-Y750)</f>
        <v>1</v>
      </c>
      <c r="AA750" s="60"/>
      <c r="AB750" s="58"/>
      <c r="AC750" s="62">
        <f t="shared" ref="AC750" si="2387">SUM(Z750+AA750-AB750)</f>
        <v>1</v>
      </c>
      <c r="AD750" s="57"/>
      <c r="AE750" s="58"/>
      <c r="AF750" s="165">
        <f t="shared" ref="AF750" si="2388">SUM(AC750+AD750-AE750)</f>
        <v>1</v>
      </c>
      <c r="AG750" s="60"/>
      <c r="AH750" s="58"/>
      <c r="AI750" s="62">
        <f t="shared" ref="AI750" si="2389">SUM(AF750+AG750-AH750)</f>
        <v>1</v>
      </c>
      <c r="AJ750" s="60"/>
      <c r="AK750" s="58"/>
      <c r="AL750" s="62">
        <f t="shared" ref="AL750" si="2390">SUM(AI750+AJ750-AK750)</f>
        <v>1</v>
      </c>
      <c r="AM750" s="60"/>
      <c r="AN750" s="58"/>
      <c r="AO750" s="62">
        <f t="shared" ref="AO750" si="2391">SUM(AL750+AM750-AN750)</f>
        <v>1</v>
      </c>
      <c r="AP750" s="60"/>
      <c r="AQ750" s="58"/>
      <c r="AR750" s="62">
        <f t="shared" ref="AR750" si="2392">SUM(AO750+AP750-AQ750)</f>
        <v>1</v>
      </c>
      <c r="AS750" s="60"/>
      <c r="AT750" s="58"/>
      <c r="AU750" s="62">
        <f t="shared" ref="AU750" si="2393">SUM(AR750+AS750-AT750)</f>
        <v>1</v>
      </c>
      <c r="AV750" s="96">
        <f t="shared" ref="AV750" si="2394">SUM(L750+O750+R750+U750+X750+AA750+AD750+AG750+AJ750+AM750+AP750+AS750)</f>
        <v>0</v>
      </c>
      <c r="AW750" s="83">
        <f>SUM(M750+P750+S750+V750+Y750+AB750+AE750+AH750+AK750+AN750+AQ750+AT750)</f>
        <v>0</v>
      </c>
      <c r="AX750" s="98">
        <f t="shared" ref="AX750" si="2395">SUM(M750,P750,S750,V750,Y750,AB750,AE750,AH750,AK750,AN750,AQ750,AT750)</f>
        <v>0</v>
      </c>
      <c r="AY750" s="99" t="e">
        <f t="shared" ref="AY750" si="2396">AVERAGE(M750,P750,S750,V750,Y750,AB750,AE750,AH750,AK750,AN750,AQ750,AT750)</f>
        <v>#DIV/0!</v>
      </c>
      <c r="AZ750" s="100">
        <f t="shared" ref="AZ750" si="2397">COUNT(M750,P750,S750,V750,Y750,AB750,AE750,AH750,AK750,AN750,AQ750,AT750)</f>
        <v>0</v>
      </c>
      <c r="BA750" s="101">
        <v>1</v>
      </c>
      <c r="BB750" s="102">
        <v>0</v>
      </c>
      <c r="BC750" s="84">
        <f>J750</f>
        <v>1</v>
      </c>
      <c r="BD750" s="83">
        <f t="shared" si="2302"/>
        <v>1</v>
      </c>
      <c r="BE750" s="85">
        <v>2</v>
      </c>
      <c r="BF750" s="86">
        <v>45681</v>
      </c>
      <c r="BG750" s="72" t="e">
        <f t="shared" si="2250"/>
        <v>#REF!</v>
      </c>
      <c r="BH750" s="103" t="e">
        <f t="shared" ref="BH750" si="2398">BG750-BF750</f>
        <v>#REF!</v>
      </c>
      <c r="BI750" s="80" t="e">
        <f t="shared" si="2304"/>
        <v>#REF!</v>
      </c>
      <c r="BJ750" s="238">
        <v>1954</v>
      </c>
    </row>
    <row r="751" spans="1:62" ht="13">
      <c r="A751" s="159"/>
      <c r="B751" s="160"/>
      <c r="C751" s="51">
        <v>749</v>
      </c>
      <c r="D751" s="149" t="s">
        <v>1527</v>
      </c>
      <c r="E751" s="149">
        <v>3</v>
      </c>
      <c r="F751" s="88" t="s">
        <v>1196</v>
      </c>
      <c r="G751" s="89" t="s">
        <v>1226</v>
      </c>
      <c r="H751" s="81" t="s">
        <v>1208</v>
      </c>
      <c r="I751" s="80" t="s">
        <v>458</v>
      </c>
      <c r="J751" s="82">
        <f t="shared" ref="J751" si="2399">AU751</f>
        <v>1</v>
      </c>
      <c r="K751" s="80">
        <v>1</v>
      </c>
      <c r="L751" s="57"/>
      <c r="M751" s="58"/>
      <c r="N751" s="59">
        <f t="shared" ref="N751" si="2400">SUM(K751+L751-M751)</f>
        <v>1</v>
      </c>
      <c r="O751" s="60"/>
      <c r="P751" s="58"/>
      <c r="Q751" s="59">
        <f>SUM(N751+O751-P751)</f>
        <v>1</v>
      </c>
      <c r="R751" s="60"/>
      <c r="S751" s="58"/>
      <c r="T751" s="61">
        <f t="shared" ref="T751" si="2401">SUM(Q751+R751-S751)</f>
        <v>1</v>
      </c>
      <c r="U751" s="60"/>
      <c r="V751" s="58"/>
      <c r="W751" s="59">
        <f>SUM(T751+U751-V751)</f>
        <v>1</v>
      </c>
      <c r="X751" s="60"/>
      <c r="Y751" s="58"/>
      <c r="Z751" s="61">
        <f t="shared" ref="Z751" si="2402">SUM(W751+X751-Y751)</f>
        <v>1</v>
      </c>
      <c r="AA751" s="60"/>
      <c r="AB751" s="58"/>
      <c r="AC751" s="59">
        <f t="shared" ref="AC751" si="2403">SUM(Z751+AA751-AB751)</f>
        <v>1</v>
      </c>
      <c r="AD751" s="57"/>
      <c r="AE751" s="58"/>
      <c r="AF751" s="243">
        <f t="shared" ref="AF751" si="2404">SUM(AC751+AD751-AE751)</f>
        <v>1</v>
      </c>
      <c r="AG751" s="60"/>
      <c r="AH751" s="58"/>
      <c r="AI751" s="62">
        <f t="shared" ref="AI751" si="2405">SUM(AF751+AG751-AH751)</f>
        <v>1</v>
      </c>
      <c r="AJ751" s="60"/>
      <c r="AK751" s="58"/>
      <c r="AL751" s="62">
        <f t="shared" ref="AL751" si="2406">SUM(AI751+AJ751-AK751)</f>
        <v>1</v>
      </c>
      <c r="AM751" s="60"/>
      <c r="AN751" s="58"/>
      <c r="AO751" s="62">
        <f t="shared" ref="AO751" si="2407">SUM(AL751+AM751-AN751)</f>
        <v>1</v>
      </c>
      <c r="AP751" s="60"/>
      <c r="AQ751" s="58"/>
      <c r="AR751" s="62">
        <f t="shared" ref="AR751" si="2408">SUM(AO751+AP751-AQ751)</f>
        <v>1</v>
      </c>
      <c r="AS751" s="60"/>
      <c r="AT751" s="58"/>
      <c r="AU751" s="62">
        <f>SUM(AR751+AS751-AT751)</f>
        <v>1</v>
      </c>
      <c r="AV751" s="83">
        <f t="shared" ref="AV751" si="2409">SUM(L751+O751+R751+U751+X751+AA751+AD751+AG751+AJ751+AM751+AP751+AS751)</f>
        <v>0</v>
      </c>
      <c r="AW751" s="83">
        <f>SUM(M751+P751+S751+V751+Y751+AB751+AE751+AH751+AK751+AN751+AQ751+AT751)</f>
        <v>0</v>
      </c>
      <c r="AX751" s="64">
        <f>SUM(M751,P751,S751,V751,Y751,AB751,AE751,AH751,AK751,AN751,AQ751,AT751)</f>
        <v>0</v>
      </c>
      <c r="AY751" s="65" t="e">
        <f>AVERAGE(M751,P751,S751,V751,Y751,AB751,AE751,AH751,AK751,AN751,AQ751,AT751)</f>
        <v>#DIV/0!</v>
      </c>
      <c r="AZ751" s="66">
        <f>COUNT(M751,P751,S751,V751,Y751,AB751,AE751,AH751,AK751,AN751,AQ751,AT751)</f>
        <v>0</v>
      </c>
      <c r="BA751" s="67">
        <f>MAX(0, Table176252626[[#This Row],[Column6]])</f>
        <v>1</v>
      </c>
      <c r="BB751" s="68">
        <v>0</v>
      </c>
      <c r="BC751" s="84">
        <f>J751</f>
        <v>1</v>
      </c>
      <c r="BD751" s="83">
        <f t="shared" si="2302"/>
        <v>1</v>
      </c>
      <c r="BE751" s="85">
        <v>2</v>
      </c>
      <c r="BF751" s="86">
        <v>45174.662129629629</v>
      </c>
      <c r="BG751" s="72" t="e">
        <f t="shared" si="2250"/>
        <v>#REF!</v>
      </c>
      <c r="BH751" s="87" t="e">
        <f>BG751-BF751</f>
        <v>#REF!</v>
      </c>
      <c r="BI751" s="80" t="e">
        <f t="shared" si="2304"/>
        <v>#REF!</v>
      </c>
      <c r="BJ751" s="238">
        <v>3052</v>
      </c>
    </row>
    <row r="752" spans="1:62" ht="13">
      <c r="A752" s="75"/>
      <c r="B752" s="76"/>
      <c r="C752" s="51">
        <v>750</v>
      </c>
      <c r="D752" s="174" t="s">
        <v>1920</v>
      </c>
      <c r="E752" s="175">
        <v>1</v>
      </c>
      <c r="F752" s="88" t="s">
        <v>1465</v>
      </c>
      <c r="G752" s="89" t="s">
        <v>1466</v>
      </c>
      <c r="H752" s="89" t="s">
        <v>1699</v>
      </c>
      <c r="I752" s="80" t="s">
        <v>458</v>
      </c>
      <c r="J752" s="93">
        <f t="shared" ref="J752:J776" si="2410">AU752</f>
        <v>1</v>
      </c>
      <c r="K752" s="80">
        <v>1</v>
      </c>
      <c r="L752" s="58"/>
      <c r="M752" s="58"/>
      <c r="N752" s="62">
        <f t="shared" ref="N752:N776" si="2411">SUM(K752+L752-M752)</f>
        <v>1</v>
      </c>
      <c r="O752" s="60"/>
      <c r="P752" s="58"/>
      <c r="Q752" s="62">
        <f t="shared" ref="Q752:Q776" si="2412">SUM(N752+O752-P752)</f>
        <v>1</v>
      </c>
      <c r="R752" s="60"/>
      <c r="S752" s="58"/>
      <c r="T752" s="94">
        <f t="shared" ref="T752:T776" si="2413">SUM(Q752+R752-S752)</f>
        <v>1</v>
      </c>
      <c r="U752" s="60"/>
      <c r="V752" s="58"/>
      <c r="W752" s="62">
        <f t="shared" ref="W752:W776" si="2414">SUM(T752+U752-V752)</f>
        <v>1</v>
      </c>
      <c r="X752" s="60"/>
      <c r="Y752" s="58"/>
      <c r="Z752" s="94">
        <f t="shared" ref="Z752:Z776" si="2415">SUM(W752+X752-Y752)</f>
        <v>1</v>
      </c>
      <c r="AA752" s="60"/>
      <c r="AB752" s="58"/>
      <c r="AC752" s="62">
        <f t="shared" ref="AC752:AC776" si="2416">SUM(Z752+AA752-AB752)</f>
        <v>1</v>
      </c>
      <c r="AD752" s="57"/>
      <c r="AE752" s="58"/>
      <c r="AF752" s="165">
        <f t="shared" ref="AF752:AF776" si="2417">SUM(AC752+AD752-AE752)</f>
        <v>1</v>
      </c>
      <c r="AG752" s="60"/>
      <c r="AH752" s="58"/>
      <c r="AI752" s="62">
        <f t="shared" ref="AI752:AI776" si="2418">SUM(AF752+AG752-AH752)</f>
        <v>1</v>
      </c>
      <c r="AJ752" s="60"/>
      <c r="AK752" s="58"/>
      <c r="AL752" s="62">
        <f t="shared" ref="AL752:AL776" si="2419">SUM(AI752+AJ752-AK752)</f>
        <v>1</v>
      </c>
      <c r="AM752" s="60"/>
      <c r="AN752" s="58"/>
      <c r="AO752" s="62">
        <f t="shared" ref="AO752:AO776" si="2420">SUM(AL752+AM752-AN752)</f>
        <v>1</v>
      </c>
      <c r="AP752" s="60"/>
      <c r="AQ752" s="58"/>
      <c r="AR752" s="62">
        <f t="shared" ref="AR752:AR776" si="2421">SUM(AO752+AP752-AQ752)</f>
        <v>1</v>
      </c>
      <c r="AS752" s="60"/>
      <c r="AT752" s="58"/>
      <c r="AU752" s="62">
        <f t="shared" ref="AU752:AU776" si="2422">SUM(AR752+AS752-AT752)</f>
        <v>1</v>
      </c>
      <c r="AV752" s="96">
        <f t="shared" ref="AV752:AW776" si="2423">SUM(L752+O752+R752+U752+X752+AA752+AD752+AG752+AJ752+AM752+AP752+AS752)</f>
        <v>0</v>
      </c>
      <c r="AW752" s="83">
        <f t="shared" si="2423"/>
        <v>0</v>
      </c>
      <c r="AX752" s="98">
        <f t="shared" ref="AX752:AX776" si="2424">SUM(M752,P752,S752,V752,Y752,AB752,AE752,AH752,AK752,AN752,AQ752,AT752)</f>
        <v>0</v>
      </c>
      <c r="AY752" s="99" t="e">
        <f t="shared" ref="AY752:AY776" si="2425">AVERAGE(M752,P752,S752,V752,Y752,AB752,AE752,AH752,AK752,AN752,AQ752,AT752)</f>
        <v>#DIV/0!</v>
      </c>
      <c r="AZ752" s="100">
        <f t="shared" ref="AZ752:AZ776" si="2426">COUNT(M752,P752,S752,V752,Y752,AB752,AE752,AH752,AK752,AN752,AQ752,AT752)</f>
        <v>0</v>
      </c>
      <c r="BA752" s="101">
        <v>1</v>
      </c>
      <c r="BB752" s="102">
        <v>0</v>
      </c>
      <c r="BC752" s="84">
        <f t="shared" ref="BC752:BC807" si="2427">J752</f>
        <v>1</v>
      </c>
      <c r="BD752" s="83">
        <f t="shared" si="2302"/>
        <v>1</v>
      </c>
      <c r="BE752" s="85">
        <v>2</v>
      </c>
      <c r="BF752" s="86">
        <v>45546.608287037037</v>
      </c>
      <c r="BG752" s="72" t="e">
        <f t="shared" si="2250"/>
        <v>#REF!</v>
      </c>
      <c r="BH752" s="103" t="e">
        <f t="shared" ref="BH752:BH776" si="2428">BG752-BF752</f>
        <v>#REF!</v>
      </c>
      <c r="BI752" s="80" t="e">
        <f t="shared" si="2304"/>
        <v>#REF!</v>
      </c>
      <c r="BJ752" s="238">
        <v>200</v>
      </c>
    </row>
    <row r="753" spans="1:62" ht="13">
      <c r="A753" s="49"/>
      <c r="B753" s="50"/>
      <c r="C753" s="51">
        <v>751</v>
      </c>
      <c r="D753" s="176" t="s">
        <v>1920</v>
      </c>
      <c r="E753" s="177">
        <v>2</v>
      </c>
      <c r="F753" s="88" t="s">
        <v>1433</v>
      </c>
      <c r="G753" s="89" t="s">
        <v>1434</v>
      </c>
      <c r="H753" s="89" t="s">
        <v>1699</v>
      </c>
      <c r="I753" s="80" t="s">
        <v>458</v>
      </c>
      <c r="J753" s="93">
        <f t="shared" si="2410"/>
        <v>1</v>
      </c>
      <c r="K753" s="88">
        <v>1</v>
      </c>
      <c r="L753" s="58"/>
      <c r="M753" s="58"/>
      <c r="N753" s="62">
        <f t="shared" si="2411"/>
        <v>1</v>
      </c>
      <c r="O753" s="60"/>
      <c r="P753" s="58"/>
      <c r="Q753" s="62">
        <f t="shared" si="2412"/>
        <v>1</v>
      </c>
      <c r="R753" s="60"/>
      <c r="S753" s="58"/>
      <c r="T753" s="94">
        <f t="shared" si="2413"/>
        <v>1</v>
      </c>
      <c r="U753" s="60"/>
      <c r="V753" s="58"/>
      <c r="W753" s="62">
        <f t="shared" si="2414"/>
        <v>1</v>
      </c>
      <c r="X753" s="60"/>
      <c r="Y753" s="58"/>
      <c r="Z753" s="94">
        <f t="shared" si="2415"/>
        <v>1</v>
      </c>
      <c r="AA753" s="60"/>
      <c r="AB753" s="58"/>
      <c r="AC753" s="62">
        <f t="shared" si="2416"/>
        <v>1</v>
      </c>
      <c r="AD753" s="57"/>
      <c r="AE753" s="58"/>
      <c r="AF753" s="165">
        <f t="shared" si="2417"/>
        <v>1</v>
      </c>
      <c r="AG753" s="60"/>
      <c r="AH753" s="58"/>
      <c r="AI753" s="62">
        <f t="shared" si="2418"/>
        <v>1</v>
      </c>
      <c r="AJ753" s="60"/>
      <c r="AK753" s="58"/>
      <c r="AL753" s="62">
        <f t="shared" si="2419"/>
        <v>1</v>
      </c>
      <c r="AM753" s="60"/>
      <c r="AN753" s="58"/>
      <c r="AO753" s="62">
        <f t="shared" si="2420"/>
        <v>1</v>
      </c>
      <c r="AP753" s="60"/>
      <c r="AQ753" s="58"/>
      <c r="AR753" s="62">
        <f t="shared" si="2421"/>
        <v>1</v>
      </c>
      <c r="AS753" s="60"/>
      <c r="AT753" s="58"/>
      <c r="AU753" s="62">
        <f t="shared" si="2422"/>
        <v>1</v>
      </c>
      <c r="AV753" s="96">
        <f t="shared" si="2423"/>
        <v>0</v>
      </c>
      <c r="AW753" s="83">
        <f t="shared" si="2423"/>
        <v>0</v>
      </c>
      <c r="AX753" s="98">
        <f t="shared" si="2424"/>
        <v>0</v>
      </c>
      <c r="AY753" s="99" t="e">
        <f t="shared" si="2425"/>
        <v>#DIV/0!</v>
      </c>
      <c r="AZ753" s="100">
        <f t="shared" si="2426"/>
        <v>0</v>
      </c>
      <c r="BA753" s="101">
        <v>1</v>
      </c>
      <c r="BB753" s="102">
        <v>0</v>
      </c>
      <c r="BC753" s="84">
        <f t="shared" si="2427"/>
        <v>1</v>
      </c>
      <c r="BD753" s="83">
        <f t="shared" si="2302"/>
        <v>1</v>
      </c>
      <c r="BE753" s="85">
        <v>2</v>
      </c>
      <c r="BF753" s="86">
        <v>45546</v>
      </c>
      <c r="BG753" s="72" t="e">
        <f t="shared" si="2250"/>
        <v>#REF!</v>
      </c>
      <c r="BH753" s="103" t="e">
        <f t="shared" si="2428"/>
        <v>#REF!</v>
      </c>
      <c r="BI753" s="80" t="e">
        <f t="shared" si="2304"/>
        <v>#REF!</v>
      </c>
      <c r="BJ753" s="238">
        <v>1700</v>
      </c>
    </row>
    <row r="754" spans="1:62" ht="13">
      <c r="A754" s="90"/>
      <c r="B754" s="91"/>
      <c r="C754" s="77">
        <v>752</v>
      </c>
      <c r="D754" s="176" t="s">
        <v>1920</v>
      </c>
      <c r="E754" s="177">
        <v>3</v>
      </c>
      <c r="F754" s="88" t="s">
        <v>1467</v>
      </c>
      <c r="G754" s="89" t="s">
        <v>1468</v>
      </c>
      <c r="H754" s="89" t="s">
        <v>1699</v>
      </c>
      <c r="I754" s="80" t="s">
        <v>458</v>
      </c>
      <c r="J754" s="93">
        <f t="shared" si="2410"/>
        <v>1</v>
      </c>
      <c r="K754" s="80">
        <v>1</v>
      </c>
      <c r="L754" s="58"/>
      <c r="M754" s="58"/>
      <c r="N754" s="62">
        <f t="shared" si="2411"/>
        <v>1</v>
      </c>
      <c r="O754" s="60"/>
      <c r="P754" s="58"/>
      <c r="Q754" s="62">
        <f t="shared" si="2412"/>
        <v>1</v>
      </c>
      <c r="R754" s="60"/>
      <c r="S754" s="58"/>
      <c r="T754" s="94">
        <f t="shared" si="2413"/>
        <v>1</v>
      </c>
      <c r="U754" s="60"/>
      <c r="V754" s="58"/>
      <c r="W754" s="62">
        <f t="shared" si="2414"/>
        <v>1</v>
      </c>
      <c r="X754" s="60"/>
      <c r="Y754" s="58"/>
      <c r="Z754" s="94">
        <f t="shared" si="2415"/>
        <v>1</v>
      </c>
      <c r="AA754" s="60"/>
      <c r="AB754" s="58"/>
      <c r="AC754" s="62">
        <f t="shared" si="2416"/>
        <v>1</v>
      </c>
      <c r="AD754" s="57"/>
      <c r="AE754" s="58"/>
      <c r="AF754" s="165">
        <f t="shared" si="2417"/>
        <v>1</v>
      </c>
      <c r="AG754" s="60"/>
      <c r="AH754" s="58"/>
      <c r="AI754" s="62">
        <f t="shared" si="2418"/>
        <v>1</v>
      </c>
      <c r="AJ754" s="60"/>
      <c r="AK754" s="58"/>
      <c r="AL754" s="62">
        <f t="shared" si="2419"/>
        <v>1</v>
      </c>
      <c r="AM754" s="60"/>
      <c r="AN754" s="58"/>
      <c r="AO754" s="62">
        <f t="shared" si="2420"/>
        <v>1</v>
      </c>
      <c r="AP754" s="60"/>
      <c r="AQ754" s="58"/>
      <c r="AR754" s="62">
        <f t="shared" si="2421"/>
        <v>1</v>
      </c>
      <c r="AS754" s="60"/>
      <c r="AT754" s="58"/>
      <c r="AU754" s="62">
        <f t="shared" si="2422"/>
        <v>1</v>
      </c>
      <c r="AV754" s="96">
        <f t="shared" si="2423"/>
        <v>0</v>
      </c>
      <c r="AW754" s="83">
        <f t="shared" si="2423"/>
        <v>0</v>
      </c>
      <c r="AX754" s="98">
        <f t="shared" si="2424"/>
        <v>0</v>
      </c>
      <c r="AY754" s="99" t="e">
        <f t="shared" si="2425"/>
        <v>#DIV/0!</v>
      </c>
      <c r="AZ754" s="100">
        <f t="shared" si="2426"/>
        <v>0</v>
      </c>
      <c r="BA754" s="101">
        <v>1</v>
      </c>
      <c r="BB754" s="102">
        <v>0</v>
      </c>
      <c r="BC754" s="84">
        <f t="shared" si="2427"/>
        <v>1</v>
      </c>
      <c r="BD754" s="83">
        <f t="shared" si="2302"/>
        <v>1</v>
      </c>
      <c r="BE754" s="85">
        <v>2</v>
      </c>
      <c r="BF754" s="86">
        <v>45546</v>
      </c>
      <c r="BG754" s="72" t="e">
        <f t="shared" si="2250"/>
        <v>#REF!</v>
      </c>
      <c r="BH754" s="103" t="e">
        <f t="shared" si="2428"/>
        <v>#REF!</v>
      </c>
      <c r="BI754" s="80" t="e">
        <f t="shared" si="2304"/>
        <v>#REF!</v>
      </c>
      <c r="BJ754" s="238">
        <v>12000</v>
      </c>
    </row>
    <row r="755" spans="1:62" ht="13">
      <c r="A755" s="49"/>
      <c r="B755" s="50"/>
      <c r="C755" s="77">
        <v>753</v>
      </c>
      <c r="D755" s="176" t="s">
        <v>1920</v>
      </c>
      <c r="E755" s="177">
        <v>4</v>
      </c>
      <c r="F755" s="88" t="s">
        <v>1469</v>
      </c>
      <c r="G755" s="89" t="s">
        <v>1470</v>
      </c>
      <c r="H755" s="89" t="s">
        <v>1699</v>
      </c>
      <c r="I755" s="80" t="s">
        <v>458</v>
      </c>
      <c r="J755" s="93">
        <f t="shared" si="2410"/>
        <v>1</v>
      </c>
      <c r="K755" s="88">
        <v>1</v>
      </c>
      <c r="L755" s="58"/>
      <c r="M755" s="58"/>
      <c r="N755" s="62">
        <f t="shared" si="2411"/>
        <v>1</v>
      </c>
      <c r="O755" s="60"/>
      <c r="P755" s="58"/>
      <c r="Q755" s="62">
        <f t="shared" si="2412"/>
        <v>1</v>
      </c>
      <c r="R755" s="60"/>
      <c r="S755" s="58"/>
      <c r="T755" s="94">
        <f t="shared" si="2413"/>
        <v>1</v>
      </c>
      <c r="U755" s="60"/>
      <c r="V755" s="58"/>
      <c r="W755" s="62">
        <f t="shared" si="2414"/>
        <v>1</v>
      </c>
      <c r="X755" s="60"/>
      <c r="Y755" s="58"/>
      <c r="Z755" s="94">
        <f t="shared" si="2415"/>
        <v>1</v>
      </c>
      <c r="AA755" s="60"/>
      <c r="AB755" s="58"/>
      <c r="AC755" s="62">
        <f t="shared" si="2416"/>
        <v>1</v>
      </c>
      <c r="AD755" s="57"/>
      <c r="AE755" s="58"/>
      <c r="AF755" s="165">
        <f t="shared" si="2417"/>
        <v>1</v>
      </c>
      <c r="AG755" s="60"/>
      <c r="AH755" s="58"/>
      <c r="AI755" s="62">
        <f t="shared" si="2418"/>
        <v>1</v>
      </c>
      <c r="AJ755" s="60"/>
      <c r="AK755" s="58"/>
      <c r="AL755" s="62">
        <f t="shared" si="2419"/>
        <v>1</v>
      </c>
      <c r="AM755" s="60"/>
      <c r="AN755" s="58"/>
      <c r="AO755" s="62">
        <f t="shared" si="2420"/>
        <v>1</v>
      </c>
      <c r="AP755" s="60"/>
      <c r="AQ755" s="58"/>
      <c r="AR755" s="62">
        <f t="shared" si="2421"/>
        <v>1</v>
      </c>
      <c r="AS755" s="60"/>
      <c r="AT755" s="58"/>
      <c r="AU755" s="62">
        <f t="shared" si="2422"/>
        <v>1</v>
      </c>
      <c r="AV755" s="96">
        <f t="shared" si="2423"/>
        <v>0</v>
      </c>
      <c r="AW755" s="83">
        <f t="shared" si="2423"/>
        <v>0</v>
      </c>
      <c r="AX755" s="98">
        <f t="shared" si="2424"/>
        <v>0</v>
      </c>
      <c r="AY755" s="99" t="e">
        <f t="shared" si="2425"/>
        <v>#DIV/0!</v>
      </c>
      <c r="AZ755" s="100">
        <f t="shared" si="2426"/>
        <v>0</v>
      </c>
      <c r="BA755" s="101">
        <v>1</v>
      </c>
      <c r="BB755" s="102">
        <v>0</v>
      </c>
      <c r="BC755" s="84">
        <f t="shared" si="2427"/>
        <v>1</v>
      </c>
      <c r="BD755" s="83">
        <f t="shared" si="2302"/>
        <v>1</v>
      </c>
      <c r="BE755" s="85">
        <v>2</v>
      </c>
      <c r="BF755" s="86">
        <v>45546</v>
      </c>
      <c r="BG755" s="72" t="e">
        <f t="shared" si="2250"/>
        <v>#REF!</v>
      </c>
      <c r="BH755" s="103" t="e">
        <f t="shared" si="2428"/>
        <v>#REF!</v>
      </c>
      <c r="BI755" s="80" t="e">
        <f t="shared" si="2304"/>
        <v>#REF!</v>
      </c>
      <c r="BJ755" s="238">
        <v>10900</v>
      </c>
    </row>
    <row r="756" spans="1:62" ht="13">
      <c r="A756" s="75"/>
      <c r="B756" s="76"/>
      <c r="C756" s="51">
        <v>754</v>
      </c>
      <c r="D756" s="176" t="s">
        <v>1920</v>
      </c>
      <c r="E756" s="177">
        <v>5</v>
      </c>
      <c r="F756" s="88" t="s">
        <v>1471</v>
      </c>
      <c r="G756" s="89" t="s">
        <v>1472</v>
      </c>
      <c r="H756" s="89" t="s">
        <v>1699</v>
      </c>
      <c r="I756" s="80" t="s">
        <v>458</v>
      </c>
      <c r="J756" s="93">
        <f t="shared" si="2410"/>
        <v>1</v>
      </c>
      <c r="K756" s="80">
        <v>1</v>
      </c>
      <c r="L756" s="58"/>
      <c r="M756" s="58"/>
      <c r="N756" s="62">
        <f t="shared" si="2411"/>
        <v>1</v>
      </c>
      <c r="O756" s="60"/>
      <c r="P756" s="58"/>
      <c r="Q756" s="62">
        <f t="shared" si="2412"/>
        <v>1</v>
      </c>
      <c r="R756" s="60"/>
      <c r="S756" s="58"/>
      <c r="T756" s="94">
        <f t="shared" si="2413"/>
        <v>1</v>
      </c>
      <c r="U756" s="60"/>
      <c r="V756" s="58"/>
      <c r="W756" s="62">
        <f t="shared" si="2414"/>
        <v>1</v>
      </c>
      <c r="X756" s="60"/>
      <c r="Y756" s="58"/>
      <c r="Z756" s="94">
        <f t="shared" si="2415"/>
        <v>1</v>
      </c>
      <c r="AA756" s="60"/>
      <c r="AB756" s="58"/>
      <c r="AC756" s="62">
        <f t="shared" si="2416"/>
        <v>1</v>
      </c>
      <c r="AD756" s="57"/>
      <c r="AE756" s="58"/>
      <c r="AF756" s="165">
        <f t="shared" si="2417"/>
        <v>1</v>
      </c>
      <c r="AG756" s="60"/>
      <c r="AH756" s="58"/>
      <c r="AI756" s="62">
        <f t="shared" si="2418"/>
        <v>1</v>
      </c>
      <c r="AJ756" s="60"/>
      <c r="AK756" s="58"/>
      <c r="AL756" s="62">
        <f t="shared" si="2419"/>
        <v>1</v>
      </c>
      <c r="AM756" s="60"/>
      <c r="AN756" s="58"/>
      <c r="AO756" s="62">
        <f t="shared" si="2420"/>
        <v>1</v>
      </c>
      <c r="AP756" s="60"/>
      <c r="AQ756" s="58"/>
      <c r="AR756" s="62">
        <f t="shared" si="2421"/>
        <v>1</v>
      </c>
      <c r="AS756" s="60"/>
      <c r="AT756" s="58"/>
      <c r="AU756" s="62">
        <f t="shared" si="2422"/>
        <v>1</v>
      </c>
      <c r="AV756" s="96">
        <f t="shared" si="2423"/>
        <v>0</v>
      </c>
      <c r="AW756" s="83">
        <f t="shared" si="2423"/>
        <v>0</v>
      </c>
      <c r="AX756" s="98">
        <f t="shared" si="2424"/>
        <v>0</v>
      </c>
      <c r="AY756" s="99" t="e">
        <f t="shared" si="2425"/>
        <v>#DIV/0!</v>
      </c>
      <c r="AZ756" s="100">
        <f t="shared" si="2426"/>
        <v>0</v>
      </c>
      <c r="BA756" s="101">
        <v>1</v>
      </c>
      <c r="BB756" s="102">
        <v>0</v>
      </c>
      <c r="BC756" s="84">
        <f t="shared" si="2427"/>
        <v>1</v>
      </c>
      <c r="BD756" s="83">
        <f t="shared" si="2302"/>
        <v>1</v>
      </c>
      <c r="BE756" s="85">
        <v>2</v>
      </c>
      <c r="BF756" s="86">
        <v>45546</v>
      </c>
      <c r="BG756" s="72" t="e">
        <f t="shared" si="2250"/>
        <v>#REF!</v>
      </c>
      <c r="BH756" s="103" t="e">
        <f t="shared" si="2428"/>
        <v>#REF!</v>
      </c>
      <c r="BI756" s="80" t="e">
        <f t="shared" si="2304"/>
        <v>#REF!</v>
      </c>
      <c r="BJ756" s="238">
        <v>9300</v>
      </c>
    </row>
    <row r="757" spans="1:62" ht="13">
      <c r="A757" s="49"/>
      <c r="B757" s="76"/>
      <c r="C757" s="51">
        <v>755</v>
      </c>
      <c r="D757" s="176" t="s">
        <v>1920</v>
      </c>
      <c r="E757" s="177">
        <v>6</v>
      </c>
      <c r="F757" s="88" t="s">
        <v>1473</v>
      </c>
      <c r="G757" s="89" t="s">
        <v>1474</v>
      </c>
      <c r="H757" s="89" t="s">
        <v>1699</v>
      </c>
      <c r="I757" s="80" t="s">
        <v>458</v>
      </c>
      <c r="J757" s="93">
        <f t="shared" si="2410"/>
        <v>1</v>
      </c>
      <c r="K757" s="88">
        <v>1</v>
      </c>
      <c r="L757" s="58"/>
      <c r="M757" s="58"/>
      <c r="N757" s="62">
        <f t="shared" si="2411"/>
        <v>1</v>
      </c>
      <c r="O757" s="60"/>
      <c r="P757" s="58"/>
      <c r="Q757" s="62">
        <f t="shared" si="2412"/>
        <v>1</v>
      </c>
      <c r="R757" s="60"/>
      <c r="S757" s="58"/>
      <c r="T757" s="94">
        <f t="shared" si="2413"/>
        <v>1</v>
      </c>
      <c r="U757" s="60"/>
      <c r="V757" s="58"/>
      <c r="W757" s="62">
        <f t="shared" si="2414"/>
        <v>1</v>
      </c>
      <c r="X757" s="60"/>
      <c r="Y757" s="58"/>
      <c r="Z757" s="94">
        <f t="shared" si="2415"/>
        <v>1</v>
      </c>
      <c r="AA757" s="60"/>
      <c r="AB757" s="58"/>
      <c r="AC757" s="62">
        <f t="shared" si="2416"/>
        <v>1</v>
      </c>
      <c r="AD757" s="57"/>
      <c r="AE757" s="58"/>
      <c r="AF757" s="165">
        <f t="shared" si="2417"/>
        <v>1</v>
      </c>
      <c r="AG757" s="60"/>
      <c r="AH757" s="58"/>
      <c r="AI757" s="62">
        <f t="shared" si="2418"/>
        <v>1</v>
      </c>
      <c r="AJ757" s="60"/>
      <c r="AK757" s="58"/>
      <c r="AL757" s="62">
        <f t="shared" si="2419"/>
        <v>1</v>
      </c>
      <c r="AM757" s="60"/>
      <c r="AN757" s="58"/>
      <c r="AO757" s="62">
        <f t="shared" si="2420"/>
        <v>1</v>
      </c>
      <c r="AP757" s="60"/>
      <c r="AQ757" s="58"/>
      <c r="AR757" s="62">
        <f t="shared" si="2421"/>
        <v>1</v>
      </c>
      <c r="AS757" s="60"/>
      <c r="AT757" s="58"/>
      <c r="AU757" s="62">
        <f t="shared" si="2422"/>
        <v>1</v>
      </c>
      <c r="AV757" s="96">
        <f t="shared" si="2423"/>
        <v>0</v>
      </c>
      <c r="AW757" s="83">
        <f t="shared" si="2423"/>
        <v>0</v>
      </c>
      <c r="AX757" s="98">
        <f t="shared" si="2424"/>
        <v>0</v>
      </c>
      <c r="AY757" s="99" t="e">
        <f t="shared" si="2425"/>
        <v>#DIV/0!</v>
      </c>
      <c r="AZ757" s="100">
        <f t="shared" si="2426"/>
        <v>0</v>
      </c>
      <c r="BA757" s="101">
        <v>1</v>
      </c>
      <c r="BB757" s="102">
        <v>0</v>
      </c>
      <c r="BC757" s="84">
        <f t="shared" si="2427"/>
        <v>1</v>
      </c>
      <c r="BD757" s="83">
        <f t="shared" si="2302"/>
        <v>1</v>
      </c>
      <c r="BE757" s="85">
        <v>2</v>
      </c>
      <c r="BF757" s="86">
        <v>45546</v>
      </c>
      <c r="BG757" s="72" t="e">
        <f t="shared" si="2250"/>
        <v>#REF!</v>
      </c>
      <c r="BH757" s="103" t="e">
        <f t="shared" si="2428"/>
        <v>#REF!</v>
      </c>
      <c r="BI757" s="80" t="e">
        <f t="shared" si="2304"/>
        <v>#REF!</v>
      </c>
      <c r="BJ757" s="238">
        <v>36000</v>
      </c>
    </row>
    <row r="758" spans="1:62" ht="13">
      <c r="A758" s="49"/>
      <c r="B758" s="76"/>
      <c r="C758" s="51">
        <v>756</v>
      </c>
      <c r="D758" s="176" t="s">
        <v>1920</v>
      </c>
      <c r="E758" s="177">
        <v>7</v>
      </c>
      <c r="F758" s="88" t="s">
        <v>1435</v>
      </c>
      <c r="G758" s="89" t="s">
        <v>1436</v>
      </c>
      <c r="H758" s="89" t="s">
        <v>1699</v>
      </c>
      <c r="I758" s="80" t="s">
        <v>458</v>
      </c>
      <c r="J758" s="93">
        <f t="shared" si="2410"/>
        <v>2</v>
      </c>
      <c r="K758" s="80">
        <v>2</v>
      </c>
      <c r="L758" s="58"/>
      <c r="M758" s="58"/>
      <c r="N758" s="62">
        <f t="shared" si="2411"/>
        <v>2</v>
      </c>
      <c r="O758" s="60"/>
      <c r="P758" s="58"/>
      <c r="Q758" s="62">
        <f t="shared" si="2412"/>
        <v>2</v>
      </c>
      <c r="R758" s="60"/>
      <c r="S758" s="58"/>
      <c r="T758" s="94">
        <f t="shared" si="2413"/>
        <v>2</v>
      </c>
      <c r="U758" s="60"/>
      <c r="V758" s="58"/>
      <c r="W758" s="62">
        <f t="shared" si="2414"/>
        <v>2</v>
      </c>
      <c r="X758" s="60"/>
      <c r="Y758" s="58"/>
      <c r="Z758" s="94">
        <f t="shared" si="2415"/>
        <v>2</v>
      </c>
      <c r="AA758" s="60"/>
      <c r="AB758" s="58"/>
      <c r="AC758" s="62">
        <f t="shared" si="2416"/>
        <v>2</v>
      </c>
      <c r="AD758" s="57"/>
      <c r="AE758" s="58"/>
      <c r="AF758" s="165">
        <f t="shared" si="2417"/>
        <v>2</v>
      </c>
      <c r="AG758" s="60"/>
      <c r="AH758" s="58"/>
      <c r="AI758" s="62">
        <f t="shared" si="2418"/>
        <v>2</v>
      </c>
      <c r="AJ758" s="60"/>
      <c r="AK758" s="58"/>
      <c r="AL758" s="62">
        <f t="shared" si="2419"/>
        <v>2</v>
      </c>
      <c r="AM758" s="60"/>
      <c r="AN758" s="58"/>
      <c r="AO758" s="62">
        <f t="shared" si="2420"/>
        <v>2</v>
      </c>
      <c r="AP758" s="60"/>
      <c r="AQ758" s="58"/>
      <c r="AR758" s="62">
        <f t="shared" si="2421"/>
        <v>2</v>
      </c>
      <c r="AS758" s="60"/>
      <c r="AT758" s="58"/>
      <c r="AU758" s="62">
        <f t="shared" si="2422"/>
        <v>2</v>
      </c>
      <c r="AV758" s="96">
        <f t="shared" si="2423"/>
        <v>0</v>
      </c>
      <c r="AW758" s="83">
        <f t="shared" si="2423"/>
        <v>0</v>
      </c>
      <c r="AX758" s="98">
        <f t="shared" si="2424"/>
        <v>0</v>
      </c>
      <c r="AY758" s="99" t="e">
        <f t="shared" si="2425"/>
        <v>#DIV/0!</v>
      </c>
      <c r="AZ758" s="100">
        <f t="shared" si="2426"/>
        <v>0</v>
      </c>
      <c r="BA758" s="101">
        <v>2</v>
      </c>
      <c r="BB758" s="102">
        <v>1</v>
      </c>
      <c r="BC758" s="84">
        <f t="shared" si="2427"/>
        <v>2</v>
      </c>
      <c r="BD758" s="83">
        <f t="shared" si="2302"/>
        <v>1</v>
      </c>
      <c r="BE758" s="85">
        <v>2</v>
      </c>
      <c r="BF758" s="86">
        <v>45546</v>
      </c>
      <c r="BG758" s="72" t="e">
        <f t="shared" si="2250"/>
        <v>#REF!</v>
      </c>
      <c r="BH758" s="103" t="e">
        <f t="shared" si="2428"/>
        <v>#REF!</v>
      </c>
      <c r="BI758" s="80" t="e">
        <f t="shared" si="2304"/>
        <v>#REF!</v>
      </c>
      <c r="BJ758" s="238">
        <v>450</v>
      </c>
    </row>
    <row r="759" spans="1:62" ht="13">
      <c r="A759" s="49"/>
      <c r="B759" s="50"/>
      <c r="C759" s="51">
        <v>757</v>
      </c>
      <c r="D759" s="176" t="s">
        <v>1920</v>
      </c>
      <c r="E759" s="177">
        <v>8</v>
      </c>
      <c r="F759" s="88" t="s">
        <v>1475</v>
      </c>
      <c r="G759" s="89" t="s">
        <v>1476</v>
      </c>
      <c r="H759" s="89" t="s">
        <v>1699</v>
      </c>
      <c r="I759" s="80" t="s">
        <v>458</v>
      </c>
      <c r="J759" s="93">
        <f t="shared" si="2410"/>
        <v>2</v>
      </c>
      <c r="K759" s="88">
        <v>2</v>
      </c>
      <c r="L759" s="58"/>
      <c r="M759" s="58"/>
      <c r="N759" s="62">
        <f t="shared" si="2411"/>
        <v>2</v>
      </c>
      <c r="O759" s="60"/>
      <c r="P759" s="58"/>
      <c r="Q759" s="62">
        <f t="shared" si="2412"/>
        <v>2</v>
      </c>
      <c r="R759" s="60"/>
      <c r="S759" s="58"/>
      <c r="T759" s="94">
        <f t="shared" si="2413"/>
        <v>2</v>
      </c>
      <c r="U759" s="60"/>
      <c r="V759" s="58"/>
      <c r="W759" s="62">
        <f t="shared" si="2414"/>
        <v>2</v>
      </c>
      <c r="X759" s="60"/>
      <c r="Y759" s="58"/>
      <c r="Z759" s="94">
        <f t="shared" si="2415"/>
        <v>2</v>
      </c>
      <c r="AA759" s="60"/>
      <c r="AB759" s="58"/>
      <c r="AC759" s="62">
        <f t="shared" si="2416"/>
        <v>2</v>
      </c>
      <c r="AD759" s="57"/>
      <c r="AE759" s="58"/>
      <c r="AF759" s="165">
        <f t="shared" si="2417"/>
        <v>2</v>
      </c>
      <c r="AG759" s="60"/>
      <c r="AH759" s="58"/>
      <c r="AI759" s="62">
        <f t="shared" si="2418"/>
        <v>2</v>
      </c>
      <c r="AJ759" s="60"/>
      <c r="AK759" s="58"/>
      <c r="AL759" s="62">
        <f t="shared" si="2419"/>
        <v>2</v>
      </c>
      <c r="AM759" s="60"/>
      <c r="AN759" s="58"/>
      <c r="AO759" s="62">
        <f t="shared" si="2420"/>
        <v>2</v>
      </c>
      <c r="AP759" s="60"/>
      <c r="AQ759" s="58"/>
      <c r="AR759" s="62">
        <f t="shared" si="2421"/>
        <v>2</v>
      </c>
      <c r="AS759" s="60"/>
      <c r="AT759" s="58"/>
      <c r="AU759" s="62">
        <f t="shared" si="2422"/>
        <v>2</v>
      </c>
      <c r="AV759" s="96">
        <f t="shared" si="2423"/>
        <v>0</v>
      </c>
      <c r="AW759" s="83">
        <f t="shared" si="2423"/>
        <v>0</v>
      </c>
      <c r="AX759" s="98">
        <f t="shared" si="2424"/>
        <v>0</v>
      </c>
      <c r="AY759" s="99" t="e">
        <f t="shared" si="2425"/>
        <v>#DIV/0!</v>
      </c>
      <c r="AZ759" s="100">
        <f t="shared" si="2426"/>
        <v>0</v>
      </c>
      <c r="BA759" s="101">
        <v>2</v>
      </c>
      <c r="BB759" s="102">
        <v>1</v>
      </c>
      <c r="BC759" s="84">
        <f t="shared" si="2427"/>
        <v>2</v>
      </c>
      <c r="BD759" s="83">
        <f t="shared" si="2302"/>
        <v>1</v>
      </c>
      <c r="BE759" s="85">
        <v>2</v>
      </c>
      <c r="BF759" s="86">
        <v>45546</v>
      </c>
      <c r="BG759" s="72" t="e">
        <f t="shared" si="2250"/>
        <v>#REF!</v>
      </c>
      <c r="BH759" s="103" t="e">
        <f t="shared" si="2428"/>
        <v>#REF!</v>
      </c>
      <c r="BI759" s="80" t="e">
        <f t="shared" si="2304"/>
        <v>#REF!</v>
      </c>
      <c r="BJ759" s="238">
        <v>1200</v>
      </c>
    </row>
    <row r="760" spans="1:62" ht="13">
      <c r="A760" s="75"/>
      <c r="B760" s="76"/>
      <c r="C760" s="77">
        <v>758</v>
      </c>
      <c r="D760" s="176" t="s">
        <v>1920</v>
      </c>
      <c r="E760" s="177">
        <v>9</v>
      </c>
      <c r="F760" s="88" t="s">
        <v>1437</v>
      </c>
      <c r="G760" s="89" t="s">
        <v>1438</v>
      </c>
      <c r="H760" s="89" t="s">
        <v>1699</v>
      </c>
      <c r="I760" s="80" t="s">
        <v>458</v>
      </c>
      <c r="J760" s="93">
        <f t="shared" si="2410"/>
        <v>1</v>
      </c>
      <c r="K760" s="80">
        <v>1</v>
      </c>
      <c r="L760" s="58"/>
      <c r="M760" s="58"/>
      <c r="N760" s="62">
        <f t="shared" si="2411"/>
        <v>1</v>
      </c>
      <c r="O760" s="60"/>
      <c r="P760" s="58"/>
      <c r="Q760" s="62">
        <f t="shared" si="2412"/>
        <v>1</v>
      </c>
      <c r="R760" s="60"/>
      <c r="S760" s="58"/>
      <c r="T760" s="94">
        <f t="shared" si="2413"/>
        <v>1</v>
      </c>
      <c r="U760" s="60"/>
      <c r="V760" s="58"/>
      <c r="W760" s="62">
        <f t="shared" si="2414"/>
        <v>1</v>
      </c>
      <c r="X760" s="60"/>
      <c r="Y760" s="58"/>
      <c r="Z760" s="94">
        <f t="shared" si="2415"/>
        <v>1</v>
      </c>
      <c r="AA760" s="60"/>
      <c r="AB760" s="58"/>
      <c r="AC760" s="62">
        <f t="shared" si="2416"/>
        <v>1</v>
      </c>
      <c r="AD760" s="57"/>
      <c r="AE760" s="58"/>
      <c r="AF760" s="165">
        <f t="shared" si="2417"/>
        <v>1</v>
      </c>
      <c r="AG760" s="60"/>
      <c r="AH760" s="58"/>
      <c r="AI760" s="62">
        <f t="shared" si="2418"/>
        <v>1</v>
      </c>
      <c r="AJ760" s="60"/>
      <c r="AK760" s="58"/>
      <c r="AL760" s="62">
        <f t="shared" si="2419"/>
        <v>1</v>
      </c>
      <c r="AM760" s="60"/>
      <c r="AN760" s="58"/>
      <c r="AO760" s="62">
        <f t="shared" si="2420"/>
        <v>1</v>
      </c>
      <c r="AP760" s="60"/>
      <c r="AQ760" s="58"/>
      <c r="AR760" s="62">
        <f t="shared" si="2421"/>
        <v>1</v>
      </c>
      <c r="AS760" s="60"/>
      <c r="AT760" s="58"/>
      <c r="AU760" s="62">
        <f t="shared" si="2422"/>
        <v>1</v>
      </c>
      <c r="AV760" s="96">
        <f t="shared" si="2423"/>
        <v>0</v>
      </c>
      <c r="AW760" s="83">
        <f t="shared" si="2423"/>
        <v>0</v>
      </c>
      <c r="AX760" s="98">
        <f t="shared" si="2424"/>
        <v>0</v>
      </c>
      <c r="AY760" s="99" t="e">
        <f t="shared" si="2425"/>
        <v>#DIV/0!</v>
      </c>
      <c r="AZ760" s="100">
        <f t="shared" si="2426"/>
        <v>0</v>
      </c>
      <c r="BA760" s="101">
        <v>1</v>
      </c>
      <c r="BB760" s="102">
        <v>0</v>
      </c>
      <c r="BC760" s="84">
        <f t="shared" si="2427"/>
        <v>1</v>
      </c>
      <c r="BD760" s="83">
        <f t="shared" si="2302"/>
        <v>1</v>
      </c>
      <c r="BE760" s="85">
        <v>2</v>
      </c>
      <c r="BF760" s="86">
        <v>45546</v>
      </c>
      <c r="BG760" s="72" t="e">
        <f t="shared" si="2250"/>
        <v>#REF!</v>
      </c>
      <c r="BH760" s="103" t="e">
        <f t="shared" si="2428"/>
        <v>#REF!</v>
      </c>
      <c r="BI760" s="80" t="e">
        <f t="shared" si="2304"/>
        <v>#REF!</v>
      </c>
      <c r="BJ760" s="238">
        <v>1500</v>
      </c>
    </row>
    <row r="761" spans="1:62" ht="13">
      <c r="A761" s="49"/>
      <c r="B761" s="50"/>
      <c r="C761" s="77">
        <v>759</v>
      </c>
      <c r="D761" s="176" t="s">
        <v>1920</v>
      </c>
      <c r="E761" s="177">
        <v>10</v>
      </c>
      <c r="F761" s="88" t="s">
        <v>1477</v>
      </c>
      <c r="G761" s="89" t="s">
        <v>1478</v>
      </c>
      <c r="H761" s="89" t="s">
        <v>1699</v>
      </c>
      <c r="I761" s="80" t="s">
        <v>458</v>
      </c>
      <c r="J761" s="93">
        <f t="shared" si="2410"/>
        <v>1</v>
      </c>
      <c r="K761" s="88">
        <v>1</v>
      </c>
      <c r="L761" s="58"/>
      <c r="M761" s="58"/>
      <c r="N761" s="62">
        <f t="shared" si="2411"/>
        <v>1</v>
      </c>
      <c r="O761" s="60"/>
      <c r="P761" s="58"/>
      <c r="Q761" s="62">
        <f t="shared" si="2412"/>
        <v>1</v>
      </c>
      <c r="R761" s="60"/>
      <c r="S761" s="58"/>
      <c r="T761" s="94">
        <f t="shared" si="2413"/>
        <v>1</v>
      </c>
      <c r="U761" s="60"/>
      <c r="V761" s="58"/>
      <c r="W761" s="62">
        <f t="shared" si="2414"/>
        <v>1</v>
      </c>
      <c r="X761" s="60"/>
      <c r="Y761" s="58"/>
      <c r="Z761" s="94">
        <f t="shared" si="2415"/>
        <v>1</v>
      </c>
      <c r="AA761" s="60"/>
      <c r="AB761" s="58"/>
      <c r="AC761" s="62">
        <f t="shared" si="2416"/>
        <v>1</v>
      </c>
      <c r="AD761" s="57"/>
      <c r="AE761" s="58"/>
      <c r="AF761" s="165">
        <f t="shared" si="2417"/>
        <v>1</v>
      </c>
      <c r="AG761" s="60"/>
      <c r="AH761" s="58"/>
      <c r="AI761" s="62">
        <f t="shared" si="2418"/>
        <v>1</v>
      </c>
      <c r="AJ761" s="60"/>
      <c r="AK761" s="58"/>
      <c r="AL761" s="62">
        <f t="shared" si="2419"/>
        <v>1</v>
      </c>
      <c r="AM761" s="60"/>
      <c r="AN761" s="58"/>
      <c r="AO761" s="62">
        <f t="shared" si="2420"/>
        <v>1</v>
      </c>
      <c r="AP761" s="60"/>
      <c r="AQ761" s="58"/>
      <c r="AR761" s="62">
        <f t="shared" si="2421"/>
        <v>1</v>
      </c>
      <c r="AS761" s="60"/>
      <c r="AT761" s="58"/>
      <c r="AU761" s="62">
        <f t="shared" si="2422"/>
        <v>1</v>
      </c>
      <c r="AV761" s="96">
        <f t="shared" si="2423"/>
        <v>0</v>
      </c>
      <c r="AW761" s="83">
        <f t="shared" si="2423"/>
        <v>0</v>
      </c>
      <c r="AX761" s="98">
        <f t="shared" si="2424"/>
        <v>0</v>
      </c>
      <c r="AY761" s="99" t="e">
        <f t="shared" si="2425"/>
        <v>#DIV/0!</v>
      </c>
      <c r="AZ761" s="100">
        <f t="shared" si="2426"/>
        <v>0</v>
      </c>
      <c r="BA761" s="101">
        <v>1</v>
      </c>
      <c r="BB761" s="102">
        <v>0</v>
      </c>
      <c r="BC761" s="84">
        <f t="shared" si="2427"/>
        <v>1</v>
      </c>
      <c r="BD761" s="83">
        <f t="shared" si="2302"/>
        <v>1</v>
      </c>
      <c r="BE761" s="85">
        <v>2</v>
      </c>
      <c r="BF761" s="86">
        <v>45546</v>
      </c>
      <c r="BG761" s="72" t="e">
        <f t="shared" si="2250"/>
        <v>#REF!</v>
      </c>
      <c r="BH761" s="103" t="e">
        <f t="shared" si="2428"/>
        <v>#REF!</v>
      </c>
      <c r="BI761" s="80" t="e">
        <f t="shared" si="2304"/>
        <v>#REF!</v>
      </c>
      <c r="BJ761" s="238">
        <v>24000</v>
      </c>
    </row>
    <row r="762" spans="1:62" ht="13">
      <c r="A762" s="90"/>
      <c r="B762" s="91"/>
      <c r="C762" s="51">
        <v>760</v>
      </c>
      <c r="D762" s="176" t="s">
        <v>1920</v>
      </c>
      <c r="E762" s="177">
        <v>11</v>
      </c>
      <c r="F762" s="88" t="s">
        <v>1439</v>
      </c>
      <c r="G762" s="89" t="s">
        <v>1440</v>
      </c>
      <c r="H762" s="89" t="s">
        <v>1699</v>
      </c>
      <c r="I762" s="80" t="s">
        <v>458</v>
      </c>
      <c r="J762" s="93">
        <f t="shared" si="2410"/>
        <v>1</v>
      </c>
      <c r="K762" s="80">
        <v>1</v>
      </c>
      <c r="L762" s="58"/>
      <c r="M762" s="58"/>
      <c r="N762" s="62">
        <f t="shared" si="2411"/>
        <v>1</v>
      </c>
      <c r="O762" s="60"/>
      <c r="P762" s="58"/>
      <c r="Q762" s="62">
        <f t="shared" si="2412"/>
        <v>1</v>
      </c>
      <c r="R762" s="60"/>
      <c r="S762" s="58"/>
      <c r="T762" s="94">
        <f t="shared" si="2413"/>
        <v>1</v>
      </c>
      <c r="U762" s="60"/>
      <c r="V762" s="58"/>
      <c r="W762" s="62">
        <f t="shared" si="2414"/>
        <v>1</v>
      </c>
      <c r="X762" s="60"/>
      <c r="Y762" s="58"/>
      <c r="Z762" s="94">
        <f t="shared" si="2415"/>
        <v>1</v>
      </c>
      <c r="AA762" s="60"/>
      <c r="AB762" s="58"/>
      <c r="AC762" s="62">
        <f t="shared" si="2416"/>
        <v>1</v>
      </c>
      <c r="AD762" s="57"/>
      <c r="AE762" s="58"/>
      <c r="AF762" s="165">
        <f t="shared" si="2417"/>
        <v>1</v>
      </c>
      <c r="AG762" s="60"/>
      <c r="AH762" s="58"/>
      <c r="AI762" s="62">
        <f t="shared" si="2418"/>
        <v>1</v>
      </c>
      <c r="AJ762" s="60"/>
      <c r="AK762" s="58"/>
      <c r="AL762" s="62">
        <f t="shared" si="2419"/>
        <v>1</v>
      </c>
      <c r="AM762" s="60"/>
      <c r="AN762" s="58"/>
      <c r="AO762" s="62">
        <f t="shared" si="2420"/>
        <v>1</v>
      </c>
      <c r="AP762" s="60"/>
      <c r="AQ762" s="58"/>
      <c r="AR762" s="62">
        <f t="shared" si="2421"/>
        <v>1</v>
      </c>
      <c r="AS762" s="60"/>
      <c r="AT762" s="58"/>
      <c r="AU762" s="62">
        <f t="shared" si="2422"/>
        <v>1</v>
      </c>
      <c r="AV762" s="96">
        <f t="shared" si="2423"/>
        <v>0</v>
      </c>
      <c r="AW762" s="83">
        <f t="shared" si="2423"/>
        <v>0</v>
      </c>
      <c r="AX762" s="98">
        <f t="shared" si="2424"/>
        <v>0</v>
      </c>
      <c r="AY762" s="99" t="e">
        <f t="shared" si="2425"/>
        <v>#DIV/0!</v>
      </c>
      <c r="AZ762" s="100">
        <f t="shared" si="2426"/>
        <v>0</v>
      </c>
      <c r="BA762" s="101">
        <v>1</v>
      </c>
      <c r="BB762" s="102">
        <v>0</v>
      </c>
      <c r="BC762" s="84">
        <f t="shared" si="2427"/>
        <v>1</v>
      </c>
      <c r="BD762" s="83">
        <f t="shared" si="2302"/>
        <v>1</v>
      </c>
      <c r="BE762" s="85">
        <v>2</v>
      </c>
      <c r="BF762" s="86">
        <v>45546</v>
      </c>
      <c r="BG762" s="72" t="e">
        <f t="shared" si="2250"/>
        <v>#REF!</v>
      </c>
      <c r="BH762" s="103" t="e">
        <f t="shared" si="2428"/>
        <v>#REF!</v>
      </c>
      <c r="BI762" s="80" t="e">
        <f t="shared" si="2304"/>
        <v>#REF!</v>
      </c>
      <c r="BJ762" s="238">
        <v>3500</v>
      </c>
    </row>
    <row r="763" spans="1:62" ht="13">
      <c r="A763" s="49"/>
      <c r="B763" s="50"/>
      <c r="C763" s="51">
        <v>761</v>
      </c>
      <c r="D763" s="176" t="s">
        <v>1920</v>
      </c>
      <c r="E763" s="177">
        <v>12</v>
      </c>
      <c r="F763" s="88" t="s">
        <v>1441</v>
      </c>
      <c r="G763" s="89" t="s">
        <v>1442</v>
      </c>
      <c r="H763" s="89" t="s">
        <v>1699</v>
      </c>
      <c r="I763" s="80" t="s">
        <v>458</v>
      </c>
      <c r="J763" s="93">
        <f t="shared" si="2410"/>
        <v>1</v>
      </c>
      <c r="K763" s="88">
        <v>1</v>
      </c>
      <c r="L763" s="58"/>
      <c r="M763" s="58"/>
      <c r="N763" s="62">
        <f t="shared" si="2411"/>
        <v>1</v>
      </c>
      <c r="O763" s="60"/>
      <c r="P763" s="58"/>
      <c r="Q763" s="62">
        <f t="shared" si="2412"/>
        <v>1</v>
      </c>
      <c r="R763" s="60"/>
      <c r="S763" s="58"/>
      <c r="T763" s="94">
        <f t="shared" si="2413"/>
        <v>1</v>
      </c>
      <c r="U763" s="60"/>
      <c r="V763" s="58"/>
      <c r="W763" s="62">
        <f t="shared" si="2414"/>
        <v>1</v>
      </c>
      <c r="X763" s="60"/>
      <c r="Y763" s="58"/>
      <c r="Z763" s="94">
        <f t="shared" si="2415"/>
        <v>1</v>
      </c>
      <c r="AA763" s="60"/>
      <c r="AB763" s="58"/>
      <c r="AC763" s="62">
        <f t="shared" si="2416"/>
        <v>1</v>
      </c>
      <c r="AD763" s="57"/>
      <c r="AE763" s="58"/>
      <c r="AF763" s="165">
        <f t="shared" si="2417"/>
        <v>1</v>
      </c>
      <c r="AG763" s="60"/>
      <c r="AH763" s="58"/>
      <c r="AI763" s="62">
        <f t="shared" si="2418"/>
        <v>1</v>
      </c>
      <c r="AJ763" s="60"/>
      <c r="AK763" s="58"/>
      <c r="AL763" s="62">
        <f t="shared" si="2419"/>
        <v>1</v>
      </c>
      <c r="AM763" s="60"/>
      <c r="AN763" s="58"/>
      <c r="AO763" s="62">
        <f t="shared" si="2420"/>
        <v>1</v>
      </c>
      <c r="AP763" s="60"/>
      <c r="AQ763" s="58"/>
      <c r="AR763" s="62">
        <f t="shared" si="2421"/>
        <v>1</v>
      </c>
      <c r="AS763" s="60"/>
      <c r="AT763" s="58"/>
      <c r="AU763" s="62">
        <f t="shared" si="2422"/>
        <v>1</v>
      </c>
      <c r="AV763" s="96">
        <f t="shared" si="2423"/>
        <v>0</v>
      </c>
      <c r="AW763" s="83">
        <f t="shared" si="2423"/>
        <v>0</v>
      </c>
      <c r="AX763" s="98">
        <f t="shared" si="2424"/>
        <v>0</v>
      </c>
      <c r="AY763" s="99" t="e">
        <f t="shared" si="2425"/>
        <v>#DIV/0!</v>
      </c>
      <c r="AZ763" s="100">
        <f t="shared" si="2426"/>
        <v>0</v>
      </c>
      <c r="BA763" s="101">
        <v>1</v>
      </c>
      <c r="BB763" s="102">
        <v>0</v>
      </c>
      <c r="BC763" s="84">
        <f t="shared" si="2427"/>
        <v>1</v>
      </c>
      <c r="BD763" s="83">
        <f t="shared" si="2302"/>
        <v>1</v>
      </c>
      <c r="BE763" s="85">
        <v>2</v>
      </c>
      <c r="BF763" s="86">
        <v>45546</v>
      </c>
      <c r="BG763" s="72" t="e">
        <f t="shared" si="2250"/>
        <v>#REF!</v>
      </c>
      <c r="BH763" s="103" t="e">
        <f t="shared" si="2428"/>
        <v>#REF!</v>
      </c>
      <c r="BI763" s="80" t="e">
        <f t="shared" si="2304"/>
        <v>#REF!</v>
      </c>
      <c r="BJ763" s="238">
        <v>200</v>
      </c>
    </row>
    <row r="764" spans="1:62" ht="13">
      <c r="A764" s="75"/>
      <c r="B764" s="76"/>
      <c r="C764" s="51">
        <v>762</v>
      </c>
      <c r="D764" s="176" t="s">
        <v>1920</v>
      </c>
      <c r="E764" s="177">
        <v>13</v>
      </c>
      <c r="F764" s="88" t="s">
        <v>1443</v>
      </c>
      <c r="G764" s="89" t="s">
        <v>1444</v>
      </c>
      <c r="H764" s="89" t="s">
        <v>1699</v>
      </c>
      <c r="I764" s="80" t="s">
        <v>458</v>
      </c>
      <c r="J764" s="93">
        <f t="shared" si="2410"/>
        <v>1</v>
      </c>
      <c r="K764" s="80">
        <v>1</v>
      </c>
      <c r="L764" s="58"/>
      <c r="M764" s="58"/>
      <c r="N764" s="62">
        <f t="shared" si="2411"/>
        <v>1</v>
      </c>
      <c r="O764" s="60"/>
      <c r="P764" s="58"/>
      <c r="Q764" s="62">
        <f t="shared" si="2412"/>
        <v>1</v>
      </c>
      <c r="R764" s="60"/>
      <c r="S764" s="58"/>
      <c r="T764" s="94">
        <f t="shared" si="2413"/>
        <v>1</v>
      </c>
      <c r="U764" s="60"/>
      <c r="V764" s="58"/>
      <c r="W764" s="62">
        <f t="shared" si="2414"/>
        <v>1</v>
      </c>
      <c r="X764" s="60"/>
      <c r="Y764" s="58"/>
      <c r="Z764" s="94">
        <f t="shared" si="2415"/>
        <v>1</v>
      </c>
      <c r="AA764" s="60"/>
      <c r="AB764" s="58"/>
      <c r="AC764" s="62">
        <f t="shared" si="2416"/>
        <v>1</v>
      </c>
      <c r="AD764" s="57"/>
      <c r="AE764" s="58"/>
      <c r="AF764" s="165">
        <f t="shared" si="2417"/>
        <v>1</v>
      </c>
      <c r="AG764" s="60"/>
      <c r="AH764" s="58"/>
      <c r="AI764" s="62">
        <f t="shared" si="2418"/>
        <v>1</v>
      </c>
      <c r="AJ764" s="60"/>
      <c r="AK764" s="58"/>
      <c r="AL764" s="62">
        <f t="shared" si="2419"/>
        <v>1</v>
      </c>
      <c r="AM764" s="60"/>
      <c r="AN764" s="58"/>
      <c r="AO764" s="62">
        <f t="shared" si="2420"/>
        <v>1</v>
      </c>
      <c r="AP764" s="60"/>
      <c r="AQ764" s="58"/>
      <c r="AR764" s="62">
        <f t="shared" si="2421"/>
        <v>1</v>
      </c>
      <c r="AS764" s="60"/>
      <c r="AT764" s="58"/>
      <c r="AU764" s="62">
        <f t="shared" si="2422"/>
        <v>1</v>
      </c>
      <c r="AV764" s="96">
        <f t="shared" si="2423"/>
        <v>0</v>
      </c>
      <c r="AW764" s="83">
        <f t="shared" si="2423"/>
        <v>0</v>
      </c>
      <c r="AX764" s="98">
        <f t="shared" si="2424"/>
        <v>0</v>
      </c>
      <c r="AY764" s="99" t="e">
        <f t="shared" si="2425"/>
        <v>#DIV/0!</v>
      </c>
      <c r="AZ764" s="100">
        <f t="shared" si="2426"/>
        <v>0</v>
      </c>
      <c r="BA764" s="101">
        <v>1</v>
      </c>
      <c r="BB764" s="102">
        <v>0</v>
      </c>
      <c r="BC764" s="84">
        <f t="shared" si="2427"/>
        <v>1</v>
      </c>
      <c r="BD764" s="83">
        <f t="shared" si="2302"/>
        <v>1</v>
      </c>
      <c r="BE764" s="85">
        <v>2</v>
      </c>
      <c r="BF764" s="86">
        <v>45546</v>
      </c>
      <c r="BG764" s="72" t="e">
        <f t="shared" si="2250"/>
        <v>#REF!</v>
      </c>
      <c r="BH764" s="103" t="e">
        <f t="shared" si="2428"/>
        <v>#REF!</v>
      </c>
      <c r="BI764" s="80" t="e">
        <f t="shared" si="2304"/>
        <v>#REF!</v>
      </c>
      <c r="BJ764" s="238">
        <v>5500</v>
      </c>
    </row>
    <row r="765" spans="1:62" ht="13">
      <c r="A765" s="49"/>
      <c r="B765" s="76"/>
      <c r="C765" s="51">
        <v>763</v>
      </c>
      <c r="D765" s="176" t="s">
        <v>1920</v>
      </c>
      <c r="E765" s="177">
        <v>14</v>
      </c>
      <c r="F765" s="88" t="s">
        <v>1445</v>
      </c>
      <c r="G765" s="89" t="s">
        <v>1446</v>
      </c>
      <c r="H765" s="89" t="s">
        <v>1699</v>
      </c>
      <c r="I765" s="80" t="s">
        <v>458</v>
      </c>
      <c r="J765" s="93">
        <f t="shared" si="2410"/>
        <v>5</v>
      </c>
      <c r="K765" s="88">
        <v>5</v>
      </c>
      <c r="L765" s="58"/>
      <c r="M765" s="58"/>
      <c r="N765" s="62">
        <f t="shared" si="2411"/>
        <v>5</v>
      </c>
      <c r="O765" s="60"/>
      <c r="P765" s="58"/>
      <c r="Q765" s="62">
        <f t="shared" si="2412"/>
        <v>5</v>
      </c>
      <c r="R765" s="60"/>
      <c r="S765" s="58"/>
      <c r="T765" s="94">
        <f t="shared" si="2413"/>
        <v>5</v>
      </c>
      <c r="U765" s="60"/>
      <c r="V765" s="58"/>
      <c r="W765" s="62">
        <f t="shared" si="2414"/>
        <v>5</v>
      </c>
      <c r="X765" s="60"/>
      <c r="Y765" s="58"/>
      <c r="Z765" s="94">
        <f t="shared" si="2415"/>
        <v>5</v>
      </c>
      <c r="AA765" s="60"/>
      <c r="AB765" s="58"/>
      <c r="AC765" s="62">
        <f t="shared" si="2416"/>
        <v>5</v>
      </c>
      <c r="AD765" s="57"/>
      <c r="AE765" s="58"/>
      <c r="AF765" s="165">
        <f t="shared" si="2417"/>
        <v>5</v>
      </c>
      <c r="AG765" s="60"/>
      <c r="AH765" s="58"/>
      <c r="AI765" s="62">
        <f t="shared" si="2418"/>
        <v>5</v>
      </c>
      <c r="AJ765" s="60"/>
      <c r="AK765" s="58"/>
      <c r="AL765" s="62">
        <f t="shared" si="2419"/>
        <v>5</v>
      </c>
      <c r="AM765" s="60"/>
      <c r="AN765" s="58"/>
      <c r="AO765" s="62">
        <f t="shared" si="2420"/>
        <v>5</v>
      </c>
      <c r="AP765" s="60"/>
      <c r="AQ765" s="58"/>
      <c r="AR765" s="62">
        <f t="shared" si="2421"/>
        <v>5</v>
      </c>
      <c r="AS765" s="60"/>
      <c r="AT765" s="58"/>
      <c r="AU765" s="62">
        <f t="shared" si="2422"/>
        <v>5</v>
      </c>
      <c r="AV765" s="96">
        <f t="shared" si="2423"/>
        <v>0</v>
      </c>
      <c r="AW765" s="83">
        <f t="shared" si="2423"/>
        <v>0</v>
      </c>
      <c r="AX765" s="98">
        <f t="shared" si="2424"/>
        <v>0</v>
      </c>
      <c r="AY765" s="99" t="e">
        <f t="shared" si="2425"/>
        <v>#DIV/0!</v>
      </c>
      <c r="AZ765" s="100">
        <f t="shared" si="2426"/>
        <v>0</v>
      </c>
      <c r="BA765" s="101">
        <v>5</v>
      </c>
      <c r="BB765" s="102">
        <v>1</v>
      </c>
      <c r="BC765" s="84">
        <f t="shared" si="2427"/>
        <v>5</v>
      </c>
      <c r="BD765" s="83">
        <f t="shared" si="2302"/>
        <v>4</v>
      </c>
      <c r="BE765" s="85">
        <v>2</v>
      </c>
      <c r="BF765" s="86">
        <v>45546</v>
      </c>
      <c r="BG765" s="72" t="e">
        <f t="shared" si="2250"/>
        <v>#REF!</v>
      </c>
      <c r="BH765" s="103" t="e">
        <f t="shared" si="2428"/>
        <v>#REF!</v>
      </c>
      <c r="BI765" s="80" t="e">
        <f t="shared" si="2304"/>
        <v>#REF!</v>
      </c>
      <c r="BJ765" s="238">
        <v>4200</v>
      </c>
    </row>
    <row r="766" spans="1:62" ht="13">
      <c r="A766" s="49"/>
      <c r="B766" s="76"/>
      <c r="C766" s="77">
        <v>764</v>
      </c>
      <c r="D766" s="176" t="s">
        <v>1920</v>
      </c>
      <c r="E766" s="177">
        <v>15</v>
      </c>
      <c r="F766" s="88" t="s">
        <v>1447</v>
      </c>
      <c r="G766" s="89" t="s">
        <v>1448</v>
      </c>
      <c r="H766" s="89" t="s">
        <v>1699</v>
      </c>
      <c r="I766" s="80" t="s">
        <v>458</v>
      </c>
      <c r="J766" s="93">
        <f t="shared" si="2410"/>
        <v>4</v>
      </c>
      <c r="K766" s="80">
        <v>4</v>
      </c>
      <c r="L766" s="58"/>
      <c r="M766" s="58"/>
      <c r="N766" s="62">
        <f t="shared" si="2411"/>
        <v>4</v>
      </c>
      <c r="O766" s="60"/>
      <c r="P766" s="58"/>
      <c r="Q766" s="62">
        <f t="shared" si="2412"/>
        <v>4</v>
      </c>
      <c r="R766" s="60"/>
      <c r="S766" s="58"/>
      <c r="T766" s="94">
        <f t="shared" si="2413"/>
        <v>4</v>
      </c>
      <c r="U766" s="60"/>
      <c r="V766" s="58"/>
      <c r="W766" s="62">
        <f t="shared" si="2414"/>
        <v>4</v>
      </c>
      <c r="X766" s="60"/>
      <c r="Y766" s="58"/>
      <c r="Z766" s="94">
        <f t="shared" si="2415"/>
        <v>4</v>
      </c>
      <c r="AA766" s="60"/>
      <c r="AB766" s="58"/>
      <c r="AC766" s="62">
        <f t="shared" si="2416"/>
        <v>4</v>
      </c>
      <c r="AD766" s="57"/>
      <c r="AE766" s="58"/>
      <c r="AF766" s="165">
        <f t="shared" si="2417"/>
        <v>4</v>
      </c>
      <c r="AG766" s="60"/>
      <c r="AH766" s="58"/>
      <c r="AI766" s="62">
        <f t="shared" si="2418"/>
        <v>4</v>
      </c>
      <c r="AJ766" s="60"/>
      <c r="AK766" s="58"/>
      <c r="AL766" s="62">
        <f t="shared" si="2419"/>
        <v>4</v>
      </c>
      <c r="AM766" s="60"/>
      <c r="AN766" s="58"/>
      <c r="AO766" s="62">
        <f t="shared" si="2420"/>
        <v>4</v>
      </c>
      <c r="AP766" s="60"/>
      <c r="AQ766" s="58"/>
      <c r="AR766" s="62">
        <f t="shared" si="2421"/>
        <v>4</v>
      </c>
      <c r="AS766" s="60"/>
      <c r="AT766" s="58"/>
      <c r="AU766" s="62">
        <f t="shared" si="2422"/>
        <v>4</v>
      </c>
      <c r="AV766" s="96">
        <f t="shared" si="2423"/>
        <v>0</v>
      </c>
      <c r="AW766" s="83">
        <f t="shared" si="2423"/>
        <v>0</v>
      </c>
      <c r="AX766" s="98">
        <f t="shared" si="2424"/>
        <v>0</v>
      </c>
      <c r="AY766" s="99" t="e">
        <f t="shared" si="2425"/>
        <v>#DIV/0!</v>
      </c>
      <c r="AZ766" s="100">
        <f t="shared" si="2426"/>
        <v>0</v>
      </c>
      <c r="BA766" s="101">
        <v>4</v>
      </c>
      <c r="BB766" s="102">
        <v>1</v>
      </c>
      <c r="BC766" s="84">
        <f t="shared" si="2427"/>
        <v>4</v>
      </c>
      <c r="BD766" s="83">
        <f t="shared" si="2302"/>
        <v>3</v>
      </c>
      <c r="BE766" s="85">
        <v>2</v>
      </c>
      <c r="BF766" s="86">
        <v>45546</v>
      </c>
      <c r="BG766" s="72" t="e">
        <f t="shared" si="2250"/>
        <v>#REF!</v>
      </c>
      <c r="BH766" s="103" t="e">
        <f t="shared" si="2428"/>
        <v>#REF!</v>
      </c>
      <c r="BI766" s="80" t="e">
        <f t="shared" si="2304"/>
        <v>#REF!</v>
      </c>
      <c r="BJ766" s="238">
        <v>4200</v>
      </c>
    </row>
    <row r="767" spans="1:62" ht="13">
      <c r="A767" s="49"/>
      <c r="B767" s="50"/>
      <c r="C767" s="77">
        <v>765</v>
      </c>
      <c r="D767" s="176" t="s">
        <v>1920</v>
      </c>
      <c r="E767" s="177">
        <v>16</v>
      </c>
      <c r="F767" s="88" t="s">
        <v>1449</v>
      </c>
      <c r="G767" s="89" t="s">
        <v>1450</v>
      </c>
      <c r="H767" s="89" t="s">
        <v>1699</v>
      </c>
      <c r="I767" s="80" t="s">
        <v>458</v>
      </c>
      <c r="J767" s="93">
        <f t="shared" si="2410"/>
        <v>8</v>
      </c>
      <c r="K767" s="88">
        <v>8</v>
      </c>
      <c r="L767" s="58"/>
      <c r="M767" s="58"/>
      <c r="N767" s="62">
        <f t="shared" si="2411"/>
        <v>8</v>
      </c>
      <c r="O767" s="60"/>
      <c r="P767" s="58"/>
      <c r="Q767" s="62">
        <f t="shared" si="2412"/>
        <v>8</v>
      </c>
      <c r="R767" s="60"/>
      <c r="S767" s="58"/>
      <c r="T767" s="94">
        <f t="shared" si="2413"/>
        <v>8</v>
      </c>
      <c r="U767" s="60"/>
      <c r="V767" s="58"/>
      <c r="W767" s="62">
        <f t="shared" si="2414"/>
        <v>8</v>
      </c>
      <c r="X767" s="60"/>
      <c r="Y767" s="58"/>
      <c r="Z767" s="94">
        <f t="shared" si="2415"/>
        <v>8</v>
      </c>
      <c r="AA767" s="60"/>
      <c r="AB767" s="58"/>
      <c r="AC767" s="62">
        <f t="shared" si="2416"/>
        <v>8</v>
      </c>
      <c r="AD767" s="57"/>
      <c r="AE767" s="58"/>
      <c r="AF767" s="165">
        <f t="shared" si="2417"/>
        <v>8</v>
      </c>
      <c r="AG767" s="60"/>
      <c r="AH767" s="58"/>
      <c r="AI767" s="62">
        <f t="shared" si="2418"/>
        <v>8</v>
      </c>
      <c r="AJ767" s="60"/>
      <c r="AK767" s="58"/>
      <c r="AL767" s="62">
        <f t="shared" si="2419"/>
        <v>8</v>
      </c>
      <c r="AM767" s="60"/>
      <c r="AN767" s="58"/>
      <c r="AO767" s="62">
        <f t="shared" si="2420"/>
        <v>8</v>
      </c>
      <c r="AP767" s="60"/>
      <c r="AQ767" s="58"/>
      <c r="AR767" s="62">
        <f t="shared" si="2421"/>
        <v>8</v>
      </c>
      <c r="AS767" s="60"/>
      <c r="AT767" s="58"/>
      <c r="AU767" s="62">
        <f t="shared" si="2422"/>
        <v>8</v>
      </c>
      <c r="AV767" s="96">
        <f t="shared" si="2423"/>
        <v>0</v>
      </c>
      <c r="AW767" s="83">
        <f t="shared" si="2423"/>
        <v>0</v>
      </c>
      <c r="AX767" s="98">
        <f t="shared" si="2424"/>
        <v>0</v>
      </c>
      <c r="AY767" s="99" t="e">
        <f t="shared" si="2425"/>
        <v>#DIV/0!</v>
      </c>
      <c r="AZ767" s="100">
        <f t="shared" si="2426"/>
        <v>0</v>
      </c>
      <c r="BA767" s="101">
        <v>8</v>
      </c>
      <c r="BB767" s="102">
        <v>1</v>
      </c>
      <c r="BC767" s="84">
        <f t="shared" si="2427"/>
        <v>8</v>
      </c>
      <c r="BD767" s="83">
        <f t="shared" si="2302"/>
        <v>7</v>
      </c>
      <c r="BE767" s="85">
        <v>2</v>
      </c>
      <c r="BF767" s="86">
        <v>45546</v>
      </c>
      <c r="BG767" s="72" t="e">
        <f t="shared" si="2250"/>
        <v>#REF!</v>
      </c>
      <c r="BH767" s="103" t="e">
        <f t="shared" si="2428"/>
        <v>#REF!</v>
      </c>
      <c r="BI767" s="80" t="e">
        <f t="shared" si="2304"/>
        <v>#REF!</v>
      </c>
      <c r="BJ767" s="238">
        <v>2200</v>
      </c>
    </row>
    <row r="768" spans="1:62" ht="13">
      <c r="A768" s="75"/>
      <c r="B768" s="76"/>
      <c r="C768" s="51">
        <v>766</v>
      </c>
      <c r="D768" s="176" t="s">
        <v>1920</v>
      </c>
      <c r="E768" s="177">
        <v>17</v>
      </c>
      <c r="F768" s="88" t="s">
        <v>1451</v>
      </c>
      <c r="G768" s="89" t="s">
        <v>1452</v>
      </c>
      <c r="H768" s="89" t="s">
        <v>1699</v>
      </c>
      <c r="I768" s="80" t="s">
        <v>458</v>
      </c>
      <c r="J768" s="93">
        <f t="shared" si="2410"/>
        <v>2</v>
      </c>
      <c r="K768" s="80">
        <v>2</v>
      </c>
      <c r="L768" s="58"/>
      <c r="M768" s="58"/>
      <c r="N768" s="62">
        <f t="shared" si="2411"/>
        <v>2</v>
      </c>
      <c r="O768" s="60"/>
      <c r="P768" s="58"/>
      <c r="Q768" s="62">
        <f t="shared" si="2412"/>
        <v>2</v>
      </c>
      <c r="R768" s="60"/>
      <c r="S768" s="58"/>
      <c r="T768" s="94">
        <f t="shared" si="2413"/>
        <v>2</v>
      </c>
      <c r="U768" s="60"/>
      <c r="V768" s="58"/>
      <c r="W768" s="62">
        <f t="shared" si="2414"/>
        <v>2</v>
      </c>
      <c r="X768" s="60"/>
      <c r="Y768" s="58"/>
      <c r="Z768" s="94">
        <f t="shared" si="2415"/>
        <v>2</v>
      </c>
      <c r="AA768" s="60"/>
      <c r="AB768" s="58"/>
      <c r="AC768" s="62">
        <f t="shared" si="2416"/>
        <v>2</v>
      </c>
      <c r="AD768" s="57"/>
      <c r="AE768" s="58"/>
      <c r="AF768" s="165">
        <f t="shared" si="2417"/>
        <v>2</v>
      </c>
      <c r="AG768" s="60"/>
      <c r="AH768" s="58"/>
      <c r="AI768" s="62">
        <f t="shared" si="2418"/>
        <v>2</v>
      </c>
      <c r="AJ768" s="60"/>
      <c r="AK768" s="58"/>
      <c r="AL768" s="62">
        <f t="shared" si="2419"/>
        <v>2</v>
      </c>
      <c r="AM768" s="60"/>
      <c r="AN768" s="58"/>
      <c r="AO768" s="62">
        <f t="shared" si="2420"/>
        <v>2</v>
      </c>
      <c r="AP768" s="60"/>
      <c r="AQ768" s="58"/>
      <c r="AR768" s="62">
        <f t="shared" si="2421"/>
        <v>2</v>
      </c>
      <c r="AS768" s="60"/>
      <c r="AT768" s="58"/>
      <c r="AU768" s="62">
        <f t="shared" si="2422"/>
        <v>2</v>
      </c>
      <c r="AV768" s="96">
        <f t="shared" si="2423"/>
        <v>0</v>
      </c>
      <c r="AW768" s="83">
        <f t="shared" si="2423"/>
        <v>0</v>
      </c>
      <c r="AX768" s="98">
        <f t="shared" si="2424"/>
        <v>0</v>
      </c>
      <c r="AY768" s="99" t="e">
        <f t="shared" si="2425"/>
        <v>#DIV/0!</v>
      </c>
      <c r="AZ768" s="100">
        <f t="shared" si="2426"/>
        <v>0</v>
      </c>
      <c r="BA768" s="101">
        <v>2</v>
      </c>
      <c r="BB768" s="102">
        <v>1</v>
      </c>
      <c r="BC768" s="84">
        <f t="shared" si="2427"/>
        <v>2</v>
      </c>
      <c r="BD768" s="83">
        <f t="shared" si="2302"/>
        <v>1</v>
      </c>
      <c r="BE768" s="85">
        <v>2</v>
      </c>
      <c r="BF768" s="86">
        <v>45546</v>
      </c>
      <c r="BG768" s="72" t="e">
        <f t="shared" si="2250"/>
        <v>#REF!</v>
      </c>
      <c r="BH768" s="103" t="e">
        <f t="shared" si="2428"/>
        <v>#REF!</v>
      </c>
      <c r="BI768" s="80" t="e">
        <f t="shared" si="2304"/>
        <v>#REF!</v>
      </c>
      <c r="BJ768" s="238">
        <v>350</v>
      </c>
    </row>
    <row r="769" spans="1:62" ht="13">
      <c r="A769" s="49"/>
      <c r="B769" s="50"/>
      <c r="C769" s="51">
        <v>767</v>
      </c>
      <c r="D769" s="176" t="s">
        <v>1920</v>
      </c>
      <c r="E769" s="177">
        <v>18</v>
      </c>
      <c r="F769" s="88" t="s">
        <v>1453</v>
      </c>
      <c r="G769" s="89" t="s">
        <v>1454</v>
      </c>
      <c r="H769" s="89" t="s">
        <v>1699</v>
      </c>
      <c r="I769" s="80" t="s">
        <v>458</v>
      </c>
      <c r="J769" s="93">
        <f t="shared" si="2410"/>
        <v>1</v>
      </c>
      <c r="K769" s="88">
        <v>1</v>
      </c>
      <c r="L769" s="58"/>
      <c r="M769" s="58"/>
      <c r="N769" s="62">
        <f t="shared" si="2411"/>
        <v>1</v>
      </c>
      <c r="O769" s="60"/>
      <c r="P769" s="58"/>
      <c r="Q769" s="62">
        <f t="shared" si="2412"/>
        <v>1</v>
      </c>
      <c r="R769" s="60"/>
      <c r="S769" s="58"/>
      <c r="T769" s="94">
        <f t="shared" si="2413"/>
        <v>1</v>
      </c>
      <c r="U769" s="60"/>
      <c r="V769" s="58"/>
      <c r="W769" s="62">
        <f t="shared" si="2414"/>
        <v>1</v>
      </c>
      <c r="X769" s="60"/>
      <c r="Y769" s="58"/>
      <c r="Z769" s="94">
        <f t="shared" si="2415"/>
        <v>1</v>
      </c>
      <c r="AA769" s="60"/>
      <c r="AB769" s="58"/>
      <c r="AC769" s="62">
        <f t="shared" si="2416"/>
        <v>1</v>
      </c>
      <c r="AD769" s="57"/>
      <c r="AE769" s="58"/>
      <c r="AF769" s="165">
        <f t="shared" si="2417"/>
        <v>1</v>
      </c>
      <c r="AG769" s="60"/>
      <c r="AH769" s="58"/>
      <c r="AI769" s="62">
        <f t="shared" si="2418"/>
        <v>1</v>
      </c>
      <c r="AJ769" s="60"/>
      <c r="AK769" s="58"/>
      <c r="AL769" s="62">
        <f t="shared" si="2419"/>
        <v>1</v>
      </c>
      <c r="AM769" s="60"/>
      <c r="AN769" s="58"/>
      <c r="AO769" s="62">
        <f t="shared" si="2420"/>
        <v>1</v>
      </c>
      <c r="AP769" s="60"/>
      <c r="AQ769" s="58"/>
      <c r="AR769" s="62">
        <f t="shared" si="2421"/>
        <v>1</v>
      </c>
      <c r="AS769" s="60"/>
      <c r="AT769" s="58"/>
      <c r="AU769" s="62">
        <f t="shared" si="2422"/>
        <v>1</v>
      </c>
      <c r="AV769" s="96">
        <f t="shared" si="2423"/>
        <v>0</v>
      </c>
      <c r="AW769" s="83">
        <f t="shared" si="2423"/>
        <v>0</v>
      </c>
      <c r="AX769" s="98">
        <f t="shared" si="2424"/>
        <v>0</v>
      </c>
      <c r="AY769" s="99" t="e">
        <f t="shared" si="2425"/>
        <v>#DIV/0!</v>
      </c>
      <c r="AZ769" s="100">
        <f t="shared" si="2426"/>
        <v>0</v>
      </c>
      <c r="BA769" s="101">
        <v>1</v>
      </c>
      <c r="BB769" s="102">
        <v>0</v>
      </c>
      <c r="BC769" s="84">
        <f t="shared" si="2427"/>
        <v>1</v>
      </c>
      <c r="BD769" s="83">
        <f t="shared" si="2302"/>
        <v>1</v>
      </c>
      <c r="BE769" s="85">
        <v>2</v>
      </c>
      <c r="BF769" s="86">
        <v>45546</v>
      </c>
      <c r="BG769" s="72" t="e">
        <f t="shared" si="2250"/>
        <v>#REF!</v>
      </c>
      <c r="BH769" s="103" t="e">
        <f t="shared" si="2428"/>
        <v>#REF!</v>
      </c>
      <c r="BI769" s="80" t="e">
        <f t="shared" si="2304"/>
        <v>#REF!</v>
      </c>
      <c r="BJ769" s="238">
        <v>1600</v>
      </c>
    </row>
    <row r="770" spans="1:62" ht="13">
      <c r="A770" s="90"/>
      <c r="B770" s="91"/>
      <c r="C770" s="51">
        <v>768</v>
      </c>
      <c r="D770" s="176" t="s">
        <v>1920</v>
      </c>
      <c r="E770" s="177">
        <v>19</v>
      </c>
      <c r="F770" s="88" t="s">
        <v>1455</v>
      </c>
      <c r="G770" s="89" t="s">
        <v>1456</v>
      </c>
      <c r="H770" s="89" t="s">
        <v>1699</v>
      </c>
      <c r="I770" s="80" t="s">
        <v>458</v>
      </c>
      <c r="J770" s="93">
        <f t="shared" si="2410"/>
        <v>1</v>
      </c>
      <c r="K770" s="80">
        <v>1</v>
      </c>
      <c r="L770" s="58"/>
      <c r="M770" s="58"/>
      <c r="N770" s="62">
        <f t="shared" si="2411"/>
        <v>1</v>
      </c>
      <c r="O770" s="60"/>
      <c r="P770" s="58"/>
      <c r="Q770" s="62">
        <f t="shared" si="2412"/>
        <v>1</v>
      </c>
      <c r="R770" s="60"/>
      <c r="S770" s="58"/>
      <c r="T770" s="94">
        <f t="shared" si="2413"/>
        <v>1</v>
      </c>
      <c r="U770" s="60"/>
      <c r="V770" s="58"/>
      <c r="W770" s="62">
        <f t="shared" si="2414"/>
        <v>1</v>
      </c>
      <c r="X770" s="60"/>
      <c r="Y770" s="58"/>
      <c r="Z770" s="94">
        <f t="shared" si="2415"/>
        <v>1</v>
      </c>
      <c r="AA770" s="60"/>
      <c r="AB770" s="58"/>
      <c r="AC770" s="62">
        <f t="shared" si="2416"/>
        <v>1</v>
      </c>
      <c r="AD770" s="57"/>
      <c r="AE770" s="58"/>
      <c r="AF770" s="165">
        <f t="shared" si="2417"/>
        <v>1</v>
      </c>
      <c r="AG770" s="60"/>
      <c r="AH770" s="58"/>
      <c r="AI770" s="62">
        <f t="shared" si="2418"/>
        <v>1</v>
      </c>
      <c r="AJ770" s="60"/>
      <c r="AK770" s="58"/>
      <c r="AL770" s="62">
        <f t="shared" si="2419"/>
        <v>1</v>
      </c>
      <c r="AM770" s="60"/>
      <c r="AN770" s="58"/>
      <c r="AO770" s="62">
        <f t="shared" si="2420"/>
        <v>1</v>
      </c>
      <c r="AP770" s="60"/>
      <c r="AQ770" s="58"/>
      <c r="AR770" s="62">
        <f t="shared" si="2421"/>
        <v>1</v>
      </c>
      <c r="AS770" s="60"/>
      <c r="AT770" s="58"/>
      <c r="AU770" s="62">
        <f t="shared" si="2422"/>
        <v>1</v>
      </c>
      <c r="AV770" s="96">
        <f t="shared" si="2423"/>
        <v>0</v>
      </c>
      <c r="AW770" s="83">
        <f t="shared" si="2423"/>
        <v>0</v>
      </c>
      <c r="AX770" s="98">
        <f t="shared" si="2424"/>
        <v>0</v>
      </c>
      <c r="AY770" s="99" t="e">
        <f t="shared" si="2425"/>
        <v>#DIV/0!</v>
      </c>
      <c r="AZ770" s="100">
        <f t="shared" si="2426"/>
        <v>0</v>
      </c>
      <c r="BA770" s="101">
        <v>1</v>
      </c>
      <c r="BB770" s="102">
        <v>0</v>
      </c>
      <c r="BC770" s="84">
        <f t="shared" si="2427"/>
        <v>1</v>
      </c>
      <c r="BD770" s="83">
        <f t="shared" si="2302"/>
        <v>1</v>
      </c>
      <c r="BE770" s="85">
        <v>2</v>
      </c>
      <c r="BF770" s="86">
        <v>45546</v>
      </c>
      <c r="BG770" s="72" t="e">
        <f t="shared" si="2250"/>
        <v>#REF!</v>
      </c>
      <c r="BH770" s="103" t="e">
        <f t="shared" si="2428"/>
        <v>#REF!</v>
      </c>
      <c r="BI770" s="80" t="e">
        <f t="shared" si="2304"/>
        <v>#REF!</v>
      </c>
      <c r="BJ770" s="238">
        <v>100</v>
      </c>
    </row>
    <row r="771" spans="1:62" ht="13">
      <c r="A771" s="49"/>
      <c r="B771" s="50"/>
      <c r="C771" s="51">
        <v>769</v>
      </c>
      <c r="D771" s="176" t="s">
        <v>1920</v>
      </c>
      <c r="E771" s="177">
        <v>20</v>
      </c>
      <c r="F771" s="88" t="s">
        <v>1457</v>
      </c>
      <c r="G771" s="89" t="s">
        <v>1458</v>
      </c>
      <c r="H771" s="89" t="s">
        <v>1699</v>
      </c>
      <c r="I771" s="80" t="s">
        <v>458</v>
      </c>
      <c r="J771" s="93">
        <f t="shared" si="2410"/>
        <v>1</v>
      </c>
      <c r="K771" s="88">
        <v>1</v>
      </c>
      <c r="L771" s="58"/>
      <c r="M771" s="58"/>
      <c r="N771" s="62">
        <f t="shared" si="2411"/>
        <v>1</v>
      </c>
      <c r="O771" s="60"/>
      <c r="P771" s="58"/>
      <c r="Q771" s="62">
        <f t="shared" si="2412"/>
        <v>1</v>
      </c>
      <c r="R771" s="60"/>
      <c r="S771" s="58"/>
      <c r="T771" s="94">
        <f t="shared" si="2413"/>
        <v>1</v>
      </c>
      <c r="U771" s="60"/>
      <c r="V771" s="58"/>
      <c r="W771" s="62">
        <f t="shared" si="2414"/>
        <v>1</v>
      </c>
      <c r="X771" s="60"/>
      <c r="Y771" s="58"/>
      <c r="Z771" s="94">
        <f t="shared" si="2415"/>
        <v>1</v>
      </c>
      <c r="AA771" s="60"/>
      <c r="AB771" s="58"/>
      <c r="AC771" s="62">
        <f t="shared" si="2416"/>
        <v>1</v>
      </c>
      <c r="AD771" s="57"/>
      <c r="AE771" s="58"/>
      <c r="AF771" s="165">
        <f t="shared" si="2417"/>
        <v>1</v>
      </c>
      <c r="AG771" s="60"/>
      <c r="AH771" s="58"/>
      <c r="AI771" s="62">
        <f t="shared" si="2418"/>
        <v>1</v>
      </c>
      <c r="AJ771" s="60"/>
      <c r="AK771" s="58"/>
      <c r="AL771" s="62">
        <f t="shared" si="2419"/>
        <v>1</v>
      </c>
      <c r="AM771" s="60"/>
      <c r="AN771" s="58"/>
      <c r="AO771" s="62">
        <f t="shared" si="2420"/>
        <v>1</v>
      </c>
      <c r="AP771" s="60"/>
      <c r="AQ771" s="58"/>
      <c r="AR771" s="62">
        <f t="shared" si="2421"/>
        <v>1</v>
      </c>
      <c r="AS771" s="60"/>
      <c r="AT771" s="58"/>
      <c r="AU771" s="62">
        <f t="shared" si="2422"/>
        <v>1</v>
      </c>
      <c r="AV771" s="96">
        <f t="shared" si="2423"/>
        <v>0</v>
      </c>
      <c r="AW771" s="83">
        <f t="shared" si="2423"/>
        <v>0</v>
      </c>
      <c r="AX771" s="98">
        <f t="shared" si="2424"/>
        <v>0</v>
      </c>
      <c r="AY771" s="99" t="e">
        <f t="shared" si="2425"/>
        <v>#DIV/0!</v>
      </c>
      <c r="AZ771" s="100">
        <f t="shared" si="2426"/>
        <v>0</v>
      </c>
      <c r="BA771" s="101">
        <v>1</v>
      </c>
      <c r="BB771" s="102">
        <v>0</v>
      </c>
      <c r="BC771" s="84">
        <f t="shared" si="2427"/>
        <v>1</v>
      </c>
      <c r="BD771" s="83">
        <f t="shared" si="2302"/>
        <v>1</v>
      </c>
      <c r="BE771" s="85">
        <v>2</v>
      </c>
      <c r="BF771" s="86">
        <v>45546</v>
      </c>
      <c r="BG771" s="72" t="e">
        <f t="shared" si="2250"/>
        <v>#REF!</v>
      </c>
      <c r="BH771" s="103" t="e">
        <f t="shared" si="2428"/>
        <v>#REF!</v>
      </c>
      <c r="BI771" s="80" t="e">
        <f t="shared" si="2304"/>
        <v>#REF!</v>
      </c>
      <c r="BJ771" s="238">
        <v>100</v>
      </c>
    </row>
    <row r="772" spans="1:62" ht="13">
      <c r="A772" s="75"/>
      <c r="B772" s="76"/>
      <c r="C772" s="77">
        <v>770</v>
      </c>
      <c r="D772" s="176" t="s">
        <v>1920</v>
      </c>
      <c r="E772" s="177">
        <v>21</v>
      </c>
      <c r="F772" s="88" t="s">
        <v>1459</v>
      </c>
      <c r="G772" s="89" t="s">
        <v>1460</v>
      </c>
      <c r="H772" s="89" t="s">
        <v>1699</v>
      </c>
      <c r="I772" s="80" t="s">
        <v>458</v>
      </c>
      <c r="J772" s="93">
        <f t="shared" si="2410"/>
        <v>1</v>
      </c>
      <c r="K772" s="80">
        <v>1</v>
      </c>
      <c r="L772" s="58"/>
      <c r="M772" s="58"/>
      <c r="N772" s="62">
        <f t="shared" si="2411"/>
        <v>1</v>
      </c>
      <c r="O772" s="60"/>
      <c r="P772" s="58"/>
      <c r="Q772" s="62">
        <f t="shared" si="2412"/>
        <v>1</v>
      </c>
      <c r="R772" s="60"/>
      <c r="S772" s="58"/>
      <c r="T772" s="94">
        <f t="shared" si="2413"/>
        <v>1</v>
      </c>
      <c r="U772" s="60"/>
      <c r="V772" s="58"/>
      <c r="W772" s="62">
        <f t="shared" si="2414"/>
        <v>1</v>
      </c>
      <c r="X772" s="60"/>
      <c r="Y772" s="58"/>
      <c r="Z772" s="94">
        <f t="shared" si="2415"/>
        <v>1</v>
      </c>
      <c r="AA772" s="60"/>
      <c r="AB772" s="58"/>
      <c r="AC772" s="62">
        <f t="shared" si="2416"/>
        <v>1</v>
      </c>
      <c r="AD772" s="57"/>
      <c r="AE772" s="58"/>
      <c r="AF772" s="165">
        <f t="shared" si="2417"/>
        <v>1</v>
      </c>
      <c r="AG772" s="60"/>
      <c r="AH772" s="58"/>
      <c r="AI772" s="62">
        <f t="shared" si="2418"/>
        <v>1</v>
      </c>
      <c r="AJ772" s="60"/>
      <c r="AK772" s="58"/>
      <c r="AL772" s="62">
        <f t="shared" si="2419"/>
        <v>1</v>
      </c>
      <c r="AM772" s="60"/>
      <c r="AN772" s="58"/>
      <c r="AO772" s="62">
        <f t="shared" si="2420"/>
        <v>1</v>
      </c>
      <c r="AP772" s="60"/>
      <c r="AQ772" s="58"/>
      <c r="AR772" s="62">
        <f t="shared" si="2421"/>
        <v>1</v>
      </c>
      <c r="AS772" s="60"/>
      <c r="AT772" s="58"/>
      <c r="AU772" s="62">
        <f t="shared" si="2422"/>
        <v>1</v>
      </c>
      <c r="AV772" s="96">
        <f t="shared" si="2423"/>
        <v>0</v>
      </c>
      <c r="AW772" s="83">
        <f t="shared" si="2423"/>
        <v>0</v>
      </c>
      <c r="AX772" s="98">
        <f t="shared" si="2424"/>
        <v>0</v>
      </c>
      <c r="AY772" s="99" t="e">
        <f t="shared" si="2425"/>
        <v>#DIV/0!</v>
      </c>
      <c r="AZ772" s="100">
        <f t="shared" si="2426"/>
        <v>0</v>
      </c>
      <c r="BA772" s="101">
        <v>1</v>
      </c>
      <c r="BB772" s="102">
        <v>0</v>
      </c>
      <c r="BC772" s="84">
        <f t="shared" si="2427"/>
        <v>1</v>
      </c>
      <c r="BD772" s="83">
        <f t="shared" si="2302"/>
        <v>1</v>
      </c>
      <c r="BE772" s="85">
        <v>2</v>
      </c>
      <c r="BF772" s="86">
        <v>45546</v>
      </c>
      <c r="BG772" s="72" t="e">
        <f t="shared" si="2250"/>
        <v>#REF!</v>
      </c>
      <c r="BH772" s="103" t="e">
        <f t="shared" si="2428"/>
        <v>#REF!</v>
      </c>
      <c r="BI772" s="80" t="e">
        <f t="shared" si="2304"/>
        <v>#REF!</v>
      </c>
      <c r="BJ772" s="238">
        <v>600</v>
      </c>
    </row>
    <row r="773" spans="1:62" ht="13">
      <c r="A773" s="49"/>
      <c r="B773" s="76"/>
      <c r="C773" s="77">
        <v>771</v>
      </c>
      <c r="D773" s="176" t="s">
        <v>1920</v>
      </c>
      <c r="E773" s="177">
        <v>22</v>
      </c>
      <c r="F773" s="88" t="s">
        <v>1461</v>
      </c>
      <c r="G773" s="89" t="s">
        <v>1462</v>
      </c>
      <c r="H773" s="89" t="s">
        <v>1699</v>
      </c>
      <c r="I773" s="80" t="s">
        <v>458</v>
      </c>
      <c r="J773" s="93">
        <f t="shared" si="2410"/>
        <v>12</v>
      </c>
      <c r="K773" s="88">
        <v>12</v>
      </c>
      <c r="L773" s="58"/>
      <c r="M773" s="58"/>
      <c r="N773" s="62">
        <f t="shared" si="2411"/>
        <v>12</v>
      </c>
      <c r="O773" s="60"/>
      <c r="P773" s="58"/>
      <c r="Q773" s="62">
        <f t="shared" si="2412"/>
        <v>12</v>
      </c>
      <c r="R773" s="60"/>
      <c r="S773" s="58"/>
      <c r="T773" s="94">
        <f t="shared" si="2413"/>
        <v>12</v>
      </c>
      <c r="U773" s="60"/>
      <c r="V773" s="58"/>
      <c r="W773" s="62">
        <f t="shared" si="2414"/>
        <v>12</v>
      </c>
      <c r="X773" s="60"/>
      <c r="Y773" s="58"/>
      <c r="Z773" s="94">
        <f t="shared" si="2415"/>
        <v>12</v>
      </c>
      <c r="AA773" s="60"/>
      <c r="AB773" s="58"/>
      <c r="AC773" s="62">
        <f t="shared" si="2416"/>
        <v>12</v>
      </c>
      <c r="AD773" s="57"/>
      <c r="AE773" s="58"/>
      <c r="AF773" s="165">
        <f t="shared" si="2417"/>
        <v>12</v>
      </c>
      <c r="AG773" s="60"/>
      <c r="AH773" s="58"/>
      <c r="AI773" s="62">
        <f t="shared" si="2418"/>
        <v>12</v>
      </c>
      <c r="AJ773" s="60"/>
      <c r="AK773" s="58"/>
      <c r="AL773" s="62">
        <f t="shared" si="2419"/>
        <v>12</v>
      </c>
      <c r="AM773" s="60"/>
      <c r="AN773" s="58"/>
      <c r="AO773" s="62">
        <f t="shared" si="2420"/>
        <v>12</v>
      </c>
      <c r="AP773" s="60"/>
      <c r="AQ773" s="58"/>
      <c r="AR773" s="62">
        <f t="shared" si="2421"/>
        <v>12</v>
      </c>
      <c r="AS773" s="60"/>
      <c r="AT773" s="58"/>
      <c r="AU773" s="62">
        <f t="shared" si="2422"/>
        <v>12</v>
      </c>
      <c r="AV773" s="96">
        <f t="shared" si="2423"/>
        <v>0</v>
      </c>
      <c r="AW773" s="83">
        <f t="shared" si="2423"/>
        <v>0</v>
      </c>
      <c r="AX773" s="98">
        <f t="shared" si="2424"/>
        <v>0</v>
      </c>
      <c r="AY773" s="99" t="e">
        <f t="shared" si="2425"/>
        <v>#DIV/0!</v>
      </c>
      <c r="AZ773" s="100">
        <f t="shared" si="2426"/>
        <v>0</v>
      </c>
      <c r="BA773" s="101">
        <v>12</v>
      </c>
      <c r="BB773" s="102">
        <v>1</v>
      </c>
      <c r="BC773" s="84">
        <f t="shared" si="2427"/>
        <v>12</v>
      </c>
      <c r="BD773" s="83">
        <f t="shared" si="2302"/>
        <v>11</v>
      </c>
      <c r="BE773" s="85">
        <v>2</v>
      </c>
      <c r="BF773" s="86">
        <v>45546</v>
      </c>
      <c r="BG773" s="72" t="e">
        <f t="shared" si="2250"/>
        <v>#REF!</v>
      </c>
      <c r="BH773" s="103" t="e">
        <f t="shared" si="2428"/>
        <v>#REF!</v>
      </c>
      <c r="BI773" s="80" t="e">
        <f t="shared" si="2304"/>
        <v>#REF!</v>
      </c>
      <c r="BJ773" s="238">
        <v>100</v>
      </c>
    </row>
    <row r="774" spans="1:62" ht="13">
      <c r="A774" s="49"/>
      <c r="B774" s="76"/>
      <c r="C774" s="51">
        <v>772</v>
      </c>
      <c r="D774" s="176" t="s">
        <v>1920</v>
      </c>
      <c r="E774" s="177">
        <v>23</v>
      </c>
      <c r="F774" s="88" t="s">
        <v>1463</v>
      </c>
      <c r="G774" s="89" t="s">
        <v>1464</v>
      </c>
      <c r="H774" s="89" t="s">
        <v>1699</v>
      </c>
      <c r="I774" s="80" t="s">
        <v>458</v>
      </c>
      <c r="J774" s="93">
        <f t="shared" si="2410"/>
        <v>1</v>
      </c>
      <c r="K774" s="80">
        <v>1</v>
      </c>
      <c r="L774" s="58"/>
      <c r="M774" s="58"/>
      <c r="N774" s="62">
        <f t="shared" si="2411"/>
        <v>1</v>
      </c>
      <c r="O774" s="60"/>
      <c r="P774" s="58"/>
      <c r="Q774" s="62">
        <f t="shared" si="2412"/>
        <v>1</v>
      </c>
      <c r="R774" s="60"/>
      <c r="S774" s="58"/>
      <c r="T774" s="94">
        <f t="shared" si="2413"/>
        <v>1</v>
      </c>
      <c r="U774" s="60"/>
      <c r="V774" s="58"/>
      <c r="W774" s="62">
        <f t="shared" si="2414"/>
        <v>1</v>
      </c>
      <c r="X774" s="60"/>
      <c r="Y774" s="58"/>
      <c r="Z774" s="94">
        <f t="shared" si="2415"/>
        <v>1</v>
      </c>
      <c r="AA774" s="60"/>
      <c r="AB774" s="58"/>
      <c r="AC774" s="62">
        <f t="shared" si="2416"/>
        <v>1</v>
      </c>
      <c r="AD774" s="57"/>
      <c r="AE774" s="58"/>
      <c r="AF774" s="165">
        <f t="shared" si="2417"/>
        <v>1</v>
      </c>
      <c r="AG774" s="60"/>
      <c r="AH774" s="58"/>
      <c r="AI774" s="62">
        <f t="shared" si="2418"/>
        <v>1</v>
      </c>
      <c r="AJ774" s="60"/>
      <c r="AK774" s="58"/>
      <c r="AL774" s="62">
        <f t="shared" si="2419"/>
        <v>1</v>
      </c>
      <c r="AM774" s="60"/>
      <c r="AN774" s="58"/>
      <c r="AO774" s="62">
        <f t="shared" si="2420"/>
        <v>1</v>
      </c>
      <c r="AP774" s="60"/>
      <c r="AQ774" s="58"/>
      <c r="AR774" s="62">
        <f t="shared" si="2421"/>
        <v>1</v>
      </c>
      <c r="AS774" s="60"/>
      <c r="AT774" s="58"/>
      <c r="AU774" s="62">
        <f t="shared" si="2422"/>
        <v>1</v>
      </c>
      <c r="AV774" s="96">
        <f t="shared" si="2423"/>
        <v>0</v>
      </c>
      <c r="AW774" s="83">
        <f t="shared" si="2423"/>
        <v>0</v>
      </c>
      <c r="AX774" s="98">
        <f t="shared" si="2424"/>
        <v>0</v>
      </c>
      <c r="AY774" s="99" t="e">
        <f t="shared" si="2425"/>
        <v>#DIV/0!</v>
      </c>
      <c r="AZ774" s="100">
        <f t="shared" si="2426"/>
        <v>0</v>
      </c>
      <c r="BA774" s="101">
        <v>1</v>
      </c>
      <c r="BB774" s="102">
        <v>0</v>
      </c>
      <c r="BC774" s="84">
        <f t="shared" si="2427"/>
        <v>1</v>
      </c>
      <c r="BD774" s="83">
        <f t="shared" si="2302"/>
        <v>1</v>
      </c>
      <c r="BE774" s="85">
        <v>2</v>
      </c>
      <c r="BF774" s="86">
        <v>45546</v>
      </c>
      <c r="BG774" s="72" t="e">
        <f t="shared" si="2250"/>
        <v>#REF!</v>
      </c>
      <c r="BH774" s="103" t="e">
        <f t="shared" si="2428"/>
        <v>#REF!</v>
      </c>
      <c r="BI774" s="80" t="e">
        <f t="shared" si="2304"/>
        <v>#REF!</v>
      </c>
      <c r="BJ774" s="238">
        <v>400</v>
      </c>
    </row>
    <row r="775" spans="1:62" ht="13">
      <c r="A775" s="49"/>
      <c r="B775" s="50"/>
      <c r="C775" s="51">
        <v>773</v>
      </c>
      <c r="D775" s="176" t="s">
        <v>1920</v>
      </c>
      <c r="E775" s="177">
        <v>24</v>
      </c>
      <c r="F775" s="88" t="s">
        <v>1479</v>
      </c>
      <c r="G775" s="89" t="s">
        <v>1480</v>
      </c>
      <c r="H775" s="89" t="s">
        <v>1699</v>
      </c>
      <c r="I775" s="80" t="s">
        <v>458</v>
      </c>
      <c r="J775" s="93">
        <f t="shared" si="2410"/>
        <v>1</v>
      </c>
      <c r="K775" s="88">
        <v>1</v>
      </c>
      <c r="L775" s="58"/>
      <c r="M775" s="58"/>
      <c r="N775" s="62">
        <f t="shared" si="2411"/>
        <v>1</v>
      </c>
      <c r="O775" s="60"/>
      <c r="P775" s="58"/>
      <c r="Q775" s="62">
        <f t="shared" si="2412"/>
        <v>1</v>
      </c>
      <c r="R775" s="60"/>
      <c r="S775" s="58"/>
      <c r="T775" s="94">
        <f t="shared" si="2413"/>
        <v>1</v>
      </c>
      <c r="U775" s="60"/>
      <c r="V775" s="58"/>
      <c r="W775" s="62">
        <f t="shared" si="2414"/>
        <v>1</v>
      </c>
      <c r="X775" s="60"/>
      <c r="Y775" s="58"/>
      <c r="Z775" s="94">
        <f t="shared" si="2415"/>
        <v>1</v>
      </c>
      <c r="AA775" s="60"/>
      <c r="AB775" s="58"/>
      <c r="AC775" s="62">
        <f t="shared" si="2416"/>
        <v>1</v>
      </c>
      <c r="AD775" s="57"/>
      <c r="AE775" s="58"/>
      <c r="AF775" s="165">
        <f t="shared" si="2417"/>
        <v>1</v>
      </c>
      <c r="AG775" s="60"/>
      <c r="AH775" s="58"/>
      <c r="AI775" s="62">
        <f t="shared" si="2418"/>
        <v>1</v>
      </c>
      <c r="AJ775" s="60"/>
      <c r="AK775" s="58"/>
      <c r="AL775" s="62">
        <f t="shared" si="2419"/>
        <v>1</v>
      </c>
      <c r="AM775" s="60"/>
      <c r="AN775" s="58"/>
      <c r="AO775" s="62">
        <f t="shared" si="2420"/>
        <v>1</v>
      </c>
      <c r="AP775" s="60"/>
      <c r="AQ775" s="58"/>
      <c r="AR775" s="62">
        <f t="shared" si="2421"/>
        <v>1</v>
      </c>
      <c r="AS775" s="60"/>
      <c r="AT775" s="58"/>
      <c r="AU775" s="62">
        <f t="shared" si="2422"/>
        <v>1</v>
      </c>
      <c r="AV775" s="96">
        <f t="shared" si="2423"/>
        <v>0</v>
      </c>
      <c r="AW775" s="83">
        <f t="shared" si="2423"/>
        <v>0</v>
      </c>
      <c r="AX775" s="98">
        <f t="shared" si="2424"/>
        <v>0</v>
      </c>
      <c r="AY775" s="99" t="e">
        <f t="shared" si="2425"/>
        <v>#DIV/0!</v>
      </c>
      <c r="AZ775" s="100">
        <f t="shared" si="2426"/>
        <v>0</v>
      </c>
      <c r="BA775" s="101">
        <v>1</v>
      </c>
      <c r="BB775" s="102">
        <v>0</v>
      </c>
      <c r="BC775" s="84">
        <f t="shared" si="2427"/>
        <v>1</v>
      </c>
      <c r="BD775" s="83">
        <f t="shared" si="2302"/>
        <v>1</v>
      </c>
      <c r="BE775" s="85">
        <v>2</v>
      </c>
      <c r="BF775" s="86">
        <v>45546</v>
      </c>
      <c r="BG775" s="72" t="e">
        <f t="shared" si="2250"/>
        <v>#REF!</v>
      </c>
      <c r="BH775" s="103" t="e">
        <f t="shared" si="2428"/>
        <v>#REF!</v>
      </c>
      <c r="BI775" s="80" t="e">
        <f t="shared" si="2304"/>
        <v>#REF!</v>
      </c>
      <c r="BJ775" s="238">
        <v>11700</v>
      </c>
    </row>
    <row r="776" spans="1:62" ht="13">
      <c r="A776" s="75"/>
      <c r="B776" s="76"/>
      <c r="C776" s="51">
        <v>774</v>
      </c>
      <c r="D776" s="178" t="s">
        <v>1920</v>
      </c>
      <c r="E776" s="179">
        <v>25</v>
      </c>
      <c r="F776" s="88" t="s">
        <v>1481</v>
      </c>
      <c r="G776" s="89" t="s">
        <v>1482</v>
      </c>
      <c r="H776" s="89" t="s">
        <v>1699</v>
      </c>
      <c r="I776" s="80" t="s">
        <v>458</v>
      </c>
      <c r="J776" s="93">
        <f t="shared" si="2410"/>
        <v>1</v>
      </c>
      <c r="K776" s="80">
        <v>1</v>
      </c>
      <c r="L776" s="58"/>
      <c r="M776" s="58"/>
      <c r="N776" s="62">
        <f t="shared" si="2411"/>
        <v>1</v>
      </c>
      <c r="O776" s="60"/>
      <c r="P776" s="58"/>
      <c r="Q776" s="62">
        <f t="shared" si="2412"/>
        <v>1</v>
      </c>
      <c r="R776" s="60"/>
      <c r="S776" s="58"/>
      <c r="T776" s="94">
        <f t="shared" si="2413"/>
        <v>1</v>
      </c>
      <c r="U776" s="60"/>
      <c r="V776" s="58"/>
      <c r="W776" s="62">
        <f t="shared" si="2414"/>
        <v>1</v>
      </c>
      <c r="X776" s="60"/>
      <c r="Y776" s="58"/>
      <c r="Z776" s="94">
        <f t="shared" si="2415"/>
        <v>1</v>
      </c>
      <c r="AA776" s="60"/>
      <c r="AB776" s="58"/>
      <c r="AC776" s="62">
        <f t="shared" si="2416"/>
        <v>1</v>
      </c>
      <c r="AD776" s="57"/>
      <c r="AE776" s="58"/>
      <c r="AF776" s="165">
        <f t="shared" si="2417"/>
        <v>1</v>
      </c>
      <c r="AG776" s="60"/>
      <c r="AH776" s="58"/>
      <c r="AI776" s="62">
        <f t="shared" si="2418"/>
        <v>1</v>
      </c>
      <c r="AJ776" s="60"/>
      <c r="AK776" s="58"/>
      <c r="AL776" s="62">
        <f t="shared" si="2419"/>
        <v>1</v>
      </c>
      <c r="AM776" s="60"/>
      <c r="AN776" s="58"/>
      <c r="AO776" s="62">
        <f t="shared" si="2420"/>
        <v>1</v>
      </c>
      <c r="AP776" s="60"/>
      <c r="AQ776" s="58"/>
      <c r="AR776" s="62">
        <f t="shared" si="2421"/>
        <v>1</v>
      </c>
      <c r="AS776" s="60"/>
      <c r="AT776" s="58"/>
      <c r="AU776" s="62">
        <f t="shared" si="2422"/>
        <v>1</v>
      </c>
      <c r="AV776" s="96">
        <f t="shared" si="2423"/>
        <v>0</v>
      </c>
      <c r="AW776" s="83">
        <f t="shared" si="2423"/>
        <v>0</v>
      </c>
      <c r="AX776" s="98">
        <f t="shared" si="2424"/>
        <v>0</v>
      </c>
      <c r="AY776" s="99" t="e">
        <f t="shared" si="2425"/>
        <v>#DIV/0!</v>
      </c>
      <c r="AZ776" s="100">
        <f t="shared" si="2426"/>
        <v>0</v>
      </c>
      <c r="BA776" s="101">
        <v>1</v>
      </c>
      <c r="BB776" s="102">
        <v>0</v>
      </c>
      <c r="BC776" s="84">
        <f t="shared" si="2427"/>
        <v>1</v>
      </c>
      <c r="BD776" s="83">
        <f t="shared" si="2302"/>
        <v>1</v>
      </c>
      <c r="BE776" s="85">
        <v>2</v>
      </c>
      <c r="BF776" s="86">
        <v>45546</v>
      </c>
      <c r="BG776" s="72" t="e">
        <f t="shared" si="2250"/>
        <v>#REF!</v>
      </c>
      <c r="BH776" s="103" t="e">
        <f t="shared" si="2428"/>
        <v>#REF!</v>
      </c>
      <c r="BI776" s="80" t="e">
        <f t="shared" si="2304"/>
        <v>#REF!</v>
      </c>
      <c r="BJ776" s="238">
        <v>9200</v>
      </c>
    </row>
    <row r="777" spans="1:62" ht="13">
      <c r="A777" s="49"/>
      <c r="B777" s="50"/>
      <c r="C777" s="51">
        <v>775</v>
      </c>
      <c r="D777" s="180" t="s">
        <v>1865</v>
      </c>
      <c r="E777" s="180">
        <v>1</v>
      </c>
      <c r="F777" s="88" t="s">
        <v>1210</v>
      </c>
      <c r="G777" s="89" t="s">
        <v>2052</v>
      </c>
      <c r="H777" s="81" t="s">
        <v>1160</v>
      </c>
      <c r="I777" s="80" t="s">
        <v>458</v>
      </c>
      <c r="J777" s="82">
        <f t="shared" ref="J777:J783" si="2429">AU777</f>
        <v>1</v>
      </c>
      <c r="K777" s="80">
        <v>1</v>
      </c>
      <c r="L777" s="57"/>
      <c r="M777" s="58"/>
      <c r="N777" s="59">
        <f t="shared" ref="N777:N783" si="2430">SUM(K777+L777-M777)</f>
        <v>1</v>
      </c>
      <c r="O777" s="60"/>
      <c r="P777" s="58"/>
      <c r="Q777" s="59">
        <f t="shared" ref="Q777:Q783" si="2431">SUM(N777+O777-P777)</f>
        <v>1</v>
      </c>
      <c r="R777" s="60"/>
      <c r="S777" s="58"/>
      <c r="T777" s="61">
        <f t="shared" ref="T777:T783" si="2432">SUM(Q777+R777-S777)</f>
        <v>1</v>
      </c>
      <c r="U777" s="60"/>
      <c r="V777" s="58"/>
      <c r="W777" s="59">
        <f t="shared" ref="W777:W783" si="2433">SUM(T777+U777-V777)</f>
        <v>1</v>
      </c>
      <c r="X777" s="60"/>
      <c r="Y777" s="58"/>
      <c r="Z777" s="61">
        <f t="shared" ref="Z777:Z783" si="2434">SUM(W777+X777-Y777)</f>
        <v>1</v>
      </c>
      <c r="AA777" s="60"/>
      <c r="AB777" s="58"/>
      <c r="AC777" s="59">
        <f t="shared" ref="AC777:AC783" si="2435">SUM(Z777+AA777-AB777)</f>
        <v>1</v>
      </c>
      <c r="AD777" s="57"/>
      <c r="AE777" s="58"/>
      <c r="AF777" s="243">
        <f t="shared" ref="AF777:AF783" si="2436">SUM(AC777+AD777-AE777)</f>
        <v>1</v>
      </c>
      <c r="AG777" s="60"/>
      <c r="AH777" s="58"/>
      <c r="AI777" s="62">
        <f t="shared" ref="AI777:AI783" si="2437">SUM(AF777+AG777-AH777)</f>
        <v>1</v>
      </c>
      <c r="AJ777" s="60"/>
      <c r="AK777" s="58"/>
      <c r="AL777" s="62">
        <f t="shared" ref="AL777:AL783" si="2438">SUM(AI777+AJ777-AK777)</f>
        <v>1</v>
      </c>
      <c r="AM777" s="60"/>
      <c r="AN777" s="58"/>
      <c r="AO777" s="62">
        <f t="shared" ref="AO777:AO783" si="2439">SUM(AL777+AM777-AN777)</f>
        <v>1</v>
      </c>
      <c r="AP777" s="60"/>
      <c r="AQ777" s="58"/>
      <c r="AR777" s="104">
        <f t="shared" ref="AR777:AR783" si="2440">SUM(AO777+AP777-AQ777)</f>
        <v>1</v>
      </c>
      <c r="AS777" s="57"/>
      <c r="AT777" s="58"/>
      <c r="AU777" s="62">
        <f t="shared" ref="AU777:AU783" si="2441">SUM(AR777+AS777-AT777)</f>
        <v>1</v>
      </c>
      <c r="AV777" s="83">
        <f t="shared" ref="AV777:AW790" si="2442">SUM(L777+O777+R777+U777+X777+AA777+AD777+AG777+AJ777+AM777+AP777+AS777)</f>
        <v>0</v>
      </c>
      <c r="AW777" s="83">
        <f t="shared" si="2442"/>
        <v>0</v>
      </c>
      <c r="AX777" s="64">
        <f t="shared" ref="AX777:AX783" si="2443">SUM(M777,P777,S777,V777,Y777,AB777,AE777,AH777,AK777,AN777,AQ777,AT777)</f>
        <v>0</v>
      </c>
      <c r="AY777" s="65" t="e">
        <f t="shared" ref="AY777:AY783" si="2444">AVERAGE(M777,P777,S777,V777,Y777,AB777,AE777,AH777,AK777,AN777,AQ777,AT777)</f>
        <v>#DIV/0!</v>
      </c>
      <c r="AZ777" s="66">
        <f t="shared" ref="AZ777:AZ783" si="2445">COUNT(M777,P777,S777,V777,Y777,AB777,AE777,AH777,AK777,AN777,AQ777,AT777)</f>
        <v>0</v>
      </c>
      <c r="BA777" s="67">
        <v>1</v>
      </c>
      <c r="BB777" s="68">
        <v>0</v>
      </c>
      <c r="BC777" s="84">
        <f t="shared" si="2427"/>
        <v>1</v>
      </c>
      <c r="BD777" s="83">
        <f t="shared" si="2302"/>
        <v>1</v>
      </c>
      <c r="BE777" s="85">
        <v>2</v>
      </c>
      <c r="BF777" s="86">
        <v>44903.558344907404</v>
      </c>
      <c r="BG777" s="72" t="e">
        <f t="shared" ref="BG777:BG840" si="2446">BG776</f>
        <v>#REF!</v>
      </c>
      <c r="BH777" s="87" t="e">
        <f t="shared" ref="BH777:BH783" si="2447">BG777-BF777</f>
        <v>#REF!</v>
      </c>
      <c r="BI777" s="80" t="e">
        <f t="shared" si="2304"/>
        <v>#REF!</v>
      </c>
      <c r="BJ777" s="238">
        <v>58395</v>
      </c>
    </row>
    <row r="778" spans="1:62" ht="13">
      <c r="A778" s="49"/>
      <c r="B778" s="50"/>
      <c r="C778" s="77">
        <v>776</v>
      </c>
      <c r="D778" s="181" t="s">
        <v>1865</v>
      </c>
      <c r="E778" s="181">
        <v>3</v>
      </c>
      <c r="F778" s="88" t="s">
        <v>1214</v>
      </c>
      <c r="G778" s="89" t="s">
        <v>1220</v>
      </c>
      <c r="H778" s="81" t="s">
        <v>1160</v>
      </c>
      <c r="I778" s="80" t="s">
        <v>458</v>
      </c>
      <c r="J778" s="82">
        <f t="shared" si="2429"/>
        <v>1</v>
      </c>
      <c r="K778" s="80">
        <v>1</v>
      </c>
      <c r="L778" s="57"/>
      <c r="M778" s="58"/>
      <c r="N778" s="59">
        <f t="shared" si="2430"/>
        <v>1</v>
      </c>
      <c r="O778" s="60"/>
      <c r="P778" s="58"/>
      <c r="Q778" s="59">
        <f t="shared" si="2431"/>
        <v>1</v>
      </c>
      <c r="R778" s="60"/>
      <c r="S778" s="58"/>
      <c r="T778" s="61">
        <f t="shared" si="2432"/>
        <v>1</v>
      </c>
      <c r="U778" s="60"/>
      <c r="V778" s="58"/>
      <c r="W778" s="59">
        <f t="shared" si="2433"/>
        <v>1</v>
      </c>
      <c r="X778" s="60"/>
      <c r="Y778" s="58"/>
      <c r="Z778" s="61">
        <f t="shared" si="2434"/>
        <v>1</v>
      </c>
      <c r="AA778" s="60"/>
      <c r="AB778" s="58"/>
      <c r="AC778" s="59">
        <f t="shared" si="2435"/>
        <v>1</v>
      </c>
      <c r="AD778" s="57"/>
      <c r="AE778" s="58"/>
      <c r="AF778" s="243">
        <f t="shared" si="2436"/>
        <v>1</v>
      </c>
      <c r="AG778" s="60"/>
      <c r="AH778" s="58"/>
      <c r="AI778" s="62">
        <f t="shared" si="2437"/>
        <v>1</v>
      </c>
      <c r="AJ778" s="60"/>
      <c r="AK778" s="58"/>
      <c r="AL778" s="62">
        <f t="shared" si="2438"/>
        <v>1</v>
      </c>
      <c r="AM778" s="60"/>
      <c r="AN778" s="58"/>
      <c r="AO778" s="62">
        <f t="shared" si="2439"/>
        <v>1</v>
      </c>
      <c r="AP778" s="60"/>
      <c r="AQ778" s="58"/>
      <c r="AR778" s="104">
        <f t="shared" si="2440"/>
        <v>1</v>
      </c>
      <c r="AS778" s="60"/>
      <c r="AT778" s="58"/>
      <c r="AU778" s="62">
        <f t="shared" si="2441"/>
        <v>1</v>
      </c>
      <c r="AV778" s="83">
        <f t="shared" si="2442"/>
        <v>0</v>
      </c>
      <c r="AW778" s="83">
        <f t="shared" si="2442"/>
        <v>0</v>
      </c>
      <c r="AX778" s="64">
        <f t="shared" si="2443"/>
        <v>0</v>
      </c>
      <c r="AY778" s="65" t="e">
        <f t="shared" si="2444"/>
        <v>#DIV/0!</v>
      </c>
      <c r="AZ778" s="66">
        <f t="shared" si="2445"/>
        <v>0</v>
      </c>
      <c r="BA778" s="67">
        <v>1</v>
      </c>
      <c r="BB778" s="68">
        <v>0</v>
      </c>
      <c r="BC778" s="84">
        <f t="shared" si="2427"/>
        <v>1</v>
      </c>
      <c r="BD778" s="83">
        <f t="shared" si="2302"/>
        <v>1</v>
      </c>
      <c r="BE778" s="85">
        <v>2</v>
      </c>
      <c r="BF778" s="86">
        <v>44903.558344907404</v>
      </c>
      <c r="BG778" s="72" t="e">
        <f t="shared" si="2446"/>
        <v>#REF!</v>
      </c>
      <c r="BH778" s="87" t="e">
        <f t="shared" si="2447"/>
        <v>#REF!</v>
      </c>
      <c r="BI778" s="80" t="e">
        <f t="shared" si="2304"/>
        <v>#REF!</v>
      </c>
      <c r="BJ778" s="238">
        <v>51680</v>
      </c>
    </row>
    <row r="779" spans="1:62" ht="13">
      <c r="A779" s="75"/>
      <c r="B779" s="76"/>
      <c r="C779" s="77">
        <v>777</v>
      </c>
      <c r="D779" s="181" t="s">
        <v>1865</v>
      </c>
      <c r="E779" s="181">
        <v>4</v>
      </c>
      <c r="F779" s="88" t="s">
        <v>1215</v>
      </c>
      <c r="G779" s="89" t="s">
        <v>1221</v>
      </c>
      <c r="H779" s="81" t="s">
        <v>1160</v>
      </c>
      <c r="I779" s="80" t="s">
        <v>458</v>
      </c>
      <c r="J779" s="82">
        <f t="shared" si="2429"/>
        <v>1</v>
      </c>
      <c r="K779" s="80">
        <v>1</v>
      </c>
      <c r="L779" s="182"/>
      <c r="M779" s="183"/>
      <c r="N779" s="132">
        <f t="shared" si="2430"/>
        <v>1</v>
      </c>
      <c r="O779" s="184"/>
      <c r="P779" s="183"/>
      <c r="Q779" s="132">
        <f t="shared" si="2431"/>
        <v>1</v>
      </c>
      <c r="R779" s="184"/>
      <c r="S779" s="183"/>
      <c r="T779" s="185">
        <f t="shared" si="2432"/>
        <v>1</v>
      </c>
      <c r="U779" s="184"/>
      <c r="V779" s="183"/>
      <c r="W779" s="132">
        <f t="shared" si="2433"/>
        <v>1</v>
      </c>
      <c r="X779" s="184"/>
      <c r="Y779" s="183"/>
      <c r="Z779" s="185">
        <f t="shared" si="2434"/>
        <v>1</v>
      </c>
      <c r="AA779" s="184"/>
      <c r="AB779" s="183"/>
      <c r="AC779" s="132">
        <f t="shared" si="2435"/>
        <v>1</v>
      </c>
      <c r="AD779" s="182"/>
      <c r="AE779" s="183"/>
      <c r="AF779" s="246">
        <f t="shared" si="2436"/>
        <v>1</v>
      </c>
      <c r="AG779" s="184"/>
      <c r="AH779" s="183"/>
      <c r="AI779" s="186">
        <f t="shared" si="2437"/>
        <v>1</v>
      </c>
      <c r="AJ779" s="184"/>
      <c r="AK779" s="183"/>
      <c r="AL779" s="186">
        <f t="shared" si="2438"/>
        <v>1</v>
      </c>
      <c r="AM779" s="184"/>
      <c r="AN779" s="183"/>
      <c r="AO779" s="186">
        <f t="shared" si="2439"/>
        <v>1</v>
      </c>
      <c r="AP779" s="184"/>
      <c r="AQ779" s="183"/>
      <c r="AR779" s="104">
        <f t="shared" si="2440"/>
        <v>1</v>
      </c>
      <c r="AS779" s="184"/>
      <c r="AT779" s="58"/>
      <c r="AU779" s="186">
        <f t="shared" si="2441"/>
        <v>1</v>
      </c>
      <c r="AV779" s="97">
        <f t="shared" si="2442"/>
        <v>0</v>
      </c>
      <c r="AW779" s="83">
        <f t="shared" si="2442"/>
        <v>0</v>
      </c>
      <c r="AX779" s="64">
        <f t="shared" si="2443"/>
        <v>0</v>
      </c>
      <c r="AY779" s="65" t="e">
        <f t="shared" si="2444"/>
        <v>#DIV/0!</v>
      </c>
      <c r="AZ779" s="66">
        <f t="shared" si="2445"/>
        <v>0</v>
      </c>
      <c r="BA779" s="67">
        <f>MAX(0, Table176252626[[#This Row],[Column6]])</f>
        <v>1</v>
      </c>
      <c r="BB779" s="68">
        <v>0</v>
      </c>
      <c r="BC779" s="84">
        <f t="shared" si="2427"/>
        <v>1</v>
      </c>
      <c r="BD779" s="83">
        <f t="shared" si="2302"/>
        <v>1</v>
      </c>
      <c r="BE779" s="85">
        <v>2</v>
      </c>
      <c r="BF779" s="86">
        <v>44903</v>
      </c>
      <c r="BG779" s="72" t="e">
        <f t="shared" si="2446"/>
        <v>#REF!</v>
      </c>
      <c r="BH779" s="87" t="e">
        <f t="shared" si="2447"/>
        <v>#REF!</v>
      </c>
      <c r="BI779" s="80" t="e">
        <f t="shared" si="2304"/>
        <v>#REF!</v>
      </c>
      <c r="BJ779" s="238">
        <v>680</v>
      </c>
    </row>
    <row r="780" spans="1:62" ht="13">
      <c r="A780" s="49"/>
      <c r="B780" s="76"/>
      <c r="C780" s="51">
        <v>778</v>
      </c>
      <c r="D780" s="181" t="s">
        <v>1865</v>
      </c>
      <c r="E780" s="181">
        <v>5</v>
      </c>
      <c r="F780" s="88" t="s">
        <v>1212</v>
      </c>
      <c r="G780" s="89" t="s">
        <v>1218</v>
      </c>
      <c r="H780" s="81" t="s">
        <v>1160</v>
      </c>
      <c r="I780" s="80" t="s">
        <v>458</v>
      </c>
      <c r="J780" s="82">
        <f t="shared" si="2429"/>
        <v>1</v>
      </c>
      <c r="K780" s="80">
        <v>1</v>
      </c>
      <c r="L780" s="57"/>
      <c r="M780" s="58"/>
      <c r="N780" s="59">
        <f t="shared" si="2430"/>
        <v>1</v>
      </c>
      <c r="O780" s="60"/>
      <c r="P780" s="58"/>
      <c r="Q780" s="59">
        <f t="shared" si="2431"/>
        <v>1</v>
      </c>
      <c r="R780" s="60"/>
      <c r="S780" s="58"/>
      <c r="T780" s="61">
        <f t="shared" si="2432"/>
        <v>1</v>
      </c>
      <c r="U780" s="60"/>
      <c r="V780" s="58"/>
      <c r="W780" s="59">
        <f t="shared" si="2433"/>
        <v>1</v>
      </c>
      <c r="X780" s="60"/>
      <c r="Y780" s="58"/>
      <c r="Z780" s="61">
        <f t="shared" si="2434"/>
        <v>1</v>
      </c>
      <c r="AA780" s="60"/>
      <c r="AB780" s="58"/>
      <c r="AC780" s="59">
        <f t="shared" si="2435"/>
        <v>1</v>
      </c>
      <c r="AD780" s="57"/>
      <c r="AE780" s="58"/>
      <c r="AF780" s="243">
        <f t="shared" si="2436"/>
        <v>1</v>
      </c>
      <c r="AG780" s="60"/>
      <c r="AH780" s="58"/>
      <c r="AI780" s="62">
        <f t="shared" si="2437"/>
        <v>1</v>
      </c>
      <c r="AJ780" s="60"/>
      <c r="AK780" s="58"/>
      <c r="AL780" s="62">
        <f t="shared" si="2438"/>
        <v>1</v>
      </c>
      <c r="AM780" s="60"/>
      <c r="AN780" s="58"/>
      <c r="AO780" s="62">
        <f t="shared" si="2439"/>
        <v>1</v>
      </c>
      <c r="AP780" s="60"/>
      <c r="AQ780" s="58"/>
      <c r="AR780" s="104">
        <f t="shared" si="2440"/>
        <v>1</v>
      </c>
      <c r="AS780" s="57"/>
      <c r="AT780" s="58"/>
      <c r="AU780" s="62">
        <f t="shared" si="2441"/>
        <v>1</v>
      </c>
      <c r="AV780" s="83">
        <f t="shared" si="2442"/>
        <v>0</v>
      </c>
      <c r="AW780" s="83">
        <f t="shared" si="2442"/>
        <v>0</v>
      </c>
      <c r="AX780" s="64">
        <f t="shared" si="2443"/>
        <v>0</v>
      </c>
      <c r="AY780" s="65" t="e">
        <f t="shared" si="2444"/>
        <v>#DIV/0!</v>
      </c>
      <c r="AZ780" s="66">
        <f t="shared" si="2445"/>
        <v>0</v>
      </c>
      <c r="BA780" s="67">
        <f>MAX(0, Table176252626[[#This Row],[Column6]])</f>
        <v>1</v>
      </c>
      <c r="BB780" s="68">
        <v>0</v>
      </c>
      <c r="BC780" s="84">
        <f t="shared" si="2427"/>
        <v>1</v>
      </c>
      <c r="BD780" s="83">
        <f t="shared" si="2302"/>
        <v>1</v>
      </c>
      <c r="BE780" s="85">
        <v>2</v>
      </c>
      <c r="BF780" s="86">
        <v>44903</v>
      </c>
      <c r="BG780" s="72" t="e">
        <f t="shared" si="2446"/>
        <v>#REF!</v>
      </c>
      <c r="BH780" s="87" t="e">
        <f t="shared" si="2447"/>
        <v>#REF!</v>
      </c>
      <c r="BI780" s="80" t="e">
        <f t="shared" si="2304"/>
        <v>#REF!</v>
      </c>
      <c r="BJ780" s="238">
        <v>1275</v>
      </c>
    </row>
    <row r="781" spans="1:62" ht="13">
      <c r="A781" s="49"/>
      <c r="B781" s="76"/>
      <c r="C781" s="51">
        <v>779</v>
      </c>
      <c r="D781" s="181" t="s">
        <v>1865</v>
      </c>
      <c r="E781" s="181">
        <v>6</v>
      </c>
      <c r="F781" s="88" t="s">
        <v>1209</v>
      </c>
      <c r="G781" s="89" t="s">
        <v>1216</v>
      </c>
      <c r="H781" s="81" t="s">
        <v>1160</v>
      </c>
      <c r="I781" s="80" t="s">
        <v>458</v>
      </c>
      <c r="J781" s="82">
        <f t="shared" si="2429"/>
        <v>1</v>
      </c>
      <c r="K781" s="80">
        <v>1</v>
      </c>
      <c r="L781" s="57"/>
      <c r="M781" s="58"/>
      <c r="N781" s="59">
        <f t="shared" si="2430"/>
        <v>1</v>
      </c>
      <c r="O781" s="60"/>
      <c r="P781" s="58"/>
      <c r="Q781" s="59">
        <f t="shared" si="2431"/>
        <v>1</v>
      </c>
      <c r="R781" s="60"/>
      <c r="S781" s="58"/>
      <c r="T781" s="61">
        <f t="shared" si="2432"/>
        <v>1</v>
      </c>
      <c r="U781" s="60"/>
      <c r="V781" s="58"/>
      <c r="W781" s="59">
        <f t="shared" si="2433"/>
        <v>1</v>
      </c>
      <c r="X781" s="60"/>
      <c r="Y781" s="58"/>
      <c r="Z781" s="61">
        <f t="shared" si="2434"/>
        <v>1</v>
      </c>
      <c r="AA781" s="60"/>
      <c r="AB781" s="58"/>
      <c r="AC781" s="59">
        <f t="shared" si="2435"/>
        <v>1</v>
      </c>
      <c r="AD781" s="57"/>
      <c r="AE781" s="58"/>
      <c r="AF781" s="243">
        <f t="shared" si="2436"/>
        <v>1</v>
      </c>
      <c r="AG781" s="60"/>
      <c r="AH781" s="58"/>
      <c r="AI781" s="62">
        <f t="shared" si="2437"/>
        <v>1</v>
      </c>
      <c r="AJ781" s="60"/>
      <c r="AK781" s="58"/>
      <c r="AL781" s="62">
        <f t="shared" si="2438"/>
        <v>1</v>
      </c>
      <c r="AM781" s="60"/>
      <c r="AN781" s="58"/>
      <c r="AO781" s="62">
        <f t="shared" si="2439"/>
        <v>1</v>
      </c>
      <c r="AP781" s="60"/>
      <c r="AQ781" s="58"/>
      <c r="AR781" s="104">
        <f t="shared" si="2440"/>
        <v>1</v>
      </c>
      <c r="AS781" s="60"/>
      <c r="AT781" s="58"/>
      <c r="AU781" s="62">
        <f t="shared" si="2441"/>
        <v>1</v>
      </c>
      <c r="AV781" s="83">
        <f t="shared" si="2442"/>
        <v>0</v>
      </c>
      <c r="AW781" s="83">
        <f t="shared" si="2442"/>
        <v>0</v>
      </c>
      <c r="AX781" s="64">
        <f t="shared" si="2443"/>
        <v>0</v>
      </c>
      <c r="AY781" s="65" t="e">
        <f t="shared" si="2444"/>
        <v>#DIV/0!</v>
      </c>
      <c r="AZ781" s="66">
        <f t="shared" si="2445"/>
        <v>0</v>
      </c>
      <c r="BA781" s="67">
        <f>MAX(0, Table176252626[[#This Row],[Column6]])</f>
        <v>1</v>
      </c>
      <c r="BB781" s="68">
        <v>0</v>
      </c>
      <c r="BC781" s="84">
        <f t="shared" si="2427"/>
        <v>1</v>
      </c>
      <c r="BD781" s="83">
        <f t="shared" si="2302"/>
        <v>1</v>
      </c>
      <c r="BE781" s="85">
        <v>2</v>
      </c>
      <c r="BF781" s="86">
        <v>44903</v>
      </c>
      <c r="BG781" s="72" t="e">
        <f t="shared" si="2446"/>
        <v>#REF!</v>
      </c>
      <c r="BH781" s="87" t="e">
        <f t="shared" si="2447"/>
        <v>#REF!</v>
      </c>
      <c r="BI781" s="80" t="e">
        <f t="shared" si="2304"/>
        <v>#REF!</v>
      </c>
      <c r="BJ781" s="238">
        <v>900</v>
      </c>
    </row>
    <row r="782" spans="1:62" ht="13">
      <c r="A782" s="49"/>
      <c r="B782" s="50"/>
      <c r="C782" s="51">
        <v>780</v>
      </c>
      <c r="D782" s="181" t="s">
        <v>1865</v>
      </c>
      <c r="E782" s="181">
        <v>7</v>
      </c>
      <c r="F782" s="88" t="s">
        <v>1213</v>
      </c>
      <c r="G782" s="89" t="s">
        <v>1219</v>
      </c>
      <c r="H782" s="81" t="s">
        <v>1160</v>
      </c>
      <c r="I782" s="80" t="s">
        <v>458</v>
      </c>
      <c r="J782" s="82">
        <f t="shared" si="2429"/>
        <v>1</v>
      </c>
      <c r="K782" s="54">
        <v>1</v>
      </c>
      <c r="L782" s="57"/>
      <c r="M782" s="58"/>
      <c r="N782" s="59">
        <f t="shared" si="2430"/>
        <v>1</v>
      </c>
      <c r="O782" s="60"/>
      <c r="P782" s="58"/>
      <c r="Q782" s="59">
        <f t="shared" si="2431"/>
        <v>1</v>
      </c>
      <c r="R782" s="60"/>
      <c r="S782" s="58"/>
      <c r="T782" s="61">
        <f t="shared" si="2432"/>
        <v>1</v>
      </c>
      <c r="U782" s="60"/>
      <c r="V782" s="58"/>
      <c r="W782" s="59">
        <f t="shared" si="2433"/>
        <v>1</v>
      </c>
      <c r="X782" s="60"/>
      <c r="Y782" s="58"/>
      <c r="Z782" s="61">
        <f t="shared" si="2434"/>
        <v>1</v>
      </c>
      <c r="AA782" s="60"/>
      <c r="AB782" s="58"/>
      <c r="AC782" s="59">
        <f t="shared" si="2435"/>
        <v>1</v>
      </c>
      <c r="AD782" s="57"/>
      <c r="AE782" s="58"/>
      <c r="AF782" s="243">
        <f t="shared" si="2436"/>
        <v>1</v>
      </c>
      <c r="AG782" s="60"/>
      <c r="AH782" s="58"/>
      <c r="AI782" s="62">
        <f t="shared" si="2437"/>
        <v>1</v>
      </c>
      <c r="AJ782" s="60"/>
      <c r="AK782" s="58"/>
      <c r="AL782" s="62">
        <f t="shared" si="2438"/>
        <v>1</v>
      </c>
      <c r="AM782" s="60"/>
      <c r="AN782" s="58"/>
      <c r="AO782" s="62">
        <f t="shared" si="2439"/>
        <v>1</v>
      </c>
      <c r="AP782" s="60"/>
      <c r="AQ782" s="58"/>
      <c r="AR782" s="104">
        <f t="shared" si="2440"/>
        <v>1</v>
      </c>
      <c r="AS782" s="60"/>
      <c r="AT782" s="58"/>
      <c r="AU782" s="62">
        <f t="shared" si="2441"/>
        <v>1</v>
      </c>
      <c r="AV782" s="83">
        <f t="shared" si="2442"/>
        <v>0</v>
      </c>
      <c r="AW782" s="83">
        <f t="shared" si="2442"/>
        <v>0</v>
      </c>
      <c r="AX782" s="64">
        <f t="shared" si="2443"/>
        <v>0</v>
      </c>
      <c r="AY782" s="65" t="e">
        <f t="shared" si="2444"/>
        <v>#DIV/0!</v>
      </c>
      <c r="AZ782" s="66">
        <f t="shared" si="2445"/>
        <v>0</v>
      </c>
      <c r="BA782" s="67">
        <f>MAX(0, Table176252626[[#This Row],[Column6]])</f>
        <v>1</v>
      </c>
      <c r="BB782" s="68">
        <v>0</v>
      </c>
      <c r="BC782" s="84">
        <f t="shared" si="2427"/>
        <v>1</v>
      </c>
      <c r="BD782" s="83">
        <f t="shared" si="2302"/>
        <v>1</v>
      </c>
      <c r="BE782" s="85">
        <v>2</v>
      </c>
      <c r="BF782" s="86">
        <v>44903</v>
      </c>
      <c r="BG782" s="72" t="e">
        <f t="shared" si="2446"/>
        <v>#REF!</v>
      </c>
      <c r="BH782" s="87" t="e">
        <f t="shared" si="2447"/>
        <v>#REF!</v>
      </c>
      <c r="BI782" s="80" t="e">
        <f t="shared" si="2304"/>
        <v>#REF!</v>
      </c>
      <c r="BJ782" s="238">
        <v>425</v>
      </c>
    </row>
    <row r="783" spans="1:62" ht="13">
      <c r="A783" s="75"/>
      <c r="B783" s="76"/>
      <c r="C783" s="51">
        <v>781</v>
      </c>
      <c r="D783" s="181" t="s">
        <v>1865</v>
      </c>
      <c r="E783" s="181">
        <v>8</v>
      </c>
      <c r="F783" s="88" t="s">
        <v>735</v>
      </c>
      <c r="G783" s="89" t="s">
        <v>736</v>
      </c>
      <c r="H783" s="81" t="s">
        <v>1160</v>
      </c>
      <c r="I783" s="80" t="s">
        <v>458</v>
      </c>
      <c r="J783" s="82">
        <f t="shared" si="2429"/>
        <v>2</v>
      </c>
      <c r="K783" s="80">
        <v>2</v>
      </c>
      <c r="L783" s="58"/>
      <c r="M783" s="58"/>
      <c r="N783" s="62">
        <f t="shared" si="2430"/>
        <v>2</v>
      </c>
      <c r="O783" s="60"/>
      <c r="P783" s="58"/>
      <c r="Q783" s="62">
        <f t="shared" si="2431"/>
        <v>2</v>
      </c>
      <c r="R783" s="60"/>
      <c r="S783" s="58"/>
      <c r="T783" s="94">
        <f t="shared" si="2432"/>
        <v>2</v>
      </c>
      <c r="U783" s="60"/>
      <c r="V783" s="58"/>
      <c r="W783" s="62">
        <f t="shared" si="2433"/>
        <v>2</v>
      </c>
      <c r="X783" s="60"/>
      <c r="Y783" s="58"/>
      <c r="Z783" s="94">
        <f t="shared" si="2434"/>
        <v>2</v>
      </c>
      <c r="AA783" s="60"/>
      <c r="AB783" s="58"/>
      <c r="AC783" s="62">
        <f t="shared" si="2435"/>
        <v>2</v>
      </c>
      <c r="AD783" s="57"/>
      <c r="AE783" s="58"/>
      <c r="AF783" s="165">
        <f t="shared" si="2436"/>
        <v>2</v>
      </c>
      <c r="AG783" s="60"/>
      <c r="AH783" s="58"/>
      <c r="AI783" s="62">
        <f t="shared" si="2437"/>
        <v>2</v>
      </c>
      <c r="AJ783" s="60"/>
      <c r="AK783" s="58"/>
      <c r="AL783" s="62">
        <f t="shared" si="2438"/>
        <v>2</v>
      </c>
      <c r="AM783" s="60"/>
      <c r="AN783" s="58"/>
      <c r="AO783" s="62">
        <f t="shared" si="2439"/>
        <v>2</v>
      </c>
      <c r="AP783" s="60"/>
      <c r="AQ783" s="58"/>
      <c r="AR783" s="104">
        <f t="shared" si="2440"/>
        <v>2</v>
      </c>
      <c r="AS783" s="60"/>
      <c r="AT783" s="58"/>
      <c r="AU783" s="62">
        <f t="shared" si="2441"/>
        <v>2</v>
      </c>
      <c r="AV783" s="123">
        <f t="shared" si="2442"/>
        <v>0</v>
      </c>
      <c r="AW783" s="83">
        <f t="shared" si="2442"/>
        <v>0</v>
      </c>
      <c r="AX783" s="64">
        <f t="shared" si="2443"/>
        <v>0</v>
      </c>
      <c r="AY783" s="65" t="e">
        <f t="shared" si="2444"/>
        <v>#DIV/0!</v>
      </c>
      <c r="AZ783" s="66">
        <f t="shared" si="2445"/>
        <v>0</v>
      </c>
      <c r="BA783" s="67">
        <v>2</v>
      </c>
      <c r="BB783" s="68">
        <v>1</v>
      </c>
      <c r="BC783" s="84">
        <f t="shared" si="2427"/>
        <v>2</v>
      </c>
      <c r="BD783" s="83">
        <f t="shared" si="2302"/>
        <v>1</v>
      </c>
      <c r="BE783" s="85">
        <v>2</v>
      </c>
      <c r="BF783" s="86">
        <v>44903</v>
      </c>
      <c r="BG783" s="72" t="e">
        <f t="shared" si="2446"/>
        <v>#REF!</v>
      </c>
      <c r="BH783" s="87" t="e">
        <f t="shared" si="2447"/>
        <v>#REF!</v>
      </c>
      <c r="BI783" s="80" t="e">
        <f t="shared" si="2304"/>
        <v>#REF!</v>
      </c>
      <c r="BJ783" s="238">
        <v>280</v>
      </c>
    </row>
    <row r="784" spans="1:62" ht="13">
      <c r="A784" s="90"/>
      <c r="B784" s="91"/>
      <c r="C784" s="77">
        <v>782</v>
      </c>
      <c r="D784" s="175" t="s">
        <v>1866</v>
      </c>
      <c r="E784" s="175">
        <v>1</v>
      </c>
      <c r="F784" s="88" t="s">
        <v>1605</v>
      </c>
      <c r="G784" s="89" t="s">
        <v>1610</v>
      </c>
      <c r="H784" s="89" t="s">
        <v>893</v>
      </c>
      <c r="I784" s="80" t="s">
        <v>458</v>
      </c>
      <c r="J784" s="93">
        <f t="shared" ref="J784:J788" si="2448">AU784</f>
        <v>1</v>
      </c>
      <c r="K784" s="88">
        <v>1</v>
      </c>
      <c r="L784" s="58"/>
      <c r="M784" s="58"/>
      <c r="N784" s="62">
        <f t="shared" ref="N784:N788" si="2449">SUM(K784+L784-M784)</f>
        <v>1</v>
      </c>
      <c r="O784" s="60"/>
      <c r="P784" s="58"/>
      <c r="Q784" s="62">
        <f t="shared" ref="Q784:Q788" si="2450">SUM(N784+O784-P784)</f>
        <v>1</v>
      </c>
      <c r="R784" s="60"/>
      <c r="S784" s="58"/>
      <c r="T784" s="94">
        <f t="shared" ref="T784:T788" si="2451">SUM(Q784+R784-S784)</f>
        <v>1</v>
      </c>
      <c r="U784" s="60"/>
      <c r="V784" s="58"/>
      <c r="W784" s="62">
        <f t="shared" ref="W784:W788" si="2452">SUM(T784+U784-V784)</f>
        <v>1</v>
      </c>
      <c r="X784" s="60"/>
      <c r="Y784" s="58"/>
      <c r="Z784" s="94">
        <f t="shared" ref="Z784:Z788" si="2453">SUM(W784+X784-Y784)</f>
        <v>1</v>
      </c>
      <c r="AA784" s="60"/>
      <c r="AB784" s="58"/>
      <c r="AC784" s="62">
        <f t="shared" ref="AC784:AC788" si="2454">SUM(Z784+AA784-AB784)</f>
        <v>1</v>
      </c>
      <c r="AD784" s="57"/>
      <c r="AE784" s="58"/>
      <c r="AF784" s="165">
        <f t="shared" ref="AF784:AF788" si="2455">SUM(AC784+AD784-AE784)</f>
        <v>1</v>
      </c>
      <c r="AG784" s="60"/>
      <c r="AH784" s="58"/>
      <c r="AI784" s="62">
        <f t="shared" ref="AI784:AI788" si="2456">SUM(AF784+AG784-AH784)</f>
        <v>1</v>
      </c>
      <c r="AJ784" s="60"/>
      <c r="AK784" s="58"/>
      <c r="AL784" s="62">
        <f t="shared" ref="AL784:AL788" si="2457">SUM(AI784+AJ784-AK784)</f>
        <v>1</v>
      </c>
      <c r="AM784" s="60"/>
      <c r="AN784" s="58"/>
      <c r="AO784" s="62">
        <f t="shared" ref="AO784:AO788" si="2458">SUM(AL784+AM784-AN784)</f>
        <v>1</v>
      </c>
      <c r="AP784" s="60"/>
      <c r="AQ784" s="58"/>
      <c r="AR784" s="62">
        <f t="shared" ref="AR784:AR788" si="2459">SUM(AO784+AP784-AQ784)</f>
        <v>1</v>
      </c>
      <c r="AS784" s="60"/>
      <c r="AT784" s="58"/>
      <c r="AU784" s="62">
        <f t="shared" ref="AU784:AU788" si="2460">SUM(AR784+AS784-AT784)</f>
        <v>1</v>
      </c>
      <c r="AV784" s="96">
        <f t="shared" ref="AV784:AV788" si="2461">SUM(L784+O784+R784+U784+X784+AA784+AD784+AG784+AJ784+AM784+AP784+AS784)</f>
        <v>0</v>
      </c>
      <c r="AW784" s="83">
        <f t="shared" si="2442"/>
        <v>0</v>
      </c>
      <c r="AX784" s="98">
        <f t="shared" ref="AX784:AX788" si="2462">SUM(M784,P784,S784,V784,Y784,AB784,AE784,AH784,AK784,AN784,AQ784,AT784)</f>
        <v>0</v>
      </c>
      <c r="AY784" s="99" t="e">
        <f t="shared" ref="AY784:AY788" si="2463">AVERAGE(M784,P784,S784,V784,Y784,AB784,AE784,AH784,AK784,AN784,AQ784,AT784)</f>
        <v>#DIV/0!</v>
      </c>
      <c r="AZ784" s="100">
        <f t="shared" ref="AZ784:AZ788" si="2464">COUNT(M784,P784,S784,V784,Y784,AB784,AE784,AH784,AK784,AN784,AQ784,AT784)</f>
        <v>0</v>
      </c>
      <c r="BA784" s="101">
        <v>1</v>
      </c>
      <c r="BB784" s="102">
        <v>0</v>
      </c>
      <c r="BC784" s="84">
        <f t="shared" si="2427"/>
        <v>1</v>
      </c>
      <c r="BD784" s="83">
        <f t="shared" si="2302"/>
        <v>1</v>
      </c>
      <c r="BE784" s="85">
        <v>2</v>
      </c>
      <c r="BF784" s="86">
        <v>45546.579687500001</v>
      </c>
      <c r="BG784" s="72" t="e">
        <f t="shared" si="2446"/>
        <v>#REF!</v>
      </c>
      <c r="BH784" s="103" t="e">
        <f t="shared" ref="BH784:BH788" si="2465">BG784-BF784</f>
        <v>#REF!</v>
      </c>
      <c r="BI784" s="80" t="e">
        <f t="shared" si="2304"/>
        <v>#REF!</v>
      </c>
      <c r="BJ784" s="238">
        <v>43300</v>
      </c>
    </row>
    <row r="785" spans="1:62" ht="13">
      <c r="A785" s="49"/>
      <c r="B785" s="50"/>
      <c r="C785" s="77">
        <v>783</v>
      </c>
      <c r="D785" s="177" t="s">
        <v>1866</v>
      </c>
      <c r="E785" s="177">
        <v>2</v>
      </c>
      <c r="F785" s="88" t="s">
        <v>1606</v>
      </c>
      <c r="G785" s="89" t="s">
        <v>1611</v>
      </c>
      <c r="H785" s="89" t="s">
        <v>893</v>
      </c>
      <c r="I785" s="80" t="s">
        <v>458</v>
      </c>
      <c r="J785" s="93">
        <f t="shared" si="2448"/>
        <v>1</v>
      </c>
      <c r="K785" s="80">
        <v>1</v>
      </c>
      <c r="L785" s="58"/>
      <c r="M785" s="58"/>
      <c r="N785" s="62">
        <f t="shared" si="2449"/>
        <v>1</v>
      </c>
      <c r="O785" s="60"/>
      <c r="P785" s="58"/>
      <c r="Q785" s="62">
        <f t="shared" si="2450"/>
        <v>1</v>
      </c>
      <c r="R785" s="60"/>
      <c r="S785" s="58"/>
      <c r="T785" s="94">
        <f t="shared" si="2451"/>
        <v>1</v>
      </c>
      <c r="U785" s="60"/>
      <c r="V785" s="58"/>
      <c r="W785" s="62">
        <f t="shared" si="2452"/>
        <v>1</v>
      </c>
      <c r="X785" s="60"/>
      <c r="Y785" s="58"/>
      <c r="Z785" s="94">
        <f t="shared" si="2453"/>
        <v>1</v>
      </c>
      <c r="AA785" s="60"/>
      <c r="AB785" s="58"/>
      <c r="AC785" s="62">
        <f t="shared" si="2454"/>
        <v>1</v>
      </c>
      <c r="AD785" s="57"/>
      <c r="AE785" s="58"/>
      <c r="AF785" s="165">
        <f t="shared" si="2455"/>
        <v>1</v>
      </c>
      <c r="AG785" s="60"/>
      <c r="AH785" s="58"/>
      <c r="AI785" s="62">
        <f t="shared" si="2456"/>
        <v>1</v>
      </c>
      <c r="AJ785" s="60"/>
      <c r="AK785" s="58"/>
      <c r="AL785" s="62">
        <f t="shared" si="2457"/>
        <v>1</v>
      </c>
      <c r="AM785" s="60"/>
      <c r="AN785" s="58"/>
      <c r="AO785" s="62">
        <f t="shared" si="2458"/>
        <v>1</v>
      </c>
      <c r="AP785" s="60"/>
      <c r="AQ785" s="58"/>
      <c r="AR785" s="62">
        <f t="shared" si="2459"/>
        <v>1</v>
      </c>
      <c r="AS785" s="60"/>
      <c r="AT785" s="58"/>
      <c r="AU785" s="62">
        <f t="shared" si="2460"/>
        <v>1</v>
      </c>
      <c r="AV785" s="96">
        <f t="shared" si="2461"/>
        <v>0</v>
      </c>
      <c r="AW785" s="83">
        <f t="shared" si="2442"/>
        <v>0</v>
      </c>
      <c r="AX785" s="98">
        <f t="shared" si="2462"/>
        <v>0</v>
      </c>
      <c r="AY785" s="99" t="e">
        <f t="shared" si="2463"/>
        <v>#DIV/0!</v>
      </c>
      <c r="AZ785" s="100">
        <f t="shared" si="2464"/>
        <v>0</v>
      </c>
      <c r="BA785" s="101">
        <v>1</v>
      </c>
      <c r="BB785" s="102">
        <v>0</v>
      </c>
      <c r="BC785" s="84">
        <f t="shared" si="2427"/>
        <v>1</v>
      </c>
      <c r="BD785" s="83">
        <f t="shared" si="2302"/>
        <v>1</v>
      </c>
      <c r="BE785" s="85">
        <v>2</v>
      </c>
      <c r="BF785" s="86">
        <v>45546.579687500001</v>
      </c>
      <c r="BG785" s="72" t="e">
        <f t="shared" si="2446"/>
        <v>#REF!</v>
      </c>
      <c r="BH785" s="103" t="e">
        <f t="shared" si="2465"/>
        <v>#REF!</v>
      </c>
      <c r="BI785" s="80" t="e">
        <f t="shared" si="2304"/>
        <v>#REF!</v>
      </c>
      <c r="BJ785" s="238">
        <v>52300</v>
      </c>
    </row>
    <row r="786" spans="1:62" ht="13">
      <c r="A786" s="75"/>
      <c r="B786" s="76"/>
      <c r="C786" s="51">
        <v>784</v>
      </c>
      <c r="D786" s="177" t="s">
        <v>1866</v>
      </c>
      <c r="E786" s="177">
        <v>3</v>
      </c>
      <c r="F786" s="88" t="s">
        <v>1607</v>
      </c>
      <c r="G786" s="89" t="s">
        <v>1612</v>
      </c>
      <c r="H786" s="89" t="s">
        <v>893</v>
      </c>
      <c r="I786" s="80" t="s">
        <v>458</v>
      </c>
      <c r="J786" s="93">
        <f t="shared" si="2448"/>
        <v>1</v>
      </c>
      <c r="K786" s="88">
        <v>1</v>
      </c>
      <c r="L786" s="58"/>
      <c r="M786" s="58"/>
      <c r="N786" s="62">
        <f t="shared" si="2449"/>
        <v>1</v>
      </c>
      <c r="O786" s="60"/>
      <c r="P786" s="58"/>
      <c r="Q786" s="62">
        <f t="shared" si="2450"/>
        <v>1</v>
      </c>
      <c r="R786" s="60"/>
      <c r="S786" s="58"/>
      <c r="T786" s="94">
        <f t="shared" si="2451"/>
        <v>1</v>
      </c>
      <c r="U786" s="60"/>
      <c r="V786" s="58"/>
      <c r="W786" s="62">
        <f t="shared" si="2452"/>
        <v>1</v>
      </c>
      <c r="X786" s="60"/>
      <c r="Y786" s="58"/>
      <c r="Z786" s="94">
        <f t="shared" si="2453"/>
        <v>1</v>
      </c>
      <c r="AA786" s="60"/>
      <c r="AB786" s="58"/>
      <c r="AC786" s="62">
        <f t="shared" si="2454"/>
        <v>1</v>
      </c>
      <c r="AD786" s="57"/>
      <c r="AE786" s="58"/>
      <c r="AF786" s="165">
        <f t="shared" si="2455"/>
        <v>1</v>
      </c>
      <c r="AG786" s="60"/>
      <c r="AH786" s="58"/>
      <c r="AI786" s="62">
        <f t="shared" si="2456"/>
        <v>1</v>
      </c>
      <c r="AJ786" s="60"/>
      <c r="AK786" s="58"/>
      <c r="AL786" s="62">
        <f t="shared" si="2457"/>
        <v>1</v>
      </c>
      <c r="AM786" s="60"/>
      <c r="AN786" s="58"/>
      <c r="AO786" s="62">
        <f t="shared" si="2458"/>
        <v>1</v>
      </c>
      <c r="AP786" s="60"/>
      <c r="AQ786" s="58"/>
      <c r="AR786" s="62">
        <f t="shared" si="2459"/>
        <v>1</v>
      </c>
      <c r="AS786" s="60"/>
      <c r="AT786" s="58"/>
      <c r="AU786" s="62">
        <f t="shared" si="2460"/>
        <v>1</v>
      </c>
      <c r="AV786" s="96">
        <f t="shared" si="2461"/>
        <v>0</v>
      </c>
      <c r="AW786" s="83">
        <f t="shared" si="2442"/>
        <v>0</v>
      </c>
      <c r="AX786" s="98">
        <f t="shared" si="2462"/>
        <v>0</v>
      </c>
      <c r="AY786" s="99" t="e">
        <f t="shared" si="2463"/>
        <v>#DIV/0!</v>
      </c>
      <c r="AZ786" s="100">
        <f t="shared" si="2464"/>
        <v>0</v>
      </c>
      <c r="BA786" s="101">
        <v>1</v>
      </c>
      <c r="BB786" s="102">
        <v>0</v>
      </c>
      <c r="BC786" s="84">
        <f t="shared" si="2427"/>
        <v>1</v>
      </c>
      <c r="BD786" s="83">
        <f t="shared" si="2302"/>
        <v>1</v>
      </c>
      <c r="BE786" s="85">
        <v>2</v>
      </c>
      <c r="BF786" s="86">
        <v>45546.579687500001</v>
      </c>
      <c r="BG786" s="72" t="e">
        <f t="shared" si="2446"/>
        <v>#REF!</v>
      </c>
      <c r="BH786" s="103" t="e">
        <f t="shared" si="2465"/>
        <v>#REF!</v>
      </c>
      <c r="BI786" s="80" t="e">
        <f t="shared" si="2304"/>
        <v>#REF!</v>
      </c>
      <c r="BJ786" s="238">
        <v>250</v>
      </c>
    </row>
    <row r="787" spans="1:62" ht="13">
      <c r="A787" s="49"/>
      <c r="B787" s="76"/>
      <c r="C787" s="51">
        <v>785</v>
      </c>
      <c r="D787" s="177" t="s">
        <v>1867</v>
      </c>
      <c r="E787" s="177">
        <v>4</v>
      </c>
      <c r="F787" s="88" t="s">
        <v>1608</v>
      </c>
      <c r="G787" s="89" t="s">
        <v>1613</v>
      </c>
      <c r="H787" s="89" t="s">
        <v>893</v>
      </c>
      <c r="I787" s="80" t="s">
        <v>458</v>
      </c>
      <c r="J787" s="93">
        <f t="shared" si="2448"/>
        <v>2</v>
      </c>
      <c r="K787" s="80">
        <v>2</v>
      </c>
      <c r="L787" s="58"/>
      <c r="M787" s="58"/>
      <c r="N787" s="62">
        <f t="shared" si="2449"/>
        <v>2</v>
      </c>
      <c r="O787" s="60"/>
      <c r="P787" s="58"/>
      <c r="Q787" s="62">
        <f t="shared" si="2450"/>
        <v>2</v>
      </c>
      <c r="R787" s="60"/>
      <c r="S787" s="58"/>
      <c r="T787" s="94">
        <f t="shared" si="2451"/>
        <v>2</v>
      </c>
      <c r="U787" s="60"/>
      <c r="V787" s="58"/>
      <c r="W787" s="62">
        <f t="shared" si="2452"/>
        <v>2</v>
      </c>
      <c r="X787" s="60"/>
      <c r="Y787" s="58"/>
      <c r="Z787" s="94">
        <f t="shared" si="2453"/>
        <v>2</v>
      </c>
      <c r="AA787" s="60"/>
      <c r="AB787" s="58"/>
      <c r="AC787" s="62">
        <f t="shared" si="2454"/>
        <v>2</v>
      </c>
      <c r="AD787" s="57"/>
      <c r="AE787" s="58"/>
      <c r="AF787" s="165">
        <f t="shared" si="2455"/>
        <v>2</v>
      </c>
      <c r="AG787" s="60"/>
      <c r="AH787" s="58"/>
      <c r="AI787" s="62">
        <f t="shared" si="2456"/>
        <v>2</v>
      </c>
      <c r="AJ787" s="60"/>
      <c r="AK787" s="58"/>
      <c r="AL787" s="62">
        <f t="shared" si="2457"/>
        <v>2</v>
      </c>
      <c r="AM787" s="60"/>
      <c r="AN787" s="58"/>
      <c r="AO787" s="62">
        <f t="shared" si="2458"/>
        <v>2</v>
      </c>
      <c r="AP787" s="60"/>
      <c r="AQ787" s="58"/>
      <c r="AR787" s="62">
        <f t="shared" si="2459"/>
        <v>2</v>
      </c>
      <c r="AS787" s="60"/>
      <c r="AT787" s="58"/>
      <c r="AU787" s="62">
        <f t="shared" si="2460"/>
        <v>2</v>
      </c>
      <c r="AV787" s="96">
        <f t="shared" si="2461"/>
        <v>0</v>
      </c>
      <c r="AW787" s="83">
        <f t="shared" si="2442"/>
        <v>0</v>
      </c>
      <c r="AX787" s="98">
        <f t="shared" si="2462"/>
        <v>0</v>
      </c>
      <c r="AY787" s="99" t="e">
        <f t="shared" si="2463"/>
        <v>#DIV/0!</v>
      </c>
      <c r="AZ787" s="100">
        <f t="shared" si="2464"/>
        <v>0</v>
      </c>
      <c r="BA787" s="101">
        <v>2</v>
      </c>
      <c r="BB787" s="102">
        <v>1</v>
      </c>
      <c r="BC787" s="84">
        <f t="shared" si="2427"/>
        <v>2</v>
      </c>
      <c r="BD787" s="83">
        <f t="shared" si="2302"/>
        <v>1</v>
      </c>
      <c r="BE787" s="85">
        <v>2</v>
      </c>
      <c r="BF787" s="86">
        <v>45546.579687500001</v>
      </c>
      <c r="BG787" s="72" t="e">
        <f t="shared" si="2446"/>
        <v>#REF!</v>
      </c>
      <c r="BH787" s="103" t="e">
        <f t="shared" si="2465"/>
        <v>#REF!</v>
      </c>
      <c r="BI787" s="80" t="e">
        <f t="shared" si="2304"/>
        <v>#REF!</v>
      </c>
      <c r="BJ787" s="238">
        <v>350</v>
      </c>
    </row>
    <row r="788" spans="1:62" ht="13">
      <c r="A788" s="49"/>
      <c r="B788" s="76"/>
      <c r="C788" s="51">
        <v>786</v>
      </c>
      <c r="D788" s="179" t="s">
        <v>1866</v>
      </c>
      <c r="E788" s="179">
        <v>5</v>
      </c>
      <c r="F788" s="88" t="s">
        <v>1609</v>
      </c>
      <c r="G788" s="89" t="s">
        <v>1614</v>
      </c>
      <c r="H788" s="89" t="s">
        <v>893</v>
      </c>
      <c r="I788" s="80" t="s">
        <v>458</v>
      </c>
      <c r="J788" s="93">
        <f t="shared" si="2448"/>
        <v>1</v>
      </c>
      <c r="K788" s="88">
        <v>1</v>
      </c>
      <c r="L788" s="58"/>
      <c r="M788" s="58"/>
      <c r="N788" s="62">
        <f t="shared" si="2449"/>
        <v>1</v>
      </c>
      <c r="O788" s="60"/>
      <c r="P788" s="58"/>
      <c r="Q788" s="62">
        <f t="shared" si="2450"/>
        <v>1</v>
      </c>
      <c r="R788" s="60"/>
      <c r="S788" s="58"/>
      <c r="T788" s="94">
        <f t="shared" si="2451"/>
        <v>1</v>
      </c>
      <c r="U788" s="60"/>
      <c r="V788" s="58"/>
      <c r="W788" s="62">
        <f t="shared" si="2452"/>
        <v>1</v>
      </c>
      <c r="X788" s="60"/>
      <c r="Y788" s="58"/>
      <c r="Z788" s="94">
        <f t="shared" si="2453"/>
        <v>1</v>
      </c>
      <c r="AA788" s="60"/>
      <c r="AB788" s="58"/>
      <c r="AC788" s="62">
        <f t="shared" si="2454"/>
        <v>1</v>
      </c>
      <c r="AD788" s="57"/>
      <c r="AE788" s="58"/>
      <c r="AF788" s="165">
        <f t="shared" si="2455"/>
        <v>1</v>
      </c>
      <c r="AG788" s="60"/>
      <c r="AH788" s="58"/>
      <c r="AI788" s="62">
        <f t="shared" si="2456"/>
        <v>1</v>
      </c>
      <c r="AJ788" s="60"/>
      <c r="AK788" s="58"/>
      <c r="AL788" s="62">
        <f t="shared" si="2457"/>
        <v>1</v>
      </c>
      <c r="AM788" s="60"/>
      <c r="AN788" s="58"/>
      <c r="AO788" s="62">
        <f t="shared" si="2458"/>
        <v>1</v>
      </c>
      <c r="AP788" s="60"/>
      <c r="AQ788" s="58"/>
      <c r="AR788" s="62">
        <f t="shared" si="2459"/>
        <v>1</v>
      </c>
      <c r="AS788" s="60"/>
      <c r="AT788" s="58"/>
      <c r="AU788" s="62">
        <f t="shared" si="2460"/>
        <v>1</v>
      </c>
      <c r="AV788" s="96">
        <f t="shared" si="2461"/>
        <v>0</v>
      </c>
      <c r="AW788" s="83">
        <f t="shared" si="2442"/>
        <v>0</v>
      </c>
      <c r="AX788" s="98">
        <f t="shared" si="2462"/>
        <v>0</v>
      </c>
      <c r="AY788" s="99" t="e">
        <f t="shared" si="2463"/>
        <v>#DIV/0!</v>
      </c>
      <c r="AZ788" s="100">
        <f t="shared" si="2464"/>
        <v>0</v>
      </c>
      <c r="BA788" s="101">
        <v>1</v>
      </c>
      <c r="BB788" s="102">
        <v>0</v>
      </c>
      <c r="BC788" s="84">
        <f t="shared" si="2427"/>
        <v>1</v>
      </c>
      <c r="BD788" s="83">
        <f t="shared" si="2302"/>
        <v>1</v>
      </c>
      <c r="BE788" s="85">
        <v>2</v>
      </c>
      <c r="BF788" s="86">
        <v>45546.579687500001</v>
      </c>
      <c r="BG788" s="72" t="e">
        <f t="shared" si="2446"/>
        <v>#REF!</v>
      </c>
      <c r="BH788" s="103" t="e">
        <f t="shared" si="2465"/>
        <v>#REF!</v>
      </c>
      <c r="BI788" s="80" t="e">
        <f t="shared" si="2304"/>
        <v>#REF!</v>
      </c>
      <c r="BJ788" s="238">
        <v>109000</v>
      </c>
    </row>
    <row r="789" spans="1:62" ht="13">
      <c r="A789" s="90"/>
      <c r="B789" s="91"/>
      <c r="C789" s="51">
        <v>787</v>
      </c>
      <c r="D789" s="187" t="s">
        <v>1868</v>
      </c>
      <c r="E789" s="187">
        <v>1</v>
      </c>
      <c r="F789" s="88" t="s">
        <v>1465</v>
      </c>
      <c r="G789" s="89" t="s">
        <v>1466</v>
      </c>
      <c r="H789" s="89" t="s">
        <v>1855</v>
      </c>
      <c r="I789" s="80" t="s">
        <v>458</v>
      </c>
      <c r="J789" s="93">
        <f t="shared" ref="J789:J808" si="2466">AU789</f>
        <v>1</v>
      </c>
      <c r="K789" s="80">
        <v>1</v>
      </c>
      <c r="L789" s="58"/>
      <c r="M789" s="58"/>
      <c r="N789" s="62">
        <f t="shared" ref="N789:N808" si="2467">SUM(K789+L789-M789)</f>
        <v>1</v>
      </c>
      <c r="O789" s="60"/>
      <c r="P789" s="58"/>
      <c r="Q789" s="62">
        <f t="shared" ref="Q789:Q808" si="2468">SUM(N789+O789-P789)</f>
        <v>1</v>
      </c>
      <c r="R789" s="60"/>
      <c r="S789" s="58"/>
      <c r="T789" s="94">
        <f t="shared" ref="T789:T808" si="2469">SUM(Q789+R789-S789)</f>
        <v>1</v>
      </c>
      <c r="U789" s="60"/>
      <c r="V789" s="58"/>
      <c r="W789" s="62">
        <f t="shared" ref="W789:W808" si="2470">SUM(T789+U789-V789)</f>
        <v>1</v>
      </c>
      <c r="X789" s="60"/>
      <c r="Y789" s="58"/>
      <c r="Z789" s="94">
        <f t="shared" ref="Z789:Z808" si="2471">SUM(W789+X789-Y789)</f>
        <v>1</v>
      </c>
      <c r="AA789" s="60"/>
      <c r="AB789" s="58"/>
      <c r="AC789" s="62">
        <f t="shared" ref="AC789:AC808" si="2472">SUM(Z789+AA789-AB789)</f>
        <v>1</v>
      </c>
      <c r="AD789" s="57"/>
      <c r="AE789" s="58"/>
      <c r="AF789" s="165">
        <f t="shared" ref="AF789:AF808" si="2473">SUM(AC789+AD789-AE789)</f>
        <v>1</v>
      </c>
      <c r="AG789" s="60"/>
      <c r="AH789" s="58"/>
      <c r="AI789" s="62">
        <f t="shared" ref="AI789:AI808" si="2474">SUM(AF789+AG789-AH789)</f>
        <v>1</v>
      </c>
      <c r="AJ789" s="60"/>
      <c r="AK789" s="58"/>
      <c r="AL789" s="62">
        <f t="shared" ref="AL789:AL808" si="2475">SUM(AI789+AJ789-AK789)</f>
        <v>1</v>
      </c>
      <c r="AM789" s="60"/>
      <c r="AN789" s="58"/>
      <c r="AO789" s="62">
        <f t="shared" ref="AO789:AO808" si="2476">SUM(AL789+AM789-AN789)</f>
        <v>1</v>
      </c>
      <c r="AP789" s="60"/>
      <c r="AQ789" s="58"/>
      <c r="AR789" s="62">
        <f t="shared" ref="AR789:AR808" si="2477">SUM(AO789+AP789-AQ789)</f>
        <v>1</v>
      </c>
      <c r="AS789" s="60"/>
      <c r="AT789" s="58"/>
      <c r="AU789" s="62">
        <f t="shared" ref="AU789:AU808" si="2478">SUM(AR789+AS789-AT789)</f>
        <v>1</v>
      </c>
      <c r="AV789" s="96">
        <f t="shared" ref="AV789:AW808" si="2479">SUM(L789+O789+R789+U789+X789+AA789+AD789+AG789+AJ789+AM789+AP789+AS789)</f>
        <v>0</v>
      </c>
      <c r="AW789" s="83">
        <f t="shared" si="2442"/>
        <v>0</v>
      </c>
      <c r="AX789" s="98">
        <f t="shared" ref="AX789:AX808" si="2480">SUM(M789,P789,S789,V789,Y789,AB789,AE789,AH789,AK789,AN789,AQ789,AT789)</f>
        <v>0</v>
      </c>
      <c r="AY789" s="99" t="e">
        <f t="shared" ref="AY789:AY808" si="2481">AVERAGE(M789,P789,S789,V789,Y789,AB789,AE789,AH789,AK789,AN789,AQ789,AT789)</f>
        <v>#DIV/0!</v>
      </c>
      <c r="AZ789" s="100">
        <f t="shared" ref="AZ789:AZ808" si="2482">COUNT(M789,P789,S789,V789,Y789,AB789,AE789,AH789,AK789,AN789,AQ789,AT789)</f>
        <v>0</v>
      </c>
      <c r="BA789" s="101">
        <v>1</v>
      </c>
      <c r="BB789" s="102">
        <v>0</v>
      </c>
      <c r="BC789" s="84">
        <f t="shared" si="2427"/>
        <v>1</v>
      </c>
      <c r="BD789" s="83">
        <f t="shared" ref="BD789:BD850" si="2483">SUM(BC789-BB789)</f>
        <v>1</v>
      </c>
      <c r="BE789" s="85">
        <v>2</v>
      </c>
      <c r="BF789" s="86">
        <v>45975.634131944447</v>
      </c>
      <c r="BG789" s="72" t="e">
        <f t="shared" si="2446"/>
        <v>#REF!</v>
      </c>
      <c r="BH789" s="103" t="e">
        <f t="shared" ref="BH789:BH808" si="2484">BG789-BF789</f>
        <v>#REF!</v>
      </c>
      <c r="BI789" s="80" t="e">
        <f t="shared" ref="BI789:BI850" si="2485">IF(AND(J789&gt;0,BH789&gt;365),"Dead Stock","")</f>
        <v>#REF!</v>
      </c>
      <c r="BJ789" s="238">
        <v>200</v>
      </c>
    </row>
    <row r="790" spans="1:62" ht="13">
      <c r="A790" s="90"/>
      <c r="B790" s="91"/>
      <c r="C790" s="77">
        <v>788</v>
      </c>
      <c r="D790" s="188" t="s">
        <v>1868</v>
      </c>
      <c r="E790" s="188">
        <v>2</v>
      </c>
      <c r="F790" s="88" t="s">
        <v>1433</v>
      </c>
      <c r="G790" s="89" t="s">
        <v>1434</v>
      </c>
      <c r="H790" s="89" t="s">
        <v>1855</v>
      </c>
      <c r="I790" s="80" t="s">
        <v>458</v>
      </c>
      <c r="J790" s="93">
        <f t="shared" si="2466"/>
        <v>1</v>
      </c>
      <c r="K790" s="88">
        <v>1</v>
      </c>
      <c r="L790" s="58"/>
      <c r="M790" s="58"/>
      <c r="N790" s="62">
        <f t="shared" si="2467"/>
        <v>1</v>
      </c>
      <c r="O790" s="60"/>
      <c r="P790" s="58"/>
      <c r="Q790" s="62">
        <f t="shared" si="2468"/>
        <v>1</v>
      </c>
      <c r="R790" s="60"/>
      <c r="S790" s="58"/>
      <c r="T790" s="94">
        <f t="shared" si="2469"/>
        <v>1</v>
      </c>
      <c r="U790" s="60"/>
      <c r="V790" s="58"/>
      <c r="W790" s="62">
        <f t="shared" si="2470"/>
        <v>1</v>
      </c>
      <c r="X790" s="60"/>
      <c r="Y790" s="58"/>
      <c r="Z790" s="94">
        <f t="shared" si="2471"/>
        <v>1</v>
      </c>
      <c r="AA790" s="60"/>
      <c r="AB790" s="58"/>
      <c r="AC790" s="62">
        <f t="shared" si="2472"/>
        <v>1</v>
      </c>
      <c r="AD790" s="57"/>
      <c r="AE790" s="58"/>
      <c r="AF790" s="165">
        <f t="shared" si="2473"/>
        <v>1</v>
      </c>
      <c r="AG790" s="60"/>
      <c r="AH790" s="58"/>
      <c r="AI790" s="62">
        <f t="shared" si="2474"/>
        <v>1</v>
      </c>
      <c r="AJ790" s="60"/>
      <c r="AK790" s="58"/>
      <c r="AL790" s="62">
        <f t="shared" si="2475"/>
        <v>1</v>
      </c>
      <c r="AM790" s="60"/>
      <c r="AN790" s="58"/>
      <c r="AO790" s="62">
        <f t="shared" si="2476"/>
        <v>1</v>
      </c>
      <c r="AP790" s="60"/>
      <c r="AQ790" s="58"/>
      <c r="AR790" s="62">
        <f t="shared" si="2477"/>
        <v>1</v>
      </c>
      <c r="AS790" s="60"/>
      <c r="AT790" s="58"/>
      <c r="AU790" s="62">
        <f t="shared" si="2478"/>
        <v>1</v>
      </c>
      <c r="AV790" s="96">
        <f t="shared" si="2479"/>
        <v>0</v>
      </c>
      <c r="AW790" s="83">
        <f t="shared" si="2442"/>
        <v>0</v>
      </c>
      <c r="AX790" s="98">
        <f t="shared" si="2480"/>
        <v>0</v>
      </c>
      <c r="AY790" s="99" t="e">
        <f t="shared" si="2481"/>
        <v>#DIV/0!</v>
      </c>
      <c r="AZ790" s="100">
        <f t="shared" si="2482"/>
        <v>0</v>
      </c>
      <c r="BA790" s="101">
        <v>1</v>
      </c>
      <c r="BB790" s="102">
        <v>0</v>
      </c>
      <c r="BC790" s="84">
        <f t="shared" si="2427"/>
        <v>1</v>
      </c>
      <c r="BD790" s="83">
        <f t="shared" si="2483"/>
        <v>1</v>
      </c>
      <c r="BE790" s="85">
        <v>2</v>
      </c>
      <c r="BF790" s="86">
        <v>45975.634131944447</v>
      </c>
      <c r="BG790" s="72" t="e">
        <f t="shared" si="2446"/>
        <v>#REF!</v>
      </c>
      <c r="BH790" s="103" t="e">
        <f t="shared" si="2484"/>
        <v>#REF!</v>
      </c>
      <c r="BI790" s="80" t="e">
        <f t="shared" si="2485"/>
        <v>#REF!</v>
      </c>
      <c r="BJ790" s="238">
        <v>1700</v>
      </c>
    </row>
    <row r="791" spans="1:62" ht="13">
      <c r="A791" s="90"/>
      <c r="B791" s="91"/>
      <c r="C791" s="77">
        <v>789</v>
      </c>
      <c r="D791" s="188" t="s">
        <v>1868</v>
      </c>
      <c r="E791" s="188">
        <v>3</v>
      </c>
      <c r="F791" s="88" t="s">
        <v>1467</v>
      </c>
      <c r="G791" s="89" t="s">
        <v>1468</v>
      </c>
      <c r="H791" s="89" t="s">
        <v>1855</v>
      </c>
      <c r="I791" s="80" t="s">
        <v>458</v>
      </c>
      <c r="J791" s="93">
        <f t="shared" si="2466"/>
        <v>1</v>
      </c>
      <c r="K791" s="80">
        <v>1</v>
      </c>
      <c r="L791" s="58"/>
      <c r="M791" s="58"/>
      <c r="N791" s="62">
        <f t="shared" si="2467"/>
        <v>1</v>
      </c>
      <c r="O791" s="60"/>
      <c r="P791" s="58"/>
      <c r="Q791" s="62">
        <f t="shared" si="2468"/>
        <v>1</v>
      </c>
      <c r="R791" s="60"/>
      <c r="S791" s="58"/>
      <c r="T791" s="94">
        <f t="shared" si="2469"/>
        <v>1</v>
      </c>
      <c r="U791" s="60"/>
      <c r="V791" s="58"/>
      <c r="W791" s="62">
        <f t="shared" si="2470"/>
        <v>1</v>
      </c>
      <c r="X791" s="60"/>
      <c r="Y791" s="58"/>
      <c r="Z791" s="94">
        <f t="shared" si="2471"/>
        <v>1</v>
      </c>
      <c r="AA791" s="60"/>
      <c r="AB791" s="58"/>
      <c r="AC791" s="62">
        <f t="shared" si="2472"/>
        <v>1</v>
      </c>
      <c r="AD791" s="57"/>
      <c r="AE791" s="58"/>
      <c r="AF791" s="165">
        <f t="shared" si="2473"/>
        <v>1</v>
      </c>
      <c r="AG791" s="60"/>
      <c r="AH791" s="58"/>
      <c r="AI791" s="62">
        <f t="shared" si="2474"/>
        <v>1</v>
      </c>
      <c r="AJ791" s="60"/>
      <c r="AK791" s="58"/>
      <c r="AL791" s="62">
        <f t="shared" si="2475"/>
        <v>1</v>
      </c>
      <c r="AM791" s="60"/>
      <c r="AN791" s="58"/>
      <c r="AO791" s="62">
        <f t="shared" si="2476"/>
        <v>1</v>
      </c>
      <c r="AP791" s="60"/>
      <c r="AQ791" s="58"/>
      <c r="AR791" s="62">
        <f t="shared" si="2477"/>
        <v>1</v>
      </c>
      <c r="AS791" s="60"/>
      <c r="AT791" s="58"/>
      <c r="AU791" s="62">
        <f t="shared" si="2478"/>
        <v>1</v>
      </c>
      <c r="AV791" s="96">
        <f t="shared" si="2479"/>
        <v>0</v>
      </c>
      <c r="AW791" s="83">
        <f t="shared" si="2479"/>
        <v>0</v>
      </c>
      <c r="AX791" s="98">
        <f t="shared" si="2480"/>
        <v>0</v>
      </c>
      <c r="AY791" s="99" t="e">
        <f t="shared" si="2481"/>
        <v>#DIV/0!</v>
      </c>
      <c r="AZ791" s="100">
        <f t="shared" si="2482"/>
        <v>0</v>
      </c>
      <c r="BA791" s="101">
        <v>1</v>
      </c>
      <c r="BB791" s="102">
        <v>0</v>
      </c>
      <c r="BC791" s="84">
        <f t="shared" si="2427"/>
        <v>1</v>
      </c>
      <c r="BD791" s="83">
        <f t="shared" si="2483"/>
        <v>1</v>
      </c>
      <c r="BE791" s="85">
        <v>2</v>
      </c>
      <c r="BF791" s="86">
        <v>45975.634131944447</v>
      </c>
      <c r="BG791" s="72" t="e">
        <f t="shared" si="2446"/>
        <v>#REF!</v>
      </c>
      <c r="BH791" s="103" t="e">
        <f t="shared" si="2484"/>
        <v>#REF!</v>
      </c>
      <c r="BI791" s="80" t="e">
        <f t="shared" si="2485"/>
        <v>#REF!</v>
      </c>
      <c r="BJ791" s="238">
        <v>12000</v>
      </c>
    </row>
    <row r="792" spans="1:62" ht="13">
      <c r="A792" s="90"/>
      <c r="B792" s="91"/>
      <c r="C792" s="51">
        <v>790</v>
      </c>
      <c r="D792" s="188" t="s">
        <v>1868</v>
      </c>
      <c r="E792" s="188">
        <v>4</v>
      </c>
      <c r="F792" s="88" t="s">
        <v>1471</v>
      </c>
      <c r="G792" s="89" t="s">
        <v>1472</v>
      </c>
      <c r="H792" s="89" t="s">
        <v>1855</v>
      </c>
      <c r="I792" s="80" t="s">
        <v>458</v>
      </c>
      <c r="J792" s="93">
        <f t="shared" si="2466"/>
        <v>1</v>
      </c>
      <c r="K792" s="88">
        <v>1</v>
      </c>
      <c r="L792" s="58"/>
      <c r="M792" s="58"/>
      <c r="N792" s="62">
        <f t="shared" si="2467"/>
        <v>1</v>
      </c>
      <c r="O792" s="60"/>
      <c r="P792" s="58"/>
      <c r="Q792" s="62">
        <f t="shared" si="2468"/>
        <v>1</v>
      </c>
      <c r="R792" s="60"/>
      <c r="S792" s="58"/>
      <c r="T792" s="94">
        <f t="shared" si="2469"/>
        <v>1</v>
      </c>
      <c r="U792" s="60"/>
      <c r="V792" s="58"/>
      <c r="W792" s="62">
        <f t="shared" si="2470"/>
        <v>1</v>
      </c>
      <c r="X792" s="60"/>
      <c r="Y792" s="58"/>
      <c r="Z792" s="94">
        <f t="shared" si="2471"/>
        <v>1</v>
      </c>
      <c r="AA792" s="60"/>
      <c r="AB792" s="58"/>
      <c r="AC792" s="62">
        <f t="shared" si="2472"/>
        <v>1</v>
      </c>
      <c r="AD792" s="57"/>
      <c r="AE792" s="58"/>
      <c r="AF792" s="165">
        <f t="shared" si="2473"/>
        <v>1</v>
      </c>
      <c r="AG792" s="60"/>
      <c r="AH792" s="58"/>
      <c r="AI792" s="62">
        <f t="shared" si="2474"/>
        <v>1</v>
      </c>
      <c r="AJ792" s="60"/>
      <c r="AK792" s="58"/>
      <c r="AL792" s="62">
        <f t="shared" si="2475"/>
        <v>1</v>
      </c>
      <c r="AM792" s="60"/>
      <c r="AN792" s="58"/>
      <c r="AO792" s="62">
        <f t="shared" si="2476"/>
        <v>1</v>
      </c>
      <c r="AP792" s="60"/>
      <c r="AQ792" s="58"/>
      <c r="AR792" s="62">
        <f t="shared" si="2477"/>
        <v>1</v>
      </c>
      <c r="AS792" s="60"/>
      <c r="AT792" s="58"/>
      <c r="AU792" s="62">
        <f t="shared" si="2478"/>
        <v>1</v>
      </c>
      <c r="AV792" s="96">
        <f t="shared" si="2479"/>
        <v>0</v>
      </c>
      <c r="AW792" s="83">
        <f t="shared" si="2479"/>
        <v>0</v>
      </c>
      <c r="AX792" s="98">
        <f t="shared" si="2480"/>
        <v>0</v>
      </c>
      <c r="AY792" s="99" t="e">
        <f t="shared" si="2481"/>
        <v>#DIV/0!</v>
      </c>
      <c r="AZ792" s="100">
        <f t="shared" si="2482"/>
        <v>0</v>
      </c>
      <c r="BA792" s="101">
        <v>1</v>
      </c>
      <c r="BB792" s="102">
        <v>0</v>
      </c>
      <c r="BC792" s="84">
        <f t="shared" si="2427"/>
        <v>1</v>
      </c>
      <c r="BD792" s="83">
        <f t="shared" si="2483"/>
        <v>1</v>
      </c>
      <c r="BE792" s="85">
        <v>2</v>
      </c>
      <c r="BF792" s="86">
        <v>45975.634131944447</v>
      </c>
      <c r="BG792" s="72" t="e">
        <f t="shared" si="2446"/>
        <v>#REF!</v>
      </c>
      <c r="BH792" s="103" t="e">
        <f t="shared" si="2484"/>
        <v>#REF!</v>
      </c>
      <c r="BI792" s="80" t="e">
        <f t="shared" si="2485"/>
        <v>#REF!</v>
      </c>
      <c r="BJ792" s="238">
        <v>9300</v>
      </c>
    </row>
    <row r="793" spans="1:62" ht="13">
      <c r="A793" s="90"/>
      <c r="B793" s="91"/>
      <c r="C793" s="51">
        <v>791</v>
      </c>
      <c r="D793" s="188" t="s">
        <v>1868</v>
      </c>
      <c r="E793" s="188">
        <v>5</v>
      </c>
      <c r="F793" s="88" t="s">
        <v>1473</v>
      </c>
      <c r="G793" s="89" t="s">
        <v>1474</v>
      </c>
      <c r="H793" s="89" t="s">
        <v>1855</v>
      </c>
      <c r="I793" s="80" t="s">
        <v>458</v>
      </c>
      <c r="J793" s="93">
        <f t="shared" si="2466"/>
        <v>1</v>
      </c>
      <c r="K793" s="80">
        <v>1</v>
      </c>
      <c r="L793" s="58"/>
      <c r="M793" s="58"/>
      <c r="N793" s="62">
        <f t="shared" si="2467"/>
        <v>1</v>
      </c>
      <c r="O793" s="60"/>
      <c r="P793" s="58"/>
      <c r="Q793" s="62">
        <f t="shared" si="2468"/>
        <v>1</v>
      </c>
      <c r="R793" s="60"/>
      <c r="S793" s="58"/>
      <c r="T793" s="94">
        <f t="shared" si="2469"/>
        <v>1</v>
      </c>
      <c r="U793" s="60"/>
      <c r="V793" s="58"/>
      <c r="W793" s="62">
        <f t="shared" si="2470"/>
        <v>1</v>
      </c>
      <c r="X793" s="60"/>
      <c r="Y793" s="58"/>
      <c r="Z793" s="94">
        <f t="shared" si="2471"/>
        <v>1</v>
      </c>
      <c r="AA793" s="60"/>
      <c r="AB793" s="58"/>
      <c r="AC793" s="62">
        <f t="shared" si="2472"/>
        <v>1</v>
      </c>
      <c r="AD793" s="57"/>
      <c r="AE793" s="58"/>
      <c r="AF793" s="165">
        <f t="shared" si="2473"/>
        <v>1</v>
      </c>
      <c r="AG793" s="60"/>
      <c r="AH793" s="58"/>
      <c r="AI793" s="62">
        <f t="shared" si="2474"/>
        <v>1</v>
      </c>
      <c r="AJ793" s="60"/>
      <c r="AK793" s="58"/>
      <c r="AL793" s="62">
        <f t="shared" si="2475"/>
        <v>1</v>
      </c>
      <c r="AM793" s="60"/>
      <c r="AN793" s="58"/>
      <c r="AO793" s="62">
        <f t="shared" si="2476"/>
        <v>1</v>
      </c>
      <c r="AP793" s="60"/>
      <c r="AQ793" s="58"/>
      <c r="AR793" s="62">
        <f t="shared" si="2477"/>
        <v>1</v>
      </c>
      <c r="AS793" s="60"/>
      <c r="AT793" s="58"/>
      <c r="AU793" s="62">
        <f t="shared" si="2478"/>
        <v>1</v>
      </c>
      <c r="AV793" s="96">
        <f t="shared" si="2479"/>
        <v>0</v>
      </c>
      <c r="AW793" s="83">
        <f t="shared" si="2479"/>
        <v>0</v>
      </c>
      <c r="AX793" s="98">
        <f t="shared" si="2480"/>
        <v>0</v>
      </c>
      <c r="AY793" s="99" t="e">
        <f t="shared" si="2481"/>
        <v>#DIV/0!</v>
      </c>
      <c r="AZ793" s="100">
        <f t="shared" si="2482"/>
        <v>0</v>
      </c>
      <c r="BA793" s="101">
        <v>1</v>
      </c>
      <c r="BB793" s="102">
        <v>0</v>
      </c>
      <c r="BC793" s="84">
        <f t="shared" si="2427"/>
        <v>1</v>
      </c>
      <c r="BD793" s="83">
        <f t="shared" si="2483"/>
        <v>1</v>
      </c>
      <c r="BE793" s="85">
        <v>2</v>
      </c>
      <c r="BF793" s="86">
        <v>45975.634131944447</v>
      </c>
      <c r="BG793" s="72" t="e">
        <f t="shared" si="2446"/>
        <v>#REF!</v>
      </c>
      <c r="BH793" s="103" t="e">
        <f t="shared" si="2484"/>
        <v>#REF!</v>
      </c>
      <c r="BI793" s="80" t="e">
        <f t="shared" si="2485"/>
        <v>#REF!</v>
      </c>
      <c r="BJ793" s="238">
        <v>36000</v>
      </c>
    </row>
    <row r="794" spans="1:62" ht="13">
      <c r="A794" s="90"/>
      <c r="B794" s="91"/>
      <c r="C794" s="51">
        <v>792</v>
      </c>
      <c r="D794" s="188" t="s">
        <v>1868</v>
      </c>
      <c r="E794" s="188">
        <v>6</v>
      </c>
      <c r="F794" s="88" t="s">
        <v>1435</v>
      </c>
      <c r="G794" s="89" t="s">
        <v>1436</v>
      </c>
      <c r="H794" s="89" t="s">
        <v>1855</v>
      </c>
      <c r="I794" s="80" t="s">
        <v>458</v>
      </c>
      <c r="J794" s="93">
        <f t="shared" si="2466"/>
        <v>2</v>
      </c>
      <c r="K794" s="88">
        <v>2</v>
      </c>
      <c r="L794" s="58"/>
      <c r="M794" s="58"/>
      <c r="N794" s="62">
        <f t="shared" si="2467"/>
        <v>2</v>
      </c>
      <c r="O794" s="60"/>
      <c r="P794" s="58"/>
      <c r="Q794" s="62">
        <f t="shared" si="2468"/>
        <v>2</v>
      </c>
      <c r="R794" s="60"/>
      <c r="S794" s="58"/>
      <c r="T794" s="94">
        <f t="shared" si="2469"/>
        <v>2</v>
      </c>
      <c r="U794" s="60"/>
      <c r="V794" s="58"/>
      <c r="W794" s="62">
        <f t="shared" si="2470"/>
        <v>2</v>
      </c>
      <c r="X794" s="60"/>
      <c r="Y794" s="58"/>
      <c r="Z794" s="94">
        <f t="shared" si="2471"/>
        <v>2</v>
      </c>
      <c r="AA794" s="60"/>
      <c r="AB794" s="58"/>
      <c r="AC794" s="62">
        <f t="shared" si="2472"/>
        <v>2</v>
      </c>
      <c r="AD794" s="57"/>
      <c r="AE794" s="58"/>
      <c r="AF794" s="165">
        <f t="shared" si="2473"/>
        <v>2</v>
      </c>
      <c r="AG794" s="60"/>
      <c r="AH794" s="58"/>
      <c r="AI794" s="62">
        <f t="shared" si="2474"/>
        <v>2</v>
      </c>
      <c r="AJ794" s="60"/>
      <c r="AK794" s="58"/>
      <c r="AL794" s="62">
        <f t="shared" si="2475"/>
        <v>2</v>
      </c>
      <c r="AM794" s="60"/>
      <c r="AN794" s="58"/>
      <c r="AO794" s="62">
        <f t="shared" si="2476"/>
        <v>2</v>
      </c>
      <c r="AP794" s="60"/>
      <c r="AQ794" s="58"/>
      <c r="AR794" s="62">
        <f t="shared" si="2477"/>
        <v>2</v>
      </c>
      <c r="AS794" s="60"/>
      <c r="AT794" s="58"/>
      <c r="AU794" s="62">
        <f t="shared" si="2478"/>
        <v>2</v>
      </c>
      <c r="AV794" s="96">
        <f t="shared" si="2479"/>
        <v>0</v>
      </c>
      <c r="AW794" s="83">
        <f t="shared" si="2479"/>
        <v>0</v>
      </c>
      <c r="AX794" s="98">
        <f t="shared" si="2480"/>
        <v>0</v>
      </c>
      <c r="AY794" s="99" t="e">
        <f t="shared" si="2481"/>
        <v>#DIV/0!</v>
      </c>
      <c r="AZ794" s="100">
        <f t="shared" si="2482"/>
        <v>0</v>
      </c>
      <c r="BA794" s="101">
        <v>2</v>
      </c>
      <c r="BB794" s="102">
        <v>1</v>
      </c>
      <c r="BC794" s="84">
        <f t="shared" si="2427"/>
        <v>2</v>
      </c>
      <c r="BD794" s="83">
        <f t="shared" si="2483"/>
        <v>1</v>
      </c>
      <c r="BE794" s="85">
        <v>2</v>
      </c>
      <c r="BF794" s="86">
        <v>45975.634131944447</v>
      </c>
      <c r="BG794" s="72" t="e">
        <f t="shared" si="2446"/>
        <v>#REF!</v>
      </c>
      <c r="BH794" s="103" t="e">
        <f t="shared" si="2484"/>
        <v>#REF!</v>
      </c>
      <c r="BI794" s="80" t="e">
        <f t="shared" si="2485"/>
        <v>#REF!</v>
      </c>
      <c r="BJ794" s="238">
        <v>450</v>
      </c>
    </row>
    <row r="795" spans="1:62" ht="13">
      <c r="A795" s="90"/>
      <c r="B795" s="91"/>
      <c r="C795" s="51">
        <v>793</v>
      </c>
      <c r="D795" s="188" t="s">
        <v>1868</v>
      </c>
      <c r="E795" s="188">
        <v>7</v>
      </c>
      <c r="F795" s="88" t="s">
        <v>1475</v>
      </c>
      <c r="G795" s="89" t="s">
        <v>1476</v>
      </c>
      <c r="H795" s="89" t="s">
        <v>1855</v>
      </c>
      <c r="I795" s="80" t="s">
        <v>458</v>
      </c>
      <c r="J795" s="93">
        <f t="shared" si="2466"/>
        <v>2</v>
      </c>
      <c r="K795" s="80">
        <v>2</v>
      </c>
      <c r="L795" s="58"/>
      <c r="M795" s="58"/>
      <c r="N795" s="62">
        <f t="shared" si="2467"/>
        <v>2</v>
      </c>
      <c r="O795" s="60"/>
      <c r="P795" s="58"/>
      <c r="Q795" s="62">
        <f t="shared" si="2468"/>
        <v>2</v>
      </c>
      <c r="R795" s="60"/>
      <c r="S795" s="58"/>
      <c r="T795" s="94">
        <f t="shared" si="2469"/>
        <v>2</v>
      </c>
      <c r="U795" s="60"/>
      <c r="V795" s="58"/>
      <c r="W795" s="62">
        <f t="shared" si="2470"/>
        <v>2</v>
      </c>
      <c r="X795" s="60"/>
      <c r="Y795" s="58"/>
      <c r="Z795" s="94">
        <f t="shared" si="2471"/>
        <v>2</v>
      </c>
      <c r="AA795" s="60"/>
      <c r="AB795" s="58"/>
      <c r="AC795" s="62">
        <f t="shared" si="2472"/>
        <v>2</v>
      </c>
      <c r="AD795" s="57"/>
      <c r="AE795" s="58"/>
      <c r="AF795" s="165">
        <f t="shared" si="2473"/>
        <v>2</v>
      </c>
      <c r="AG795" s="60"/>
      <c r="AH795" s="58"/>
      <c r="AI795" s="62">
        <f t="shared" si="2474"/>
        <v>2</v>
      </c>
      <c r="AJ795" s="60"/>
      <c r="AK795" s="58"/>
      <c r="AL795" s="62">
        <f t="shared" si="2475"/>
        <v>2</v>
      </c>
      <c r="AM795" s="60"/>
      <c r="AN795" s="58"/>
      <c r="AO795" s="62">
        <f t="shared" si="2476"/>
        <v>2</v>
      </c>
      <c r="AP795" s="60"/>
      <c r="AQ795" s="58"/>
      <c r="AR795" s="62">
        <f t="shared" si="2477"/>
        <v>2</v>
      </c>
      <c r="AS795" s="60"/>
      <c r="AT795" s="58"/>
      <c r="AU795" s="62">
        <f t="shared" si="2478"/>
        <v>2</v>
      </c>
      <c r="AV795" s="96">
        <f t="shared" si="2479"/>
        <v>0</v>
      </c>
      <c r="AW795" s="83">
        <f t="shared" si="2479"/>
        <v>0</v>
      </c>
      <c r="AX795" s="98">
        <f t="shared" si="2480"/>
        <v>0</v>
      </c>
      <c r="AY795" s="99" t="e">
        <f t="shared" si="2481"/>
        <v>#DIV/0!</v>
      </c>
      <c r="AZ795" s="100">
        <f t="shared" si="2482"/>
        <v>0</v>
      </c>
      <c r="BA795" s="101">
        <v>2</v>
      </c>
      <c r="BB795" s="102">
        <v>1</v>
      </c>
      <c r="BC795" s="84">
        <f t="shared" si="2427"/>
        <v>2</v>
      </c>
      <c r="BD795" s="83">
        <f t="shared" si="2483"/>
        <v>1</v>
      </c>
      <c r="BE795" s="85">
        <v>2</v>
      </c>
      <c r="BF795" s="86">
        <v>45975.634131944447</v>
      </c>
      <c r="BG795" s="72" t="e">
        <f t="shared" si="2446"/>
        <v>#REF!</v>
      </c>
      <c r="BH795" s="103" t="e">
        <f t="shared" si="2484"/>
        <v>#REF!</v>
      </c>
      <c r="BI795" s="80" t="e">
        <f t="shared" si="2485"/>
        <v>#REF!</v>
      </c>
      <c r="BJ795" s="238">
        <v>1200</v>
      </c>
    </row>
    <row r="796" spans="1:62" ht="13">
      <c r="A796" s="90"/>
      <c r="B796" s="91"/>
      <c r="C796" s="77">
        <v>794</v>
      </c>
      <c r="D796" s="188" t="s">
        <v>1868</v>
      </c>
      <c r="E796" s="188">
        <v>8</v>
      </c>
      <c r="F796" s="88" t="s">
        <v>1437</v>
      </c>
      <c r="G796" s="89" t="s">
        <v>1438</v>
      </c>
      <c r="H796" s="89" t="s">
        <v>1855</v>
      </c>
      <c r="I796" s="80" t="s">
        <v>458</v>
      </c>
      <c r="J796" s="93">
        <f t="shared" si="2466"/>
        <v>1</v>
      </c>
      <c r="K796" s="88">
        <v>1</v>
      </c>
      <c r="L796" s="58"/>
      <c r="M796" s="58"/>
      <c r="N796" s="62">
        <f t="shared" si="2467"/>
        <v>1</v>
      </c>
      <c r="O796" s="60"/>
      <c r="P796" s="58"/>
      <c r="Q796" s="62">
        <f t="shared" si="2468"/>
        <v>1</v>
      </c>
      <c r="R796" s="60"/>
      <c r="S796" s="58"/>
      <c r="T796" s="94">
        <f t="shared" si="2469"/>
        <v>1</v>
      </c>
      <c r="U796" s="60"/>
      <c r="V796" s="58"/>
      <c r="W796" s="62">
        <f t="shared" si="2470"/>
        <v>1</v>
      </c>
      <c r="X796" s="60"/>
      <c r="Y796" s="58"/>
      <c r="Z796" s="94">
        <f t="shared" si="2471"/>
        <v>1</v>
      </c>
      <c r="AA796" s="60"/>
      <c r="AB796" s="58"/>
      <c r="AC796" s="62">
        <f t="shared" si="2472"/>
        <v>1</v>
      </c>
      <c r="AD796" s="57"/>
      <c r="AE796" s="58"/>
      <c r="AF796" s="165">
        <f t="shared" si="2473"/>
        <v>1</v>
      </c>
      <c r="AG796" s="60"/>
      <c r="AH796" s="58"/>
      <c r="AI796" s="62">
        <f t="shared" si="2474"/>
        <v>1</v>
      </c>
      <c r="AJ796" s="60"/>
      <c r="AK796" s="58"/>
      <c r="AL796" s="62">
        <f t="shared" si="2475"/>
        <v>1</v>
      </c>
      <c r="AM796" s="60"/>
      <c r="AN796" s="58"/>
      <c r="AO796" s="62">
        <f t="shared" si="2476"/>
        <v>1</v>
      </c>
      <c r="AP796" s="60"/>
      <c r="AQ796" s="58"/>
      <c r="AR796" s="62">
        <f t="shared" si="2477"/>
        <v>1</v>
      </c>
      <c r="AS796" s="60"/>
      <c r="AT796" s="58"/>
      <c r="AU796" s="62">
        <f t="shared" si="2478"/>
        <v>1</v>
      </c>
      <c r="AV796" s="96">
        <f t="shared" si="2479"/>
        <v>0</v>
      </c>
      <c r="AW796" s="83">
        <f t="shared" si="2479"/>
        <v>0</v>
      </c>
      <c r="AX796" s="98">
        <f t="shared" si="2480"/>
        <v>0</v>
      </c>
      <c r="AY796" s="99" t="e">
        <f t="shared" si="2481"/>
        <v>#DIV/0!</v>
      </c>
      <c r="AZ796" s="100">
        <f t="shared" si="2482"/>
        <v>0</v>
      </c>
      <c r="BA796" s="101">
        <v>1</v>
      </c>
      <c r="BB796" s="102">
        <v>0</v>
      </c>
      <c r="BC796" s="84">
        <f t="shared" si="2427"/>
        <v>1</v>
      </c>
      <c r="BD796" s="83">
        <f t="shared" si="2483"/>
        <v>1</v>
      </c>
      <c r="BE796" s="85">
        <v>2</v>
      </c>
      <c r="BF796" s="86">
        <v>45975.634131944447</v>
      </c>
      <c r="BG796" s="72" t="e">
        <f t="shared" si="2446"/>
        <v>#REF!</v>
      </c>
      <c r="BH796" s="103" t="e">
        <f t="shared" si="2484"/>
        <v>#REF!</v>
      </c>
      <c r="BI796" s="80" t="e">
        <f t="shared" si="2485"/>
        <v>#REF!</v>
      </c>
      <c r="BJ796" s="238">
        <v>1500</v>
      </c>
    </row>
    <row r="797" spans="1:62" ht="13">
      <c r="A797" s="90"/>
      <c r="B797" s="91"/>
      <c r="C797" s="77">
        <v>795</v>
      </c>
      <c r="D797" s="188" t="s">
        <v>1868</v>
      </c>
      <c r="E797" s="188">
        <v>9</v>
      </c>
      <c r="F797" s="88" t="s">
        <v>1477</v>
      </c>
      <c r="G797" s="89" t="s">
        <v>1478</v>
      </c>
      <c r="H797" s="89" t="s">
        <v>1855</v>
      </c>
      <c r="I797" s="80" t="s">
        <v>458</v>
      </c>
      <c r="J797" s="93">
        <f t="shared" si="2466"/>
        <v>1</v>
      </c>
      <c r="K797" s="80">
        <v>1</v>
      </c>
      <c r="L797" s="58"/>
      <c r="M797" s="58"/>
      <c r="N797" s="62">
        <f t="shared" si="2467"/>
        <v>1</v>
      </c>
      <c r="O797" s="60"/>
      <c r="P797" s="58"/>
      <c r="Q797" s="62">
        <f t="shared" si="2468"/>
        <v>1</v>
      </c>
      <c r="R797" s="60"/>
      <c r="S797" s="58"/>
      <c r="T797" s="94">
        <f t="shared" si="2469"/>
        <v>1</v>
      </c>
      <c r="U797" s="60"/>
      <c r="V797" s="58"/>
      <c r="W797" s="62">
        <f t="shared" si="2470"/>
        <v>1</v>
      </c>
      <c r="X797" s="60"/>
      <c r="Y797" s="58"/>
      <c r="Z797" s="94">
        <f t="shared" si="2471"/>
        <v>1</v>
      </c>
      <c r="AA797" s="60"/>
      <c r="AB797" s="58"/>
      <c r="AC797" s="62">
        <f t="shared" si="2472"/>
        <v>1</v>
      </c>
      <c r="AD797" s="57"/>
      <c r="AE797" s="58"/>
      <c r="AF797" s="165">
        <f t="shared" si="2473"/>
        <v>1</v>
      </c>
      <c r="AG797" s="60"/>
      <c r="AH797" s="58"/>
      <c r="AI797" s="62">
        <f t="shared" si="2474"/>
        <v>1</v>
      </c>
      <c r="AJ797" s="60"/>
      <c r="AK797" s="58"/>
      <c r="AL797" s="62">
        <f t="shared" si="2475"/>
        <v>1</v>
      </c>
      <c r="AM797" s="60"/>
      <c r="AN797" s="58"/>
      <c r="AO797" s="62">
        <f t="shared" si="2476"/>
        <v>1</v>
      </c>
      <c r="AP797" s="60"/>
      <c r="AQ797" s="58"/>
      <c r="AR797" s="62">
        <f t="shared" si="2477"/>
        <v>1</v>
      </c>
      <c r="AS797" s="60"/>
      <c r="AT797" s="58"/>
      <c r="AU797" s="62">
        <f t="shared" si="2478"/>
        <v>1</v>
      </c>
      <c r="AV797" s="96">
        <f t="shared" si="2479"/>
        <v>0</v>
      </c>
      <c r="AW797" s="83">
        <f t="shared" si="2479"/>
        <v>0</v>
      </c>
      <c r="AX797" s="98">
        <f t="shared" si="2480"/>
        <v>0</v>
      </c>
      <c r="AY797" s="99" t="e">
        <f t="shared" si="2481"/>
        <v>#DIV/0!</v>
      </c>
      <c r="AZ797" s="100">
        <f t="shared" si="2482"/>
        <v>0</v>
      </c>
      <c r="BA797" s="101">
        <v>1</v>
      </c>
      <c r="BB797" s="102">
        <v>0</v>
      </c>
      <c r="BC797" s="84">
        <f t="shared" si="2427"/>
        <v>1</v>
      </c>
      <c r="BD797" s="83">
        <f t="shared" si="2483"/>
        <v>1</v>
      </c>
      <c r="BE797" s="85">
        <v>2</v>
      </c>
      <c r="BF797" s="86">
        <v>45975.634131944447</v>
      </c>
      <c r="BG797" s="72" t="e">
        <f t="shared" si="2446"/>
        <v>#REF!</v>
      </c>
      <c r="BH797" s="103" t="e">
        <f t="shared" si="2484"/>
        <v>#REF!</v>
      </c>
      <c r="BI797" s="80" t="e">
        <f t="shared" si="2485"/>
        <v>#REF!</v>
      </c>
      <c r="BJ797" s="238">
        <v>24000</v>
      </c>
    </row>
    <row r="798" spans="1:62" ht="13">
      <c r="A798" s="90"/>
      <c r="B798" s="91"/>
      <c r="C798" s="51">
        <v>796</v>
      </c>
      <c r="D798" s="188" t="s">
        <v>1868</v>
      </c>
      <c r="E798" s="188">
        <v>10</v>
      </c>
      <c r="F798" s="88" t="s">
        <v>1439</v>
      </c>
      <c r="G798" s="89" t="s">
        <v>1440</v>
      </c>
      <c r="H798" s="89" t="s">
        <v>1855</v>
      </c>
      <c r="I798" s="80" t="s">
        <v>458</v>
      </c>
      <c r="J798" s="93">
        <f t="shared" si="2466"/>
        <v>1</v>
      </c>
      <c r="K798" s="88">
        <v>1</v>
      </c>
      <c r="L798" s="58"/>
      <c r="M798" s="58"/>
      <c r="N798" s="62">
        <f t="shared" si="2467"/>
        <v>1</v>
      </c>
      <c r="O798" s="60"/>
      <c r="P798" s="58"/>
      <c r="Q798" s="62">
        <f t="shared" si="2468"/>
        <v>1</v>
      </c>
      <c r="R798" s="60"/>
      <c r="S798" s="58"/>
      <c r="T798" s="94">
        <f t="shared" si="2469"/>
        <v>1</v>
      </c>
      <c r="U798" s="60"/>
      <c r="V798" s="58"/>
      <c r="W798" s="62">
        <f t="shared" si="2470"/>
        <v>1</v>
      </c>
      <c r="X798" s="60"/>
      <c r="Y798" s="58"/>
      <c r="Z798" s="94">
        <f t="shared" si="2471"/>
        <v>1</v>
      </c>
      <c r="AA798" s="60"/>
      <c r="AB798" s="58"/>
      <c r="AC798" s="62">
        <f t="shared" si="2472"/>
        <v>1</v>
      </c>
      <c r="AD798" s="57"/>
      <c r="AE798" s="58"/>
      <c r="AF798" s="165">
        <f t="shared" si="2473"/>
        <v>1</v>
      </c>
      <c r="AG798" s="60"/>
      <c r="AH798" s="58"/>
      <c r="AI798" s="62">
        <f t="shared" si="2474"/>
        <v>1</v>
      </c>
      <c r="AJ798" s="60"/>
      <c r="AK798" s="58"/>
      <c r="AL798" s="62">
        <f t="shared" si="2475"/>
        <v>1</v>
      </c>
      <c r="AM798" s="60"/>
      <c r="AN798" s="58"/>
      <c r="AO798" s="62">
        <f t="shared" si="2476"/>
        <v>1</v>
      </c>
      <c r="AP798" s="60"/>
      <c r="AQ798" s="58"/>
      <c r="AR798" s="62">
        <f t="shared" si="2477"/>
        <v>1</v>
      </c>
      <c r="AS798" s="60"/>
      <c r="AT798" s="58"/>
      <c r="AU798" s="62">
        <f t="shared" si="2478"/>
        <v>1</v>
      </c>
      <c r="AV798" s="96">
        <f t="shared" si="2479"/>
        <v>0</v>
      </c>
      <c r="AW798" s="83">
        <f t="shared" si="2479"/>
        <v>0</v>
      </c>
      <c r="AX798" s="98">
        <f t="shared" si="2480"/>
        <v>0</v>
      </c>
      <c r="AY798" s="99" t="e">
        <f t="shared" si="2481"/>
        <v>#DIV/0!</v>
      </c>
      <c r="AZ798" s="100">
        <f t="shared" si="2482"/>
        <v>0</v>
      </c>
      <c r="BA798" s="101">
        <v>1</v>
      </c>
      <c r="BB798" s="102">
        <v>0</v>
      </c>
      <c r="BC798" s="84">
        <f t="shared" si="2427"/>
        <v>1</v>
      </c>
      <c r="BD798" s="83">
        <f t="shared" si="2483"/>
        <v>1</v>
      </c>
      <c r="BE798" s="85">
        <v>2</v>
      </c>
      <c r="BF798" s="86">
        <v>45975.634131944447</v>
      </c>
      <c r="BG798" s="72" t="e">
        <f t="shared" si="2446"/>
        <v>#REF!</v>
      </c>
      <c r="BH798" s="103" t="e">
        <f t="shared" si="2484"/>
        <v>#REF!</v>
      </c>
      <c r="BI798" s="80" t="e">
        <f t="shared" si="2485"/>
        <v>#REF!</v>
      </c>
      <c r="BJ798" s="238">
        <v>3500</v>
      </c>
    </row>
    <row r="799" spans="1:62" ht="13">
      <c r="A799" s="90"/>
      <c r="B799" s="91"/>
      <c r="C799" s="51">
        <v>797</v>
      </c>
      <c r="D799" s="188" t="s">
        <v>1868</v>
      </c>
      <c r="E799" s="188">
        <v>11</v>
      </c>
      <c r="F799" s="88" t="s">
        <v>1441</v>
      </c>
      <c r="G799" s="89" t="s">
        <v>1442</v>
      </c>
      <c r="H799" s="89" t="s">
        <v>1855</v>
      </c>
      <c r="I799" s="80" t="s">
        <v>458</v>
      </c>
      <c r="J799" s="93">
        <f t="shared" si="2466"/>
        <v>1</v>
      </c>
      <c r="K799" s="80">
        <v>1</v>
      </c>
      <c r="L799" s="58"/>
      <c r="M799" s="58"/>
      <c r="N799" s="62">
        <f t="shared" si="2467"/>
        <v>1</v>
      </c>
      <c r="O799" s="60"/>
      <c r="P799" s="58"/>
      <c r="Q799" s="62">
        <f t="shared" si="2468"/>
        <v>1</v>
      </c>
      <c r="R799" s="60"/>
      <c r="S799" s="58"/>
      <c r="T799" s="94">
        <f t="shared" si="2469"/>
        <v>1</v>
      </c>
      <c r="U799" s="60"/>
      <c r="V799" s="58"/>
      <c r="W799" s="62">
        <f t="shared" si="2470"/>
        <v>1</v>
      </c>
      <c r="X799" s="60"/>
      <c r="Y799" s="58"/>
      <c r="Z799" s="94">
        <f t="shared" si="2471"/>
        <v>1</v>
      </c>
      <c r="AA799" s="60"/>
      <c r="AB799" s="58"/>
      <c r="AC799" s="62">
        <f t="shared" si="2472"/>
        <v>1</v>
      </c>
      <c r="AD799" s="57"/>
      <c r="AE799" s="58"/>
      <c r="AF799" s="165">
        <f t="shared" si="2473"/>
        <v>1</v>
      </c>
      <c r="AG799" s="60"/>
      <c r="AH799" s="58"/>
      <c r="AI799" s="62">
        <f t="shared" si="2474"/>
        <v>1</v>
      </c>
      <c r="AJ799" s="60"/>
      <c r="AK799" s="58"/>
      <c r="AL799" s="62">
        <f t="shared" si="2475"/>
        <v>1</v>
      </c>
      <c r="AM799" s="60"/>
      <c r="AN799" s="58"/>
      <c r="AO799" s="62">
        <f t="shared" si="2476"/>
        <v>1</v>
      </c>
      <c r="AP799" s="60"/>
      <c r="AQ799" s="58"/>
      <c r="AR799" s="62">
        <f t="shared" si="2477"/>
        <v>1</v>
      </c>
      <c r="AS799" s="60"/>
      <c r="AT799" s="58"/>
      <c r="AU799" s="62">
        <f t="shared" si="2478"/>
        <v>1</v>
      </c>
      <c r="AV799" s="96">
        <f t="shared" si="2479"/>
        <v>0</v>
      </c>
      <c r="AW799" s="83">
        <f t="shared" si="2479"/>
        <v>0</v>
      </c>
      <c r="AX799" s="98">
        <f t="shared" si="2480"/>
        <v>0</v>
      </c>
      <c r="AY799" s="99" t="e">
        <f t="shared" si="2481"/>
        <v>#DIV/0!</v>
      </c>
      <c r="AZ799" s="100">
        <f t="shared" si="2482"/>
        <v>0</v>
      </c>
      <c r="BA799" s="101">
        <v>1</v>
      </c>
      <c r="BB799" s="102">
        <v>0</v>
      </c>
      <c r="BC799" s="84">
        <f t="shared" si="2427"/>
        <v>1</v>
      </c>
      <c r="BD799" s="83">
        <f t="shared" si="2483"/>
        <v>1</v>
      </c>
      <c r="BE799" s="85">
        <v>2</v>
      </c>
      <c r="BF799" s="86">
        <v>45975.634131944447</v>
      </c>
      <c r="BG799" s="72" t="e">
        <f t="shared" si="2446"/>
        <v>#REF!</v>
      </c>
      <c r="BH799" s="103" t="e">
        <f t="shared" si="2484"/>
        <v>#REF!</v>
      </c>
      <c r="BI799" s="80" t="e">
        <f t="shared" si="2485"/>
        <v>#REF!</v>
      </c>
      <c r="BJ799" s="238">
        <v>200</v>
      </c>
    </row>
    <row r="800" spans="1:62" ht="13">
      <c r="A800" s="90"/>
      <c r="B800" s="91"/>
      <c r="C800" s="51">
        <v>798</v>
      </c>
      <c r="D800" s="188" t="s">
        <v>1868</v>
      </c>
      <c r="E800" s="188">
        <v>12</v>
      </c>
      <c r="F800" s="88" t="s">
        <v>1443</v>
      </c>
      <c r="G800" s="89" t="s">
        <v>1444</v>
      </c>
      <c r="H800" s="89" t="s">
        <v>1855</v>
      </c>
      <c r="I800" s="80" t="s">
        <v>458</v>
      </c>
      <c r="J800" s="93">
        <f t="shared" si="2466"/>
        <v>1</v>
      </c>
      <c r="K800" s="88">
        <v>1</v>
      </c>
      <c r="L800" s="58"/>
      <c r="M800" s="58"/>
      <c r="N800" s="62">
        <f t="shared" si="2467"/>
        <v>1</v>
      </c>
      <c r="O800" s="60"/>
      <c r="P800" s="58"/>
      <c r="Q800" s="62">
        <f t="shared" si="2468"/>
        <v>1</v>
      </c>
      <c r="R800" s="60"/>
      <c r="S800" s="58"/>
      <c r="T800" s="94">
        <f t="shared" si="2469"/>
        <v>1</v>
      </c>
      <c r="U800" s="60"/>
      <c r="V800" s="58"/>
      <c r="W800" s="62">
        <f t="shared" si="2470"/>
        <v>1</v>
      </c>
      <c r="X800" s="60"/>
      <c r="Y800" s="58"/>
      <c r="Z800" s="94">
        <f t="shared" si="2471"/>
        <v>1</v>
      </c>
      <c r="AA800" s="60"/>
      <c r="AB800" s="58"/>
      <c r="AC800" s="62">
        <f t="shared" si="2472"/>
        <v>1</v>
      </c>
      <c r="AD800" s="57"/>
      <c r="AE800" s="58"/>
      <c r="AF800" s="165">
        <f t="shared" si="2473"/>
        <v>1</v>
      </c>
      <c r="AG800" s="60"/>
      <c r="AH800" s="58"/>
      <c r="AI800" s="62">
        <f t="shared" si="2474"/>
        <v>1</v>
      </c>
      <c r="AJ800" s="60"/>
      <c r="AK800" s="58"/>
      <c r="AL800" s="62">
        <f t="shared" si="2475"/>
        <v>1</v>
      </c>
      <c r="AM800" s="60"/>
      <c r="AN800" s="58"/>
      <c r="AO800" s="62">
        <f t="shared" si="2476"/>
        <v>1</v>
      </c>
      <c r="AP800" s="60"/>
      <c r="AQ800" s="58"/>
      <c r="AR800" s="62">
        <f t="shared" si="2477"/>
        <v>1</v>
      </c>
      <c r="AS800" s="60"/>
      <c r="AT800" s="58"/>
      <c r="AU800" s="62">
        <f t="shared" si="2478"/>
        <v>1</v>
      </c>
      <c r="AV800" s="96">
        <f t="shared" si="2479"/>
        <v>0</v>
      </c>
      <c r="AW800" s="83">
        <f t="shared" si="2479"/>
        <v>0</v>
      </c>
      <c r="AX800" s="98">
        <f t="shared" si="2480"/>
        <v>0</v>
      </c>
      <c r="AY800" s="99" t="e">
        <f t="shared" si="2481"/>
        <v>#DIV/0!</v>
      </c>
      <c r="AZ800" s="100">
        <f t="shared" si="2482"/>
        <v>0</v>
      </c>
      <c r="BA800" s="101">
        <v>1</v>
      </c>
      <c r="BB800" s="102">
        <v>0</v>
      </c>
      <c r="BC800" s="84">
        <f t="shared" si="2427"/>
        <v>1</v>
      </c>
      <c r="BD800" s="83">
        <f t="shared" si="2483"/>
        <v>1</v>
      </c>
      <c r="BE800" s="85">
        <v>2</v>
      </c>
      <c r="BF800" s="86">
        <v>45975.634131944447</v>
      </c>
      <c r="BG800" s="72" t="e">
        <f t="shared" si="2446"/>
        <v>#REF!</v>
      </c>
      <c r="BH800" s="103" t="e">
        <f t="shared" si="2484"/>
        <v>#REF!</v>
      </c>
      <c r="BI800" s="80" t="e">
        <f t="shared" si="2485"/>
        <v>#REF!</v>
      </c>
      <c r="BJ800" s="238">
        <v>5500</v>
      </c>
    </row>
    <row r="801" spans="1:62" ht="13">
      <c r="A801" s="90"/>
      <c r="B801" s="91"/>
      <c r="C801" s="51">
        <v>799</v>
      </c>
      <c r="D801" s="188" t="s">
        <v>1868</v>
      </c>
      <c r="E801" s="188">
        <v>13</v>
      </c>
      <c r="F801" s="88" t="s">
        <v>1445</v>
      </c>
      <c r="G801" s="89" t="s">
        <v>1446</v>
      </c>
      <c r="H801" s="89" t="s">
        <v>1855</v>
      </c>
      <c r="I801" s="80" t="s">
        <v>458</v>
      </c>
      <c r="J801" s="93">
        <f t="shared" si="2466"/>
        <v>5</v>
      </c>
      <c r="K801" s="80">
        <v>5</v>
      </c>
      <c r="L801" s="58"/>
      <c r="M801" s="58"/>
      <c r="N801" s="62">
        <f t="shared" si="2467"/>
        <v>5</v>
      </c>
      <c r="O801" s="60"/>
      <c r="P801" s="58"/>
      <c r="Q801" s="62">
        <f t="shared" si="2468"/>
        <v>5</v>
      </c>
      <c r="R801" s="60"/>
      <c r="S801" s="58"/>
      <c r="T801" s="94">
        <f t="shared" si="2469"/>
        <v>5</v>
      </c>
      <c r="U801" s="60"/>
      <c r="V801" s="58"/>
      <c r="W801" s="62">
        <f t="shared" si="2470"/>
        <v>5</v>
      </c>
      <c r="X801" s="60"/>
      <c r="Y801" s="58"/>
      <c r="Z801" s="94">
        <f t="shared" si="2471"/>
        <v>5</v>
      </c>
      <c r="AA801" s="60"/>
      <c r="AB801" s="58"/>
      <c r="AC801" s="62">
        <f t="shared" si="2472"/>
        <v>5</v>
      </c>
      <c r="AD801" s="57"/>
      <c r="AE801" s="58"/>
      <c r="AF801" s="165">
        <f t="shared" si="2473"/>
        <v>5</v>
      </c>
      <c r="AG801" s="60"/>
      <c r="AH801" s="58"/>
      <c r="AI801" s="62">
        <f t="shared" si="2474"/>
        <v>5</v>
      </c>
      <c r="AJ801" s="60"/>
      <c r="AK801" s="58"/>
      <c r="AL801" s="62">
        <f t="shared" si="2475"/>
        <v>5</v>
      </c>
      <c r="AM801" s="60"/>
      <c r="AN801" s="58"/>
      <c r="AO801" s="62">
        <f t="shared" si="2476"/>
        <v>5</v>
      </c>
      <c r="AP801" s="60"/>
      <c r="AQ801" s="58"/>
      <c r="AR801" s="62">
        <f t="shared" si="2477"/>
        <v>5</v>
      </c>
      <c r="AS801" s="60"/>
      <c r="AT801" s="58"/>
      <c r="AU801" s="62">
        <f t="shared" si="2478"/>
        <v>5</v>
      </c>
      <c r="AV801" s="96">
        <f t="shared" si="2479"/>
        <v>0</v>
      </c>
      <c r="AW801" s="83">
        <f t="shared" si="2479"/>
        <v>0</v>
      </c>
      <c r="AX801" s="98">
        <f t="shared" si="2480"/>
        <v>0</v>
      </c>
      <c r="AY801" s="99" t="e">
        <f t="shared" si="2481"/>
        <v>#DIV/0!</v>
      </c>
      <c r="AZ801" s="100">
        <f t="shared" si="2482"/>
        <v>0</v>
      </c>
      <c r="BA801" s="101">
        <v>5</v>
      </c>
      <c r="BB801" s="102">
        <v>1</v>
      </c>
      <c r="BC801" s="84">
        <f t="shared" si="2427"/>
        <v>5</v>
      </c>
      <c r="BD801" s="83">
        <f t="shared" si="2483"/>
        <v>4</v>
      </c>
      <c r="BE801" s="85">
        <v>2</v>
      </c>
      <c r="BF801" s="86">
        <v>45975.634131944447</v>
      </c>
      <c r="BG801" s="72" t="e">
        <f t="shared" si="2446"/>
        <v>#REF!</v>
      </c>
      <c r="BH801" s="103" t="e">
        <f t="shared" si="2484"/>
        <v>#REF!</v>
      </c>
      <c r="BI801" s="80" t="e">
        <f t="shared" si="2485"/>
        <v>#REF!</v>
      </c>
      <c r="BJ801" s="238">
        <v>4200</v>
      </c>
    </row>
    <row r="802" spans="1:62" ht="13">
      <c r="A802" s="90"/>
      <c r="B802" s="91"/>
      <c r="C802" s="77">
        <v>800</v>
      </c>
      <c r="D802" s="188" t="s">
        <v>1868</v>
      </c>
      <c r="E802" s="188">
        <v>14</v>
      </c>
      <c r="F802" s="88" t="s">
        <v>1447</v>
      </c>
      <c r="G802" s="89" t="s">
        <v>1448</v>
      </c>
      <c r="H802" s="89" t="s">
        <v>1855</v>
      </c>
      <c r="I802" s="80" t="s">
        <v>458</v>
      </c>
      <c r="J802" s="93">
        <f t="shared" si="2466"/>
        <v>3</v>
      </c>
      <c r="K802" s="88">
        <v>3</v>
      </c>
      <c r="L802" s="58"/>
      <c r="M802" s="58"/>
      <c r="N802" s="62">
        <f t="shared" si="2467"/>
        <v>3</v>
      </c>
      <c r="O802" s="60"/>
      <c r="P802" s="58"/>
      <c r="Q802" s="62">
        <f t="shared" si="2468"/>
        <v>3</v>
      </c>
      <c r="R802" s="60"/>
      <c r="S802" s="58"/>
      <c r="T802" s="94">
        <f t="shared" si="2469"/>
        <v>3</v>
      </c>
      <c r="U802" s="60"/>
      <c r="V802" s="58"/>
      <c r="W802" s="62">
        <f t="shared" si="2470"/>
        <v>3</v>
      </c>
      <c r="X802" s="60"/>
      <c r="Y802" s="58"/>
      <c r="Z802" s="94">
        <f t="shared" si="2471"/>
        <v>3</v>
      </c>
      <c r="AA802" s="60"/>
      <c r="AB802" s="58"/>
      <c r="AC802" s="62">
        <f t="shared" si="2472"/>
        <v>3</v>
      </c>
      <c r="AD802" s="57"/>
      <c r="AE802" s="58"/>
      <c r="AF802" s="165">
        <f t="shared" si="2473"/>
        <v>3</v>
      </c>
      <c r="AG802" s="60"/>
      <c r="AH802" s="58"/>
      <c r="AI802" s="62">
        <f t="shared" si="2474"/>
        <v>3</v>
      </c>
      <c r="AJ802" s="60"/>
      <c r="AK802" s="58"/>
      <c r="AL802" s="62">
        <f t="shared" si="2475"/>
        <v>3</v>
      </c>
      <c r="AM802" s="60"/>
      <c r="AN802" s="58"/>
      <c r="AO802" s="62">
        <f t="shared" si="2476"/>
        <v>3</v>
      </c>
      <c r="AP802" s="60"/>
      <c r="AQ802" s="58"/>
      <c r="AR802" s="62">
        <f t="shared" si="2477"/>
        <v>3</v>
      </c>
      <c r="AS802" s="60"/>
      <c r="AT802" s="58"/>
      <c r="AU802" s="62">
        <f t="shared" si="2478"/>
        <v>3</v>
      </c>
      <c r="AV802" s="96">
        <f t="shared" si="2479"/>
        <v>0</v>
      </c>
      <c r="AW802" s="83">
        <f t="shared" si="2479"/>
        <v>0</v>
      </c>
      <c r="AX802" s="98">
        <f t="shared" si="2480"/>
        <v>0</v>
      </c>
      <c r="AY802" s="99" t="e">
        <f t="shared" si="2481"/>
        <v>#DIV/0!</v>
      </c>
      <c r="AZ802" s="100">
        <f t="shared" si="2482"/>
        <v>0</v>
      </c>
      <c r="BA802" s="101">
        <v>3</v>
      </c>
      <c r="BB802" s="102">
        <v>1</v>
      </c>
      <c r="BC802" s="84">
        <f t="shared" si="2427"/>
        <v>3</v>
      </c>
      <c r="BD802" s="83">
        <f t="shared" si="2483"/>
        <v>2</v>
      </c>
      <c r="BE802" s="85">
        <v>2</v>
      </c>
      <c r="BF802" s="86">
        <v>45975.634131944447</v>
      </c>
      <c r="BG802" s="72" t="e">
        <f t="shared" si="2446"/>
        <v>#REF!</v>
      </c>
      <c r="BH802" s="103" t="e">
        <f t="shared" si="2484"/>
        <v>#REF!</v>
      </c>
      <c r="BI802" s="80" t="e">
        <f t="shared" si="2485"/>
        <v>#REF!</v>
      </c>
      <c r="BJ802" s="238">
        <v>4200</v>
      </c>
    </row>
    <row r="803" spans="1:62" ht="13">
      <c r="A803" s="90"/>
      <c r="B803" s="91"/>
      <c r="C803" s="77">
        <v>801</v>
      </c>
      <c r="D803" s="188" t="s">
        <v>1868</v>
      </c>
      <c r="E803" s="188">
        <v>15</v>
      </c>
      <c r="F803" s="88" t="s">
        <v>1449</v>
      </c>
      <c r="G803" s="89" t="s">
        <v>1450</v>
      </c>
      <c r="H803" s="89" t="s">
        <v>1855</v>
      </c>
      <c r="I803" s="80" t="s">
        <v>458</v>
      </c>
      <c r="J803" s="93">
        <f t="shared" si="2466"/>
        <v>7</v>
      </c>
      <c r="K803" s="80">
        <v>7</v>
      </c>
      <c r="L803" s="58"/>
      <c r="M803" s="58"/>
      <c r="N803" s="62">
        <f t="shared" si="2467"/>
        <v>7</v>
      </c>
      <c r="O803" s="60"/>
      <c r="P803" s="58"/>
      <c r="Q803" s="62">
        <f t="shared" si="2468"/>
        <v>7</v>
      </c>
      <c r="R803" s="60"/>
      <c r="S803" s="58"/>
      <c r="T803" s="94">
        <f t="shared" si="2469"/>
        <v>7</v>
      </c>
      <c r="U803" s="60"/>
      <c r="V803" s="58"/>
      <c r="W803" s="62">
        <f t="shared" si="2470"/>
        <v>7</v>
      </c>
      <c r="X803" s="60"/>
      <c r="Y803" s="58"/>
      <c r="Z803" s="94">
        <f t="shared" si="2471"/>
        <v>7</v>
      </c>
      <c r="AA803" s="60"/>
      <c r="AB803" s="58"/>
      <c r="AC803" s="62">
        <f t="shared" si="2472"/>
        <v>7</v>
      </c>
      <c r="AD803" s="57"/>
      <c r="AE803" s="58"/>
      <c r="AF803" s="165">
        <f t="shared" si="2473"/>
        <v>7</v>
      </c>
      <c r="AG803" s="60"/>
      <c r="AH803" s="58"/>
      <c r="AI803" s="62">
        <f t="shared" si="2474"/>
        <v>7</v>
      </c>
      <c r="AJ803" s="60"/>
      <c r="AK803" s="58"/>
      <c r="AL803" s="62">
        <f t="shared" si="2475"/>
        <v>7</v>
      </c>
      <c r="AM803" s="60"/>
      <c r="AN803" s="58"/>
      <c r="AO803" s="62">
        <f t="shared" si="2476"/>
        <v>7</v>
      </c>
      <c r="AP803" s="60"/>
      <c r="AQ803" s="58"/>
      <c r="AR803" s="62">
        <f t="shared" si="2477"/>
        <v>7</v>
      </c>
      <c r="AS803" s="60"/>
      <c r="AT803" s="58"/>
      <c r="AU803" s="62">
        <f t="shared" si="2478"/>
        <v>7</v>
      </c>
      <c r="AV803" s="96">
        <f t="shared" si="2479"/>
        <v>0</v>
      </c>
      <c r="AW803" s="83">
        <f t="shared" si="2479"/>
        <v>0</v>
      </c>
      <c r="AX803" s="98">
        <f t="shared" si="2480"/>
        <v>0</v>
      </c>
      <c r="AY803" s="99" t="e">
        <f t="shared" si="2481"/>
        <v>#DIV/0!</v>
      </c>
      <c r="AZ803" s="100">
        <f t="shared" si="2482"/>
        <v>0</v>
      </c>
      <c r="BA803" s="101">
        <v>7</v>
      </c>
      <c r="BB803" s="102">
        <v>1</v>
      </c>
      <c r="BC803" s="84">
        <f t="shared" si="2427"/>
        <v>7</v>
      </c>
      <c r="BD803" s="83">
        <f t="shared" si="2483"/>
        <v>6</v>
      </c>
      <c r="BE803" s="85">
        <v>2</v>
      </c>
      <c r="BF803" s="86">
        <v>45975.634131944447</v>
      </c>
      <c r="BG803" s="72" t="e">
        <f t="shared" si="2446"/>
        <v>#REF!</v>
      </c>
      <c r="BH803" s="103" t="e">
        <f t="shared" si="2484"/>
        <v>#REF!</v>
      </c>
      <c r="BI803" s="80" t="e">
        <f t="shared" si="2485"/>
        <v>#REF!</v>
      </c>
      <c r="BJ803" s="238">
        <v>2200</v>
      </c>
    </row>
    <row r="804" spans="1:62" ht="13">
      <c r="A804" s="90"/>
      <c r="B804" s="91"/>
      <c r="C804" s="51">
        <v>802</v>
      </c>
      <c r="D804" s="188" t="s">
        <v>1868</v>
      </c>
      <c r="E804" s="188">
        <v>16</v>
      </c>
      <c r="F804" s="88" t="s">
        <v>1451</v>
      </c>
      <c r="G804" s="89" t="s">
        <v>1452</v>
      </c>
      <c r="H804" s="89" t="s">
        <v>1855</v>
      </c>
      <c r="I804" s="80" t="s">
        <v>458</v>
      </c>
      <c r="J804" s="93">
        <f t="shared" si="2466"/>
        <v>2</v>
      </c>
      <c r="K804" s="88">
        <v>2</v>
      </c>
      <c r="L804" s="58"/>
      <c r="M804" s="58"/>
      <c r="N804" s="62">
        <f t="shared" si="2467"/>
        <v>2</v>
      </c>
      <c r="O804" s="60"/>
      <c r="P804" s="58"/>
      <c r="Q804" s="62">
        <f t="shared" si="2468"/>
        <v>2</v>
      </c>
      <c r="R804" s="60"/>
      <c r="S804" s="58"/>
      <c r="T804" s="94">
        <f t="shared" si="2469"/>
        <v>2</v>
      </c>
      <c r="U804" s="60"/>
      <c r="V804" s="58"/>
      <c r="W804" s="62">
        <f t="shared" si="2470"/>
        <v>2</v>
      </c>
      <c r="X804" s="60"/>
      <c r="Y804" s="58"/>
      <c r="Z804" s="94">
        <f t="shared" si="2471"/>
        <v>2</v>
      </c>
      <c r="AA804" s="60"/>
      <c r="AB804" s="58"/>
      <c r="AC804" s="62">
        <f t="shared" si="2472"/>
        <v>2</v>
      </c>
      <c r="AD804" s="57"/>
      <c r="AE804" s="58"/>
      <c r="AF804" s="165">
        <f t="shared" si="2473"/>
        <v>2</v>
      </c>
      <c r="AG804" s="60"/>
      <c r="AH804" s="58"/>
      <c r="AI804" s="62">
        <f t="shared" si="2474"/>
        <v>2</v>
      </c>
      <c r="AJ804" s="60"/>
      <c r="AK804" s="58"/>
      <c r="AL804" s="62">
        <f t="shared" si="2475"/>
        <v>2</v>
      </c>
      <c r="AM804" s="60"/>
      <c r="AN804" s="58"/>
      <c r="AO804" s="62">
        <f t="shared" si="2476"/>
        <v>2</v>
      </c>
      <c r="AP804" s="60"/>
      <c r="AQ804" s="58"/>
      <c r="AR804" s="62">
        <f t="shared" si="2477"/>
        <v>2</v>
      </c>
      <c r="AS804" s="60"/>
      <c r="AT804" s="58"/>
      <c r="AU804" s="62">
        <f t="shared" si="2478"/>
        <v>2</v>
      </c>
      <c r="AV804" s="96">
        <f t="shared" si="2479"/>
        <v>0</v>
      </c>
      <c r="AW804" s="83">
        <f t="shared" si="2479"/>
        <v>0</v>
      </c>
      <c r="AX804" s="98">
        <f t="shared" si="2480"/>
        <v>0</v>
      </c>
      <c r="AY804" s="99" t="e">
        <f t="shared" si="2481"/>
        <v>#DIV/0!</v>
      </c>
      <c r="AZ804" s="100">
        <f t="shared" si="2482"/>
        <v>0</v>
      </c>
      <c r="BA804" s="101">
        <v>2</v>
      </c>
      <c r="BB804" s="102">
        <v>1</v>
      </c>
      <c r="BC804" s="84">
        <f t="shared" si="2427"/>
        <v>2</v>
      </c>
      <c r="BD804" s="83">
        <f t="shared" si="2483"/>
        <v>1</v>
      </c>
      <c r="BE804" s="85">
        <v>2</v>
      </c>
      <c r="BF804" s="86">
        <v>45975.634131944447</v>
      </c>
      <c r="BG804" s="72" t="e">
        <f t="shared" si="2446"/>
        <v>#REF!</v>
      </c>
      <c r="BH804" s="103" t="e">
        <f t="shared" si="2484"/>
        <v>#REF!</v>
      </c>
      <c r="BI804" s="80" t="e">
        <f t="shared" si="2485"/>
        <v>#REF!</v>
      </c>
      <c r="BJ804" s="238">
        <v>350</v>
      </c>
    </row>
    <row r="805" spans="1:62" ht="13">
      <c r="A805" s="90"/>
      <c r="B805" s="91"/>
      <c r="C805" s="51">
        <v>803</v>
      </c>
      <c r="D805" s="188" t="s">
        <v>1868</v>
      </c>
      <c r="E805" s="188">
        <v>17</v>
      </c>
      <c r="F805" s="88" t="s">
        <v>1455</v>
      </c>
      <c r="G805" s="89" t="s">
        <v>1456</v>
      </c>
      <c r="H805" s="89" t="s">
        <v>1855</v>
      </c>
      <c r="I805" s="80" t="s">
        <v>458</v>
      </c>
      <c r="J805" s="93">
        <f t="shared" si="2466"/>
        <v>1</v>
      </c>
      <c r="K805" s="80">
        <v>1</v>
      </c>
      <c r="L805" s="58"/>
      <c r="M805" s="58"/>
      <c r="N805" s="62">
        <f t="shared" si="2467"/>
        <v>1</v>
      </c>
      <c r="O805" s="60"/>
      <c r="P805" s="58"/>
      <c r="Q805" s="62">
        <f t="shared" si="2468"/>
        <v>1</v>
      </c>
      <c r="R805" s="60"/>
      <c r="S805" s="58"/>
      <c r="T805" s="94">
        <f t="shared" si="2469"/>
        <v>1</v>
      </c>
      <c r="U805" s="60"/>
      <c r="V805" s="58"/>
      <c r="W805" s="62">
        <f t="shared" si="2470"/>
        <v>1</v>
      </c>
      <c r="X805" s="60"/>
      <c r="Y805" s="58"/>
      <c r="Z805" s="94">
        <f t="shared" si="2471"/>
        <v>1</v>
      </c>
      <c r="AA805" s="60"/>
      <c r="AB805" s="58"/>
      <c r="AC805" s="62">
        <f t="shared" si="2472"/>
        <v>1</v>
      </c>
      <c r="AD805" s="57"/>
      <c r="AE805" s="58"/>
      <c r="AF805" s="165">
        <f t="shared" si="2473"/>
        <v>1</v>
      </c>
      <c r="AG805" s="60"/>
      <c r="AH805" s="58"/>
      <c r="AI805" s="62">
        <f t="shared" si="2474"/>
        <v>1</v>
      </c>
      <c r="AJ805" s="60"/>
      <c r="AK805" s="58"/>
      <c r="AL805" s="62">
        <f t="shared" si="2475"/>
        <v>1</v>
      </c>
      <c r="AM805" s="60"/>
      <c r="AN805" s="58"/>
      <c r="AO805" s="62">
        <f t="shared" si="2476"/>
        <v>1</v>
      </c>
      <c r="AP805" s="60"/>
      <c r="AQ805" s="58"/>
      <c r="AR805" s="62">
        <f t="shared" si="2477"/>
        <v>1</v>
      </c>
      <c r="AS805" s="60"/>
      <c r="AT805" s="58"/>
      <c r="AU805" s="62">
        <f t="shared" si="2478"/>
        <v>1</v>
      </c>
      <c r="AV805" s="96">
        <f t="shared" si="2479"/>
        <v>0</v>
      </c>
      <c r="AW805" s="83">
        <f t="shared" si="2479"/>
        <v>0</v>
      </c>
      <c r="AX805" s="98">
        <f t="shared" si="2480"/>
        <v>0</v>
      </c>
      <c r="AY805" s="99" t="e">
        <f t="shared" si="2481"/>
        <v>#DIV/0!</v>
      </c>
      <c r="AZ805" s="100">
        <f t="shared" si="2482"/>
        <v>0</v>
      </c>
      <c r="BA805" s="101">
        <v>1</v>
      </c>
      <c r="BB805" s="102">
        <v>0</v>
      </c>
      <c r="BC805" s="84">
        <f t="shared" si="2427"/>
        <v>1</v>
      </c>
      <c r="BD805" s="83">
        <f t="shared" si="2483"/>
        <v>1</v>
      </c>
      <c r="BE805" s="85">
        <v>2</v>
      </c>
      <c r="BF805" s="86">
        <v>45975.634131944447</v>
      </c>
      <c r="BG805" s="72" t="e">
        <f t="shared" si="2446"/>
        <v>#REF!</v>
      </c>
      <c r="BH805" s="103" t="e">
        <f t="shared" si="2484"/>
        <v>#REF!</v>
      </c>
      <c r="BI805" s="80" t="e">
        <f t="shared" si="2485"/>
        <v>#REF!</v>
      </c>
      <c r="BJ805" s="238">
        <v>100</v>
      </c>
    </row>
    <row r="806" spans="1:62" ht="13">
      <c r="A806" s="90"/>
      <c r="B806" s="91"/>
      <c r="C806" s="51">
        <v>804</v>
      </c>
      <c r="D806" s="188" t="s">
        <v>1868</v>
      </c>
      <c r="E806" s="188">
        <v>18</v>
      </c>
      <c r="F806" s="88" t="s">
        <v>1457</v>
      </c>
      <c r="G806" s="89" t="s">
        <v>1458</v>
      </c>
      <c r="H806" s="89" t="s">
        <v>1855</v>
      </c>
      <c r="I806" s="80" t="s">
        <v>458</v>
      </c>
      <c r="J806" s="93">
        <f t="shared" si="2466"/>
        <v>1</v>
      </c>
      <c r="K806" s="88">
        <v>1</v>
      </c>
      <c r="L806" s="58"/>
      <c r="M806" s="58"/>
      <c r="N806" s="62">
        <f t="shared" si="2467"/>
        <v>1</v>
      </c>
      <c r="O806" s="60"/>
      <c r="P806" s="58"/>
      <c r="Q806" s="62">
        <f t="shared" si="2468"/>
        <v>1</v>
      </c>
      <c r="R806" s="60"/>
      <c r="S806" s="58"/>
      <c r="T806" s="94">
        <f t="shared" si="2469"/>
        <v>1</v>
      </c>
      <c r="U806" s="60"/>
      <c r="V806" s="58"/>
      <c r="W806" s="62">
        <f t="shared" si="2470"/>
        <v>1</v>
      </c>
      <c r="X806" s="60"/>
      <c r="Y806" s="58"/>
      <c r="Z806" s="94">
        <f t="shared" si="2471"/>
        <v>1</v>
      </c>
      <c r="AA806" s="60"/>
      <c r="AB806" s="58"/>
      <c r="AC806" s="62">
        <f t="shared" si="2472"/>
        <v>1</v>
      </c>
      <c r="AD806" s="57"/>
      <c r="AE806" s="58"/>
      <c r="AF806" s="165">
        <f t="shared" si="2473"/>
        <v>1</v>
      </c>
      <c r="AG806" s="60"/>
      <c r="AH806" s="58"/>
      <c r="AI806" s="62">
        <f t="shared" si="2474"/>
        <v>1</v>
      </c>
      <c r="AJ806" s="60"/>
      <c r="AK806" s="58"/>
      <c r="AL806" s="62">
        <f t="shared" si="2475"/>
        <v>1</v>
      </c>
      <c r="AM806" s="60"/>
      <c r="AN806" s="58"/>
      <c r="AO806" s="62">
        <f t="shared" si="2476"/>
        <v>1</v>
      </c>
      <c r="AP806" s="60"/>
      <c r="AQ806" s="58"/>
      <c r="AR806" s="62">
        <f t="shared" si="2477"/>
        <v>1</v>
      </c>
      <c r="AS806" s="60"/>
      <c r="AT806" s="58"/>
      <c r="AU806" s="62">
        <f t="shared" si="2478"/>
        <v>1</v>
      </c>
      <c r="AV806" s="96">
        <f t="shared" si="2479"/>
        <v>0</v>
      </c>
      <c r="AW806" s="83">
        <f t="shared" si="2479"/>
        <v>0</v>
      </c>
      <c r="AX806" s="98">
        <f t="shared" si="2480"/>
        <v>0</v>
      </c>
      <c r="AY806" s="99" t="e">
        <f t="shared" si="2481"/>
        <v>#DIV/0!</v>
      </c>
      <c r="AZ806" s="100">
        <f t="shared" si="2482"/>
        <v>0</v>
      </c>
      <c r="BA806" s="101">
        <v>1</v>
      </c>
      <c r="BB806" s="102">
        <v>0</v>
      </c>
      <c r="BC806" s="84">
        <f t="shared" si="2427"/>
        <v>1</v>
      </c>
      <c r="BD806" s="83">
        <f t="shared" si="2483"/>
        <v>1</v>
      </c>
      <c r="BE806" s="85">
        <v>2</v>
      </c>
      <c r="BF806" s="86">
        <v>45975.634131944447</v>
      </c>
      <c r="BG806" s="72" t="e">
        <f t="shared" si="2446"/>
        <v>#REF!</v>
      </c>
      <c r="BH806" s="103" t="e">
        <f t="shared" si="2484"/>
        <v>#REF!</v>
      </c>
      <c r="BI806" s="80" t="e">
        <f t="shared" si="2485"/>
        <v>#REF!</v>
      </c>
      <c r="BJ806" s="238">
        <v>100</v>
      </c>
    </row>
    <row r="807" spans="1:62" ht="13">
      <c r="A807" s="90"/>
      <c r="B807" s="91"/>
      <c r="C807" s="51">
        <v>805</v>
      </c>
      <c r="D807" s="188" t="s">
        <v>1868</v>
      </c>
      <c r="E807" s="188">
        <v>19</v>
      </c>
      <c r="F807" s="88" t="s">
        <v>1461</v>
      </c>
      <c r="G807" s="89" t="s">
        <v>1462</v>
      </c>
      <c r="H807" s="89" t="s">
        <v>1855</v>
      </c>
      <c r="I807" s="80" t="s">
        <v>458</v>
      </c>
      <c r="J807" s="93">
        <f t="shared" si="2466"/>
        <v>12</v>
      </c>
      <c r="K807" s="80">
        <v>12</v>
      </c>
      <c r="L807" s="58"/>
      <c r="M807" s="58"/>
      <c r="N807" s="62">
        <f t="shared" si="2467"/>
        <v>12</v>
      </c>
      <c r="O807" s="60"/>
      <c r="P807" s="58"/>
      <c r="Q807" s="62">
        <f t="shared" si="2468"/>
        <v>12</v>
      </c>
      <c r="R807" s="60"/>
      <c r="S807" s="58"/>
      <c r="T807" s="94">
        <f t="shared" si="2469"/>
        <v>12</v>
      </c>
      <c r="U807" s="60"/>
      <c r="V807" s="58"/>
      <c r="W807" s="62">
        <f t="shared" si="2470"/>
        <v>12</v>
      </c>
      <c r="X807" s="60"/>
      <c r="Y807" s="58"/>
      <c r="Z807" s="94">
        <f t="shared" si="2471"/>
        <v>12</v>
      </c>
      <c r="AA807" s="60"/>
      <c r="AB807" s="58"/>
      <c r="AC807" s="62">
        <f t="shared" si="2472"/>
        <v>12</v>
      </c>
      <c r="AD807" s="57"/>
      <c r="AE807" s="58"/>
      <c r="AF807" s="165">
        <f t="shared" si="2473"/>
        <v>12</v>
      </c>
      <c r="AG807" s="60"/>
      <c r="AH807" s="58"/>
      <c r="AI807" s="62">
        <f t="shared" si="2474"/>
        <v>12</v>
      </c>
      <c r="AJ807" s="60"/>
      <c r="AK807" s="58"/>
      <c r="AL807" s="62">
        <f t="shared" si="2475"/>
        <v>12</v>
      </c>
      <c r="AM807" s="60"/>
      <c r="AN807" s="58"/>
      <c r="AO807" s="62">
        <f t="shared" si="2476"/>
        <v>12</v>
      </c>
      <c r="AP807" s="60"/>
      <c r="AQ807" s="58"/>
      <c r="AR807" s="62">
        <f t="shared" si="2477"/>
        <v>12</v>
      </c>
      <c r="AS807" s="60"/>
      <c r="AT807" s="58"/>
      <c r="AU807" s="62">
        <f t="shared" si="2478"/>
        <v>12</v>
      </c>
      <c r="AV807" s="96">
        <f t="shared" si="2479"/>
        <v>0</v>
      </c>
      <c r="AW807" s="83">
        <f t="shared" si="2479"/>
        <v>0</v>
      </c>
      <c r="AX807" s="98">
        <f t="shared" si="2480"/>
        <v>0</v>
      </c>
      <c r="AY807" s="99" t="e">
        <f t="shared" si="2481"/>
        <v>#DIV/0!</v>
      </c>
      <c r="AZ807" s="100">
        <f t="shared" si="2482"/>
        <v>0</v>
      </c>
      <c r="BA807" s="101">
        <v>12</v>
      </c>
      <c r="BB807" s="102">
        <v>1</v>
      </c>
      <c r="BC807" s="84">
        <f t="shared" si="2427"/>
        <v>12</v>
      </c>
      <c r="BD807" s="83">
        <f t="shared" si="2483"/>
        <v>11</v>
      </c>
      <c r="BE807" s="85">
        <v>2</v>
      </c>
      <c r="BF807" s="86">
        <v>45975.634131944447</v>
      </c>
      <c r="BG807" s="72" t="e">
        <f t="shared" si="2446"/>
        <v>#REF!</v>
      </c>
      <c r="BH807" s="103" t="e">
        <f t="shared" si="2484"/>
        <v>#REF!</v>
      </c>
      <c r="BI807" s="80" t="e">
        <f t="shared" si="2485"/>
        <v>#REF!</v>
      </c>
      <c r="BJ807" s="238">
        <v>100</v>
      </c>
    </row>
    <row r="808" spans="1:62" ht="13">
      <c r="A808" s="90"/>
      <c r="B808" s="91"/>
      <c r="C808" s="77">
        <v>806</v>
      </c>
      <c r="D808" s="189" t="s">
        <v>1868</v>
      </c>
      <c r="E808" s="189">
        <v>20</v>
      </c>
      <c r="F808" s="88" t="s">
        <v>1479</v>
      </c>
      <c r="G808" s="89" t="s">
        <v>1480</v>
      </c>
      <c r="H808" s="89" t="s">
        <v>1855</v>
      </c>
      <c r="I808" s="80" t="s">
        <v>458</v>
      </c>
      <c r="J808" s="93">
        <f t="shared" si="2466"/>
        <v>1</v>
      </c>
      <c r="K808" s="88">
        <v>1</v>
      </c>
      <c r="L808" s="58"/>
      <c r="M808" s="58"/>
      <c r="N808" s="62">
        <f t="shared" si="2467"/>
        <v>1</v>
      </c>
      <c r="O808" s="60"/>
      <c r="P808" s="58"/>
      <c r="Q808" s="62">
        <f t="shared" si="2468"/>
        <v>1</v>
      </c>
      <c r="R808" s="60"/>
      <c r="S808" s="58"/>
      <c r="T808" s="94">
        <f t="shared" si="2469"/>
        <v>1</v>
      </c>
      <c r="U808" s="60"/>
      <c r="V808" s="58"/>
      <c r="W808" s="62">
        <f t="shared" si="2470"/>
        <v>1</v>
      </c>
      <c r="X808" s="60"/>
      <c r="Y808" s="58"/>
      <c r="Z808" s="94">
        <f t="shared" si="2471"/>
        <v>1</v>
      </c>
      <c r="AA808" s="60"/>
      <c r="AB808" s="58"/>
      <c r="AC808" s="62">
        <f t="shared" si="2472"/>
        <v>1</v>
      </c>
      <c r="AD808" s="57"/>
      <c r="AE808" s="58"/>
      <c r="AF808" s="165">
        <f t="shared" si="2473"/>
        <v>1</v>
      </c>
      <c r="AG808" s="60"/>
      <c r="AH808" s="58"/>
      <c r="AI808" s="62">
        <f t="shared" si="2474"/>
        <v>1</v>
      </c>
      <c r="AJ808" s="60"/>
      <c r="AK808" s="58"/>
      <c r="AL808" s="62">
        <f t="shared" si="2475"/>
        <v>1</v>
      </c>
      <c r="AM808" s="60"/>
      <c r="AN808" s="58"/>
      <c r="AO808" s="62">
        <f t="shared" si="2476"/>
        <v>1</v>
      </c>
      <c r="AP808" s="60"/>
      <c r="AQ808" s="58"/>
      <c r="AR808" s="62">
        <f t="shared" si="2477"/>
        <v>1</v>
      </c>
      <c r="AS808" s="60"/>
      <c r="AT808" s="58"/>
      <c r="AU808" s="62">
        <f t="shared" si="2478"/>
        <v>1</v>
      </c>
      <c r="AV808" s="96">
        <f t="shared" si="2479"/>
        <v>0</v>
      </c>
      <c r="AW808" s="83">
        <f t="shared" si="2479"/>
        <v>0</v>
      </c>
      <c r="AX808" s="98">
        <f t="shared" si="2480"/>
        <v>0</v>
      </c>
      <c r="AY808" s="99" t="e">
        <f t="shared" si="2481"/>
        <v>#DIV/0!</v>
      </c>
      <c r="AZ808" s="100">
        <f t="shared" si="2482"/>
        <v>0</v>
      </c>
      <c r="BA808" s="101">
        <v>1</v>
      </c>
      <c r="BB808" s="102">
        <v>0</v>
      </c>
      <c r="BC808" s="84">
        <f t="shared" ref="BC808:BC850" si="2486">J808</f>
        <v>1</v>
      </c>
      <c r="BD808" s="83">
        <f t="shared" si="2483"/>
        <v>1</v>
      </c>
      <c r="BE808" s="85">
        <v>2</v>
      </c>
      <c r="BF808" s="86">
        <v>45975.634131944447</v>
      </c>
      <c r="BG808" s="72" t="e">
        <f t="shared" si="2446"/>
        <v>#REF!</v>
      </c>
      <c r="BH808" s="103" t="e">
        <f t="shared" si="2484"/>
        <v>#REF!</v>
      </c>
      <c r="BI808" s="80" t="e">
        <f t="shared" si="2485"/>
        <v>#REF!</v>
      </c>
      <c r="BJ808" s="238">
        <v>11700</v>
      </c>
    </row>
    <row r="809" spans="1:62" ht="13">
      <c r="A809" s="90"/>
      <c r="B809" s="91"/>
      <c r="C809" s="77">
        <v>807</v>
      </c>
      <c r="D809" s="190" t="s">
        <v>1862</v>
      </c>
      <c r="E809" s="191">
        <v>1</v>
      </c>
      <c r="F809" s="88" t="s">
        <v>957</v>
      </c>
      <c r="G809" s="89" t="s">
        <v>951</v>
      </c>
      <c r="H809" s="89" t="s">
        <v>921</v>
      </c>
      <c r="I809" s="88" t="s">
        <v>458</v>
      </c>
      <c r="J809" s="93">
        <f t="shared" ref="J809:J829" si="2487">AU809</f>
        <v>2</v>
      </c>
      <c r="K809" s="88">
        <v>2</v>
      </c>
      <c r="L809" s="58"/>
      <c r="M809" s="58"/>
      <c r="N809" s="62">
        <f t="shared" ref="N809:N829" si="2488">SUM(K809+L809-M809)</f>
        <v>2</v>
      </c>
      <c r="O809" s="60"/>
      <c r="P809" s="58"/>
      <c r="Q809" s="62">
        <f t="shared" ref="Q809:Q829" si="2489">SUM(N809+O809-P809)</f>
        <v>2</v>
      </c>
      <c r="R809" s="60"/>
      <c r="S809" s="58"/>
      <c r="T809" s="94">
        <f t="shared" ref="T809:T829" si="2490">SUM(Q809+R809-S809)</f>
        <v>2</v>
      </c>
      <c r="U809" s="60"/>
      <c r="V809" s="58"/>
      <c r="W809" s="62">
        <f t="shared" ref="W809:W829" si="2491">SUM(T809+U809-V809)</f>
        <v>2</v>
      </c>
      <c r="X809" s="60"/>
      <c r="Y809" s="58"/>
      <c r="Z809" s="94">
        <f t="shared" ref="Z809:Z829" si="2492">SUM(W809+X809-Y809)</f>
        <v>2</v>
      </c>
      <c r="AA809" s="60"/>
      <c r="AB809" s="58"/>
      <c r="AC809" s="62">
        <f t="shared" ref="AC809:AC829" si="2493">SUM(Z809+AA809-AB809)</f>
        <v>2</v>
      </c>
      <c r="AD809" s="57"/>
      <c r="AE809" s="58"/>
      <c r="AF809" s="165">
        <f t="shared" ref="AF809:AF829" si="2494">SUM(AC809+AD809-AE809)</f>
        <v>2</v>
      </c>
      <c r="AG809" s="60"/>
      <c r="AH809" s="58"/>
      <c r="AI809" s="62">
        <f t="shared" ref="AI809:AI829" si="2495">SUM(AF809+AG809-AH809)</f>
        <v>2</v>
      </c>
      <c r="AJ809" s="60"/>
      <c r="AK809" s="58"/>
      <c r="AL809" s="62">
        <f t="shared" ref="AL809:AL829" si="2496">SUM(AI809+AJ809-AK809)</f>
        <v>2</v>
      </c>
      <c r="AM809" s="60"/>
      <c r="AN809" s="58"/>
      <c r="AO809" s="62">
        <f t="shared" ref="AO809:AO829" si="2497">SUM(AL809+AM809-AN809)</f>
        <v>2</v>
      </c>
      <c r="AP809" s="60"/>
      <c r="AQ809" s="58"/>
      <c r="AR809" s="62">
        <f t="shared" ref="AR809:AR829" si="2498">SUM(AO809+AP809-AQ809)</f>
        <v>2</v>
      </c>
      <c r="AS809" s="60"/>
      <c r="AT809" s="58"/>
      <c r="AU809" s="62">
        <f t="shared" ref="AU809:AU829" si="2499">SUM(AR809+AS809-AT809)</f>
        <v>2</v>
      </c>
      <c r="AV809" s="96">
        <f t="shared" ref="AV809:AW828" si="2500">SUM(L809+O809+R809+U809+X809+AA809+AD809+AG809+AJ809+AM809+AP809+AS809)</f>
        <v>0</v>
      </c>
      <c r="AW809" s="83">
        <f t="shared" si="2500"/>
        <v>0</v>
      </c>
      <c r="AX809" s="98">
        <f t="shared" ref="AX809:AX829" si="2501">SUM(M809,P809,S809,V809,Y809,AB809,AE809,AH809,AK809,AN809,AQ809,AT809)</f>
        <v>0</v>
      </c>
      <c r="AY809" s="99" t="e">
        <f t="shared" ref="AY809:AY829" si="2502">AVERAGE(M809,P809,S809,V809,Y809,AB809,AE809,AH809,AK809,AN809,AQ809,AT809)</f>
        <v>#DIV/0!</v>
      </c>
      <c r="AZ809" s="100">
        <f t="shared" ref="AZ809:AZ829" si="2503">COUNT(M809,P809,S809,V809,Y809,AB809,AE809,AH809,AK809,AN809,AQ809,AT809)</f>
        <v>0</v>
      </c>
      <c r="BA809" s="101">
        <v>2</v>
      </c>
      <c r="BB809" s="102">
        <v>1</v>
      </c>
      <c r="BC809" s="84">
        <f t="shared" si="2486"/>
        <v>2</v>
      </c>
      <c r="BD809" s="83">
        <f t="shared" si="2483"/>
        <v>1</v>
      </c>
      <c r="BE809" s="85">
        <v>2</v>
      </c>
      <c r="BF809" s="86">
        <v>45932.575902777775</v>
      </c>
      <c r="BG809" s="72" t="e">
        <f t="shared" si="2446"/>
        <v>#REF!</v>
      </c>
      <c r="BH809" s="103" t="e">
        <f t="shared" ref="BH809:BH829" si="2504">BG809-BF809</f>
        <v>#REF!</v>
      </c>
      <c r="BI809" s="80" t="e">
        <f t="shared" si="2485"/>
        <v>#REF!</v>
      </c>
      <c r="BJ809" s="238">
        <v>95</v>
      </c>
    </row>
    <row r="810" spans="1:62" ht="13">
      <c r="A810" s="90"/>
      <c r="B810" s="91"/>
      <c r="C810" s="51">
        <v>808</v>
      </c>
      <c r="D810" s="192" t="s">
        <v>1862</v>
      </c>
      <c r="E810" s="158">
        <v>2</v>
      </c>
      <c r="F810" s="88" t="s">
        <v>960</v>
      </c>
      <c r="G810" s="89" t="s">
        <v>954</v>
      </c>
      <c r="H810" s="89" t="s">
        <v>921</v>
      </c>
      <c r="I810" s="88" t="s">
        <v>458</v>
      </c>
      <c r="J810" s="93">
        <f t="shared" si="2487"/>
        <v>2</v>
      </c>
      <c r="K810" s="80">
        <v>2</v>
      </c>
      <c r="L810" s="58"/>
      <c r="M810" s="58"/>
      <c r="N810" s="62">
        <f t="shared" si="2488"/>
        <v>2</v>
      </c>
      <c r="O810" s="60"/>
      <c r="P810" s="58"/>
      <c r="Q810" s="62">
        <f t="shared" si="2489"/>
        <v>2</v>
      </c>
      <c r="R810" s="60"/>
      <c r="S810" s="58"/>
      <c r="T810" s="94">
        <f t="shared" si="2490"/>
        <v>2</v>
      </c>
      <c r="U810" s="60"/>
      <c r="V810" s="58"/>
      <c r="W810" s="62">
        <f t="shared" si="2491"/>
        <v>2</v>
      </c>
      <c r="X810" s="60"/>
      <c r="Y810" s="58"/>
      <c r="Z810" s="94">
        <f t="shared" si="2492"/>
        <v>2</v>
      </c>
      <c r="AA810" s="60"/>
      <c r="AB810" s="58"/>
      <c r="AC810" s="62">
        <f t="shared" si="2493"/>
        <v>2</v>
      </c>
      <c r="AD810" s="57"/>
      <c r="AE810" s="58"/>
      <c r="AF810" s="165">
        <f t="shared" si="2494"/>
        <v>2</v>
      </c>
      <c r="AG810" s="60"/>
      <c r="AH810" s="58"/>
      <c r="AI810" s="62">
        <f t="shared" si="2495"/>
        <v>2</v>
      </c>
      <c r="AJ810" s="60"/>
      <c r="AK810" s="58"/>
      <c r="AL810" s="62">
        <f t="shared" si="2496"/>
        <v>2</v>
      </c>
      <c r="AM810" s="60"/>
      <c r="AN810" s="58"/>
      <c r="AO810" s="62">
        <f t="shared" si="2497"/>
        <v>2</v>
      </c>
      <c r="AP810" s="60"/>
      <c r="AQ810" s="58"/>
      <c r="AR810" s="62">
        <f t="shared" si="2498"/>
        <v>2</v>
      </c>
      <c r="AS810" s="60"/>
      <c r="AT810" s="58"/>
      <c r="AU810" s="62">
        <f t="shared" si="2499"/>
        <v>2</v>
      </c>
      <c r="AV810" s="96">
        <f t="shared" si="2500"/>
        <v>0</v>
      </c>
      <c r="AW810" s="83">
        <f t="shared" si="2500"/>
        <v>0</v>
      </c>
      <c r="AX810" s="98">
        <f t="shared" si="2501"/>
        <v>0</v>
      </c>
      <c r="AY810" s="99" t="e">
        <f t="shared" si="2502"/>
        <v>#DIV/0!</v>
      </c>
      <c r="AZ810" s="100">
        <f t="shared" si="2503"/>
        <v>0</v>
      </c>
      <c r="BA810" s="101">
        <v>2</v>
      </c>
      <c r="BB810" s="102">
        <v>1</v>
      </c>
      <c r="BC810" s="84">
        <f t="shared" si="2486"/>
        <v>2</v>
      </c>
      <c r="BD810" s="83">
        <f t="shared" si="2483"/>
        <v>1</v>
      </c>
      <c r="BE810" s="85">
        <v>2</v>
      </c>
      <c r="BF810" s="86">
        <v>45932.575902777775</v>
      </c>
      <c r="BG810" s="72" t="e">
        <f t="shared" si="2446"/>
        <v>#REF!</v>
      </c>
      <c r="BH810" s="103" t="e">
        <f t="shared" si="2504"/>
        <v>#REF!</v>
      </c>
      <c r="BI810" s="80" t="e">
        <f t="shared" si="2485"/>
        <v>#REF!</v>
      </c>
      <c r="BJ810" s="238">
        <v>190</v>
      </c>
    </row>
    <row r="811" spans="1:62" ht="13">
      <c r="A811" s="90"/>
      <c r="B811" s="91"/>
      <c r="C811" s="51">
        <v>809</v>
      </c>
      <c r="D811" s="192" t="s">
        <v>1862</v>
      </c>
      <c r="E811" s="158">
        <v>3</v>
      </c>
      <c r="F811" s="88" t="s">
        <v>126</v>
      </c>
      <c r="G811" s="89" t="s">
        <v>955</v>
      </c>
      <c r="H811" s="89" t="s">
        <v>921</v>
      </c>
      <c r="I811" s="88" t="s">
        <v>458</v>
      </c>
      <c r="J811" s="93">
        <f t="shared" si="2487"/>
        <v>2</v>
      </c>
      <c r="K811" s="88">
        <v>2</v>
      </c>
      <c r="L811" s="58"/>
      <c r="M811" s="58"/>
      <c r="N811" s="62">
        <f t="shared" si="2488"/>
        <v>2</v>
      </c>
      <c r="O811" s="60"/>
      <c r="P811" s="58"/>
      <c r="Q811" s="62">
        <f t="shared" si="2489"/>
        <v>2</v>
      </c>
      <c r="R811" s="60"/>
      <c r="S811" s="58"/>
      <c r="T811" s="94">
        <f t="shared" si="2490"/>
        <v>2</v>
      </c>
      <c r="U811" s="60"/>
      <c r="V811" s="58"/>
      <c r="W811" s="62">
        <f t="shared" si="2491"/>
        <v>2</v>
      </c>
      <c r="X811" s="60"/>
      <c r="Y811" s="58"/>
      <c r="Z811" s="94">
        <f t="shared" si="2492"/>
        <v>2</v>
      </c>
      <c r="AA811" s="60"/>
      <c r="AB811" s="58"/>
      <c r="AC811" s="62">
        <f t="shared" si="2493"/>
        <v>2</v>
      </c>
      <c r="AD811" s="57"/>
      <c r="AE811" s="58"/>
      <c r="AF811" s="165">
        <f t="shared" si="2494"/>
        <v>2</v>
      </c>
      <c r="AG811" s="60"/>
      <c r="AH811" s="58"/>
      <c r="AI811" s="62">
        <f t="shared" si="2495"/>
        <v>2</v>
      </c>
      <c r="AJ811" s="60"/>
      <c r="AK811" s="58"/>
      <c r="AL811" s="62">
        <f t="shared" si="2496"/>
        <v>2</v>
      </c>
      <c r="AM811" s="60"/>
      <c r="AN811" s="58"/>
      <c r="AO811" s="62">
        <f t="shared" si="2497"/>
        <v>2</v>
      </c>
      <c r="AP811" s="60"/>
      <c r="AQ811" s="58"/>
      <c r="AR811" s="62">
        <f t="shared" si="2498"/>
        <v>2</v>
      </c>
      <c r="AS811" s="60"/>
      <c r="AT811" s="58"/>
      <c r="AU811" s="62">
        <f t="shared" si="2499"/>
        <v>2</v>
      </c>
      <c r="AV811" s="96">
        <f t="shared" si="2500"/>
        <v>0</v>
      </c>
      <c r="AW811" s="83">
        <f t="shared" si="2500"/>
        <v>0</v>
      </c>
      <c r="AX811" s="98">
        <f t="shared" si="2501"/>
        <v>0</v>
      </c>
      <c r="AY811" s="99" t="e">
        <f t="shared" si="2502"/>
        <v>#DIV/0!</v>
      </c>
      <c r="AZ811" s="100">
        <f t="shared" si="2503"/>
        <v>0</v>
      </c>
      <c r="BA811" s="101">
        <v>2</v>
      </c>
      <c r="BB811" s="102">
        <v>1</v>
      </c>
      <c r="BC811" s="84">
        <f t="shared" si="2486"/>
        <v>2</v>
      </c>
      <c r="BD811" s="83">
        <f t="shared" si="2483"/>
        <v>1</v>
      </c>
      <c r="BE811" s="85">
        <v>2</v>
      </c>
      <c r="BF811" s="86">
        <v>45932.575902777775</v>
      </c>
      <c r="BG811" s="72" t="e">
        <f t="shared" si="2446"/>
        <v>#REF!</v>
      </c>
      <c r="BH811" s="103" t="e">
        <f t="shared" si="2504"/>
        <v>#REF!</v>
      </c>
      <c r="BI811" s="80" t="e">
        <f t="shared" si="2485"/>
        <v>#REF!</v>
      </c>
      <c r="BJ811" s="238">
        <v>4655</v>
      </c>
    </row>
    <row r="812" spans="1:62" ht="13">
      <c r="A812" s="90"/>
      <c r="B812" s="91"/>
      <c r="C812" s="51">
        <v>810</v>
      </c>
      <c r="D812" s="192" t="s">
        <v>1862</v>
      </c>
      <c r="E812" s="158">
        <v>4</v>
      </c>
      <c r="F812" s="88" t="s">
        <v>961</v>
      </c>
      <c r="G812" s="89" t="s">
        <v>1841</v>
      </c>
      <c r="H812" s="89" t="s">
        <v>921</v>
      </c>
      <c r="I812" s="88" t="s">
        <v>458</v>
      </c>
      <c r="J812" s="93">
        <f t="shared" si="2487"/>
        <v>4</v>
      </c>
      <c r="K812" s="80">
        <v>4</v>
      </c>
      <c r="L812" s="58"/>
      <c r="M812" s="58"/>
      <c r="N812" s="62">
        <f t="shared" si="2488"/>
        <v>4</v>
      </c>
      <c r="O812" s="60"/>
      <c r="P812" s="58"/>
      <c r="Q812" s="62">
        <f t="shared" si="2489"/>
        <v>4</v>
      </c>
      <c r="R812" s="60"/>
      <c r="S812" s="58"/>
      <c r="T812" s="94">
        <f t="shared" si="2490"/>
        <v>4</v>
      </c>
      <c r="U812" s="60"/>
      <c r="V812" s="58"/>
      <c r="W812" s="62">
        <f t="shared" si="2491"/>
        <v>4</v>
      </c>
      <c r="X812" s="60"/>
      <c r="Y812" s="58"/>
      <c r="Z812" s="94">
        <f t="shared" si="2492"/>
        <v>4</v>
      </c>
      <c r="AA812" s="60"/>
      <c r="AB812" s="58"/>
      <c r="AC812" s="62">
        <f t="shared" si="2493"/>
        <v>4</v>
      </c>
      <c r="AD812" s="57"/>
      <c r="AE812" s="58"/>
      <c r="AF812" s="165">
        <f t="shared" si="2494"/>
        <v>4</v>
      </c>
      <c r="AG812" s="60"/>
      <c r="AH812" s="58"/>
      <c r="AI812" s="62">
        <f t="shared" si="2495"/>
        <v>4</v>
      </c>
      <c r="AJ812" s="60"/>
      <c r="AK812" s="58"/>
      <c r="AL812" s="62">
        <f t="shared" si="2496"/>
        <v>4</v>
      </c>
      <c r="AM812" s="60"/>
      <c r="AN812" s="58"/>
      <c r="AO812" s="62">
        <f t="shared" si="2497"/>
        <v>4</v>
      </c>
      <c r="AP812" s="60"/>
      <c r="AQ812" s="58"/>
      <c r="AR812" s="62">
        <f t="shared" si="2498"/>
        <v>4</v>
      </c>
      <c r="AS812" s="60"/>
      <c r="AT812" s="58"/>
      <c r="AU812" s="62">
        <f t="shared" si="2499"/>
        <v>4</v>
      </c>
      <c r="AV812" s="96">
        <f t="shared" si="2500"/>
        <v>0</v>
      </c>
      <c r="AW812" s="83">
        <f t="shared" si="2500"/>
        <v>0</v>
      </c>
      <c r="AX812" s="98">
        <f t="shared" si="2501"/>
        <v>0</v>
      </c>
      <c r="AY812" s="99" t="e">
        <f t="shared" si="2502"/>
        <v>#DIV/0!</v>
      </c>
      <c r="AZ812" s="100">
        <f t="shared" si="2503"/>
        <v>0</v>
      </c>
      <c r="BA812" s="101">
        <v>4</v>
      </c>
      <c r="BB812" s="102">
        <v>1</v>
      </c>
      <c r="BC812" s="84">
        <f t="shared" si="2486"/>
        <v>4</v>
      </c>
      <c r="BD812" s="83">
        <f t="shared" si="2483"/>
        <v>3</v>
      </c>
      <c r="BE812" s="85">
        <v>2</v>
      </c>
      <c r="BF812" s="86">
        <v>45932.575902777775</v>
      </c>
      <c r="BG812" s="72" t="e">
        <f t="shared" si="2446"/>
        <v>#REF!</v>
      </c>
      <c r="BH812" s="103" t="e">
        <f t="shared" si="2504"/>
        <v>#REF!</v>
      </c>
      <c r="BI812" s="80" t="e">
        <f t="shared" si="2485"/>
        <v>#REF!</v>
      </c>
      <c r="BJ812" s="238">
        <v>190</v>
      </c>
    </row>
    <row r="813" spans="1:62" ht="13">
      <c r="A813" s="90"/>
      <c r="B813" s="91"/>
      <c r="C813" s="51">
        <v>811</v>
      </c>
      <c r="D813" s="192" t="s">
        <v>1862</v>
      </c>
      <c r="E813" s="158">
        <v>5</v>
      </c>
      <c r="F813" s="88" t="s">
        <v>237</v>
      </c>
      <c r="G813" s="89" t="s">
        <v>956</v>
      </c>
      <c r="H813" s="89" t="s">
        <v>921</v>
      </c>
      <c r="I813" s="88" t="s">
        <v>458</v>
      </c>
      <c r="J813" s="93">
        <f t="shared" si="2487"/>
        <v>4</v>
      </c>
      <c r="K813" s="88">
        <v>4</v>
      </c>
      <c r="L813" s="58"/>
      <c r="M813" s="58"/>
      <c r="N813" s="62">
        <f t="shared" si="2488"/>
        <v>4</v>
      </c>
      <c r="O813" s="60"/>
      <c r="P813" s="58"/>
      <c r="Q813" s="62">
        <f t="shared" si="2489"/>
        <v>4</v>
      </c>
      <c r="R813" s="60"/>
      <c r="S813" s="58"/>
      <c r="T813" s="94">
        <f t="shared" si="2490"/>
        <v>4</v>
      </c>
      <c r="U813" s="60"/>
      <c r="V813" s="58"/>
      <c r="W813" s="62">
        <f t="shared" si="2491"/>
        <v>4</v>
      </c>
      <c r="X813" s="60"/>
      <c r="Y813" s="58"/>
      <c r="Z813" s="94">
        <f t="shared" si="2492"/>
        <v>4</v>
      </c>
      <c r="AA813" s="60"/>
      <c r="AB813" s="58"/>
      <c r="AC813" s="62">
        <f t="shared" si="2493"/>
        <v>4</v>
      </c>
      <c r="AD813" s="57"/>
      <c r="AE813" s="58"/>
      <c r="AF813" s="165">
        <f t="shared" si="2494"/>
        <v>4</v>
      </c>
      <c r="AG813" s="60"/>
      <c r="AH813" s="58"/>
      <c r="AI813" s="62">
        <f t="shared" si="2495"/>
        <v>4</v>
      </c>
      <c r="AJ813" s="60"/>
      <c r="AK813" s="58"/>
      <c r="AL813" s="62">
        <f t="shared" si="2496"/>
        <v>4</v>
      </c>
      <c r="AM813" s="60"/>
      <c r="AN813" s="58"/>
      <c r="AO813" s="62">
        <f t="shared" si="2497"/>
        <v>4</v>
      </c>
      <c r="AP813" s="60"/>
      <c r="AQ813" s="58"/>
      <c r="AR813" s="62">
        <f t="shared" si="2498"/>
        <v>4</v>
      </c>
      <c r="AS813" s="60"/>
      <c r="AT813" s="58"/>
      <c r="AU813" s="62">
        <f t="shared" si="2499"/>
        <v>4</v>
      </c>
      <c r="AV813" s="96">
        <f t="shared" si="2500"/>
        <v>0</v>
      </c>
      <c r="AW813" s="83">
        <f t="shared" si="2500"/>
        <v>0</v>
      </c>
      <c r="AX813" s="98">
        <f t="shared" si="2501"/>
        <v>0</v>
      </c>
      <c r="AY813" s="99" t="e">
        <f t="shared" si="2502"/>
        <v>#DIV/0!</v>
      </c>
      <c r="AZ813" s="100">
        <f t="shared" si="2503"/>
        <v>0</v>
      </c>
      <c r="BA813" s="101">
        <v>4</v>
      </c>
      <c r="BB813" s="102">
        <v>1</v>
      </c>
      <c r="BC813" s="84">
        <f t="shared" si="2486"/>
        <v>4</v>
      </c>
      <c r="BD813" s="83">
        <f t="shared" si="2483"/>
        <v>3</v>
      </c>
      <c r="BE813" s="85">
        <v>2</v>
      </c>
      <c r="BF813" s="86">
        <v>45932.575902777775</v>
      </c>
      <c r="BG813" s="72" t="e">
        <f t="shared" si="2446"/>
        <v>#REF!</v>
      </c>
      <c r="BH813" s="103" t="e">
        <f t="shared" si="2504"/>
        <v>#REF!</v>
      </c>
      <c r="BI813" s="80" t="e">
        <f t="shared" si="2485"/>
        <v>#REF!</v>
      </c>
      <c r="BJ813" s="238">
        <v>95</v>
      </c>
    </row>
    <row r="814" spans="1:62" ht="13">
      <c r="A814" s="90"/>
      <c r="B814" s="91"/>
      <c r="C814" s="77">
        <v>812</v>
      </c>
      <c r="D814" s="192" t="s">
        <v>1862</v>
      </c>
      <c r="E814" s="158">
        <v>6</v>
      </c>
      <c r="F814" s="88" t="s">
        <v>958</v>
      </c>
      <c r="G814" s="89" t="s">
        <v>952</v>
      </c>
      <c r="H814" s="89" t="s">
        <v>921</v>
      </c>
      <c r="I814" s="88" t="s">
        <v>458</v>
      </c>
      <c r="J814" s="93">
        <f t="shared" si="2487"/>
        <v>2</v>
      </c>
      <c r="K814" s="80">
        <v>2</v>
      </c>
      <c r="L814" s="58"/>
      <c r="M814" s="58"/>
      <c r="N814" s="62">
        <f t="shared" si="2488"/>
        <v>2</v>
      </c>
      <c r="O814" s="60"/>
      <c r="P814" s="58"/>
      <c r="Q814" s="62">
        <f t="shared" si="2489"/>
        <v>2</v>
      </c>
      <c r="R814" s="60"/>
      <c r="S814" s="58"/>
      <c r="T814" s="94">
        <f t="shared" si="2490"/>
        <v>2</v>
      </c>
      <c r="U814" s="60"/>
      <c r="V814" s="58"/>
      <c r="W814" s="62">
        <f t="shared" si="2491"/>
        <v>2</v>
      </c>
      <c r="X814" s="60"/>
      <c r="Y814" s="58"/>
      <c r="Z814" s="94">
        <f t="shared" si="2492"/>
        <v>2</v>
      </c>
      <c r="AA814" s="60"/>
      <c r="AB814" s="58"/>
      <c r="AC814" s="62">
        <f t="shared" si="2493"/>
        <v>2</v>
      </c>
      <c r="AD814" s="57"/>
      <c r="AE814" s="58"/>
      <c r="AF814" s="165">
        <f t="shared" si="2494"/>
        <v>2</v>
      </c>
      <c r="AG814" s="60"/>
      <c r="AH814" s="58"/>
      <c r="AI814" s="62">
        <f t="shared" si="2495"/>
        <v>2</v>
      </c>
      <c r="AJ814" s="60"/>
      <c r="AK814" s="58"/>
      <c r="AL814" s="62">
        <f t="shared" si="2496"/>
        <v>2</v>
      </c>
      <c r="AM814" s="60"/>
      <c r="AN814" s="58"/>
      <c r="AO814" s="62">
        <f t="shared" si="2497"/>
        <v>2</v>
      </c>
      <c r="AP814" s="60"/>
      <c r="AQ814" s="58"/>
      <c r="AR814" s="62">
        <f t="shared" si="2498"/>
        <v>2</v>
      </c>
      <c r="AS814" s="60"/>
      <c r="AT814" s="58"/>
      <c r="AU814" s="62">
        <f t="shared" si="2499"/>
        <v>2</v>
      </c>
      <c r="AV814" s="96">
        <f t="shared" si="2500"/>
        <v>0</v>
      </c>
      <c r="AW814" s="83">
        <f t="shared" si="2500"/>
        <v>0</v>
      </c>
      <c r="AX814" s="98">
        <f t="shared" si="2501"/>
        <v>0</v>
      </c>
      <c r="AY814" s="99" t="e">
        <f t="shared" si="2502"/>
        <v>#DIV/0!</v>
      </c>
      <c r="AZ814" s="100">
        <f t="shared" si="2503"/>
        <v>0</v>
      </c>
      <c r="BA814" s="101">
        <v>2</v>
      </c>
      <c r="BB814" s="102">
        <v>1</v>
      </c>
      <c r="BC814" s="84">
        <f t="shared" si="2486"/>
        <v>2</v>
      </c>
      <c r="BD814" s="83">
        <f t="shared" si="2483"/>
        <v>1</v>
      </c>
      <c r="BE814" s="85">
        <v>2</v>
      </c>
      <c r="BF814" s="86">
        <v>45932.575902777775</v>
      </c>
      <c r="BG814" s="72" t="e">
        <f t="shared" si="2446"/>
        <v>#REF!</v>
      </c>
      <c r="BH814" s="103" t="e">
        <f t="shared" si="2504"/>
        <v>#REF!</v>
      </c>
      <c r="BI814" s="80" t="e">
        <f t="shared" si="2485"/>
        <v>#REF!</v>
      </c>
      <c r="BJ814" s="238">
        <v>4655</v>
      </c>
    </row>
    <row r="815" spans="1:62" ht="13">
      <c r="A815" s="90"/>
      <c r="B815" s="91"/>
      <c r="C815" s="77">
        <v>813</v>
      </c>
      <c r="D815" s="192" t="s">
        <v>1862</v>
      </c>
      <c r="E815" s="158">
        <v>7</v>
      </c>
      <c r="F815" s="88" t="s">
        <v>959</v>
      </c>
      <c r="G815" s="89" t="s">
        <v>953</v>
      </c>
      <c r="H815" s="89" t="s">
        <v>921</v>
      </c>
      <c r="I815" s="88" t="s">
        <v>458</v>
      </c>
      <c r="J815" s="93">
        <f t="shared" si="2487"/>
        <v>2</v>
      </c>
      <c r="K815" s="88">
        <v>2</v>
      </c>
      <c r="L815" s="58"/>
      <c r="M815" s="58"/>
      <c r="N815" s="62">
        <f t="shared" si="2488"/>
        <v>2</v>
      </c>
      <c r="O815" s="60"/>
      <c r="P815" s="58"/>
      <c r="Q815" s="62">
        <f t="shared" si="2489"/>
        <v>2</v>
      </c>
      <c r="R815" s="60"/>
      <c r="S815" s="58"/>
      <c r="T815" s="94">
        <f t="shared" si="2490"/>
        <v>2</v>
      </c>
      <c r="U815" s="60"/>
      <c r="V815" s="58"/>
      <c r="W815" s="62">
        <f t="shared" si="2491"/>
        <v>2</v>
      </c>
      <c r="X815" s="60"/>
      <c r="Y815" s="58"/>
      <c r="Z815" s="94">
        <f t="shared" si="2492"/>
        <v>2</v>
      </c>
      <c r="AA815" s="60"/>
      <c r="AB815" s="58"/>
      <c r="AC815" s="62">
        <f t="shared" si="2493"/>
        <v>2</v>
      </c>
      <c r="AD815" s="57"/>
      <c r="AE815" s="58"/>
      <c r="AF815" s="165">
        <f t="shared" si="2494"/>
        <v>2</v>
      </c>
      <c r="AG815" s="60"/>
      <c r="AH815" s="58"/>
      <c r="AI815" s="62">
        <f t="shared" si="2495"/>
        <v>2</v>
      </c>
      <c r="AJ815" s="60"/>
      <c r="AK815" s="58"/>
      <c r="AL815" s="62">
        <f t="shared" si="2496"/>
        <v>2</v>
      </c>
      <c r="AM815" s="60"/>
      <c r="AN815" s="58"/>
      <c r="AO815" s="62">
        <f t="shared" si="2497"/>
        <v>2</v>
      </c>
      <c r="AP815" s="60"/>
      <c r="AQ815" s="58"/>
      <c r="AR815" s="62">
        <f t="shared" si="2498"/>
        <v>2</v>
      </c>
      <c r="AS815" s="60"/>
      <c r="AT815" s="58"/>
      <c r="AU815" s="62">
        <f t="shared" si="2499"/>
        <v>2</v>
      </c>
      <c r="AV815" s="96">
        <f t="shared" si="2500"/>
        <v>0</v>
      </c>
      <c r="AW815" s="83">
        <f t="shared" si="2500"/>
        <v>0</v>
      </c>
      <c r="AX815" s="98">
        <f t="shared" si="2501"/>
        <v>0</v>
      </c>
      <c r="AY815" s="99" t="e">
        <f t="shared" si="2502"/>
        <v>#DIV/0!</v>
      </c>
      <c r="AZ815" s="100">
        <f t="shared" si="2503"/>
        <v>0</v>
      </c>
      <c r="BA815" s="101">
        <v>2</v>
      </c>
      <c r="BB815" s="102">
        <v>1</v>
      </c>
      <c r="BC815" s="84">
        <f t="shared" si="2486"/>
        <v>2</v>
      </c>
      <c r="BD815" s="83">
        <f t="shared" si="2483"/>
        <v>1</v>
      </c>
      <c r="BE815" s="85">
        <v>2</v>
      </c>
      <c r="BF815" s="86">
        <v>45932.575902777775</v>
      </c>
      <c r="BG815" s="72" t="e">
        <f t="shared" si="2446"/>
        <v>#REF!</v>
      </c>
      <c r="BH815" s="103" t="e">
        <f t="shared" si="2504"/>
        <v>#REF!</v>
      </c>
      <c r="BI815" s="80" t="e">
        <f t="shared" si="2485"/>
        <v>#REF!</v>
      </c>
      <c r="BJ815" s="238">
        <v>380</v>
      </c>
    </row>
    <row r="816" spans="1:62" ht="13">
      <c r="A816" s="90"/>
      <c r="B816" s="91"/>
      <c r="C816" s="51">
        <v>814</v>
      </c>
      <c r="D816" s="192" t="s">
        <v>1862</v>
      </c>
      <c r="E816" s="158">
        <v>8</v>
      </c>
      <c r="F816" s="88" t="s">
        <v>962</v>
      </c>
      <c r="G816" s="89" t="s">
        <v>1842</v>
      </c>
      <c r="H816" s="89" t="s">
        <v>921</v>
      </c>
      <c r="I816" s="88" t="s">
        <v>458</v>
      </c>
      <c r="J816" s="93">
        <f t="shared" si="2487"/>
        <v>4</v>
      </c>
      <c r="K816" s="80">
        <v>4</v>
      </c>
      <c r="L816" s="58"/>
      <c r="M816" s="58"/>
      <c r="N816" s="62">
        <f t="shared" si="2488"/>
        <v>4</v>
      </c>
      <c r="O816" s="60"/>
      <c r="P816" s="58"/>
      <c r="Q816" s="62">
        <f t="shared" si="2489"/>
        <v>4</v>
      </c>
      <c r="R816" s="60"/>
      <c r="S816" s="58"/>
      <c r="T816" s="94">
        <f t="shared" si="2490"/>
        <v>4</v>
      </c>
      <c r="U816" s="60"/>
      <c r="V816" s="58"/>
      <c r="W816" s="62">
        <f t="shared" si="2491"/>
        <v>4</v>
      </c>
      <c r="X816" s="60"/>
      <c r="Y816" s="58"/>
      <c r="Z816" s="94">
        <f t="shared" si="2492"/>
        <v>4</v>
      </c>
      <c r="AA816" s="60"/>
      <c r="AB816" s="58"/>
      <c r="AC816" s="62">
        <f t="shared" si="2493"/>
        <v>4</v>
      </c>
      <c r="AD816" s="57"/>
      <c r="AE816" s="58"/>
      <c r="AF816" s="165">
        <f t="shared" si="2494"/>
        <v>4</v>
      </c>
      <c r="AG816" s="60"/>
      <c r="AH816" s="58"/>
      <c r="AI816" s="62">
        <f t="shared" si="2495"/>
        <v>4</v>
      </c>
      <c r="AJ816" s="60"/>
      <c r="AK816" s="58"/>
      <c r="AL816" s="62">
        <f t="shared" si="2496"/>
        <v>4</v>
      </c>
      <c r="AM816" s="60"/>
      <c r="AN816" s="58"/>
      <c r="AO816" s="62">
        <f t="shared" si="2497"/>
        <v>4</v>
      </c>
      <c r="AP816" s="60"/>
      <c r="AQ816" s="58"/>
      <c r="AR816" s="62">
        <f t="shared" si="2498"/>
        <v>4</v>
      </c>
      <c r="AS816" s="60"/>
      <c r="AT816" s="58"/>
      <c r="AU816" s="62">
        <f t="shared" si="2499"/>
        <v>4</v>
      </c>
      <c r="AV816" s="96">
        <f t="shared" si="2500"/>
        <v>0</v>
      </c>
      <c r="AW816" s="83">
        <f t="shared" si="2500"/>
        <v>0</v>
      </c>
      <c r="AX816" s="98">
        <f t="shared" si="2501"/>
        <v>0</v>
      </c>
      <c r="AY816" s="99" t="e">
        <f t="shared" si="2502"/>
        <v>#DIV/0!</v>
      </c>
      <c r="AZ816" s="100">
        <f t="shared" si="2503"/>
        <v>0</v>
      </c>
      <c r="BA816" s="101">
        <v>4</v>
      </c>
      <c r="BB816" s="102">
        <v>1</v>
      </c>
      <c r="BC816" s="84">
        <f t="shared" si="2486"/>
        <v>4</v>
      </c>
      <c r="BD816" s="83">
        <f t="shared" si="2483"/>
        <v>3</v>
      </c>
      <c r="BE816" s="85">
        <v>2</v>
      </c>
      <c r="BF816" s="86">
        <v>45932.575902777775</v>
      </c>
      <c r="BG816" s="72" t="e">
        <f t="shared" si="2446"/>
        <v>#REF!</v>
      </c>
      <c r="BH816" s="103" t="e">
        <f t="shared" si="2504"/>
        <v>#REF!</v>
      </c>
      <c r="BI816" s="80" t="e">
        <f t="shared" si="2485"/>
        <v>#REF!</v>
      </c>
      <c r="BJ816" s="238">
        <v>190</v>
      </c>
    </row>
    <row r="817" spans="1:62" ht="13">
      <c r="A817" s="90"/>
      <c r="B817" s="91"/>
      <c r="C817" s="51">
        <v>815</v>
      </c>
      <c r="D817" s="193" t="s">
        <v>1862</v>
      </c>
      <c r="E817" s="194">
        <v>9</v>
      </c>
      <c r="F817" s="88" t="s">
        <v>1843</v>
      </c>
      <c r="G817" s="89" t="s">
        <v>1844</v>
      </c>
      <c r="H817" s="89" t="s">
        <v>921</v>
      </c>
      <c r="I817" s="88" t="s">
        <v>458</v>
      </c>
      <c r="J817" s="93">
        <f t="shared" si="2487"/>
        <v>8</v>
      </c>
      <c r="K817" s="88">
        <v>8</v>
      </c>
      <c r="L817" s="58"/>
      <c r="M817" s="58"/>
      <c r="N817" s="62">
        <f t="shared" si="2488"/>
        <v>8</v>
      </c>
      <c r="O817" s="60"/>
      <c r="P817" s="58"/>
      <c r="Q817" s="62">
        <f t="shared" si="2489"/>
        <v>8</v>
      </c>
      <c r="R817" s="60"/>
      <c r="S817" s="58"/>
      <c r="T817" s="94">
        <f t="shared" si="2490"/>
        <v>8</v>
      </c>
      <c r="U817" s="60"/>
      <c r="V817" s="58"/>
      <c r="W817" s="62">
        <f t="shared" si="2491"/>
        <v>8</v>
      </c>
      <c r="X817" s="60"/>
      <c r="Y817" s="58"/>
      <c r="Z817" s="94">
        <f t="shared" si="2492"/>
        <v>8</v>
      </c>
      <c r="AA817" s="60"/>
      <c r="AB817" s="58"/>
      <c r="AC817" s="62">
        <f t="shared" si="2493"/>
        <v>8</v>
      </c>
      <c r="AD817" s="57"/>
      <c r="AE817" s="58"/>
      <c r="AF817" s="165">
        <f t="shared" si="2494"/>
        <v>8</v>
      </c>
      <c r="AG817" s="60"/>
      <c r="AH817" s="58"/>
      <c r="AI817" s="62">
        <f t="shared" si="2495"/>
        <v>8</v>
      </c>
      <c r="AJ817" s="60"/>
      <c r="AK817" s="58"/>
      <c r="AL817" s="62">
        <f t="shared" si="2496"/>
        <v>8</v>
      </c>
      <c r="AM817" s="60"/>
      <c r="AN817" s="58"/>
      <c r="AO817" s="62">
        <f t="shared" si="2497"/>
        <v>8</v>
      </c>
      <c r="AP817" s="60"/>
      <c r="AQ817" s="58"/>
      <c r="AR817" s="62">
        <f t="shared" si="2498"/>
        <v>8</v>
      </c>
      <c r="AS817" s="60"/>
      <c r="AT817" s="58"/>
      <c r="AU817" s="62">
        <f t="shared" si="2499"/>
        <v>8</v>
      </c>
      <c r="AV817" s="96">
        <f t="shared" si="2500"/>
        <v>0</v>
      </c>
      <c r="AW817" s="83">
        <f t="shared" si="2500"/>
        <v>0</v>
      </c>
      <c r="AX817" s="98">
        <f t="shared" si="2501"/>
        <v>0</v>
      </c>
      <c r="AY817" s="99" t="e">
        <f t="shared" si="2502"/>
        <v>#DIV/0!</v>
      </c>
      <c r="AZ817" s="100">
        <f t="shared" si="2503"/>
        <v>0</v>
      </c>
      <c r="BA817" s="101">
        <v>8</v>
      </c>
      <c r="BB817" s="102">
        <v>1</v>
      </c>
      <c r="BC817" s="84">
        <f t="shared" si="2486"/>
        <v>8</v>
      </c>
      <c r="BD817" s="83">
        <f t="shared" si="2483"/>
        <v>7</v>
      </c>
      <c r="BE817" s="85">
        <v>2</v>
      </c>
      <c r="BF817" s="86">
        <v>45932.575902777775</v>
      </c>
      <c r="BG817" s="72" t="e">
        <f t="shared" si="2446"/>
        <v>#REF!</v>
      </c>
      <c r="BH817" s="103" t="e">
        <f t="shared" si="2504"/>
        <v>#REF!</v>
      </c>
      <c r="BI817" s="80" t="e">
        <f t="shared" si="2485"/>
        <v>#REF!</v>
      </c>
      <c r="BJ817" s="238">
        <v>540</v>
      </c>
    </row>
    <row r="818" spans="1:62" ht="13">
      <c r="A818" s="90"/>
      <c r="B818" s="91"/>
      <c r="C818" s="51">
        <v>816</v>
      </c>
      <c r="D818" s="195" t="s">
        <v>1862</v>
      </c>
      <c r="E818" s="196">
        <v>1</v>
      </c>
      <c r="F818" s="88" t="s">
        <v>1149</v>
      </c>
      <c r="G818" s="89" t="s">
        <v>1845</v>
      </c>
      <c r="H818" s="89" t="s">
        <v>1542</v>
      </c>
      <c r="I818" s="88" t="s">
        <v>458</v>
      </c>
      <c r="J818" s="93">
        <f t="shared" si="2487"/>
        <v>1</v>
      </c>
      <c r="K818" s="80">
        <v>1</v>
      </c>
      <c r="L818" s="58"/>
      <c r="M818" s="58"/>
      <c r="N818" s="62">
        <f t="shared" si="2488"/>
        <v>1</v>
      </c>
      <c r="O818" s="60"/>
      <c r="P818" s="58"/>
      <c r="Q818" s="62">
        <f t="shared" si="2489"/>
        <v>1</v>
      </c>
      <c r="R818" s="60"/>
      <c r="S818" s="58"/>
      <c r="T818" s="94">
        <f t="shared" si="2490"/>
        <v>1</v>
      </c>
      <c r="U818" s="60"/>
      <c r="V818" s="58"/>
      <c r="W818" s="62">
        <f t="shared" si="2491"/>
        <v>1</v>
      </c>
      <c r="X818" s="60"/>
      <c r="Y818" s="58"/>
      <c r="Z818" s="94">
        <f t="shared" si="2492"/>
        <v>1</v>
      </c>
      <c r="AA818" s="60"/>
      <c r="AB818" s="58"/>
      <c r="AC818" s="62">
        <f t="shared" si="2493"/>
        <v>1</v>
      </c>
      <c r="AD818" s="57"/>
      <c r="AE818" s="58"/>
      <c r="AF818" s="165">
        <f t="shared" si="2494"/>
        <v>1</v>
      </c>
      <c r="AG818" s="60"/>
      <c r="AH818" s="58"/>
      <c r="AI818" s="62">
        <f t="shared" si="2495"/>
        <v>1</v>
      </c>
      <c r="AJ818" s="60"/>
      <c r="AK818" s="58"/>
      <c r="AL818" s="62">
        <f t="shared" si="2496"/>
        <v>1</v>
      </c>
      <c r="AM818" s="60"/>
      <c r="AN818" s="58"/>
      <c r="AO818" s="62">
        <f t="shared" si="2497"/>
        <v>1</v>
      </c>
      <c r="AP818" s="60"/>
      <c r="AQ818" s="58"/>
      <c r="AR818" s="62">
        <f t="shared" si="2498"/>
        <v>1</v>
      </c>
      <c r="AS818" s="60"/>
      <c r="AT818" s="58"/>
      <c r="AU818" s="62">
        <f t="shared" si="2499"/>
        <v>1</v>
      </c>
      <c r="AV818" s="96">
        <f t="shared" si="2500"/>
        <v>0</v>
      </c>
      <c r="AW818" s="83">
        <f t="shared" si="2500"/>
        <v>0</v>
      </c>
      <c r="AX818" s="98">
        <f t="shared" si="2501"/>
        <v>0</v>
      </c>
      <c r="AY818" s="99" t="e">
        <f t="shared" si="2502"/>
        <v>#DIV/0!</v>
      </c>
      <c r="AZ818" s="100">
        <f t="shared" si="2503"/>
        <v>0</v>
      </c>
      <c r="BA818" s="101">
        <v>1</v>
      </c>
      <c r="BB818" s="102">
        <v>0</v>
      </c>
      <c r="BC818" s="84">
        <f t="shared" si="2486"/>
        <v>1</v>
      </c>
      <c r="BD818" s="83">
        <f t="shared" si="2483"/>
        <v>1</v>
      </c>
      <c r="BE818" s="85">
        <v>2</v>
      </c>
      <c r="BF818" s="86">
        <v>45932.584675925929</v>
      </c>
      <c r="BG818" s="72" t="e">
        <f t="shared" si="2446"/>
        <v>#REF!</v>
      </c>
      <c r="BH818" s="103" t="e">
        <f t="shared" si="2504"/>
        <v>#REF!</v>
      </c>
      <c r="BI818" s="80" t="e">
        <f t="shared" si="2485"/>
        <v>#REF!</v>
      </c>
      <c r="BJ818" s="238">
        <v>570</v>
      </c>
    </row>
    <row r="819" spans="1:62" ht="13">
      <c r="A819" s="90"/>
      <c r="B819" s="91"/>
      <c r="C819" s="51">
        <v>817</v>
      </c>
      <c r="D819" s="197" t="s">
        <v>1862</v>
      </c>
      <c r="E819" s="198">
        <v>2</v>
      </c>
      <c r="F819" s="88" t="s">
        <v>1148</v>
      </c>
      <c r="G819" s="89" t="s">
        <v>1846</v>
      </c>
      <c r="H819" s="89" t="s">
        <v>1542</v>
      </c>
      <c r="I819" s="88" t="s">
        <v>458</v>
      </c>
      <c r="J819" s="93">
        <f t="shared" si="2487"/>
        <v>1</v>
      </c>
      <c r="K819" s="88">
        <v>1</v>
      </c>
      <c r="L819" s="58"/>
      <c r="M819" s="58"/>
      <c r="N819" s="62">
        <f t="shared" si="2488"/>
        <v>1</v>
      </c>
      <c r="O819" s="60"/>
      <c r="P819" s="58"/>
      <c r="Q819" s="62">
        <f t="shared" si="2489"/>
        <v>1</v>
      </c>
      <c r="R819" s="60"/>
      <c r="S819" s="58"/>
      <c r="T819" s="94">
        <f t="shared" si="2490"/>
        <v>1</v>
      </c>
      <c r="U819" s="60"/>
      <c r="V819" s="58"/>
      <c r="W819" s="62">
        <f t="shared" si="2491"/>
        <v>1</v>
      </c>
      <c r="X819" s="60"/>
      <c r="Y819" s="58"/>
      <c r="Z819" s="94">
        <f t="shared" si="2492"/>
        <v>1</v>
      </c>
      <c r="AA819" s="60"/>
      <c r="AB819" s="58"/>
      <c r="AC819" s="62">
        <f t="shared" si="2493"/>
        <v>1</v>
      </c>
      <c r="AD819" s="57"/>
      <c r="AE819" s="58"/>
      <c r="AF819" s="165">
        <f t="shared" si="2494"/>
        <v>1</v>
      </c>
      <c r="AG819" s="60"/>
      <c r="AH819" s="58"/>
      <c r="AI819" s="62">
        <f t="shared" si="2495"/>
        <v>1</v>
      </c>
      <c r="AJ819" s="60"/>
      <c r="AK819" s="58"/>
      <c r="AL819" s="62">
        <f t="shared" si="2496"/>
        <v>1</v>
      </c>
      <c r="AM819" s="60"/>
      <c r="AN819" s="58"/>
      <c r="AO819" s="62">
        <f t="shared" si="2497"/>
        <v>1</v>
      </c>
      <c r="AP819" s="60"/>
      <c r="AQ819" s="58"/>
      <c r="AR819" s="62">
        <f t="shared" si="2498"/>
        <v>1</v>
      </c>
      <c r="AS819" s="60"/>
      <c r="AT819" s="58"/>
      <c r="AU819" s="62">
        <f t="shared" si="2499"/>
        <v>1</v>
      </c>
      <c r="AV819" s="96">
        <f t="shared" si="2500"/>
        <v>0</v>
      </c>
      <c r="AW819" s="83">
        <f t="shared" si="2500"/>
        <v>0</v>
      </c>
      <c r="AX819" s="98">
        <f t="shared" si="2501"/>
        <v>0</v>
      </c>
      <c r="AY819" s="99" t="e">
        <f t="shared" si="2502"/>
        <v>#DIV/0!</v>
      </c>
      <c r="AZ819" s="100">
        <f t="shared" si="2503"/>
        <v>0</v>
      </c>
      <c r="BA819" s="101">
        <v>1</v>
      </c>
      <c r="BB819" s="102">
        <v>0</v>
      </c>
      <c r="BC819" s="84">
        <f t="shared" si="2486"/>
        <v>1</v>
      </c>
      <c r="BD819" s="83">
        <f t="shared" si="2483"/>
        <v>1</v>
      </c>
      <c r="BE819" s="85">
        <v>2</v>
      </c>
      <c r="BF819" s="86">
        <v>45932.584675925929</v>
      </c>
      <c r="BG819" s="72" t="e">
        <f t="shared" si="2446"/>
        <v>#REF!</v>
      </c>
      <c r="BH819" s="103" t="e">
        <f>BG819-BF819</f>
        <v>#REF!</v>
      </c>
      <c r="BI819" s="80" t="e">
        <f t="shared" si="2485"/>
        <v>#REF!</v>
      </c>
      <c r="BJ819" s="238">
        <v>380</v>
      </c>
    </row>
    <row r="820" spans="1:62" ht="13">
      <c r="A820" s="90"/>
      <c r="B820" s="91"/>
      <c r="C820" s="77">
        <v>818</v>
      </c>
      <c r="D820" s="197" t="s">
        <v>1862</v>
      </c>
      <c r="E820" s="198">
        <v>3</v>
      </c>
      <c r="F820" s="88" t="s">
        <v>1152</v>
      </c>
      <c r="G820" s="89" t="s">
        <v>1847</v>
      </c>
      <c r="H820" s="89" t="s">
        <v>1542</v>
      </c>
      <c r="I820" s="88" t="s">
        <v>458</v>
      </c>
      <c r="J820" s="93">
        <f t="shared" si="2487"/>
        <v>2</v>
      </c>
      <c r="K820" s="80">
        <v>2</v>
      </c>
      <c r="L820" s="58"/>
      <c r="M820" s="58"/>
      <c r="N820" s="62">
        <f t="shared" si="2488"/>
        <v>2</v>
      </c>
      <c r="O820" s="60"/>
      <c r="P820" s="58"/>
      <c r="Q820" s="62">
        <f t="shared" si="2489"/>
        <v>2</v>
      </c>
      <c r="R820" s="60"/>
      <c r="S820" s="58"/>
      <c r="T820" s="94">
        <f t="shared" si="2490"/>
        <v>2</v>
      </c>
      <c r="U820" s="60"/>
      <c r="V820" s="58"/>
      <c r="W820" s="62">
        <f t="shared" si="2491"/>
        <v>2</v>
      </c>
      <c r="X820" s="60"/>
      <c r="Y820" s="58"/>
      <c r="Z820" s="94">
        <f t="shared" si="2492"/>
        <v>2</v>
      </c>
      <c r="AA820" s="60"/>
      <c r="AB820" s="58"/>
      <c r="AC820" s="62">
        <f t="shared" si="2493"/>
        <v>2</v>
      </c>
      <c r="AD820" s="57"/>
      <c r="AE820" s="58"/>
      <c r="AF820" s="165">
        <f t="shared" si="2494"/>
        <v>2</v>
      </c>
      <c r="AG820" s="60"/>
      <c r="AH820" s="58"/>
      <c r="AI820" s="62">
        <f t="shared" si="2495"/>
        <v>2</v>
      </c>
      <c r="AJ820" s="60"/>
      <c r="AK820" s="58"/>
      <c r="AL820" s="62">
        <f t="shared" si="2496"/>
        <v>2</v>
      </c>
      <c r="AM820" s="60"/>
      <c r="AN820" s="58"/>
      <c r="AO820" s="62">
        <f t="shared" si="2497"/>
        <v>2</v>
      </c>
      <c r="AP820" s="60"/>
      <c r="AQ820" s="58"/>
      <c r="AR820" s="62">
        <f t="shared" si="2498"/>
        <v>2</v>
      </c>
      <c r="AS820" s="60"/>
      <c r="AT820" s="58"/>
      <c r="AU820" s="62">
        <f t="shared" si="2499"/>
        <v>2</v>
      </c>
      <c r="AV820" s="96">
        <f t="shared" si="2500"/>
        <v>0</v>
      </c>
      <c r="AW820" s="83">
        <f t="shared" si="2500"/>
        <v>0</v>
      </c>
      <c r="AX820" s="98">
        <f t="shared" si="2501"/>
        <v>0</v>
      </c>
      <c r="AY820" s="99" t="e">
        <f t="shared" si="2502"/>
        <v>#DIV/0!</v>
      </c>
      <c r="AZ820" s="100">
        <f t="shared" si="2503"/>
        <v>0</v>
      </c>
      <c r="BA820" s="101">
        <v>2</v>
      </c>
      <c r="BB820" s="102">
        <v>1</v>
      </c>
      <c r="BC820" s="84">
        <f t="shared" si="2486"/>
        <v>2</v>
      </c>
      <c r="BD820" s="83">
        <f t="shared" si="2483"/>
        <v>1</v>
      </c>
      <c r="BE820" s="85">
        <v>2</v>
      </c>
      <c r="BF820" s="86">
        <v>45932.584675925929</v>
      </c>
      <c r="BG820" s="72" t="e">
        <f t="shared" si="2446"/>
        <v>#REF!</v>
      </c>
      <c r="BH820" s="103" t="e">
        <f>BG820-BF820</f>
        <v>#REF!</v>
      </c>
      <c r="BI820" s="80" t="e">
        <f t="shared" si="2485"/>
        <v>#REF!</v>
      </c>
      <c r="BJ820" s="238">
        <v>190</v>
      </c>
    </row>
    <row r="821" spans="1:62" ht="13">
      <c r="A821" s="90"/>
      <c r="B821" s="91"/>
      <c r="C821" s="77">
        <v>819</v>
      </c>
      <c r="D821" s="197" t="s">
        <v>1862</v>
      </c>
      <c r="E821" s="198">
        <v>4</v>
      </c>
      <c r="F821" s="88" t="s">
        <v>1147</v>
      </c>
      <c r="G821" s="89" t="s">
        <v>1848</v>
      </c>
      <c r="H821" s="89" t="s">
        <v>1542</v>
      </c>
      <c r="I821" s="88" t="s">
        <v>458</v>
      </c>
      <c r="J821" s="93">
        <f t="shared" si="2487"/>
        <v>1</v>
      </c>
      <c r="K821" s="88">
        <v>1</v>
      </c>
      <c r="L821" s="58"/>
      <c r="M821" s="58"/>
      <c r="N821" s="62">
        <f t="shared" si="2488"/>
        <v>1</v>
      </c>
      <c r="O821" s="60"/>
      <c r="P821" s="58"/>
      <c r="Q821" s="62">
        <f t="shared" si="2489"/>
        <v>1</v>
      </c>
      <c r="R821" s="60"/>
      <c r="S821" s="58"/>
      <c r="T821" s="94">
        <f t="shared" si="2490"/>
        <v>1</v>
      </c>
      <c r="U821" s="60"/>
      <c r="V821" s="58"/>
      <c r="W821" s="62">
        <f t="shared" si="2491"/>
        <v>1</v>
      </c>
      <c r="X821" s="60"/>
      <c r="Y821" s="58"/>
      <c r="Z821" s="94">
        <f t="shared" si="2492"/>
        <v>1</v>
      </c>
      <c r="AA821" s="60"/>
      <c r="AB821" s="58"/>
      <c r="AC821" s="62">
        <f t="shared" si="2493"/>
        <v>1</v>
      </c>
      <c r="AD821" s="57"/>
      <c r="AE821" s="58"/>
      <c r="AF821" s="165">
        <f t="shared" si="2494"/>
        <v>1</v>
      </c>
      <c r="AG821" s="60"/>
      <c r="AH821" s="58"/>
      <c r="AI821" s="62">
        <f t="shared" si="2495"/>
        <v>1</v>
      </c>
      <c r="AJ821" s="60"/>
      <c r="AK821" s="58"/>
      <c r="AL821" s="62">
        <f t="shared" si="2496"/>
        <v>1</v>
      </c>
      <c r="AM821" s="60"/>
      <c r="AN821" s="58"/>
      <c r="AO821" s="62">
        <f t="shared" si="2497"/>
        <v>1</v>
      </c>
      <c r="AP821" s="60"/>
      <c r="AQ821" s="58"/>
      <c r="AR821" s="62">
        <f t="shared" si="2498"/>
        <v>1</v>
      </c>
      <c r="AS821" s="60"/>
      <c r="AT821" s="58"/>
      <c r="AU821" s="62">
        <f t="shared" si="2499"/>
        <v>1</v>
      </c>
      <c r="AV821" s="96">
        <f t="shared" si="2500"/>
        <v>0</v>
      </c>
      <c r="AW821" s="83">
        <f t="shared" si="2500"/>
        <v>0</v>
      </c>
      <c r="AX821" s="98">
        <f t="shared" si="2501"/>
        <v>0</v>
      </c>
      <c r="AY821" s="99" t="e">
        <f t="shared" si="2502"/>
        <v>#DIV/0!</v>
      </c>
      <c r="AZ821" s="100">
        <f t="shared" si="2503"/>
        <v>0</v>
      </c>
      <c r="BA821" s="101">
        <v>1</v>
      </c>
      <c r="BB821" s="102">
        <v>0</v>
      </c>
      <c r="BC821" s="84">
        <f t="shared" si="2486"/>
        <v>1</v>
      </c>
      <c r="BD821" s="83">
        <f t="shared" si="2483"/>
        <v>1</v>
      </c>
      <c r="BE821" s="85">
        <v>2</v>
      </c>
      <c r="BF821" s="86">
        <v>45932.584675925929</v>
      </c>
      <c r="BG821" s="72" t="e">
        <f t="shared" si="2446"/>
        <v>#REF!</v>
      </c>
      <c r="BH821" s="103" t="e">
        <f t="shared" si="2504"/>
        <v>#REF!</v>
      </c>
      <c r="BI821" s="80" t="e">
        <f t="shared" si="2485"/>
        <v>#REF!</v>
      </c>
      <c r="BJ821" s="238">
        <v>33250</v>
      </c>
    </row>
    <row r="822" spans="1:62" ht="13">
      <c r="A822" s="90"/>
      <c r="B822" s="91"/>
      <c r="C822" s="51">
        <v>820</v>
      </c>
      <c r="D822" s="197" t="s">
        <v>1862</v>
      </c>
      <c r="E822" s="198">
        <v>5</v>
      </c>
      <c r="F822" s="88" t="s">
        <v>1153</v>
      </c>
      <c r="G822" s="89" t="s">
        <v>1155</v>
      </c>
      <c r="H822" s="89" t="s">
        <v>1542</v>
      </c>
      <c r="I822" s="88" t="s">
        <v>458</v>
      </c>
      <c r="J822" s="93">
        <f t="shared" si="2487"/>
        <v>1</v>
      </c>
      <c r="K822" s="80">
        <v>1</v>
      </c>
      <c r="L822" s="58"/>
      <c r="M822" s="58"/>
      <c r="N822" s="62">
        <f t="shared" si="2488"/>
        <v>1</v>
      </c>
      <c r="O822" s="60"/>
      <c r="P822" s="58"/>
      <c r="Q822" s="62">
        <f t="shared" si="2489"/>
        <v>1</v>
      </c>
      <c r="R822" s="60"/>
      <c r="S822" s="58"/>
      <c r="T822" s="94">
        <f t="shared" si="2490"/>
        <v>1</v>
      </c>
      <c r="U822" s="60"/>
      <c r="V822" s="58"/>
      <c r="W822" s="62">
        <f t="shared" si="2491"/>
        <v>1</v>
      </c>
      <c r="X822" s="60"/>
      <c r="Y822" s="58"/>
      <c r="Z822" s="94">
        <f t="shared" si="2492"/>
        <v>1</v>
      </c>
      <c r="AA822" s="60"/>
      <c r="AB822" s="58"/>
      <c r="AC822" s="62">
        <f t="shared" si="2493"/>
        <v>1</v>
      </c>
      <c r="AD822" s="57"/>
      <c r="AE822" s="58"/>
      <c r="AF822" s="165">
        <f t="shared" si="2494"/>
        <v>1</v>
      </c>
      <c r="AG822" s="60"/>
      <c r="AH822" s="58"/>
      <c r="AI822" s="62">
        <f t="shared" si="2495"/>
        <v>1</v>
      </c>
      <c r="AJ822" s="60"/>
      <c r="AK822" s="58"/>
      <c r="AL822" s="62">
        <f t="shared" si="2496"/>
        <v>1</v>
      </c>
      <c r="AM822" s="60"/>
      <c r="AN822" s="58"/>
      <c r="AO822" s="62">
        <f t="shared" si="2497"/>
        <v>1</v>
      </c>
      <c r="AP822" s="60"/>
      <c r="AQ822" s="58"/>
      <c r="AR822" s="62">
        <f t="shared" si="2498"/>
        <v>1</v>
      </c>
      <c r="AS822" s="60"/>
      <c r="AT822" s="58"/>
      <c r="AU822" s="62">
        <f t="shared" si="2499"/>
        <v>1</v>
      </c>
      <c r="AV822" s="96">
        <f t="shared" si="2500"/>
        <v>0</v>
      </c>
      <c r="AW822" s="83">
        <f t="shared" si="2500"/>
        <v>0</v>
      </c>
      <c r="AX822" s="98">
        <f t="shared" si="2501"/>
        <v>0</v>
      </c>
      <c r="AY822" s="99" t="e">
        <f t="shared" si="2502"/>
        <v>#DIV/0!</v>
      </c>
      <c r="AZ822" s="100">
        <f t="shared" si="2503"/>
        <v>0</v>
      </c>
      <c r="BA822" s="101">
        <v>1</v>
      </c>
      <c r="BB822" s="102">
        <v>0</v>
      </c>
      <c r="BC822" s="84">
        <f t="shared" si="2486"/>
        <v>1</v>
      </c>
      <c r="BD822" s="83">
        <f t="shared" si="2483"/>
        <v>1</v>
      </c>
      <c r="BE822" s="85">
        <v>2</v>
      </c>
      <c r="BF822" s="86">
        <v>45932.584675925929</v>
      </c>
      <c r="BG822" s="72" t="e">
        <f t="shared" si="2446"/>
        <v>#REF!</v>
      </c>
      <c r="BH822" s="103" t="e">
        <f t="shared" si="2504"/>
        <v>#REF!</v>
      </c>
      <c r="BI822" s="80" t="e">
        <f t="shared" si="2485"/>
        <v>#REF!</v>
      </c>
      <c r="BJ822" s="238">
        <v>90</v>
      </c>
    </row>
    <row r="823" spans="1:62" ht="13">
      <c r="A823" s="90"/>
      <c r="B823" s="91"/>
      <c r="C823" s="51">
        <v>821</v>
      </c>
      <c r="D823" s="197" t="s">
        <v>1862</v>
      </c>
      <c r="E823" s="198">
        <v>6</v>
      </c>
      <c r="F823" s="88" t="s">
        <v>1151</v>
      </c>
      <c r="G823" s="89" t="s">
        <v>1849</v>
      </c>
      <c r="H823" s="89" t="s">
        <v>1542</v>
      </c>
      <c r="I823" s="88" t="s">
        <v>458</v>
      </c>
      <c r="J823" s="93">
        <f t="shared" si="2487"/>
        <v>1</v>
      </c>
      <c r="K823" s="88">
        <v>1</v>
      </c>
      <c r="L823" s="58"/>
      <c r="M823" s="58"/>
      <c r="N823" s="62">
        <f t="shared" si="2488"/>
        <v>1</v>
      </c>
      <c r="O823" s="60"/>
      <c r="P823" s="58"/>
      <c r="Q823" s="62">
        <f t="shared" si="2489"/>
        <v>1</v>
      </c>
      <c r="R823" s="60"/>
      <c r="S823" s="58"/>
      <c r="T823" s="94">
        <f t="shared" si="2490"/>
        <v>1</v>
      </c>
      <c r="U823" s="60"/>
      <c r="V823" s="58"/>
      <c r="W823" s="62">
        <f t="shared" si="2491"/>
        <v>1</v>
      </c>
      <c r="X823" s="60"/>
      <c r="Y823" s="58"/>
      <c r="Z823" s="94">
        <f t="shared" si="2492"/>
        <v>1</v>
      </c>
      <c r="AA823" s="60"/>
      <c r="AB823" s="58"/>
      <c r="AC823" s="62">
        <f t="shared" si="2493"/>
        <v>1</v>
      </c>
      <c r="AD823" s="57"/>
      <c r="AE823" s="58"/>
      <c r="AF823" s="165">
        <f t="shared" si="2494"/>
        <v>1</v>
      </c>
      <c r="AG823" s="60"/>
      <c r="AH823" s="58"/>
      <c r="AI823" s="62">
        <f t="shared" si="2495"/>
        <v>1</v>
      </c>
      <c r="AJ823" s="60"/>
      <c r="AK823" s="58"/>
      <c r="AL823" s="62">
        <f t="shared" si="2496"/>
        <v>1</v>
      </c>
      <c r="AM823" s="60"/>
      <c r="AN823" s="58"/>
      <c r="AO823" s="62">
        <f t="shared" si="2497"/>
        <v>1</v>
      </c>
      <c r="AP823" s="60"/>
      <c r="AQ823" s="58"/>
      <c r="AR823" s="62">
        <f t="shared" si="2498"/>
        <v>1</v>
      </c>
      <c r="AS823" s="60"/>
      <c r="AT823" s="58"/>
      <c r="AU823" s="62">
        <f t="shared" si="2499"/>
        <v>1</v>
      </c>
      <c r="AV823" s="96">
        <f t="shared" si="2500"/>
        <v>0</v>
      </c>
      <c r="AW823" s="83">
        <f t="shared" si="2500"/>
        <v>0</v>
      </c>
      <c r="AX823" s="98">
        <f t="shared" si="2501"/>
        <v>0</v>
      </c>
      <c r="AY823" s="99" t="e">
        <f t="shared" si="2502"/>
        <v>#DIV/0!</v>
      </c>
      <c r="AZ823" s="100">
        <f t="shared" si="2503"/>
        <v>0</v>
      </c>
      <c r="BA823" s="101">
        <v>1</v>
      </c>
      <c r="BB823" s="102">
        <v>0</v>
      </c>
      <c r="BC823" s="84">
        <f t="shared" si="2486"/>
        <v>1</v>
      </c>
      <c r="BD823" s="83">
        <f t="shared" si="2483"/>
        <v>1</v>
      </c>
      <c r="BE823" s="85">
        <v>2</v>
      </c>
      <c r="BF823" s="86">
        <v>45932.584675925929</v>
      </c>
      <c r="BG823" s="72" t="e">
        <f t="shared" si="2446"/>
        <v>#REF!</v>
      </c>
      <c r="BH823" s="103" t="e">
        <f t="shared" si="2504"/>
        <v>#REF!</v>
      </c>
      <c r="BI823" s="80" t="e">
        <f t="shared" si="2485"/>
        <v>#REF!</v>
      </c>
      <c r="BJ823" s="238">
        <v>665</v>
      </c>
    </row>
    <row r="824" spans="1:62" ht="13">
      <c r="A824" s="90"/>
      <c r="B824" s="91"/>
      <c r="C824" s="51">
        <v>822</v>
      </c>
      <c r="D824" s="197" t="s">
        <v>1862</v>
      </c>
      <c r="E824" s="198">
        <v>7</v>
      </c>
      <c r="F824" s="88" t="s">
        <v>1150</v>
      </c>
      <c r="G824" s="89" t="s">
        <v>1850</v>
      </c>
      <c r="H824" s="89" t="s">
        <v>1542</v>
      </c>
      <c r="I824" s="88" t="s">
        <v>458</v>
      </c>
      <c r="J824" s="93">
        <f t="shared" si="2487"/>
        <v>1</v>
      </c>
      <c r="K824" s="80">
        <v>1</v>
      </c>
      <c r="L824" s="58"/>
      <c r="M824" s="58"/>
      <c r="N824" s="62">
        <f t="shared" si="2488"/>
        <v>1</v>
      </c>
      <c r="O824" s="60"/>
      <c r="P824" s="58"/>
      <c r="Q824" s="62">
        <f t="shared" si="2489"/>
        <v>1</v>
      </c>
      <c r="R824" s="60"/>
      <c r="S824" s="58"/>
      <c r="T824" s="94">
        <f t="shared" si="2490"/>
        <v>1</v>
      </c>
      <c r="U824" s="60"/>
      <c r="V824" s="58"/>
      <c r="W824" s="62">
        <f t="shared" si="2491"/>
        <v>1</v>
      </c>
      <c r="X824" s="60"/>
      <c r="Y824" s="58"/>
      <c r="Z824" s="94">
        <f t="shared" si="2492"/>
        <v>1</v>
      </c>
      <c r="AA824" s="60"/>
      <c r="AB824" s="58"/>
      <c r="AC824" s="62">
        <f t="shared" si="2493"/>
        <v>1</v>
      </c>
      <c r="AD824" s="57"/>
      <c r="AE824" s="58"/>
      <c r="AF824" s="165">
        <f t="shared" si="2494"/>
        <v>1</v>
      </c>
      <c r="AG824" s="60"/>
      <c r="AH824" s="58"/>
      <c r="AI824" s="62">
        <f t="shared" si="2495"/>
        <v>1</v>
      </c>
      <c r="AJ824" s="60"/>
      <c r="AK824" s="58"/>
      <c r="AL824" s="62">
        <f t="shared" si="2496"/>
        <v>1</v>
      </c>
      <c r="AM824" s="60"/>
      <c r="AN824" s="58"/>
      <c r="AO824" s="62">
        <f t="shared" si="2497"/>
        <v>1</v>
      </c>
      <c r="AP824" s="60"/>
      <c r="AQ824" s="58"/>
      <c r="AR824" s="62">
        <f t="shared" si="2498"/>
        <v>1</v>
      </c>
      <c r="AS824" s="60"/>
      <c r="AT824" s="58"/>
      <c r="AU824" s="62">
        <f t="shared" si="2499"/>
        <v>1</v>
      </c>
      <c r="AV824" s="96">
        <f t="shared" si="2500"/>
        <v>0</v>
      </c>
      <c r="AW824" s="83">
        <f t="shared" si="2500"/>
        <v>0</v>
      </c>
      <c r="AX824" s="98">
        <f t="shared" si="2501"/>
        <v>0</v>
      </c>
      <c r="AY824" s="99" t="e">
        <f t="shared" si="2502"/>
        <v>#DIV/0!</v>
      </c>
      <c r="AZ824" s="100">
        <f t="shared" si="2503"/>
        <v>0</v>
      </c>
      <c r="BA824" s="101">
        <v>1</v>
      </c>
      <c r="BB824" s="102">
        <v>0</v>
      </c>
      <c r="BC824" s="84">
        <f t="shared" si="2486"/>
        <v>1</v>
      </c>
      <c r="BD824" s="83">
        <f t="shared" si="2483"/>
        <v>1</v>
      </c>
      <c r="BE824" s="85">
        <v>2</v>
      </c>
      <c r="BF824" s="86">
        <v>45932.584675925929</v>
      </c>
      <c r="BG824" s="72" t="e">
        <f t="shared" si="2446"/>
        <v>#REF!</v>
      </c>
      <c r="BH824" s="103" t="e">
        <f t="shared" si="2504"/>
        <v>#REF!</v>
      </c>
      <c r="BI824" s="80" t="e">
        <f t="shared" si="2485"/>
        <v>#REF!</v>
      </c>
      <c r="BJ824" s="238">
        <v>380</v>
      </c>
    </row>
    <row r="825" spans="1:62" ht="13">
      <c r="A825" s="90"/>
      <c r="B825" s="91"/>
      <c r="C825" s="51">
        <v>823</v>
      </c>
      <c r="D825" s="197" t="s">
        <v>1862</v>
      </c>
      <c r="E825" s="198">
        <v>8</v>
      </c>
      <c r="F825" s="88" t="s">
        <v>1154</v>
      </c>
      <c r="G825" s="89" t="s">
        <v>1156</v>
      </c>
      <c r="H825" s="89" t="s">
        <v>1542</v>
      </c>
      <c r="I825" s="88" t="s">
        <v>458</v>
      </c>
      <c r="J825" s="93">
        <f t="shared" si="2487"/>
        <v>1</v>
      </c>
      <c r="K825" s="88">
        <v>1</v>
      </c>
      <c r="L825" s="58"/>
      <c r="M825" s="58"/>
      <c r="N825" s="62">
        <f t="shared" si="2488"/>
        <v>1</v>
      </c>
      <c r="O825" s="60"/>
      <c r="P825" s="58"/>
      <c r="Q825" s="62">
        <f t="shared" si="2489"/>
        <v>1</v>
      </c>
      <c r="R825" s="60"/>
      <c r="S825" s="58"/>
      <c r="T825" s="94">
        <f t="shared" si="2490"/>
        <v>1</v>
      </c>
      <c r="U825" s="60"/>
      <c r="V825" s="58"/>
      <c r="W825" s="62">
        <f t="shared" si="2491"/>
        <v>1</v>
      </c>
      <c r="X825" s="60"/>
      <c r="Y825" s="58"/>
      <c r="Z825" s="94">
        <f t="shared" si="2492"/>
        <v>1</v>
      </c>
      <c r="AA825" s="60"/>
      <c r="AB825" s="58"/>
      <c r="AC825" s="62">
        <f t="shared" si="2493"/>
        <v>1</v>
      </c>
      <c r="AD825" s="57"/>
      <c r="AE825" s="58"/>
      <c r="AF825" s="165">
        <f t="shared" si="2494"/>
        <v>1</v>
      </c>
      <c r="AG825" s="60"/>
      <c r="AH825" s="58"/>
      <c r="AI825" s="62">
        <f t="shared" si="2495"/>
        <v>1</v>
      </c>
      <c r="AJ825" s="60"/>
      <c r="AK825" s="58"/>
      <c r="AL825" s="62">
        <f t="shared" si="2496"/>
        <v>1</v>
      </c>
      <c r="AM825" s="60"/>
      <c r="AN825" s="58"/>
      <c r="AO825" s="62">
        <f t="shared" si="2497"/>
        <v>1</v>
      </c>
      <c r="AP825" s="60"/>
      <c r="AQ825" s="58"/>
      <c r="AR825" s="62">
        <f t="shared" si="2498"/>
        <v>1</v>
      </c>
      <c r="AS825" s="60"/>
      <c r="AT825" s="58"/>
      <c r="AU825" s="62">
        <f t="shared" si="2499"/>
        <v>1</v>
      </c>
      <c r="AV825" s="96">
        <f t="shared" si="2500"/>
        <v>0</v>
      </c>
      <c r="AW825" s="83">
        <f t="shared" si="2500"/>
        <v>0</v>
      </c>
      <c r="AX825" s="98">
        <f t="shared" si="2501"/>
        <v>0</v>
      </c>
      <c r="AY825" s="99" t="e">
        <f t="shared" si="2502"/>
        <v>#DIV/0!</v>
      </c>
      <c r="AZ825" s="100">
        <f t="shared" si="2503"/>
        <v>0</v>
      </c>
      <c r="BA825" s="101">
        <v>1</v>
      </c>
      <c r="BB825" s="102">
        <v>0</v>
      </c>
      <c r="BC825" s="84">
        <f t="shared" si="2486"/>
        <v>1</v>
      </c>
      <c r="BD825" s="83">
        <f t="shared" si="2483"/>
        <v>1</v>
      </c>
      <c r="BE825" s="85">
        <v>2</v>
      </c>
      <c r="BF825" s="86">
        <v>45932.584675925929</v>
      </c>
      <c r="BG825" s="72" t="e">
        <f t="shared" si="2446"/>
        <v>#REF!</v>
      </c>
      <c r="BH825" s="103" t="e">
        <f t="shared" si="2504"/>
        <v>#REF!</v>
      </c>
      <c r="BI825" s="80" t="e">
        <f t="shared" si="2485"/>
        <v>#REF!</v>
      </c>
      <c r="BJ825" s="238">
        <v>39900</v>
      </c>
    </row>
    <row r="826" spans="1:62" ht="13">
      <c r="A826" s="90"/>
      <c r="B826" s="91"/>
      <c r="C826" s="77">
        <v>824</v>
      </c>
      <c r="D826" s="199" t="s">
        <v>1862</v>
      </c>
      <c r="E826" s="200">
        <v>9</v>
      </c>
      <c r="F826" s="88" t="s">
        <v>1851</v>
      </c>
      <c r="G826" s="89" t="s">
        <v>1852</v>
      </c>
      <c r="H826" s="89" t="s">
        <v>1542</v>
      </c>
      <c r="I826" s="88" t="s">
        <v>458</v>
      </c>
      <c r="J826" s="93">
        <f t="shared" si="2487"/>
        <v>1</v>
      </c>
      <c r="K826" s="80">
        <v>1</v>
      </c>
      <c r="L826" s="58"/>
      <c r="M826" s="58"/>
      <c r="N826" s="62">
        <f t="shared" si="2488"/>
        <v>1</v>
      </c>
      <c r="O826" s="60"/>
      <c r="P826" s="58"/>
      <c r="Q826" s="62">
        <f t="shared" si="2489"/>
        <v>1</v>
      </c>
      <c r="R826" s="60"/>
      <c r="S826" s="58"/>
      <c r="T826" s="94">
        <f t="shared" si="2490"/>
        <v>1</v>
      </c>
      <c r="U826" s="60"/>
      <c r="V826" s="58"/>
      <c r="W826" s="62">
        <f t="shared" si="2491"/>
        <v>1</v>
      </c>
      <c r="X826" s="60"/>
      <c r="Y826" s="58"/>
      <c r="Z826" s="94">
        <f t="shared" si="2492"/>
        <v>1</v>
      </c>
      <c r="AA826" s="60"/>
      <c r="AB826" s="58"/>
      <c r="AC826" s="62">
        <f t="shared" si="2493"/>
        <v>1</v>
      </c>
      <c r="AD826" s="57"/>
      <c r="AE826" s="58"/>
      <c r="AF826" s="165">
        <f t="shared" si="2494"/>
        <v>1</v>
      </c>
      <c r="AG826" s="60"/>
      <c r="AH826" s="58"/>
      <c r="AI826" s="62">
        <f t="shared" si="2495"/>
        <v>1</v>
      </c>
      <c r="AJ826" s="60"/>
      <c r="AK826" s="58"/>
      <c r="AL826" s="62">
        <f t="shared" si="2496"/>
        <v>1</v>
      </c>
      <c r="AM826" s="60"/>
      <c r="AN826" s="58"/>
      <c r="AO826" s="62">
        <f t="shared" si="2497"/>
        <v>1</v>
      </c>
      <c r="AP826" s="60"/>
      <c r="AQ826" s="58"/>
      <c r="AR826" s="62">
        <f t="shared" si="2498"/>
        <v>1</v>
      </c>
      <c r="AS826" s="60"/>
      <c r="AT826" s="58"/>
      <c r="AU826" s="62">
        <f t="shared" si="2499"/>
        <v>1</v>
      </c>
      <c r="AV826" s="96">
        <f t="shared" si="2500"/>
        <v>0</v>
      </c>
      <c r="AW826" s="83">
        <f t="shared" si="2500"/>
        <v>0</v>
      </c>
      <c r="AX826" s="98">
        <f t="shared" si="2501"/>
        <v>0</v>
      </c>
      <c r="AY826" s="99" t="e">
        <f t="shared" si="2502"/>
        <v>#DIV/0!</v>
      </c>
      <c r="AZ826" s="100">
        <f t="shared" si="2503"/>
        <v>0</v>
      </c>
      <c r="BA826" s="101">
        <v>1</v>
      </c>
      <c r="BB826" s="102">
        <v>0</v>
      </c>
      <c r="BC826" s="84">
        <f t="shared" si="2486"/>
        <v>1</v>
      </c>
      <c r="BD826" s="83">
        <f t="shared" si="2483"/>
        <v>1</v>
      </c>
      <c r="BE826" s="85">
        <v>2</v>
      </c>
      <c r="BF826" s="86">
        <v>45932.584675925929</v>
      </c>
      <c r="BG826" s="72" t="e">
        <f t="shared" si="2446"/>
        <v>#REF!</v>
      </c>
      <c r="BH826" s="103" t="e">
        <f t="shared" si="2504"/>
        <v>#REF!</v>
      </c>
      <c r="BI826" s="80" t="e">
        <f t="shared" si="2485"/>
        <v>#REF!</v>
      </c>
      <c r="BJ826" s="238">
        <v>500</v>
      </c>
    </row>
    <row r="827" spans="1:62" ht="13">
      <c r="A827" s="49"/>
      <c r="B827" s="50"/>
      <c r="C827" s="77">
        <v>825</v>
      </c>
      <c r="D827" s="201" t="s">
        <v>1529</v>
      </c>
      <c r="E827" s="202" t="s">
        <v>1921</v>
      </c>
      <c r="F827" s="80" t="s">
        <v>911</v>
      </c>
      <c r="G827" s="81" t="s">
        <v>912</v>
      </c>
      <c r="H827" s="81" t="s">
        <v>294</v>
      </c>
      <c r="I827" s="80" t="s">
        <v>458</v>
      </c>
      <c r="J827" s="82">
        <f t="shared" si="2487"/>
        <v>1</v>
      </c>
      <c r="K827" s="80">
        <v>1</v>
      </c>
      <c r="L827" s="57"/>
      <c r="M827" s="58"/>
      <c r="N827" s="59">
        <f t="shared" si="2488"/>
        <v>1</v>
      </c>
      <c r="O827" s="60"/>
      <c r="P827" s="58"/>
      <c r="Q827" s="59">
        <f t="shared" si="2489"/>
        <v>1</v>
      </c>
      <c r="R827" s="60"/>
      <c r="S827" s="58"/>
      <c r="T827" s="61">
        <f t="shared" si="2490"/>
        <v>1</v>
      </c>
      <c r="U827" s="60"/>
      <c r="V827" s="58"/>
      <c r="W827" s="59">
        <f t="shared" si="2491"/>
        <v>1</v>
      </c>
      <c r="X827" s="60"/>
      <c r="Y827" s="58"/>
      <c r="Z827" s="61">
        <f t="shared" si="2492"/>
        <v>1</v>
      </c>
      <c r="AA827" s="60"/>
      <c r="AB827" s="58"/>
      <c r="AC827" s="59">
        <f t="shared" si="2493"/>
        <v>1</v>
      </c>
      <c r="AD827" s="57"/>
      <c r="AE827" s="58"/>
      <c r="AF827" s="243">
        <f t="shared" si="2494"/>
        <v>1</v>
      </c>
      <c r="AG827" s="60"/>
      <c r="AH827" s="58"/>
      <c r="AI827" s="62">
        <f t="shared" si="2495"/>
        <v>1</v>
      </c>
      <c r="AJ827" s="60"/>
      <c r="AK827" s="58"/>
      <c r="AL827" s="62">
        <f t="shared" si="2496"/>
        <v>1</v>
      </c>
      <c r="AM827" s="60"/>
      <c r="AN827" s="58"/>
      <c r="AO827" s="62">
        <f t="shared" si="2497"/>
        <v>1</v>
      </c>
      <c r="AP827" s="60"/>
      <c r="AQ827" s="58"/>
      <c r="AR827" s="62">
        <f t="shared" si="2498"/>
        <v>1</v>
      </c>
      <c r="AS827" s="60"/>
      <c r="AT827" s="58"/>
      <c r="AU827" s="62">
        <f t="shared" si="2499"/>
        <v>1</v>
      </c>
      <c r="AV827" s="83">
        <f t="shared" si="2500"/>
        <v>0</v>
      </c>
      <c r="AW827" s="83">
        <f t="shared" si="2500"/>
        <v>0</v>
      </c>
      <c r="AX827" s="64">
        <f t="shared" si="2501"/>
        <v>0</v>
      </c>
      <c r="AY827" s="65" t="e">
        <f t="shared" si="2502"/>
        <v>#DIV/0!</v>
      </c>
      <c r="AZ827" s="66">
        <f t="shared" si="2503"/>
        <v>0</v>
      </c>
      <c r="BA827" s="67">
        <v>1</v>
      </c>
      <c r="BB827" s="68">
        <v>0</v>
      </c>
      <c r="BC827" s="84">
        <f t="shared" si="2486"/>
        <v>1</v>
      </c>
      <c r="BD827" s="83">
        <f t="shared" si="2483"/>
        <v>1</v>
      </c>
      <c r="BE827" s="85">
        <v>2</v>
      </c>
      <c r="BF827" s="86">
        <v>44327.429456018515</v>
      </c>
      <c r="BG827" s="72" t="e">
        <f t="shared" si="2446"/>
        <v>#REF!</v>
      </c>
      <c r="BH827" s="87" t="e">
        <f t="shared" si="2504"/>
        <v>#REF!</v>
      </c>
      <c r="BI827" s="80" t="e">
        <f t="shared" si="2485"/>
        <v>#REF!</v>
      </c>
      <c r="BJ827" s="238">
        <v>195000</v>
      </c>
    </row>
    <row r="828" spans="1:62" ht="13">
      <c r="A828" s="90"/>
      <c r="B828" s="91"/>
      <c r="C828" s="51">
        <v>826</v>
      </c>
      <c r="D828" s="201" t="s">
        <v>1529</v>
      </c>
      <c r="E828" s="202" t="s">
        <v>1921</v>
      </c>
      <c r="F828" s="80" t="s">
        <v>909</v>
      </c>
      <c r="G828" s="81" t="s">
        <v>910</v>
      </c>
      <c r="H828" s="81" t="s">
        <v>294</v>
      </c>
      <c r="I828" s="80" t="s">
        <v>458</v>
      </c>
      <c r="J828" s="82">
        <f t="shared" si="2487"/>
        <v>1</v>
      </c>
      <c r="K828" s="80">
        <v>1</v>
      </c>
      <c r="L828" s="57"/>
      <c r="M828" s="58"/>
      <c r="N828" s="59">
        <f t="shared" si="2488"/>
        <v>1</v>
      </c>
      <c r="O828" s="60"/>
      <c r="P828" s="58"/>
      <c r="Q828" s="59">
        <f t="shared" si="2489"/>
        <v>1</v>
      </c>
      <c r="R828" s="60"/>
      <c r="S828" s="58"/>
      <c r="T828" s="61">
        <f t="shared" si="2490"/>
        <v>1</v>
      </c>
      <c r="U828" s="60"/>
      <c r="V828" s="58"/>
      <c r="W828" s="59">
        <f t="shared" si="2491"/>
        <v>1</v>
      </c>
      <c r="X828" s="60"/>
      <c r="Y828" s="58"/>
      <c r="Z828" s="61">
        <f t="shared" si="2492"/>
        <v>1</v>
      </c>
      <c r="AA828" s="60"/>
      <c r="AB828" s="58"/>
      <c r="AC828" s="59">
        <f t="shared" si="2493"/>
        <v>1</v>
      </c>
      <c r="AD828" s="57"/>
      <c r="AE828" s="58"/>
      <c r="AF828" s="243">
        <f t="shared" si="2494"/>
        <v>1</v>
      </c>
      <c r="AG828" s="60"/>
      <c r="AH828" s="58"/>
      <c r="AI828" s="62">
        <f t="shared" si="2495"/>
        <v>1</v>
      </c>
      <c r="AJ828" s="60"/>
      <c r="AK828" s="58"/>
      <c r="AL828" s="62">
        <f t="shared" si="2496"/>
        <v>1</v>
      </c>
      <c r="AM828" s="60"/>
      <c r="AN828" s="58"/>
      <c r="AO828" s="62">
        <f t="shared" si="2497"/>
        <v>1</v>
      </c>
      <c r="AP828" s="60"/>
      <c r="AQ828" s="58"/>
      <c r="AR828" s="62">
        <f t="shared" si="2498"/>
        <v>1</v>
      </c>
      <c r="AS828" s="60"/>
      <c r="AT828" s="58"/>
      <c r="AU828" s="62">
        <f t="shared" si="2499"/>
        <v>1</v>
      </c>
      <c r="AV828" s="83">
        <f t="shared" si="2500"/>
        <v>0</v>
      </c>
      <c r="AW828" s="83">
        <f t="shared" si="2500"/>
        <v>0</v>
      </c>
      <c r="AX828" s="64">
        <f t="shared" si="2501"/>
        <v>0</v>
      </c>
      <c r="AY828" s="65" t="e">
        <f t="shared" si="2502"/>
        <v>#DIV/0!</v>
      </c>
      <c r="AZ828" s="66">
        <f t="shared" si="2503"/>
        <v>0</v>
      </c>
      <c r="BA828" s="67">
        <f>MAX(0, Table176252626[[#This Row],[Column6]])</f>
        <v>1</v>
      </c>
      <c r="BB828" s="68">
        <v>0</v>
      </c>
      <c r="BC828" s="84">
        <f t="shared" si="2486"/>
        <v>1</v>
      </c>
      <c r="BD828" s="83">
        <f t="shared" si="2483"/>
        <v>1</v>
      </c>
      <c r="BE828" s="85">
        <v>2</v>
      </c>
      <c r="BF828" s="86">
        <v>44327.429456018515</v>
      </c>
      <c r="BG828" s="72" t="e">
        <f t="shared" si="2446"/>
        <v>#REF!</v>
      </c>
      <c r="BH828" s="87" t="e">
        <f t="shared" si="2504"/>
        <v>#REF!</v>
      </c>
      <c r="BI828" s="80" t="e">
        <f t="shared" si="2485"/>
        <v>#REF!</v>
      </c>
      <c r="BJ828" s="238">
        <v>110000</v>
      </c>
    </row>
    <row r="829" spans="1:62" ht="13">
      <c r="A829" s="49"/>
      <c r="B829" s="50"/>
      <c r="C829" s="51">
        <v>827</v>
      </c>
      <c r="D829" s="201" t="s">
        <v>1529</v>
      </c>
      <c r="E829" s="144" t="s">
        <v>1791</v>
      </c>
      <c r="F829" s="80" t="s">
        <v>745</v>
      </c>
      <c r="G829" s="81" t="s">
        <v>746</v>
      </c>
      <c r="H829" s="81" t="s">
        <v>294</v>
      </c>
      <c r="I829" s="80" t="s">
        <v>458</v>
      </c>
      <c r="J829" s="82">
        <f t="shared" si="2487"/>
        <v>1</v>
      </c>
      <c r="K829" s="80">
        <v>1</v>
      </c>
      <c r="L829" s="57"/>
      <c r="M829" s="58"/>
      <c r="N829" s="59">
        <f t="shared" si="2488"/>
        <v>1</v>
      </c>
      <c r="O829" s="60"/>
      <c r="P829" s="58"/>
      <c r="Q829" s="59">
        <f t="shared" si="2489"/>
        <v>1</v>
      </c>
      <c r="R829" s="60"/>
      <c r="S829" s="58"/>
      <c r="T829" s="61">
        <f t="shared" si="2490"/>
        <v>1</v>
      </c>
      <c r="U829" s="60"/>
      <c r="V829" s="58"/>
      <c r="W829" s="59">
        <f t="shared" si="2491"/>
        <v>1</v>
      </c>
      <c r="X829" s="60"/>
      <c r="Y829" s="58"/>
      <c r="Z829" s="61">
        <f t="shared" si="2492"/>
        <v>1</v>
      </c>
      <c r="AA829" s="60"/>
      <c r="AB829" s="58"/>
      <c r="AC829" s="59">
        <f t="shared" si="2493"/>
        <v>1</v>
      </c>
      <c r="AD829" s="57"/>
      <c r="AE829" s="58"/>
      <c r="AF829" s="243">
        <f t="shared" si="2494"/>
        <v>1</v>
      </c>
      <c r="AG829" s="60"/>
      <c r="AH829" s="58"/>
      <c r="AI829" s="62">
        <f t="shared" si="2495"/>
        <v>1</v>
      </c>
      <c r="AJ829" s="60"/>
      <c r="AK829" s="58"/>
      <c r="AL829" s="62">
        <f t="shared" si="2496"/>
        <v>1</v>
      </c>
      <c r="AM829" s="60"/>
      <c r="AN829" s="58"/>
      <c r="AO829" s="62">
        <f t="shared" si="2497"/>
        <v>1</v>
      </c>
      <c r="AP829" s="60"/>
      <c r="AQ829" s="58"/>
      <c r="AR829" s="62">
        <f t="shared" si="2498"/>
        <v>1</v>
      </c>
      <c r="AS829" s="60"/>
      <c r="AT829" s="58"/>
      <c r="AU829" s="62">
        <f t="shared" si="2499"/>
        <v>1</v>
      </c>
      <c r="AV829" s="83">
        <f>SUM(L829+O829+R829+U829+X829+AA829+AD829+AG829+AJ829+AM829+AP829+AS829)</f>
        <v>0</v>
      </c>
      <c r="AW829" s="83">
        <f>SUM(M829+P829+S829+V829+Y829+AB829+AE829+AH829+AK829+AN829+AQ829+AT829)</f>
        <v>0</v>
      </c>
      <c r="AX829" s="64">
        <f t="shared" si="2501"/>
        <v>0</v>
      </c>
      <c r="AY829" s="65" t="e">
        <f t="shared" si="2502"/>
        <v>#DIV/0!</v>
      </c>
      <c r="AZ829" s="66">
        <f t="shared" si="2503"/>
        <v>0</v>
      </c>
      <c r="BA829" s="67">
        <f>MAX(0, Table176252626[[#This Row],[Column6]])</f>
        <v>1</v>
      </c>
      <c r="BB829" s="68">
        <v>0</v>
      </c>
      <c r="BC829" s="84">
        <f t="shared" si="2486"/>
        <v>1</v>
      </c>
      <c r="BD829" s="83">
        <f t="shared" si="2483"/>
        <v>1</v>
      </c>
      <c r="BE829" s="85">
        <v>2</v>
      </c>
      <c r="BF829" s="86">
        <v>43643.551446759258</v>
      </c>
      <c r="BG829" s="72" t="e">
        <f t="shared" si="2446"/>
        <v>#REF!</v>
      </c>
      <c r="BH829" s="107" t="e">
        <f t="shared" si="2504"/>
        <v>#REF!</v>
      </c>
      <c r="BI829" s="80" t="e">
        <f t="shared" si="2485"/>
        <v>#REF!</v>
      </c>
      <c r="BJ829" s="238">
        <v>80000</v>
      </c>
    </row>
    <row r="830" spans="1:62" ht="13">
      <c r="A830" s="49"/>
      <c r="B830" s="50"/>
      <c r="C830" s="51">
        <v>828</v>
      </c>
      <c r="D830" s="201" t="s">
        <v>1529</v>
      </c>
      <c r="E830" s="203" t="s">
        <v>1863</v>
      </c>
      <c r="F830" s="80" t="s">
        <v>706</v>
      </c>
      <c r="G830" s="81" t="s">
        <v>1757</v>
      </c>
      <c r="H830" s="81" t="s">
        <v>294</v>
      </c>
      <c r="I830" s="80" t="s">
        <v>458</v>
      </c>
      <c r="J830" s="82">
        <f t="shared" ref="J830" si="2505">AU830</f>
        <v>1</v>
      </c>
      <c r="K830" s="80">
        <v>0</v>
      </c>
      <c r="L830" s="57">
        <v>1</v>
      </c>
      <c r="M830" s="58"/>
      <c r="N830" s="59">
        <f t="shared" ref="N830" si="2506">SUM(K830+L830-M830)</f>
        <v>1</v>
      </c>
      <c r="O830" s="60"/>
      <c r="P830" s="58"/>
      <c r="Q830" s="59">
        <f t="shared" ref="Q830" si="2507">SUM(N830+O830-P830)</f>
        <v>1</v>
      </c>
      <c r="R830" s="60"/>
      <c r="S830" s="58"/>
      <c r="T830" s="61">
        <f t="shared" ref="T830" si="2508">SUM(Q830+R830-S830)</f>
        <v>1</v>
      </c>
      <c r="U830" s="60"/>
      <c r="V830" s="58"/>
      <c r="W830" s="59">
        <f t="shared" ref="W830" si="2509">SUM(T830+U830-V830)</f>
        <v>1</v>
      </c>
      <c r="X830" s="60"/>
      <c r="Y830" s="58"/>
      <c r="Z830" s="61">
        <f t="shared" ref="Z830" si="2510">SUM(W830+X830-Y830)</f>
        <v>1</v>
      </c>
      <c r="AA830" s="60"/>
      <c r="AB830" s="58"/>
      <c r="AC830" s="59">
        <f t="shared" ref="AC830" si="2511">SUM(Z830+AA830-AB830)</f>
        <v>1</v>
      </c>
      <c r="AD830" s="57">
        <v>1</v>
      </c>
      <c r="AE830" s="58">
        <v>1</v>
      </c>
      <c r="AF830" s="243">
        <f t="shared" ref="AF830" si="2512">SUM(AC830+AD830-AE830)</f>
        <v>1</v>
      </c>
      <c r="AG830" s="60"/>
      <c r="AH830" s="58"/>
      <c r="AI830" s="62">
        <f t="shared" ref="AI830" si="2513">SUM(AF830+AG830-AH830)</f>
        <v>1</v>
      </c>
      <c r="AJ830" s="60"/>
      <c r="AK830" s="58"/>
      <c r="AL830" s="62">
        <f t="shared" ref="AL830" si="2514">SUM(AI830+AJ830-AK830)</f>
        <v>1</v>
      </c>
      <c r="AM830" s="60"/>
      <c r="AN830" s="58"/>
      <c r="AO830" s="62">
        <f t="shared" ref="AO830" si="2515">SUM(AL830+AM830-AN830)</f>
        <v>1</v>
      </c>
      <c r="AP830" s="60"/>
      <c r="AQ830" s="58"/>
      <c r="AR830" s="62">
        <f t="shared" ref="AR830" si="2516">SUM(AO830+AP830-AQ830)</f>
        <v>1</v>
      </c>
      <c r="AS830" s="60"/>
      <c r="AT830" s="58"/>
      <c r="AU830" s="62">
        <f t="shared" ref="AU830" si="2517">SUM(AR830+AS830-AT830)</f>
        <v>1</v>
      </c>
      <c r="AV830" s="83">
        <f t="shared" ref="AV830" si="2518">SUM(L830+O830+R830+U830+X830+AA830+AD830+AG830+AJ830+AM830+AP830+AS830)</f>
        <v>2</v>
      </c>
      <c r="AW830" s="83">
        <f t="shared" ref="AW830:AW850" si="2519">SUM(M830+P830+S830+V830+Y830+AB830+AE830+AH830+AK830+AN830+AQ830+AT830)</f>
        <v>1</v>
      </c>
      <c r="AX830" s="64">
        <f t="shared" ref="AX830" si="2520">SUM(M830,P830,S830,V830,Y830,AB830,AE830,AH830,AK830,AN830,AQ830,AT830)</f>
        <v>1</v>
      </c>
      <c r="AY830" s="65">
        <f t="shared" ref="AY830" si="2521">AVERAGE(M830,P830,S830,V830,Y830,AB830,AE830,AH830,AK830,AN830,AQ830,AT830)</f>
        <v>1</v>
      </c>
      <c r="AZ830" s="66">
        <f t="shared" ref="AZ830" si="2522">COUNT(M830,P830,S830,V830,Y830,AB830,AE830,AH830,AK830,AN830,AQ830,AT830)</f>
        <v>1</v>
      </c>
      <c r="BA830" s="67">
        <f>MAX(0, Table176252626[[#This Row],[Column6]])</f>
        <v>1</v>
      </c>
      <c r="BB830" s="68">
        <v>0</v>
      </c>
      <c r="BC830" s="84">
        <f t="shared" si="2486"/>
        <v>1</v>
      </c>
      <c r="BD830" s="83">
        <f t="shared" si="2483"/>
        <v>1</v>
      </c>
      <c r="BE830" s="85">
        <v>2</v>
      </c>
      <c r="BF830" s="86">
        <v>46228</v>
      </c>
      <c r="BG830" s="72" t="e">
        <f t="shared" si="2446"/>
        <v>#REF!</v>
      </c>
      <c r="BH830" s="87" t="e">
        <f t="shared" ref="BH830" si="2523">BG830-BF830</f>
        <v>#REF!</v>
      </c>
      <c r="BI830" s="80" t="e">
        <f t="shared" si="2485"/>
        <v>#REF!</v>
      </c>
      <c r="BJ830" s="238">
        <v>310000</v>
      </c>
    </row>
    <row r="831" spans="1:62" ht="13">
      <c r="A831" s="75"/>
      <c r="B831" s="76"/>
      <c r="C831" s="51">
        <v>829</v>
      </c>
      <c r="D831" s="201" t="s">
        <v>1529</v>
      </c>
      <c r="E831" s="203" t="s">
        <v>1922</v>
      </c>
      <c r="F831" s="80" t="s">
        <v>670</v>
      </c>
      <c r="G831" s="81" t="s">
        <v>671</v>
      </c>
      <c r="H831" s="81" t="s">
        <v>294</v>
      </c>
      <c r="I831" s="80" t="s">
        <v>458</v>
      </c>
      <c r="J831" s="82">
        <f t="shared" ref="J831:J843" si="2524">AU831</f>
        <v>1</v>
      </c>
      <c r="K831" s="80">
        <v>1</v>
      </c>
      <c r="L831" s="57"/>
      <c r="M831" s="58"/>
      <c r="N831" s="59">
        <f t="shared" ref="N831:N843" si="2525">SUM(K831+L831-M831)</f>
        <v>1</v>
      </c>
      <c r="O831" s="60"/>
      <c r="P831" s="58"/>
      <c r="Q831" s="59">
        <f t="shared" ref="Q831:Q843" si="2526">SUM(N831+O831-P831)</f>
        <v>1</v>
      </c>
      <c r="R831" s="60"/>
      <c r="S831" s="58"/>
      <c r="T831" s="61">
        <f t="shared" ref="T831:T843" si="2527">SUM(Q831+R831-S831)</f>
        <v>1</v>
      </c>
      <c r="U831" s="60"/>
      <c r="V831" s="58"/>
      <c r="W831" s="59">
        <f t="shared" ref="W831:W843" si="2528">SUM(T831+U831-V831)</f>
        <v>1</v>
      </c>
      <c r="X831" s="60"/>
      <c r="Y831" s="58"/>
      <c r="Z831" s="61">
        <f t="shared" ref="Z831:Z843" si="2529">SUM(W831+X831-Y831)</f>
        <v>1</v>
      </c>
      <c r="AA831" s="60"/>
      <c r="AB831" s="58"/>
      <c r="AC831" s="59">
        <f t="shared" ref="AC831:AC843" si="2530">SUM(Z831+AA831-AB831)</f>
        <v>1</v>
      </c>
      <c r="AD831" s="57"/>
      <c r="AE831" s="58"/>
      <c r="AF831" s="243">
        <f t="shared" ref="AF831:AF843" si="2531">SUM(AC831+AD831-AE831)</f>
        <v>1</v>
      </c>
      <c r="AG831" s="60"/>
      <c r="AH831" s="58"/>
      <c r="AI831" s="62">
        <f t="shared" ref="AI831:AI843" si="2532">SUM(AF831+AG831-AH831)</f>
        <v>1</v>
      </c>
      <c r="AJ831" s="60"/>
      <c r="AK831" s="58"/>
      <c r="AL831" s="62">
        <f t="shared" ref="AL831:AL843" si="2533">SUM(AI831+AJ831-AK831)</f>
        <v>1</v>
      </c>
      <c r="AM831" s="60"/>
      <c r="AN831" s="58"/>
      <c r="AO831" s="62">
        <f t="shared" ref="AO831:AO844" si="2534">SUM(AL831+AM831-AN831)</f>
        <v>1</v>
      </c>
      <c r="AP831" s="60"/>
      <c r="AQ831" s="58"/>
      <c r="AR831" s="62">
        <f t="shared" ref="AR831:AR843" si="2535">SUM(AO831+AP831-AQ831)</f>
        <v>1</v>
      </c>
      <c r="AS831" s="60"/>
      <c r="AT831" s="58"/>
      <c r="AU831" s="62">
        <f t="shared" ref="AU831:AU843" si="2536">SUM(AR831+AS831-AT831)</f>
        <v>1</v>
      </c>
      <c r="AV831" s="83">
        <f t="shared" ref="AV831:AV832" si="2537">SUM(L831+O831+R831+U831+X831+AA831+AD831+AG831+AJ831+AM831+AP831+AS831)</f>
        <v>0</v>
      </c>
      <c r="AW831" s="83">
        <f t="shared" si="2519"/>
        <v>0</v>
      </c>
      <c r="AX831" s="64">
        <f t="shared" ref="AX831:AX843" si="2538">SUM(M831,P831,S831,V831,Y831,AB831,AE831,AH831,AK831,AN831,AQ831,AT831)</f>
        <v>0</v>
      </c>
      <c r="AY831" s="65" t="e">
        <f t="shared" ref="AY831:AY843" si="2539">AVERAGE(M831,P831,S831,V831,Y831,AB831,AE831,AH831,AK831,AN831,AQ831,AT831)</f>
        <v>#DIV/0!</v>
      </c>
      <c r="AZ831" s="66">
        <f t="shared" ref="AZ831:AZ843" si="2540">COUNT(M831,P831,S831,V831,Y831,AB831,AE831,AH831,AK831,AN831,AQ831,AT831)</f>
        <v>0</v>
      </c>
      <c r="BA831" s="67">
        <f>MAX(0, Table176252626[[#This Row],[Column6]])</f>
        <v>1</v>
      </c>
      <c r="BB831" s="68">
        <v>0</v>
      </c>
      <c r="BC831" s="84">
        <f t="shared" si="2486"/>
        <v>1</v>
      </c>
      <c r="BD831" s="83">
        <f t="shared" si="2483"/>
        <v>1</v>
      </c>
      <c r="BE831" s="85">
        <v>2</v>
      </c>
      <c r="BF831" s="86">
        <v>45335.498611111114</v>
      </c>
      <c r="BG831" s="72" t="e">
        <f t="shared" si="2446"/>
        <v>#REF!</v>
      </c>
      <c r="BH831" s="87" t="e">
        <f t="shared" ref="BH831:BH843" si="2541">BG831-BF831</f>
        <v>#REF!</v>
      </c>
      <c r="BI831" s="80" t="e">
        <f t="shared" si="2485"/>
        <v>#REF!</v>
      </c>
      <c r="BJ831" s="238">
        <v>270000</v>
      </c>
    </row>
    <row r="832" spans="1:62" ht="13">
      <c r="A832" s="49"/>
      <c r="B832" s="76"/>
      <c r="C832" s="77">
        <v>830</v>
      </c>
      <c r="D832" s="201" t="s">
        <v>1529</v>
      </c>
      <c r="E832" s="202" t="s">
        <v>1791</v>
      </c>
      <c r="F832" s="82" t="s">
        <v>482</v>
      </c>
      <c r="G832" s="81" t="s">
        <v>2053</v>
      </c>
      <c r="H832" s="81" t="s">
        <v>294</v>
      </c>
      <c r="I832" s="80" t="s">
        <v>458</v>
      </c>
      <c r="J832" s="82">
        <f t="shared" si="2524"/>
        <v>1</v>
      </c>
      <c r="K832" s="80">
        <v>1</v>
      </c>
      <c r="L832" s="57"/>
      <c r="M832" s="58"/>
      <c r="N832" s="59">
        <f t="shared" si="2525"/>
        <v>1</v>
      </c>
      <c r="O832" s="60"/>
      <c r="P832" s="58"/>
      <c r="Q832" s="59">
        <f t="shared" si="2526"/>
        <v>1</v>
      </c>
      <c r="R832" s="60"/>
      <c r="S832" s="58"/>
      <c r="T832" s="61">
        <f t="shared" si="2527"/>
        <v>1</v>
      </c>
      <c r="U832" s="60"/>
      <c r="V832" s="58"/>
      <c r="W832" s="59">
        <f t="shared" si="2528"/>
        <v>1</v>
      </c>
      <c r="X832" s="60"/>
      <c r="Y832" s="58"/>
      <c r="Z832" s="61">
        <f t="shared" si="2529"/>
        <v>1</v>
      </c>
      <c r="AA832" s="60"/>
      <c r="AB832" s="58"/>
      <c r="AC832" s="59">
        <f t="shared" si="2530"/>
        <v>1</v>
      </c>
      <c r="AD832" s="57"/>
      <c r="AE832" s="58"/>
      <c r="AF832" s="243">
        <f t="shared" si="2531"/>
        <v>1</v>
      </c>
      <c r="AG832" s="60"/>
      <c r="AH832" s="58"/>
      <c r="AI832" s="62">
        <f t="shared" si="2532"/>
        <v>1</v>
      </c>
      <c r="AJ832" s="60"/>
      <c r="AK832" s="58"/>
      <c r="AL832" s="62">
        <f t="shared" si="2533"/>
        <v>1</v>
      </c>
      <c r="AM832" s="60"/>
      <c r="AN832" s="58"/>
      <c r="AO832" s="62">
        <f t="shared" si="2534"/>
        <v>1</v>
      </c>
      <c r="AP832" s="60"/>
      <c r="AQ832" s="58"/>
      <c r="AR832" s="62">
        <f t="shared" si="2535"/>
        <v>1</v>
      </c>
      <c r="AS832" s="60"/>
      <c r="AT832" s="58"/>
      <c r="AU832" s="62">
        <f t="shared" si="2536"/>
        <v>1</v>
      </c>
      <c r="AV832" s="83">
        <f t="shared" si="2537"/>
        <v>0</v>
      </c>
      <c r="AW832" s="83">
        <f t="shared" si="2519"/>
        <v>0</v>
      </c>
      <c r="AX832" s="64">
        <f t="shared" si="2538"/>
        <v>0</v>
      </c>
      <c r="AY832" s="65" t="e">
        <f t="shared" si="2539"/>
        <v>#DIV/0!</v>
      </c>
      <c r="AZ832" s="66">
        <f t="shared" si="2540"/>
        <v>0</v>
      </c>
      <c r="BA832" s="67">
        <f>MAX(0, Table176252626[[#This Row],[Column6]])</f>
        <v>1</v>
      </c>
      <c r="BB832" s="68">
        <v>0</v>
      </c>
      <c r="BC832" s="84">
        <f t="shared" si="2486"/>
        <v>1</v>
      </c>
      <c r="BD832" s="83">
        <f t="shared" si="2483"/>
        <v>1</v>
      </c>
      <c r="BE832" s="85">
        <v>2</v>
      </c>
      <c r="BF832" s="86">
        <v>43214.581250000003</v>
      </c>
      <c r="BG832" s="72" t="e">
        <f t="shared" si="2446"/>
        <v>#REF!</v>
      </c>
      <c r="BH832" s="87" t="e">
        <f t="shared" si="2541"/>
        <v>#REF!</v>
      </c>
      <c r="BI832" s="80" t="e">
        <f t="shared" si="2485"/>
        <v>#REF!</v>
      </c>
      <c r="BJ832" s="238">
        <v>331000</v>
      </c>
    </row>
    <row r="833" spans="1:62" ht="13">
      <c r="A833" s="49"/>
      <c r="B833" s="50"/>
      <c r="C833" s="77">
        <v>831</v>
      </c>
      <c r="D833" s="201" t="s">
        <v>1529</v>
      </c>
      <c r="E833" s="203" t="s">
        <v>1920</v>
      </c>
      <c r="F833" s="88" t="s">
        <v>1574</v>
      </c>
      <c r="G833" s="89" t="s">
        <v>1575</v>
      </c>
      <c r="H833" s="89" t="s">
        <v>1576</v>
      </c>
      <c r="I833" s="80" t="s">
        <v>458</v>
      </c>
      <c r="J833" s="93">
        <f t="shared" si="2524"/>
        <v>1</v>
      </c>
      <c r="K833" s="80">
        <v>1</v>
      </c>
      <c r="L833" s="58"/>
      <c r="M833" s="58"/>
      <c r="N833" s="62">
        <f t="shared" si="2525"/>
        <v>1</v>
      </c>
      <c r="O833" s="60"/>
      <c r="P833" s="58"/>
      <c r="Q833" s="62">
        <f t="shared" si="2526"/>
        <v>1</v>
      </c>
      <c r="R833" s="60"/>
      <c r="S833" s="58"/>
      <c r="T833" s="94">
        <f t="shared" si="2527"/>
        <v>1</v>
      </c>
      <c r="U833" s="60"/>
      <c r="V833" s="58"/>
      <c r="W833" s="62">
        <f t="shared" si="2528"/>
        <v>1</v>
      </c>
      <c r="X833" s="60"/>
      <c r="Y833" s="58"/>
      <c r="Z833" s="94">
        <f t="shared" si="2529"/>
        <v>1</v>
      </c>
      <c r="AA833" s="60"/>
      <c r="AB833" s="58"/>
      <c r="AC833" s="62">
        <f t="shared" si="2530"/>
        <v>1</v>
      </c>
      <c r="AD833" s="57"/>
      <c r="AE833" s="58"/>
      <c r="AF833" s="165">
        <f t="shared" si="2531"/>
        <v>1</v>
      </c>
      <c r="AG833" s="60"/>
      <c r="AH833" s="58"/>
      <c r="AI833" s="62">
        <f t="shared" si="2532"/>
        <v>1</v>
      </c>
      <c r="AJ833" s="60"/>
      <c r="AK833" s="58"/>
      <c r="AL833" s="62">
        <f t="shared" si="2533"/>
        <v>1</v>
      </c>
      <c r="AM833" s="60"/>
      <c r="AN833" s="58"/>
      <c r="AO833" s="62">
        <f t="shared" si="2534"/>
        <v>1</v>
      </c>
      <c r="AP833" s="60"/>
      <c r="AQ833" s="58"/>
      <c r="AR833" s="62">
        <f t="shared" si="2535"/>
        <v>1</v>
      </c>
      <c r="AS833" s="60"/>
      <c r="AT833" s="58"/>
      <c r="AU833" s="62">
        <f t="shared" si="2536"/>
        <v>1</v>
      </c>
      <c r="AV833" s="96">
        <f t="shared" ref="AV833" si="2542">SUM(L833+O833+R833+U833+X833+AA833+AD833+AG833+AJ833+AM833+AP833+AS833)</f>
        <v>0</v>
      </c>
      <c r="AW833" s="83">
        <f t="shared" si="2519"/>
        <v>0</v>
      </c>
      <c r="AX833" s="98">
        <f t="shared" si="2538"/>
        <v>0</v>
      </c>
      <c r="AY833" s="99" t="e">
        <f t="shared" si="2539"/>
        <v>#DIV/0!</v>
      </c>
      <c r="AZ833" s="100">
        <f t="shared" si="2540"/>
        <v>0</v>
      </c>
      <c r="BA833" s="101">
        <v>1</v>
      </c>
      <c r="BB833" s="102">
        <v>0</v>
      </c>
      <c r="BC833" s="84">
        <f t="shared" si="2486"/>
        <v>1</v>
      </c>
      <c r="BD833" s="83">
        <f t="shared" si="2483"/>
        <v>1</v>
      </c>
      <c r="BE833" s="85">
        <v>2</v>
      </c>
      <c r="BF833" s="86">
        <v>45436.691157407404</v>
      </c>
      <c r="BG833" s="72" t="e">
        <f t="shared" si="2446"/>
        <v>#REF!</v>
      </c>
      <c r="BH833" s="103" t="e">
        <f t="shared" si="2541"/>
        <v>#REF!</v>
      </c>
      <c r="BI833" s="80" t="e">
        <f t="shared" si="2485"/>
        <v>#REF!</v>
      </c>
      <c r="BJ833" s="238">
        <v>420000</v>
      </c>
    </row>
    <row r="834" spans="1:62" ht="13">
      <c r="A834" s="49"/>
      <c r="B834" s="50"/>
      <c r="C834" s="51">
        <v>832</v>
      </c>
      <c r="D834" s="201" t="s">
        <v>1529</v>
      </c>
      <c r="E834" s="202" t="s">
        <v>1669</v>
      </c>
      <c r="F834" s="88" t="s">
        <v>1639</v>
      </c>
      <c r="G834" s="89" t="s">
        <v>1640</v>
      </c>
      <c r="H834" s="89" t="s">
        <v>293</v>
      </c>
      <c r="I834" s="88" t="s">
        <v>458</v>
      </c>
      <c r="J834" s="93">
        <f t="shared" si="2524"/>
        <v>1</v>
      </c>
      <c r="K834" s="80">
        <v>1</v>
      </c>
      <c r="L834" s="58"/>
      <c r="M834" s="58"/>
      <c r="N834" s="62">
        <f t="shared" si="2525"/>
        <v>1</v>
      </c>
      <c r="O834" s="60"/>
      <c r="P834" s="58"/>
      <c r="Q834" s="62">
        <f t="shared" si="2526"/>
        <v>1</v>
      </c>
      <c r="R834" s="60"/>
      <c r="S834" s="58"/>
      <c r="T834" s="94">
        <f t="shared" si="2527"/>
        <v>1</v>
      </c>
      <c r="U834" s="60"/>
      <c r="V834" s="58"/>
      <c r="W834" s="62">
        <f t="shared" si="2528"/>
        <v>1</v>
      </c>
      <c r="X834" s="60"/>
      <c r="Y834" s="58"/>
      <c r="Z834" s="94">
        <f t="shared" si="2529"/>
        <v>1</v>
      </c>
      <c r="AA834" s="60"/>
      <c r="AB834" s="58"/>
      <c r="AC834" s="62">
        <f t="shared" si="2530"/>
        <v>1</v>
      </c>
      <c r="AD834" s="57"/>
      <c r="AE834" s="58"/>
      <c r="AF834" s="165">
        <f t="shared" si="2531"/>
        <v>1</v>
      </c>
      <c r="AG834" s="60"/>
      <c r="AH834" s="58"/>
      <c r="AI834" s="62">
        <f t="shared" si="2532"/>
        <v>1</v>
      </c>
      <c r="AJ834" s="60"/>
      <c r="AK834" s="58"/>
      <c r="AL834" s="62">
        <f t="shared" si="2533"/>
        <v>1</v>
      </c>
      <c r="AM834" s="60"/>
      <c r="AN834" s="58"/>
      <c r="AO834" s="62">
        <f t="shared" si="2534"/>
        <v>1</v>
      </c>
      <c r="AP834" s="60"/>
      <c r="AQ834" s="58"/>
      <c r="AR834" s="62">
        <f t="shared" si="2535"/>
        <v>1</v>
      </c>
      <c r="AS834" s="60"/>
      <c r="AT834" s="58"/>
      <c r="AU834" s="62">
        <f t="shared" si="2536"/>
        <v>1</v>
      </c>
      <c r="AV834" s="96">
        <f>SUM(L834+O834+R834+U834+X834+AA834+AD834+AG834+AJ834+AM834+AP834+AS834)</f>
        <v>0</v>
      </c>
      <c r="AW834" s="83">
        <f t="shared" si="2519"/>
        <v>0</v>
      </c>
      <c r="AX834" s="98">
        <f t="shared" si="2538"/>
        <v>0</v>
      </c>
      <c r="AY834" s="99" t="e">
        <f t="shared" si="2539"/>
        <v>#DIV/0!</v>
      </c>
      <c r="AZ834" s="100">
        <f t="shared" si="2540"/>
        <v>0</v>
      </c>
      <c r="BA834" s="101">
        <v>1</v>
      </c>
      <c r="BB834" s="102">
        <v>0</v>
      </c>
      <c r="BC834" s="84">
        <f t="shared" si="2486"/>
        <v>1</v>
      </c>
      <c r="BD834" s="83">
        <f t="shared" si="2483"/>
        <v>1</v>
      </c>
      <c r="BE834" s="85">
        <v>2</v>
      </c>
      <c r="BF834" s="86">
        <v>45607.571643518517</v>
      </c>
      <c r="BG834" s="72" t="e">
        <f t="shared" si="2446"/>
        <v>#REF!</v>
      </c>
      <c r="BH834" s="103" t="e">
        <f t="shared" si="2541"/>
        <v>#REF!</v>
      </c>
      <c r="BI834" s="80" t="e">
        <f t="shared" si="2485"/>
        <v>#REF!</v>
      </c>
      <c r="BJ834" s="238">
        <v>69000</v>
      </c>
    </row>
    <row r="835" spans="1:62" ht="13">
      <c r="A835" s="75"/>
      <c r="B835" s="76"/>
      <c r="C835" s="51">
        <v>833</v>
      </c>
      <c r="D835" s="201" t="s">
        <v>1529</v>
      </c>
      <c r="E835" s="203" t="s">
        <v>1750</v>
      </c>
      <c r="F835" s="88" t="s">
        <v>1747</v>
      </c>
      <c r="G835" s="89" t="s">
        <v>1748</v>
      </c>
      <c r="H835" s="89" t="s">
        <v>1546</v>
      </c>
      <c r="I835" s="80" t="s">
        <v>458</v>
      </c>
      <c r="J835" s="93">
        <f t="shared" si="2524"/>
        <v>1</v>
      </c>
      <c r="K835" s="88">
        <v>1</v>
      </c>
      <c r="L835" s="58"/>
      <c r="M835" s="58"/>
      <c r="N835" s="62">
        <f t="shared" si="2525"/>
        <v>1</v>
      </c>
      <c r="O835" s="60"/>
      <c r="P835" s="58"/>
      <c r="Q835" s="62">
        <f t="shared" si="2526"/>
        <v>1</v>
      </c>
      <c r="R835" s="60"/>
      <c r="S835" s="58"/>
      <c r="T835" s="94">
        <f t="shared" si="2527"/>
        <v>1</v>
      </c>
      <c r="U835" s="60"/>
      <c r="V835" s="58"/>
      <c r="W835" s="62">
        <f t="shared" si="2528"/>
        <v>1</v>
      </c>
      <c r="X835" s="60"/>
      <c r="Y835" s="58"/>
      <c r="Z835" s="94">
        <f t="shared" si="2529"/>
        <v>1</v>
      </c>
      <c r="AA835" s="60"/>
      <c r="AB835" s="58"/>
      <c r="AC835" s="62">
        <f t="shared" si="2530"/>
        <v>1</v>
      </c>
      <c r="AD835" s="57"/>
      <c r="AE835" s="58"/>
      <c r="AF835" s="165">
        <f t="shared" si="2531"/>
        <v>1</v>
      </c>
      <c r="AG835" s="60"/>
      <c r="AH835" s="58"/>
      <c r="AI835" s="62">
        <f t="shared" si="2532"/>
        <v>1</v>
      </c>
      <c r="AJ835" s="60"/>
      <c r="AK835" s="58"/>
      <c r="AL835" s="62">
        <f t="shared" si="2533"/>
        <v>1</v>
      </c>
      <c r="AM835" s="60"/>
      <c r="AN835" s="58"/>
      <c r="AO835" s="62">
        <f t="shared" si="2534"/>
        <v>1</v>
      </c>
      <c r="AP835" s="60"/>
      <c r="AQ835" s="58"/>
      <c r="AR835" s="62">
        <f t="shared" si="2535"/>
        <v>1</v>
      </c>
      <c r="AS835" s="60"/>
      <c r="AT835" s="58"/>
      <c r="AU835" s="62">
        <f t="shared" si="2536"/>
        <v>1</v>
      </c>
      <c r="AV835" s="96">
        <f t="shared" ref="AV835:AV839" si="2543">SUM(L835+O835+R835+U835+X835+AA835+AD835+AG835+AJ835+AM835+AP835+AS835)</f>
        <v>0</v>
      </c>
      <c r="AW835" s="83">
        <f t="shared" si="2519"/>
        <v>0</v>
      </c>
      <c r="AX835" s="98">
        <f t="shared" si="2538"/>
        <v>0</v>
      </c>
      <c r="AY835" s="99" t="e">
        <f t="shared" si="2539"/>
        <v>#DIV/0!</v>
      </c>
      <c r="AZ835" s="100">
        <f t="shared" si="2540"/>
        <v>0</v>
      </c>
      <c r="BA835" s="101">
        <v>1</v>
      </c>
      <c r="BB835" s="102">
        <v>0</v>
      </c>
      <c r="BC835" s="84">
        <f t="shared" si="2486"/>
        <v>1</v>
      </c>
      <c r="BD835" s="83">
        <f t="shared" si="2483"/>
        <v>1</v>
      </c>
      <c r="BE835" s="85">
        <v>2</v>
      </c>
      <c r="BF835" s="86">
        <v>45833</v>
      </c>
      <c r="BG835" s="72" t="e">
        <f t="shared" si="2446"/>
        <v>#REF!</v>
      </c>
      <c r="BH835" s="103" t="e">
        <f t="shared" si="2541"/>
        <v>#REF!</v>
      </c>
      <c r="BI835" s="80" t="e">
        <f t="shared" si="2485"/>
        <v>#REF!</v>
      </c>
      <c r="BJ835" s="238">
        <v>125000</v>
      </c>
    </row>
    <row r="836" spans="1:62" ht="13">
      <c r="A836" s="49"/>
      <c r="B836" s="76"/>
      <c r="C836" s="51">
        <v>834</v>
      </c>
      <c r="D836" s="201" t="s">
        <v>1529</v>
      </c>
      <c r="E836" s="202" t="s">
        <v>1750</v>
      </c>
      <c r="F836" s="88" t="s">
        <v>1710</v>
      </c>
      <c r="G836" s="118" t="s">
        <v>1711</v>
      </c>
      <c r="H836" s="81" t="s">
        <v>1546</v>
      </c>
      <c r="I836" s="80" t="s">
        <v>458</v>
      </c>
      <c r="J836" s="82">
        <f t="shared" si="2524"/>
        <v>1</v>
      </c>
      <c r="K836" s="88">
        <v>1</v>
      </c>
      <c r="L836" s="57"/>
      <c r="M836" s="58"/>
      <c r="N836" s="59">
        <f t="shared" si="2525"/>
        <v>1</v>
      </c>
      <c r="O836" s="60"/>
      <c r="P836" s="58"/>
      <c r="Q836" s="59">
        <f t="shared" si="2526"/>
        <v>1</v>
      </c>
      <c r="R836" s="60"/>
      <c r="S836" s="58"/>
      <c r="T836" s="61">
        <f t="shared" si="2527"/>
        <v>1</v>
      </c>
      <c r="U836" s="60"/>
      <c r="V836" s="58"/>
      <c r="W836" s="59">
        <f t="shared" si="2528"/>
        <v>1</v>
      </c>
      <c r="X836" s="60"/>
      <c r="Y836" s="58"/>
      <c r="Z836" s="61">
        <f t="shared" si="2529"/>
        <v>1</v>
      </c>
      <c r="AA836" s="60"/>
      <c r="AB836" s="58"/>
      <c r="AC836" s="59">
        <f t="shared" si="2530"/>
        <v>1</v>
      </c>
      <c r="AD836" s="57"/>
      <c r="AE836" s="58"/>
      <c r="AF836" s="243">
        <f t="shared" si="2531"/>
        <v>1</v>
      </c>
      <c r="AG836" s="60"/>
      <c r="AH836" s="58"/>
      <c r="AI836" s="62">
        <f t="shared" si="2532"/>
        <v>1</v>
      </c>
      <c r="AJ836" s="60"/>
      <c r="AK836" s="58"/>
      <c r="AL836" s="62">
        <f t="shared" si="2533"/>
        <v>1</v>
      </c>
      <c r="AM836" s="60"/>
      <c r="AN836" s="58"/>
      <c r="AO836" s="62">
        <f t="shared" si="2534"/>
        <v>1</v>
      </c>
      <c r="AP836" s="60"/>
      <c r="AQ836" s="58"/>
      <c r="AR836" s="62">
        <f t="shared" si="2535"/>
        <v>1</v>
      </c>
      <c r="AS836" s="60"/>
      <c r="AT836" s="58"/>
      <c r="AU836" s="62">
        <f t="shared" si="2536"/>
        <v>1</v>
      </c>
      <c r="AV836" s="83">
        <f t="shared" si="2543"/>
        <v>0</v>
      </c>
      <c r="AW836" s="83">
        <f t="shared" si="2519"/>
        <v>0</v>
      </c>
      <c r="AX836" s="64">
        <f t="shared" si="2538"/>
        <v>0</v>
      </c>
      <c r="AY836" s="65" t="e">
        <f t="shared" si="2539"/>
        <v>#DIV/0!</v>
      </c>
      <c r="AZ836" s="66">
        <f t="shared" si="2540"/>
        <v>0</v>
      </c>
      <c r="BA836" s="67">
        <v>1</v>
      </c>
      <c r="BB836" s="68">
        <v>0</v>
      </c>
      <c r="BC836" s="84">
        <f t="shared" si="2486"/>
        <v>1</v>
      </c>
      <c r="BD836" s="83">
        <f t="shared" si="2483"/>
        <v>1</v>
      </c>
      <c r="BE836" s="85">
        <v>2</v>
      </c>
      <c r="BF836" s="86">
        <v>45720</v>
      </c>
      <c r="BG836" s="72" t="e">
        <f t="shared" si="2446"/>
        <v>#REF!</v>
      </c>
      <c r="BH836" s="87" t="e">
        <f t="shared" si="2541"/>
        <v>#REF!</v>
      </c>
      <c r="BI836" s="80" t="e">
        <f t="shared" si="2485"/>
        <v>#REF!</v>
      </c>
      <c r="BJ836" s="238">
        <v>190000</v>
      </c>
    </row>
    <row r="837" spans="1:62" ht="13">
      <c r="A837" s="49"/>
      <c r="B837" s="76"/>
      <c r="C837" s="51">
        <v>835</v>
      </c>
      <c r="D837" s="201" t="s">
        <v>1529</v>
      </c>
      <c r="E837" s="203" t="s">
        <v>1862</v>
      </c>
      <c r="F837" s="88" t="s">
        <v>1582</v>
      </c>
      <c r="G837" s="89" t="s">
        <v>1581</v>
      </c>
      <c r="H837" s="89" t="s">
        <v>1566</v>
      </c>
      <c r="I837" s="80" t="s">
        <v>458</v>
      </c>
      <c r="J837" s="93">
        <f t="shared" si="2524"/>
        <v>1</v>
      </c>
      <c r="K837" s="88">
        <v>1</v>
      </c>
      <c r="L837" s="58"/>
      <c r="M837" s="58"/>
      <c r="N837" s="62">
        <f t="shared" si="2525"/>
        <v>1</v>
      </c>
      <c r="O837" s="60"/>
      <c r="P837" s="58"/>
      <c r="Q837" s="62">
        <f t="shared" si="2526"/>
        <v>1</v>
      </c>
      <c r="R837" s="60"/>
      <c r="S837" s="58"/>
      <c r="T837" s="94">
        <f t="shared" si="2527"/>
        <v>1</v>
      </c>
      <c r="U837" s="60"/>
      <c r="V837" s="58"/>
      <c r="W837" s="62">
        <f t="shared" si="2528"/>
        <v>1</v>
      </c>
      <c r="X837" s="60"/>
      <c r="Y837" s="58"/>
      <c r="Z837" s="94">
        <f t="shared" si="2529"/>
        <v>1</v>
      </c>
      <c r="AA837" s="60"/>
      <c r="AB837" s="58"/>
      <c r="AC837" s="62">
        <f t="shared" si="2530"/>
        <v>1</v>
      </c>
      <c r="AD837" s="57"/>
      <c r="AE837" s="58"/>
      <c r="AF837" s="165">
        <f t="shared" si="2531"/>
        <v>1</v>
      </c>
      <c r="AG837" s="60"/>
      <c r="AH837" s="58"/>
      <c r="AI837" s="62">
        <f t="shared" si="2532"/>
        <v>1</v>
      </c>
      <c r="AJ837" s="60"/>
      <c r="AK837" s="58"/>
      <c r="AL837" s="62">
        <f t="shared" si="2533"/>
        <v>1</v>
      </c>
      <c r="AM837" s="60"/>
      <c r="AN837" s="58"/>
      <c r="AO837" s="62">
        <f t="shared" si="2534"/>
        <v>1</v>
      </c>
      <c r="AP837" s="60"/>
      <c r="AQ837" s="58"/>
      <c r="AR837" s="62">
        <f t="shared" si="2535"/>
        <v>1</v>
      </c>
      <c r="AS837" s="60"/>
      <c r="AT837" s="58"/>
      <c r="AU837" s="62">
        <f t="shared" si="2536"/>
        <v>1</v>
      </c>
      <c r="AV837" s="96">
        <f>SUM(L837+O837+R837+U837+X837+AA837+AD837+AG837+AJ837+AM837+AP837+AS837)</f>
        <v>0</v>
      </c>
      <c r="AW837" s="83">
        <f t="shared" si="2519"/>
        <v>0</v>
      </c>
      <c r="AX837" s="98">
        <f t="shared" si="2538"/>
        <v>0</v>
      </c>
      <c r="AY837" s="99" t="e">
        <f t="shared" si="2539"/>
        <v>#DIV/0!</v>
      </c>
      <c r="AZ837" s="100">
        <f t="shared" si="2540"/>
        <v>0</v>
      </c>
      <c r="BA837" s="101">
        <v>1</v>
      </c>
      <c r="BB837" s="102">
        <v>0</v>
      </c>
      <c r="BC837" s="84">
        <f t="shared" si="2486"/>
        <v>1</v>
      </c>
      <c r="BD837" s="83">
        <f t="shared" si="2483"/>
        <v>1</v>
      </c>
      <c r="BE837" s="85">
        <v>2</v>
      </c>
      <c r="BF837" s="86">
        <v>45469.602407407408</v>
      </c>
      <c r="BG837" s="72" t="e">
        <f t="shared" si="2446"/>
        <v>#REF!</v>
      </c>
      <c r="BH837" s="103" t="e">
        <f t="shared" si="2541"/>
        <v>#REF!</v>
      </c>
      <c r="BI837" s="80" t="e">
        <f t="shared" si="2485"/>
        <v>#REF!</v>
      </c>
      <c r="BJ837" s="238">
        <v>265400</v>
      </c>
    </row>
    <row r="838" spans="1:62" ht="13">
      <c r="A838" s="49"/>
      <c r="B838" s="50"/>
      <c r="C838" s="77">
        <v>836</v>
      </c>
      <c r="D838" s="201" t="s">
        <v>1529</v>
      </c>
      <c r="E838" s="202" t="s">
        <v>1862</v>
      </c>
      <c r="F838" s="88" t="s">
        <v>1588</v>
      </c>
      <c r="G838" s="89" t="s">
        <v>1589</v>
      </c>
      <c r="H838" s="89" t="s">
        <v>289</v>
      </c>
      <c r="I838" s="80" t="s">
        <v>458</v>
      </c>
      <c r="J838" s="93">
        <f t="shared" si="2524"/>
        <v>1</v>
      </c>
      <c r="K838" s="80">
        <v>1</v>
      </c>
      <c r="L838" s="58"/>
      <c r="M838" s="58"/>
      <c r="N838" s="62">
        <f t="shared" si="2525"/>
        <v>1</v>
      </c>
      <c r="O838" s="60"/>
      <c r="P838" s="58"/>
      <c r="Q838" s="62">
        <f t="shared" si="2526"/>
        <v>1</v>
      </c>
      <c r="R838" s="60"/>
      <c r="S838" s="58"/>
      <c r="T838" s="94">
        <f t="shared" si="2527"/>
        <v>1</v>
      </c>
      <c r="U838" s="60"/>
      <c r="V838" s="58"/>
      <c r="W838" s="62">
        <f t="shared" si="2528"/>
        <v>1</v>
      </c>
      <c r="X838" s="60"/>
      <c r="Y838" s="58"/>
      <c r="Z838" s="94">
        <f t="shared" si="2529"/>
        <v>1</v>
      </c>
      <c r="AA838" s="60"/>
      <c r="AB838" s="58"/>
      <c r="AC838" s="62">
        <f t="shared" si="2530"/>
        <v>1</v>
      </c>
      <c r="AD838" s="57"/>
      <c r="AE838" s="58"/>
      <c r="AF838" s="165">
        <f t="shared" si="2531"/>
        <v>1</v>
      </c>
      <c r="AG838" s="60"/>
      <c r="AH838" s="58"/>
      <c r="AI838" s="62">
        <f t="shared" si="2532"/>
        <v>1</v>
      </c>
      <c r="AJ838" s="60"/>
      <c r="AK838" s="58"/>
      <c r="AL838" s="62">
        <f t="shared" si="2533"/>
        <v>1</v>
      </c>
      <c r="AM838" s="60"/>
      <c r="AN838" s="58"/>
      <c r="AO838" s="62">
        <f t="shared" si="2534"/>
        <v>1</v>
      </c>
      <c r="AP838" s="60"/>
      <c r="AQ838" s="58"/>
      <c r="AR838" s="62">
        <f t="shared" si="2535"/>
        <v>1</v>
      </c>
      <c r="AS838" s="60"/>
      <c r="AT838" s="58"/>
      <c r="AU838" s="62">
        <f t="shared" si="2536"/>
        <v>1</v>
      </c>
      <c r="AV838" s="96">
        <f>SUM(L838+O838+R838+U838+X838+AA838+AD838+AG838+AJ838+AM838+AP838+AS838)</f>
        <v>0</v>
      </c>
      <c r="AW838" s="83">
        <f t="shared" si="2519"/>
        <v>0</v>
      </c>
      <c r="AX838" s="98">
        <f t="shared" si="2538"/>
        <v>0</v>
      </c>
      <c r="AY838" s="99" t="e">
        <f t="shared" si="2539"/>
        <v>#DIV/0!</v>
      </c>
      <c r="AZ838" s="100">
        <f t="shared" si="2540"/>
        <v>0</v>
      </c>
      <c r="BA838" s="101">
        <v>1</v>
      </c>
      <c r="BB838" s="102">
        <v>0</v>
      </c>
      <c r="BC838" s="84">
        <f t="shared" si="2486"/>
        <v>1</v>
      </c>
      <c r="BD838" s="83">
        <f t="shared" si="2483"/>
        <v>1</v>
      </c>
      <c r="BE838" s="85">
        <v>2</v>
      </c>
      <c r="BF838" s="86">
        <v>45497.76902777778</v>
      </c>
      <c r="BG838" s="72" t="e">
        <f t="shared" si="2446"/>
        <v>#REF!</v>
      </c>
      <c r="BH838" s="103" t="e">
        <f t="shared" si="2541"/>
        <v>#REF!</v>
      </c>
      <c r="BI838" s="80" t="e">
        <f t="shared" si="2485"/>
        <v>#REF!</v>
      </c>
      <c r="BJ838" s="238">
        <v>184600</v>
      </c>
    </row>
    <row r="839" spans="1:62" ht="13">
      <c r="A839" s="49"/>
      <c r="B839" s="50"/>
      <c r="C839" s="77">
        <v>837</v>
      </c>
      <c r="D839" s="201" t="s">
        <v>1529</v>
      </c>
      <c r="E839" s="203" t="s">
        <v>1791</v>
      </c>
      <c r="F839" s="88" t="s">
        <v>1539</v>
      </c>
      <c r="G839" s="89" t="s">
        <v>1538</v>
      </c>
      <c r="H839" s="89" t="s">
        <v>1281</v>
      </c>
      <c r="I839" s="80" t="s">
        <v>458</v>
      </c>
      <c r="J839" s="93">
        <f t="shared" si="2524"/>
        <v>1</v>
      </c>
      <c r="K839" s="88">
        <v>1</v>
      </c>
      <c r="L839" s="58"/>
      <c r="M839" s="58"/>
      <c r="N839" s="62">
        <f t="shared" si="2525"/>
        <v>1</v>
      </c>
      <c r="O839" s="60"/>
      <c r="P839" s="58"/>
      <c r="Q839" s="62">
        <f t="shared" si="2526"/>
        <v>1</v>
      </c>
      <c r="R839" s="60"/>
      <c r="S839" s="58"/>
      <c r="T839" s="94">
        <f t="shared" si="2527"/>
        <v>1</v>
      </c>
      <c r="U839" s="60"/>
      <c r="V839" s="58"/>
      <c r="W839" s="62">
        <f t="shared" si="2528"/>
        <v>1</v>
      </c>
      <c r="X839" s="60"/>
      <c r="Y839" s="58"/>
      <c r="Z839" s="94">
        <f t="shared" si="2529"/>
        <v>1</v>
      </c>
      <c r="AA839" s="60"/>
      <c r="AB839" s="58"/>
      <c r="AC839" s="62">
        <f t="shared" si="2530"/>
        <v>1</v>
      </c>
      <c r="AD839" s="57"/>
      <c r="AE839" s="58"/>
      <c r="AF839" s="165">
        <f t="shared" si="2531"/>
        <v>1</v>
      </c>
      <c r="AG839" s="60"/>
      <c r="AH839" s="58"/>
      <c r="AI839" s="62">
        <f t="shared" si="2532"/>
        <v>1</v>
      </c>
      <c r="AJ839" s="60"/>
      <c r="AK839" s="58"/>
      <c r="AL839" s="62">
        <f t="shared" si="2533"/>
        <v>1</v>
      </c>
      <c r="AM839" s="60"/>
      <c r="AN839" s="58"/>
      <c r="AO839" s="62">
        <f t="shared" si="2534"/>
        <v>1</v>
      </c>
      <c r="AP839" s="60"/>
      <c r="AQ839" s="58"/>
      <c r="AR839" s="62">
        <f t="shared" si="2535"/>
        <v>1</v>
      </c>
      <c r="AS839" s="60"/>
      <c r="AT839" s="58"/>
      <c r="AU839" s="62">
        <f t="shared" si="2536"/>
        <v>1</v>
      </c>
      <c r="AV839" s="96">
        <f t="shared" si="2543"/>
        <v>0</v>
      </c>
      <c r="AW839" s="83">
        <f t="shared" si="2519"/>
        <v>0</v>
      </c>
      <c r="AX839" s="98">
        <f t="shared" si="2538"/>
        <v>0</v>
      </c>
      <c r="AY839" s="99" t="e">
        <f t="shared" si="2539"/>
        <v>#DIV/0!</v>
      </c>
      <c r="AZ839" s="100">
        <f t="shared" si="2540"/>
        <v>0</v>
      </c>
      <c r="BA839" s="101">
        <v>1</v>
      </c>
      <c r="BB839" s="102">
        <v>0</v>
      </c>
      <c r="BC839" s="84">
        <f t="shared" si="2486"/>
        <v>1</v>
      </c>
      <c r="BD839" s="83">
        <f t="shared" si="2483"/>
        <v>1</v>
      </c>
      <c r="BE839" s="85">
        <v>2</v>
      </c>
      <c r="BF839" s="86">
        <v>45330.480104166665</v>
      </c>
      <c r="BG839" s="72" t="e">
        <f t="shared" si="2446"/>
        <v>#REF!</v>
      </c>
      <c r="BH839" s="103" t="e">
        <f t="shared" si="2541"/>
        <v>#REF!</v>
      </c>
      <c r="BI839" s="80" t="e">
        <f t="shared" si="2485"/>
        <v>#REF!</v>
      </c>
      <c r="BJ839" s="238">
        <v>75000</v>
      </c>
    </row>
    <row r="840" spans="1:62" ht="13">
      <c r="A840" s="75"/>
      <c r="B840" s="76"/>
      <c r="C840" s="51">
        <v>838</v>
      </c>
      <c r="D840" s="201" t="s">
        <v>1529</v>
      </c>
      <c r="E840" s="202" t="s">
        <v>1864</v>
      </c>
      <c r="F840" s="88" t="s">
        <v>1583</v>
      </c>
      <c r="G840" s="89" t="s">
        <v>1915</v>
      </c>
      <c r="H840" s="89" t="s">
        <v>921</v>
      </c>
      <c r="I840" s="80" t="s">
        <v>458</v>
      </c>
      <c r="J840" s="93">
        <f t="shared" si="2524"/>
        <v>1</v>
      </c>
      <c r="K840" s="80">
        <v>1</v>
      </c>
      <c r="L840" s="58"/>
      <c r="M840" s="58"/>
      <c r="N840" s="62">
        <f t="shared" si="2525"/>
        <v>1</v>
      </c>
      <c r="O840" s="60"/>
      <c r="P840" s="58"/>
      <c r="Q840" s="62">
        <f t="shared" si="2526"/>
        <v>1</v>
      </c>
      <c r="R840" s="60"/>
      <c r="S840" s="58"/>
      <c r="T840" s="94">
        <f t="shared" si="2527"/>
        <v>1</v>
      </c>
      <c r="U840" s="60"/>
      <c r="V840" s="58"/>
      <c r="W840" s="62">
        <f t="shared" si="2528"/>
        <v>1</v>
      </c>
      <c r="X840" s="60"/>
      <c r="Y840" s="58"/>
      <c r="Z840" s="94">
        <f t="shared" si="2529"/>
        <v>1</v>
      </c>
      <c r="AA840" s="60"/>
      <c r="AB840" s="58"/>
      <c r="AC840" s="62">
        <f t="shared" si="2530"/>
        <v>1</v>
      </c>
      <c r="AD840" s="57"/>
      <c r="AE840" s="58"/>
      <c r="AF840" s="165">
        <f t="shared" si="2531"/>
        <v>1</v>
      </c>
      <c r="AG840" s="60"/>
      <c r="AH840" s="58"/>
      <c r="AI840" s="62">
        <f t="shared" si="2532"/>
        <v>1</v>
      </c>
      <c r="AJ840" s="60"/>
      <c r="AK840" s="58"/>
      <c r="AL840" s="62">
        <f t="shared" si="2533"/>
        <v>1</v>
      </c>
      <c r="AM840" s="60"/>
      <c r="AN840" s="58"/>
      <c r="AO840" s="62">
        <f t="shared" si="2534"/>
        <v>1</v>
      </c>
      <c r="AP840" s="60"/>
      <c r="AQ840" s="58"/>
      <c r="AR840" s="62">
        <f t="shared" si="2535"/>
        <v>1</v>
      </c>
      <c r="AS840" s="60"/>
      <c r="AT840" s="58"/>
      <c r="AU840" s="62">
        <f t="shared" si="2536"/>
        <v>1</v>
      </c>
      <c r="AV840" s="96">
        <f t="shared" ref="AV840:AV843" si="2544">SUM(L840+O840+R840+U840+X840+AA840+AD840+AG840+AJ840+AM840+AP840+AS840)</f>
        <v>0</v>
      </c>
      <c r="AW840" s="83">
        <f t="shared" si="2519"/>
        <v>0</v>
      </c>
      <c r="AX840" s="98">
        <f t="shared" si="2538"/>
        <v>0</v>
      </c>
      <c r="AY840" s="99" t="e">
        <f t="shared" si="2539"/>
        <v>#DIV/0!</v>
      </c>
      <c r="AZ840" s="100">
        <f t="shared" si="2540"/>
        <v>0</v>
      </c>
      <c r="BA840" s="101">
        <v>1</v>
      </c>
      <c r="BB840" s="102">
        <v>0</v>
      </c>
      <c r="BC840" s="84">
        <f t="shared" si="2486"/>
        <v>1</v>
      </c>
      <c r="BD840" s="83">
        <f t="shared" si="2483"/>
        <v>1</v>
      </c>
      <c r="BE840" s="85">
        <v>2</v>
      </c>
      <c r="BF840" s="86">
        <v>45481.544340277775</v>
      </c>
      <c r="BG840" s="72" t="e">
        <f t="shared" si="2446"/>
        <v>#REF!</v>
      </c>
      <c r="BH840" s="103" t="e">
        <f t="shared" si="2541"/>
        <v>#REF!</v>
      </c>
      <c r="BI840" s="80" t="e">
        <f t="shared" si="2485"/>
        <v>#REF!</v>
      </c>
      <c r="BJ840" s="238">
        <v>110000</v>
      </c>
    </row>
    <row r="841" spans="1:62" ht="13">
      <c r="A841" s="49"/>
      <c r="B841" s="76"/>
      <c r="C841" s="51">
        <v>839</v>
      </c>
      <c r="D841" s="201" t="s">
        <v>1529</v>
      </c>
      <c r="E841" s="202" t="s">
        <v>1864</v>
      </c>
      <c r="F841" s="88" t="s">
        <v>1584</v>
      </c>
      <c r="G841" s="89" t="s">
        <v>1585</v>
      </c>
      <c r="H841" s="89" t="s">
        <v>893</v>
      </c>
      <c r="I841" s="80" t="s">
        <v>458</v>
      </c>
      <c r="J841" s="93">
        <f t="shared" si="2524"/>
        <v>1</v>
      </c>
      <c r="K841" s="88">
        <v>1</v>
      </c>
      <c r="L841" s="58"/>
      <c r="M841" s="58"/>
      <c r="N841" s="62">
        <f t="shared" si="2525"/>
        <v>1</v>
      </c>
      <c r="O841" s="60"/>
      <c r="P841" s="58"/>
      <c r="Q841" s="62">
        <f t="shared" si="2526"/>
        <v>1</v>
      </c>
      <c r="R841" s="60"/>
      <c r="S841" s="58"/>
      <c r="T841" s="94">
        <f t="shared" si="2527"/>
        <v>1</v>
      </c>
      <c r="U841" s="60"/>
      <c r="V841" s="58"/>
      <c r="W841" s="62">
        <f t="shared" si="2528"/>
        <v>1</v>
      </c>
      <c r="X841" s="60"/>
      <c r="Y841" s="58"/>
      <c r="Z841" s="94">
        <f t="shared" si="2529"/>
        <v>1</v>
      </c>
      <c r="AA841" s="60"/>
      <c r="AB841" s="58"/>
      <c r="AC841" s="62">
        <f t="shared" si="2530"/>
        <v>1</v>
      </c>
      <c r="AD841" s="57"/>
      <c r="AE841" s="58"/>
      <c r="AF841" s="165">
        <f t="shared" si="2531"/>
        <v>1</v>
      </c>
      <c r="AG841" s="60"/>
      <c r="AH841" s="58"/>
      <c r="AI841" s="62">
        <f t="shared" si="2532"/>
        <v>1</v>
      </c>
      <c r="AJ841" s="60"/>
      <c r="AK841" s="58"/>
      <c r="AL841" s="62">
        <f t="shared" si="2533"/>
        <v>1</v>
      </c>
      <c r="AM841" s="60"/>
      <c r="AN841" s="58"/>
      <c r="AO841" s="62">
        <f t="shared" si="2534"/>
        <v>1</v>
      </c>
      <c r="AP841" s="60"/>
      <c r="AQ841" s="58"/>
      <c r="AR841" s="62">
        <f t="shared" si="2535"/>
        <v>1</v>
      </c>
      <c r="AS841" s="60"/>
      <c r="AT841" s="58"/>
      <c r="AU841" s="62">
        <f t="shared" si="2536"/>
        <v>1</v>
      </c>
      <c r="AV841" s="96">
        <f t="shared" si="2544"/>
        <v>0</v>
      </c>
      <c r="AW841" s="83">
        <f t="shared" si="2519"/>
        <v>0</v>
      </c>
      <c r="AX841" s="98">
        <f t="shared" si="2538"/>
        <v>0</v>
      </c>
      <c r="AY841" s="99" t="e">
        <f t="shared" si="2539"/>
        <v>#DIV/0!</v>
      </c>
      <c r="AZ841" s="100">
        <f t="shared" si="2540"/>
        <v>0</v>
      </c>
      <c r="BA841" s="101">
        <v>1</v>
      </c>
      <c r="BB841" s="102">
        <v>0</v>
      </c>
      <c r="BC841" s="84">
        <f t="shared" si="2486"/>
        <v>1</v>
      </c>
      <c r="BD841" s="83">
        <f t="shared" si="2483"/>
        <v>1</v>
      </c>
      <c r="BE841" s="85">
        <v>2</v>
      </c>
      <c r="BF841" s="86">
        <v>45481.544340277775</v>
      </c>
      <c r="BG841" s="72" t="e">
        <f t="shared" ref="BG841:BG904" si="2545">BG840</f>
        <v>#REF!</v>
      </c>
      <c r="BH841" s="103" t="e">
        <f t="shared" si="2541"/>
        <v>#REF!</v>
      </c>
      <c r="BI841" s="80" t="e">
        <f t="shared" si="2485"/>
        <v>#REF!</v>
      </c>
      <c r="BJ841" s="238">
        <v>120000</v>
      </c>
    </row>
    <row r="842" spans="1:62" ht="13">
      <c r="A842" s="90"/>
      <c r="B842" s="91"/>
      <c r="C842" s="51">
        <v>840</v>
      </c>
      <c r="D842" s="201" t="s">
        <v>1529</v>
      </c>
      <c r="E842" s="203" t="s">
        <v>1862</v>
      </c>
      <c r="F842" s="88" t="s">
        <v>1833</v>
      </c>
      <c r="G842" s="89" t="s">
        <v>1834</v>
      </c>
      <c r="H842" s="89" t="s">
        <v>1835</v>
      </c>
      <c r="I842" s="88" t="s">
        <v>458</v>
      </c>
      <c r="J842" s="93">
        <f t="shared" si="2524"/>
        <v>4</v>
      </c>
      <c r="K842" s="80">
        <v>4</v>
      </c>
      <c r="L842" s="58"/>
      <c r="M842" s="58"/>
      <c r="N842" s="62">
        <f t="shared" si="2525"/>
        <v>4</v>
      </c>
      <c r="O842" s="60"/>
      <c r="P842" s="58"/>
      <c r="Q842" s="62">
        <f t="shared" si="2526"/>
        <v>4</v>
      </c>
      <c r="R842" s="60"/>
      <c r="S842" s="58"/>
      <c r="T842" s="94">
        <f t="shared" si="2527"/>
        <v>4</v>
      </c>
      <c r="U842" s="60"/>
      <c r="V842" s="58"/>
      <c r="W842" s="62">
        <f t="shared" si="2528"/>
        <v>4</v>
      </c>
      <c r="X842" s="60"/>
      <c r="Y842" s="58"/>
      <c r="Z842" s="94">
        <f t="shared" si="2529"/>
        <v>4</v>
      </c>
      <c r="AA842" s="60"/>
      <c r="AB842" s="58"/>
      <c r="AC842" s="62">
        <f t="shared" si="2530"/>
        <v>4</v>
      </c>
      <c r="AD842" s="57"/>
      <c r="AE842" s="58"/>
      <c r="AF842" s="165">
        <f t="shared" si="2531"/>
        <v>4</v>
      </c>
      <c r="AG842" s="60"/>
      <c r="AH842" s="58"/>
      <c r="AI842" s="62">
        <f t="shared" si="2532"/>
        <v>4</v>
      </c>
      <c r="AJ842" s="60"/>
      <c r="AK842" s="58"/>
      <c r="AL842" s="62">
        <f t="shared" si="2533"/>
        <v>4</v>
      </c>
      <c r="AM842" s="60"/>
      <c r="AN842" s="58"/>
      <c r="AO842" s="62">
        <f t="shared" si="2534"/>
        <v>4</v>
      </c>
      <c r="AP842" s="60"/>
      <c r="AQ842" s="58"/>
      <c r="AR842" s="62">
        <f t="shared" si="2535"/>
        <v>4</v>
      </c>
      <c r="AS842" s="60"/>
      <c r="AT842" s="58"/>
      <c r="AU842" s="62">
        <f t="shared" si="2536"/>
        <v>4</v>
      </c>
      <c r="AV842" s="96">
        <f t="shared" si="2544"/>
        <v>0</v>
      </c>
      <c r="AW842" s="83">
        <f t="shared" si="2519"/>
        <v>0</v>
      </c>
      <c r="AX842" s="98">
        <f t="shared" si="2538"/>
        <v>0</v>
      </c>
      <c r="AY842" s="99" t="e">
        <f t="shared" si="2539"/>
        <v>#DIV/0!</v>
      </c>
      <c r="AZ842" s="100">
        <f t="shared" si="2540"/>
        <v>0</v>
      </c>
      <c r="BA842" s="101">
        <v>4</v>
      </c>
      <c r="BB842" s="102">
        <v>1</v>
      </c>
      <c r="BC842" s="84">
        <f t="shared" si="2486"/>
        <v>4</v>
      </c>
      <c r="BD842" s="83">
        <f t="shared" si="2483"/>
        <v>3</v>
      </c>
      <c r="BE842" s="85">
        <v>2</v>
      </c>
      <c r="BF842" s="86">
        <v>45919</v>
      </c>
      <c r="BG842" s="72" t="e">
        <f t="shared" si="2545"/>
        <v>#REF!</v>
      </c>
      <c r="BH842" s="103" t="e">
        <f t="shared" si="2541"/>
        <v>#REF!</v>
      </c>
      <c r="BI842" s="80" t="e">
        <f t="shared" si="2485"/>
        <v>#REF!</v>
      </c>
      <c r="BJ842" s="238">
        <v>15200</v>
      </c>
    </row>
    <row r="843" spans="1:62" ht="13">
      <c r="A843" s="90"/>
      <c r="B843" s="91"/>
      <c r="C843" s="51">
        <v>841</v>
      </c>
      <c r="D843" s="201" t="s">
        <v>1529</v>
      </c>
      <c r="E843" s="203" t="s">
        <v>1862</v>
      </c>
      <c r="F843" s="88" t="s">
        <v>1798</v>
      </c>
      <c r="G843" s="89" t="s">
        <v>1799</v>
      </c>
      <c r="H843" s="89" t="s">
        <v>293</v>
      </c>
      <c r="I843" s="80" t="s">
        <v>458</v>
      </c>
      <c r="J843" s="93">
        <f t="shared" si="2524"/>
        <v>10</v>
      </c>
      <c r="K843" s="80">
        <v>10</v>
      </c>
      <c r="L843" s="58"/>
      <c r="M843" s="58"/>
      <c r="N843" s="62">
        <f t="shared" si="2525"/>
        <v>10</v>
      </c>
      <c r="O843" s="60"/>
      <c r="P843" s="58"/>
      <c r="Q843" s="62">
        <f t="shared" si="2526"/>
        <v>10</v>
      </c>
      <c r="R843" s="60"/>
      <c r="S843" s="58"/>
      <c r="T843" s="94">
        <f t="shared" si="2527"/>
        <v>10</v>
      </c>
      <c r="U843" s="60"/>
      <c r="V843" s="58"/>
      <c r="W843" s="62">
        <f t="shared" si="2528"/>
        <v>10</v>
      </c>
      <c r="X843" s="60"/>
      <c r="Y843" s="58"/>
      <c r="Z843" s="94">
        <f t="shared" si="2529"/>
        <v>10</v>
      </c>
      <c r="AA843" s="60"/>
      <c r="AB843" s="58"/>
      <c r="AC843" s="62">
        <f t="shared" si="2530"/>
        <v>10</v>
      </c>
      <c r="AD843" s="57"/>
      <c r="AE843" s="58"/>
      <c r="AF843" s="165">
        <f t="shared" si="2531"/>
        <v>10</v>
      </c>
      <c r="AG843" s="60"/>
      <c r="AH843" s="58"/>
      <c r="AI843" s="62">
        <f t="shared" si="2532"/>
        <v>10</v>
      </c>
      <c r="AJ843" s="60"/>
      <c r="AK843" s="58"/>
      <c r="AL843" s="62">
        <f t="shared" si="2533"/>
        <v>10</v>
      </c>
      <c r="AM843" s="60"/>
      <c r="AN843" s="58"/>
      <c r="AO843" s="62">
        <f t="shared" si="2534"/>
        <v>10</v>
      </c>
      <c r="AP843" s="60"/>
      <c r="AQ843" s="58"/>
      <c r="AR843" s="62">
        <f t="shared" si="2535"/>
        <v>10</v>
      </c>
      <c r="AS843" s="60"/>
      <c r="AT843" s="58"/>
      <c r="AU843" s="62">
        <f t="shared" si="2536"/>
        <v>10</v>
      </c>
      <c r="AV843" s="96">
        <f t="shared" si="2544"/>
        <v>0</v>
      </c>
      <c r="AW843" s="83">
        <f t="shared" si="2519"/>
        <v>0</v>
      </c>
      <c r="AX843" s="98">
        <f t="shared" si="2538"/>
        <v>0</v>
      </c>
      <c r="AY843" s="99" t="e">
        <f t="shared" si="2539"/>
        <v>#DIV/0!</v>
      </c>
      <c r="AZ843" s="100">
        <f t="shared" si="2540"/>
        <v>0</v>
      </c>
      <c r="BA843" s="101">
        <v>10</v>
      </c>
      <c r="BB843" s="102">
        <v>1</v>
      </c>
      <c r="BC843" s="84">
        <f t="shared" si="2486"/>
        <v>10</v>
      </c>
      <c r="BD843" s="83">
        <f t="shared" si="2483"/>
        <v>9</v>
      </c>
      <c r="BE843" s="85">
        <v>2</v>
      </c>
      <c r="BF843" s="86">
        <v>45909</v>
      </c>
      <c r="BG843" s="72" t="e">
        <f t="shared" si="2545"/>
        <v>#REF!</v>
      </c>
      <c r="BH843" s="103" t="e">
        <f t="shared" si="2541"/>
        <v>#REF!</v>
      </c>
      <c r="BI843" s="80" t="e">
        <f t="shared" si="2485"/>
        <v>#REF!</v>
      </c>
      <c r="BJ843" s="238">
        <v>6000</v>
      </c>
    </row>
    <row r="844" spans="1:62" ht="13">
      <c r="A844" s="75"/>
      <c r="B844" s="76"/>
      <c r="C844" s="77">
        <v>842</v>
      </c>
      <c r="D844" s="201" t="s">
        <v>1529</v>
      </c>
      <c r="E844" s="203" t="s">
        <v>1862</v>
      </c>
      <c r="F844" s="88" t="s">
        <v>554</v>
      </c>
      <c r="G844" s="118" t="s">
        <v>1715</v>
      </c>
      <c r="H844" s="81" t="s">
        <v>289</v>
      </c>
      <c r="I844" s="80" t="s">
        <v>458</v>
      </c>
      <c r="J844" s="82">
        <f t="shared" ref="J844" si="2546">AU844</f>
        <v>26</v>
      </c>
      <c r="K844" s="88">
        <v>16</v>
      </c>
      <c r="L844" s="57"/>
      <c r="M844" s="58"/>
      <c r="N844" s="59">
        <f t="shared" ref="N844" si="2547">SUM(K844+L844-M844)</f>
        <v>16</v>
      </c>
      <c r="O844" s="60"/>
      <c r="P844" s="58">
        <v>16</v>
      </c>
      <c r="Q844" s="59">
        <f t="shared" ref="Q844" si="2548">SUM(N844+O844-P844)</f>
        <v>0</v>
      </c>
      <c r="R844" s="60"/>
      <c r="S844" s="58"/>
      <c r="T844" s="61">
        <f t="shared" ref="T844" si="2549">SUM(Q844+R844-S844)</f>
        <v>0</v>
      </c>
      <c r="U844" s="60">
        <v>26</v>
      </c>
      <c r="V844" s="58"/>
      <c r="W844" s="59">
        <f t="shared" ref="W844" si="2550">SUM(T844+U844-V844)</f>
        <v>26</v>
      </c>
      <c r="X844" s="60"/>
      <c r="Y844" s="58">
        <v>16</v>
      </c>
      <c r="Z844" s="61">
        <f t="shared" ref="Z844" si="2551">SUM(W844+X844-Y844)</f>
        <v>10</v>
      </c>
      <c r="AA844" s="60">
        <v>16</v>
      </c>
      <c r="AB844" s="58"/>
      <c r="AC844" s="59">
        <f t="shared" ref="AC844" si="2552">SUM(Z844+AA844-AB844)</f>
        <v>26</v>
      </c>
      <c r="AD844" s="57"/>
      <c r="AE844" s="58"/>
      <c r="AF844" s="243">
        <f t="shared" ref="AF844" si="2553">SUM(AC844+AD844-AE844)</f>
        <v>26</v>
      </c>
      <c r="AG844" s="60"/>
      <c r="AH844" s="58"/>
      <c r="AI844" s="62">
        <f t="shared" ref="AI844" si="2554">SUM(AF844+AG844-AH844)</f>
        <v>26</v>
      </c>
      <c r="AJ844" s="60"/>
      <c r="AK844" s="58"/>
      <c r="AL844" s="62">
        <f t="shared" ref="AL844" si="2555">SUM(AI844+AJ844-AK844)</f>
        <v>26</v>
      </c>
      <c r="AM844" s="60"/>
      <c r="AN844" s="58"/>
      <c r="AO844" s="62">
        <f t="shared" si="2534"/>
        <v>26</v>
      </c>
      <c r="AP844" s="60"/>
      <c r="AQ844" s="58"/>
      <c r="AR844" s="62">
        <f t="shared" ref="AR844" si="2556">SUM(AO844+AP844-AQ844)</f>
        <v>26</v>
      </c>
      <c r="AS844" s="60"/>
      <c r="AT844" s="58"/>
      <c r="AU844" s="62">
        <f t="shared" ref="AU844" si="2557">SUM(AR844+AS844-AT844)</f>
        <v>26</v>
      </c>
      <c r="AV844" s="83">
        <f t="shared" ref="AV844" si="2558">SUM(L844+O844+R844+U844+X844+AA844+AD844+AG844+AJ844+AM844+AP844+AS844)</f>
        <v>42</v>
      </c>
      <c r="AW844" s="83">
        <f t="shared" si="2519"/>
        <v>32</v>
      </c>
      <c r="AX844" s="64">
        <f t="shared" ref="AX844" si="2559">SUM(M844,P844,S844,V844,Y844,AB844,AE844,AH844,AK844,AN844,AQ844,AT844)</f>
        <v>32</v>
      </c>
      <c r="AY844" s="65">
        <f t="shared" ref="AY844" si="2560">AVERAGE(M844,P844,S844,V844,Y844,AB844,AE844,AH844,AK844,AN844,AQ844,AT844)</f>
        <v>16</v>
      </c>
      <c r="AZ844" s="66">
        <f t="shared" ref="AZ844" si="2561">COUNT(M844,P844,S844,V844,Y844,AB844,AE844,AH844,AK844,AN844,AQ844,AT844)</f>
        <v>2</v>
      </c>
      <c r="BA844" s="67">
        <f>MAX(0, Table176252626[[#This Row],[Column6]])</f>
        <v>26</v>
      </c>
      <c r="BB844" s="68">
        <v>1</v>
      </c>
      <c r="BC844" s="84">
        <f t="shared" si="2486"/>
        <v>26</v>
      </c>
      <c r="BD844" s="83">
        <f t="shared" si="2483"/>
        <v>25</v>
      </c>
      <c r="BE844" s="85">
        <v>2</v>
      </c>
      <c r="BF844" s="86">
        <v>46197</v>
      </c>
      <c r="BG844" s="72" t="e">
        <f t="shared" si="2545"/>
        <v>#REF!</v>
      </c>
      <c r="BH844" s="87" t="e">
        <f t="shared" ref="BH844" si="2562">BG844-BF844</f>
        <v>#REF!</v>
      </c>
      <c r="BI844" s="80" t="e">
        <f t="shared" si="2485"/>
        <v>#REF!</v>
      </c>
      <c r="BJ844" s="238">
        <v>15000</v>
      </c>
    </row>
    <row r="845" spans="1:62" ht="13">
      <c r="A845" s="75"/>
      <c r="B845" s="76"/>
      <c r="C845" s="77">
        <v>843</v>
      </c>
      <c r="D845" s="204" t="s">
        <v>1529</v>
      </c>
      <c r="E845" s="205" t="s">
        <v>1862</v>
      </c>
      <c r="F845" s="88" t="s">
        <v>1414</v>
      </c>
      <c r="G845" s="89" t="s">
        <v>1415</v>
      </c>
      <c r="H845" s="81" t="s">
        <v>1700</v>
      </c>
      <c r="I845" s="80" t="s">
        <v>458</v>
      </c>
      <c r="J845" s="93">
        <f t="shared" ref="J845:J849" si="2563">AU845</f>
        <v>1</v>
      </c>
      <c r="K845" s="88">
        <v>1</v>
      </c>
      <c r="L845" s="58"/>
      <c r="M845" s="58"/>
      <c r="N845" s="62">
        <f t="shared" ref="N845:N849" si="2564">SUM(K845+L845-M845)</f>
        <v>1</v>
      </c>
      <c r="O845" s="60"/>
      <c r="P845" s="58"/>
      <c r="Q845" s="62">
        <f t="shared" ref="Q845:Q849" si="2565">SUM(N845+O845-P845)</f>
        <v>1</v>
      </c>
      <c r="R845" s="60"/>
      <c r="S845" s="58"/>
      <c r="T845" s="94">
        <f t="shared" ref="T845:T849" si="2566">SUM(Q845+R845-S845)</f>
        <v>1</v>
      </c>
      <c r="U845" s="60"/>
      <c r="V845" s="58"/>
      <c r="W845" s="62">
        <f t="shared" ref="W845:W849" si="2567">SUM(T845+U845-V845)</f>
        <v>1</v>
      </c>
      <c r="X845" s="60"/>
      <c r="Y845" s="58"/>
      <c r="Z845" s="94">
        <f t="shared" ref="Z845:Z849" si="2568">SUM(W845+X845-Y845)</f>
        <v>1</v>
      </c>
      <c r="AA845" s="60"/>
      <c r="AB845" s="58"/>
      <c r="AC845" s="62">
        <f t="shared" ref="AC845:AC849" si="2569">SUM(Z845+AA845-AB845)</f>
        <v>1</v>
      </c>
      <c r="AD845" s="57"/>
      <c r="AE845" s="58"/>
      <c r="AF845" s="165">
        <f t="shared" ref="AF845:AF849" si="2570">SUM(AC845+AD845-AE845)</f>
        <v>1</v>
      </c>
      <c r="AG845" s="60"/>
      <c r="AH845" s="58"/>
      <c r="AI845" s="62">
        <f t="shared" ref="AI845:AI849" si="2571">SUM(AF845+AG845-AH845)</f>
        <v>1</v>
      </c>
      <c r="AJ845" s="60"/>
      <c r="AK845" s="58"/>
      <c r="AL845" s="62">
        <f t="shared" ref="AL845:AL849" si="2572">SUM(AI845+AJ845-AK845)</f>
        <v>1</v>
      </c>
      <c r="AM845" s="60"/>
      <c r="AN845" s="58"/>
      <c r="AO845" s="62">
        <f t="shared" ref="AO845:AO849" si="2573">SUM(AL845+AM845-AN845)</f>
        <v>1</v>
      </c>
      <c r="AP845" s="60"/>
      <c r="AQ845" s="58"/>
      <c r="AR845" s="62">
        <f t="shared" ref="AR845:AR849" si="2574">SUM(AO845+AP845-AQ845)</f>
        <v>1</v>
      </c>
      <c r="AS845" s="60"/>
      <c r="AT845" s="58"/>
      <c r="AU845" s="62">
        <f t="shared" ref="AU845:AU849" si="2575">SUM(AR845+AS845-AT845)</f>
        <v>1</v>
      </c>
      <c r="AV845" s="96">
        <f t="shared" ref="AV845:AV846" si="2576">SUM(L845+O845+R845+U845+X845+AA845+AD845+AG845+AJ845+AM845+AP845+AS845)</f>
        <v>0</v>
      </c>
      <c r="AW845" s="83">
        <f t="shared" si="2519"/>
        <v>0</v>
      </c>
      <c r="AX845" s="98">
        <f t="shared" ref="AX845:AX849" si="2577">SUM(M845,P845,S845,V845,Y845,AB845,AE845,AH845,AK845,AN845,AQ845,AT845)</f>
        <v>0</v>
      </c>
      <c r="AY845" s="99" t="e">
        <f t="shared" ref="AY845:AY849" si="2578">AVERAGE(M845,P845,S845,V845,Y845,AB845,AE845,AH845,AK845,AN845,AQ845,AT845)</f>
        <v>#DIV/0!</v>
      </c>
      <c r="AZ845" s="100">
        <f t="shared" ref="AZ845:AZ849" si="2579">COUNT(M845,P845,S845,V845,Y845,AB845,AE845,AH845,AK845,AN845,AQ845,AT845)</f>
        <v>0</v>
      </c>
      <c r="BA845" s="101">
        <v>1</v>
      </c>
      <c r="BB845" s="102">
        <v>0</v>
      </c>
      <c r="BC845" s="84">
        <f t="shared" si="2486"/>
        <v>1</v>
      </c>
      <c r="BD845" s="83">
        <f t="shared" si="2483"/>
        <v>1</v>
      </c>
      <c r="BE845" s="85">
        <v>2</v>
      </c>
      <c r="BF845" s="86">
        <v>45513.679699074077</v>
      </c>
      <c r="BG845" s="72" t="e">
        <f t="shared" si="2545"/>
        <v>#REF!</v>
      </c>
      <c r="BH845" s="103" t="e">
        <f t="shared" ref="BH845:BH849" si="2580">BG845-BF845</f>
        <v>#REF!</v>
      </c>
      <c r="BI845" s="80" t="e">
        <f t="shared" si="2485"/>
        <v>#REF!</v>
      </c>
      <c r="BJ845" s="238">
        <v>14250</v>
      </c>
    </row>
    <row r="846" spans="1:62" ht="13">
      <c r="A846" s="49"/>
      <c r="B846" s="50"/>
      <c r="C846" s="51">
        <v>844</v>
      </c>
      <c r="D846" s="204" t="s">
        <v>1529</v>
      </c>
      <c r="E846" s="205" t="s">
        <v>1862</v>
      </c>
      <c r="F846" s="88" t="s">
        <v>1426</v>
      </c>
      <c r="G846" s="89" t="s">
        <v>1427</v>
      </c>
      <c r="H846" s="81" t="s">
        <v>1700</v>
      </c>
      <c r="I846" s="80" t="s">
        <v>458</v>
      </c>
      <c r="J846" s="82">
        <f t="shared" si="2563"/>
        <v>2</v>
      </c>
      <c r="K846" s="88">
        <v>2</v>
      </c>
      <c r="L846" s="58"/>
      <c r="M846" s="58"/>
      <c r="N846" s="62">
        <f t="shared" si="2564"/>
        <v>2</v>
      </c>
      <c r="O846" s="60"/>
      <c r="P846" s="58"/>
      <c r="Q846" s="62">
        <f t="shared" si="2565"/>
        <v>2</v>
      </c>
      <c r="R846" s="60"/>
      <c r="S846" s="58"/>
      <c r="T846" s="94">
        <f t="shared" si="2566"/>
        <v>2</v>
      </c>
      <c r="U846" s="60"/>
      <c r="V846" s="58"/>
      <c r="W846" s="62">
        <f t="shared" si="2567"/>
        <v>2</v>
      </c>
      <c r="X846" s="60"/>
      <c r="Y846" s="58"/>
      <c r="Z846" s="94">
        <f t="shared" si="2568"/>
        <v>2</v>
      </c>
      <c r="AA846" s="60"/>
      <c r="AB846" s="58"/>
      <c r="AC846" s="62">
        <f t="shared" si="2569"/>
        <v>2</v>
      </c>
      <c r="AD846" s="57"/>
      <c r="AE846" s="58"/>
      <c r="AF846" s="165">
        <f t="shared" si="2570"/>
        <v>2</v>
      </c>
      <c r="AG846" s="60"/>
      <c r="AH846" s="58"/>
      <c r="AI846" s="62">
        <f t="shared" si="2571"/>
        <v>2</v>
      </c>
      <c r="AJ846" s="60"/>
      <c r="AK846" s="58"/>
      <c r="AL846" s="62">
        <f t="shared" si="2572"/>
        <v>2</v>
      </c>
      <c r="AM846" s="60"/>
      <c r="AN846" s="58"/>
      <c r="AO846" s="62">
        <f t="shared" si="2573"/>
        <v>2</v>
      </c>
      <c r="AP846" s="60"/>
      <c r="AQ846" s="58"/>
      <c r="AR846" s="62">
        <f t="shared" si="2574"/>
        <v>2</v>
      </c>
      <c r="AS846" s="60"/>
      <c r="AT846" s="58"/>
      <c r="AU846" s="62">
        <f t="shared" si="2575"/>
        <v>2</v>
      </c>
      <c r="AV846" s="96">
        <f t="shared" si="2576"/>
        <v>0</v>
      </c>
      <c r="AW846" s="83">
        <f t="shared" si="2519"/>
        <v>0</v>
      </c>
      <c r="AX846" s="98">
        <f t="shared" si="2577"/>
        <v>0</v>
      </c>
      <c r="AY846" s="99" t="e">
        <f t="shared" si="2578"/>
        <v>#DIV/0!</v>
      </c>
      <c r="AZ846" s="100">
        <f t="shared" si="2579"/>
        <v>0</v>
      </c>
      <c r="BA846" s="101">
        <v>2</v>
      </c>
      <c r="BB846" s="102">
        <v>1</v>
      </c>
      <c r="BC846" s="84">
        <f t="shared" si="2486"/>
        <v>2</v>
      </c>
      <c r="BD846" s="83">
        <f t="shared" si="2483"/>
        <v>1</v>
      </c>
      <c r="BE846" s="85">
        <v>2</v>
      </c>
      <c r="BF846" s="86">
        <v>45513.679699074077</v>
      </c>
      <c r="BG846" s="72" t="e">
        <f t="shared" si="2545"/>
        <v>#REF!</v>
      </c>
      <c r="BH846" s="103" t="e">
        <f t="shared" si="2580"/>
        <v>#REF!</v>
      </c>
      <c r="BI846" s="80" t="e">
        <f t="shared" si="2485"/>
        <v>#REF!</v>
      </c>
      <c r="BJ846" s="238">
        <v>14250</v>
      </c>
    </row>
    <row r="847" spans="1:62" ht="13">
      <c r="A847" s="90"/>
      <c r="B847" s="91"/>
      <c r="C847" s="51">
        <v>845</v>
      </c>
      <c r="D847" s="204" t="s">
        <v>1529</v>
      </c>
      <c r="E847" s="205" t="s">
        <v>1862</v>
      </c>
      <c r="F847" s="88" t="s">
        <v>1420</v>
      </c>
      <c r="G847" s="89" t="s">
        <v>1421</v>
      </c>
      <c r="H847" s="81" t="s">
        <v>1700</v>
      </c>
      <c r="I847" s="80" t="s">
        <v>458</v>
      </c>
      <c r="J847" s="93">
        <f t="shared" si="2563"/>
        <v>2</v>
      </c>
      <c r="K847" s="88">
        <v>2</v>
      </c>
      <c r="L847" s="58"/>
      <c r="M847" s="58"/>
      <c r="N847" s="62">
        <f t="shared" si="2564"/>
        <v>2</v>
      </c>
      <c r="O847" s="60"/>
      <c r="P847" s="58"/>
      <c r="Q847" s="62">
        <f t="shared" si="2565"/>
        <v>2</v>
      </c>
      <c r="R847" s="60"/>
      <c r="S847" s="58"/>
      <c r="T847" s="94">
        <f t="shared" si="2566"/>
        <v>2</v>
      </c>
      <c r="U847" s="60"/>
      <c r="V847" s="58"/>
      <c r="W847" s="62">
        <f t="shared" si="2567"/>
        <v>2</v>
      </c>
      <c r="X847" s="60"/>
      <c r="Y847" s="58"/>
      <c r="Z847" s="94">
        <f t="shared" si="2568"/>
        <v>2</v>
      </c>
      <c r="AA847" s="60"/>
      <c r="AB847" s="58"/>
      <c r="AC847" s="62">
        <f t="shared" si="2569"/>
        <v>2</v>
      </c>
      <c r="AD847" s="57"/>
      <c r="AE847" s="58"/>
      <c r="AF847" s="165">
        <f t="shared" si="2570"/>
        <v>2</v>
      </c>
      <c r="AG847" s="60"/>
      <c r="AH847" s="58"/>
      <c r="AI847" s="62">
        <f t="shared" si="2571"/>
        <v>2</v>
      </c>
      <c r="AJ847" s="60"/>
      <c r="AK847" s="58"/>
      <c r="AL847" s="62">
        <f t="shared" si="2572"/>
        <v>2</v>
      </c>
      <c r="AM847" s="60"/>
      <c r="AN847" s="58"/>
      <c r="AO847" s="62">
        <f t="shared" si="2573"/>
        <v>2</v>
      </c>
      <c r="AP847" s="60"/>
      <c r="AQ847" s="58"/>
      <c r="AR847" s="62">
        <f t="shared" si="2574"/>
        <v>2</v>
      </c>
      <c r="AS847" s="60"/>
      <c r="AT847" s="58"/>
      <c r="AU847" s="62">
        <f t="shared" si="2575"/>
        <v>2</v>
      </c>
      <c r="AV847" s="96">
        <f t="shared" ref="AV847:AV849" si="2581">SUM(L847+O847+R847+U847+X847+AA847+AD847+AG847+AJ847+AM847+AP847+AS847)</f>
        <v>0</v>
      </c>
      <c r="AW847" s="83">
        <f t="shared" si="2519"/>
        <v>0</v>
      </c>
      <c r="AX847" s="98">
        <f t="shared" si="2577"/>
        <v>0</v>
      </c>
      <c r="AY847" s="99" t="e">
        <f t="shared" si="2578"/>
        <v>#DIV/0!</v>
      </c>
      <c r="AZ847" s="100">
        <f t="shared" si="2579"/>
        <v>0</v>
      </c>
      <c r="BA847" s="101">
        <v>2</v>
      </c>
      <c r="BB847" s="102">
        <v>1</v>
      </c>
      <c r="BC847" s="84">
        <f t="shared" si="2486"/>
        <v>2</v>
      </c>
      <c r="BD847" s="83">
        <f t="shared" si="2483"/>
        <v>1</v>
      </c>
      <c r="BE847" s="85">
        <v>2</v>
      </c>
      <c r="BF847" s="86">
        <v>45513.679699074077</v>
      </c>
      <c r="BG847" s="72" t="e">
        <f t="shared" si="2545"/>
        <v>#REF!</v>
      </c>
      <c r="BH847" s="103" t="e">
        <f t="shared" si="2580"/>
        <v>#REF!</v>
      </c>
      <c r="BI847" s="80" t="e">
        <f t="shared" si="2485"/>
        <v>#REF!</v>
      </c>
      <c r="BJ847" s="238">
        <v>8740</v>
      </c>
    </row>
    <row r="848" spans="1:62" ht="13">
      <c r="A848" s="75"/>
      <c r="B848" s="76"/>
      <c r="C848" s="51">
        <v>846</v>
      </c>
      <c r="D848" s="204" t="s">
        <v>1529</v>
      </c>
      <c r="E848" s="205" t="s">
        <v>1862</v>
      </c>
      <c r="F848" s="88" t="s">
        <v>1422</v>
      </c>
      <c r="G848" s="89" t="s">
        <v>1423</v>
      </c>
      <c r="H848" s="81" t="s">
        <v>1700</v>
      </c>
      <c r="I848" s="80" t="s">
        <v>458</v>
      </c>
      <c r="J848" s="93">
        <f t="shared" si="2563"/>
        <v>1</v>
      </c>
      <c r="K848" s="80">
        <v>1</v>
      </c>
      <c r="L848" s="58"/>
      <c r="M848" s="58"/>
      <c r="N848" s="62">
        <f t="shared" si="2564"/>
        <v>1</v>
      </c>
      <c r="O848" s="60"/>
      <c r="P848" s="58"/>
      <c r="Q848" s="62">
        <f t="shared" si="2565"/>
        <v>1</v>
      </c>
      <c r="R848" s="60"/>
      <c r="S848" s="58"/>
      <c r="T848" s="94">
        <f t="shared" si="2566"/>
        <v>1</v>
      </c>
      <c r="U848" s="60"/>
      <c r="V848" s="58"/>
      <c r="W848" s="62">
        <f t="shared" si="2567"/>
        <v>1</v>
      </c>
      <c r="X848" s="60"/>
      <c r="Y848" s="58"/>
      <c r="Z848" s="94">
        <f t="shared" si="2568"/>
        <v>1</v>
      </c>
      <c r="AA848" s="60"/>
      <c r="AB848" s="58"/>
      <c r="AC848" s="62">
        <f t="shared" si="2569"/>
        <v>1</v>
      </c>
      <c r="AD848" s="57"/>
      <c r="AE848" s="58"/>
      <c r="AF848" s="165">
        <f t="shared" si="2570"/>
        <v>1</v>
      </c>
      <c r="AG848" s="60"/>
      <c r="AH848" s="58"/>
      <c r="AI848" s="62">
        <f t="shared" si="2571"/>
        <v>1</v>
      </c>
      <c r="AJ848" s="60"/>
      <c r="AK848" s="58"/>
      <c r="AL848" s="62">
        <f t="shared" si="2572"/>
        <v>1</v>
      </c>
      <c r="AM848" s="60"/>
      <c r="AN848" s="58"/>
      <c r="AO848" s="62">
        <f t="shared" si="2573"/>
        <v>1</v>
      </c>
      <c r="AP848" s="60"/>
      <c r="AQ848" s="58"/>
      <c r="AR848" s="62">
        <f t="shared" si="2574"/>
        <v>1</v>
      </c>
      <c r="AS848" s="60"/>
      <c r="AT848" s="58"/>
      <c r="AU848" s="62">
        <f t="shared" si="2575"/>
        <v>1</v>
      </c>
      <c r="AV848" s="96">
        <f t="shared" si="2581"/>
        <v>0</v>
      </c>
      <c r="AW848" s="83">
        <f t="shared" si="2519"/>
        <v>0</v>
      </c>
      <c r="AX848" s="98">
        <f t="shared" si="2577"/>
        <v>0</v>
      </c>
      <c r="AY848" s="99" t="e">
        <f t="shared" si="2578"/>
        <v>#DIV/0!</v>
      </c>
      <c r="AZ848" s="100">
        <f t="shared" si="2579"/>
        <v>0</v>
      </c>
      <c r="BA848" s="101">
        <v>1</v>
      </c>
      <c r="BB848" s="102">
        <v>0</v>
      </c>
      <c r="BC848" s="84">
        <f t="shared" si="2486"/>
        <v>1</v>
      </c>
      <c r="BD848" s="83">
        <f t="shared" si="2483"/>
        <v>1</v>
      </c>
      <c r="BE848" s="85">
        <v>2</v>
      </c>
      <c r="BF848" s="86">
        <v>45280</v>
      </c>
      <c r="BG848" s="72" t="e">
        <f t="shared" si="2545"/>
        <v>#REF!</v>
      </c>
      <c r="BH848" s="103" t="e">
        <f t="shared" si="2580"/>
        <v>#REF!</v>
      </c>
      <c r="BI848" s="80" t="e">
        <f t="shared" si="2485"/>
        <v>#REF!</v>
      </c>
      <c r="BJ848" s="238">
        <v>43500</v>
      </c>
    </row>
    <row r="849" spans="1:62" ht="13">
      <c r="A849" s="49"/>
      <c r="B849" s="76"/>
      <c r="C849" s="51">
        <v>847</v>
      </c>
      <c r="D849" s="204" t="s">
        <v>1529</v>
      </c>
      <c r="E849" s="205" t="s">
        <v>1862</v>
      </c>
      <c r="F849" s="88" t="s">
        <v>1428</v>
      </c>
      <c r="G849" s="89" t="s">
        <v>1429</v>
      </c>
      <c r="H849" s="81" t="s">
        <v>1700</v>
      </c>
      <c r="I849" s="80" t="s">
        <v>458</v>
      </c>
      <c r="J849" s="93">
        <f t="shared" si="2563"/>
        <v>2</v>
      </c>
      <c r="K849" s="80">
        <v>2</v>
      </c>
      <c r="L849" s="58"/>
      <c r="M849" s="58"/>
      <c r="N849" s="62">
        <f t="shared" si="2564"/>
        <v>2</v>
      </c>
      <c r="O849" s="60"/>
      <c r="P849" s="58"/>
      <c r="Q849" s="62">
        <f t="shared" si="2565"/>
        <v>2</v>
      </c>
      <c r="R849" s="60"/>
      <c r="S849" s="58"/>
      <c r="T849" s="94">
        <f t="shared" si="2566"/>
        <v>2</v>
      </c>
      <c r="U849" s="60"/>
      <c r="V849" s="58"/>
      <c r="W849" s="62">
        <f t="shared" si="2567"/>
        <v>2</v>
      </c>
      <c r="X849" s="60"/>
      <c r="Y849" s="58"/>
      <c r="Z849" s="94">
        <f t="shared" si="2568"/>
        <v>2</v>
      </c>
      <c r="AA849" s="60"/>
      <c r="AB849" s="58"/>
      <c r="AC849" s="62">
        <f t="shared" si="2569"/>
        <v>2</v>
      </c>
      <c r="AD849" s="57"/>
      <c r="AE849" s="58"/>
      <c r="AF849" s="165">
        <f t="shared" si="2570"/>
        <v>2</v>
      </c>
      <c r="AG849" s="60"/>
      <c r="AH849" s="58"/>
      <c r="AI849" s="62">
        <f t="shared" si="2571"/>
        <v>2</v>
      </c>
      <c r="AJ849" s="60"/>
      <c r="AK849" s="58"/>
      <c r="AL849" s="62">
        <f t="shared" si="2572"/>
        <v>2</v>
      </c>
      <c r="AM849" s="60"/>
      <c r="AN849" s="58"/>
      <c r="AO849" s="62">
        <f t="shared" si="2573"/>
        <v>2</v>
      </c>
      <c r="AP849" s="60"/>
      <c r="AQ849" s="58"/>
      <c r="AR849" s="62">
        <f t="shared" si="2574"/>
        <v>2</v>
      </c>
      <c r="AS849" s="60"/>
      <c r="AT849" s="58"/>
      <c r="AU849" s="62">
        <f t="shared" si="2575"/>
        <v>2</v>
      </c>
      <c r="AV849" s="96">
        <f t="shared" si="2581"/>
        <v>0</v>
      </c>
      <c r="AW849" s="83">
        <f t="shared" si="2519"/>
        <v>0</v>
      </c>
      <c r="AX849" s="98">
        <f t="shared" si="2577"/>
        <v>0</v>
      </c>
      <c r="AY849" s="99" t="e">
        <f t="shared" si="2578"/>
        <v>#DIV/0!</v>
      </c>
      <c r="AZ849" s="100">
        <f t="shared" si="2579"/>
        <v>0</v>
      </c>
      <c r="BA849" s="101">
        <v>2</v>
      </c>
      <c r="BB849" s="102">
        <v>1</v>
      </c>
      <c r="BC849" s="84">
        <f t="shared" si="2486"/>
        <v>2</v>
      </c>
      <c r="BD849" s="83">
        <f t="shared" si="2483"/>
        <v>1</v>
      </c>
      <c r="BE849" s="85">
        <v>2</v>
      </c>
      <c r="BF849" s="86">
        <v>45280</v>
      </c>
      <c r="BG849" s="72" t="e">
        <f t="shared" si="2545"/>
        <v>#REF!</v>
      </c>
      <c r="BH849" s="103" t="e">
        <f t="shared" si="2580"/>
        <v>#REF!</v>
      </c>
      <c r="BI849" s="80" t="e">
        <f t="shared" si="2485"/>
        <v>#REF!</v>
      </c>
      <c r="BJ849" s="238">
        <v>41325</v>
      </c>
    </row>
    <row r="850" spans="1:62" ht="13">
      <c r="A850" s="90"/>
      <c r="B850" s="91"/>
      <c r="C850" s="77">
        <v>848</v>
      </c>
      <c r="D850" s="141"/>
      <c r="E850" s="141"/>
      <c r="F850" s="142" t="s">
        <v>391</v>
      </c>
      <c r="G850" s="143" t="s">
        <v>1292</v>
      </c>
      <c r="H850" s="134" t="s">
        <v>294</v>
      </c>
      <c r="I850" s="80" t="s">
        <v>458</v>
      </c>
      <c r="J850" s="93">
        <f>AU850</f>
        <v>1</v>
      </c>
      <c r="K850" s="80">
        <v>1</v>
      </c>
      <c r="L850" s="57"/>
      <c r="M850" s="58"/>
      <c r="N850" s="59">
        <f>SUM(K850+L850-M850)</f>
        <v>1</v>
      </c>
      <c r="O850" s="60"/>
      <c r="P850" s="58"/>
      <c r="Q850" s="59">
        <f>SUM(N850+O850-P850)</f>
        <v>1</v>
      </c>
      <c r="R850" s="60"/>
      <c r="S850" s="58"/>
      <c r="T850" s="61">
        <f>SUM(Q850+R850-S850)</f>
        <v>1</v>
      </c>
      <c r="U850" s="60"/>
      <c r="V850" s="58"/>
      <c r="W850" s="59">
        <f>SUM(T850+U850-V850)</f>
        <v>1</v>
      </c>
      <c r="X850" s="60"/>
      <c r="Y850" s="58"/>
      <c r="Z850" s="61">
        <f>SUM(W850+X850-Y850)</f>
        <v>1</v>
      </c>
      <c r="AA850" s="60"/>
      <c r="AB850" s="58"/>
      <c r="AC850" s="59">
        <f>SUM(Z850+AA850-AB850)</f>
        <v>1</v>
      </c>
      <c r="AD850" s="57"/>
      <c r="AE850" s="58"/>
      <c r="AF850" s="243">
        <f>SUM(AC850+AD850-AE850)</f>
        <v>1</v>
      </c>
      <c r="AG850" s="60"/>
      <c r="AH850" s="58"/>
      <c r="AI850" s="62">
        <f>SUM(AF850+AG850-AH850)</f>
        <v>1</v>
      </c>
      <c r="AJ850" s="60"/>
      <c r="AK850" s="58"/>
      <c r="AL850" s="62">
        <f>SUM(AI850+AJ850-AK850)</f>
        <v>1</v>
      </c>
      <c r="AM850" s="60"/>
      <c r="AN850" s="58"/>
      <c r="AO850" s="62">
        <f>SUM(AL850+AM850-AN850)</f>
        <v>1</v>
      </c>
      <c r="AP850" s="60"/>
      <c r="AQ850" s="58"/>
      <c r="AR850" s="62">
        <f>SUM(AO850+AP850-AQ850)</f>
        <v>1</v>
      </c>
      <c r="AS850" s="60"/>
      <c r="AT850" s="58"/>
      <c r="AU850" s="62">
        <f>SUM(AR850+AS850-AT850)</f>
        <v>1</v>
      </c>
      <c r="AV850" s="83">
        <f t="shared" ref="AV850" si="2582">SUM(L850+O850+R850+U850+X850+AA850+AD850+AG850+AJ850+AM850+AP850+AS850)</f>
        <v>0</v>
      </c>
      <c r="AW850" s="83">
        <f t="shared" si="2519"/>
        <v>0</v>
      </c>
      <c r="AX850" s="64">
        <f>SUM(M850,P850,S850,V850,Y850,AB850,AE850,AH850,AK850,AN850,AQ850,AT850)</f>
        <v>0</v>
      </c>
      <c r="AY850" s="65" t="e">
        <f>AVERAGE(M850,P850,S850,V850,Y850,AB850,AE850,AH850,AK850,AN850,AQ850,AT850)</f>
        <v>#DIV/0!</v>
      </c>
      <c r="AZ850" s="66">
        <f>COUNT(M850,P850,S850,V850,Y850,AB850,AE850,AH850,AK850,AN850,AQ850,AT850)</f>
        <v>0</v>
      </c>
      <c r="BA850" s="67">
        <f>MAX(0, Table176252626[[#This Row],[Column6]])</f>
        <v>1</v>
      </c>
      <c r="BB850" s="68">
        <v>0</v>
      </c>
      <c r="BC850" s="84">
        <f t="shared" si="2486"/>
        <v>1</v>
      </c>
      <c r="BD850" s="83">
        <f t="shared" si="2483"/>
        <v>1</v>
      </c>
      <c r="BE850" s="85">
        <v>2</v>
      </c>
      <c r="BF850" s="86">
        <v>43383.610844907409</v>
      </c>
      <c r="BG850" s="72" t="e">
        <f t="shared" si="2545"/>
        <v>#REF!</v>
      </c>
      <c r="BH850" s="107" t="e">
        <f>BG850-BF850</f>
        <v>#REF!</v>
      </c>
      <c r="BI850" s="80" t="e">
        <f t="shared" si="2485"/>
        <v>#REF!</v>
      </c>
      <c r="BJ850" s="238">
        <v>110000</v>
      </c>
    </row>
    <row r="851" spans="1:62" ht="13">
      <c r="A851" s="49"/>
      <c r="B851" s="50"/>
      <c r="C851" s="77">
        <v>849</v>
      </c>
      <c r="D851" s="52"/>
      <c r="E851" s="78"/>
      <c r="F851" s="120" t="s">
        <v>660</v>
      </c>
      <c r="G851" s="118" t="s">
        <v>1528</v>
      </c>
      <c r="H851" s="89" t="s">
        <v>842</v>
      </c>
      <c r="I851" s="80" t="s">
        <v>458</v>
      </c>
      <c r="J851" s="82">
        <f t="shared" ref="J851" si="2583">AU851</f>
        <v>1</v>
      </c>
      <c r="K851" s="80">
        <v>1</v>
      </c>
      <c r="L851" s="57"/>
      <c r="M851" s="58"/>
      <c r="N851" s="59">
        <f t="shared" ref="N851" si="2584">SUM(K851+L851-M851)</f>
        <v>1</v>
      </c>
      <c r="O851" s="60"/>
      <c r="P851" s="58"/>
      <c r="Q851" s="59">
        <f t="shared" ref="Q851" si="2585">SUM(N851+O851-P851)</f>
        <v>1</v>
      </c>
      <c r="R851" s="60"/>
      <c r="S851" s="58"/>
      <c r="T851" s="61">
        <f t="shared" ref="T851" si="2586">SUM(Q851+R851-S851)</f>
        <v>1</v>
      </c>
      <c r="U851" s="60"/>
      <c r="V851" s="58"/>
      <c r="W851" s="59">
        <f t="shared" ref="W851" si="2587">SUM(T851+U851-V851)</f>
        <v>1</v>
      </c>
      <c r="X851" s="60"/>
      <c r="Y851" s="58"/>
      <c r="Z851" s="61">
        <f t="shared" ref="Z851" si="2588">SUM(W851+X851-Y851)</f>
        <v>1</v>
      </c>
      <c r="AA851" s="60"/>
      <c r="AB851" s="58"/>
      <c r="AC851" s="59">
        <f t="shared" ref="AC851" si="2589">SUM(Z851+AA851-AB851)</f>
        <v>1</v>
      </c>
      <c r="AD851" s="57"/>
      <c r="AE851" s="58"/>
      <c r="AF851" s="243">
        <f t="shared" ref="AF851" si="2590">SUM(AC851+AD851-AE851)</f>
        <v>1</v>
      </c>
      <c r="AG851" s="60"/>
      <c r="AH851" s="58"/>
      <c r="AI851" s="62">
        <f t="shared" ref="AI851" si="2591">SUM(AF851+AG851-AH851)</f>
        <v>1</v>
      </c>
      <c r="AJ851" s="60"/>
      <c r="AK851" s="58"/>
      <c r="AL851" s="62">
        <f t="shared" ref="AL851" si="2592">SUM(AI851+AJ851-AK851)</f>
        <v>1</v>
      </c>
      <c r="AM851" s="60"/>
      <c r="AN851" s="58"/>
      <c r="AO851" s="62">
        <f t="shared" ref="AO851" si="2593">SUM(AL851+AM851-AN851)</f>
        <v>1</v>
      </c>
      <c r="AP851" s="60"/>
      <c r="AQ851" s="58"/>
      <c r="AR851" s="62">
        <f t="shared" ref="AR851" si="2594">SUM(AO851+AP851-AQ851)</f>
        <v>1</v>
      </c>
      <c r="AS851" s="60"/>
      <c r="AT851" s="58"/>
      <c r="AU851" s="62">
        <f t="shared" ref="AU851" si="2595">SUM(AR851+AS851-AT851)</f>
        <v>1</v>
      </c>
      <c r="AV851" s="83">
        <f t="shared" ref="AV851" si="2596">SUM(L851+O851+R851+U851+X851+AA851+AD851+AG851+AJ851+AM851+AP851+AS851)</f>
        <v>0</v>
      </c>
      <c r="AW851" s="83">
        <f t="shared" ref="AW851" si="2597">SUM(M851+P851+S851+V851+Y851+AB851+AE851+AH851+AK851+AN851+AQ851+AT851)</f>
        <v>0</v>
      </c>
      <c r="AX851" s="64">
        <f t="shared" ref="AX851" si="2598">SUM(M851,P851,S851,V851,Y851,AB851,AE851,AH851,AK851,AN851,AQ851,AT851)</f>
        <v>0</v>
      </c>
      <c r="AY851" s="65" t="e">
        <f t="shared" ref="AY851" si="2599">AVERAGE(M851,P851,S851,V851,Y851,AB851,AE851,AH851,AK851,AN851,AQ851,AT851)</f>
        <v>#DIV/0!</v>
      </c>
      <c r="AZ851" s="66">
        <f t="shared" ref="AZ851" si="2600">COUNT(M851,P851,S851,V851,Y851,AB851,AE851,AH851,AK851,AN851,AQ851,AT851)</f>
        <v>0</v>
      </c>
      <c r="BA851" s="67">
        <f>MAX(0, Table176252626[[#This Row],[Column6]])</f>
        <v>1</v>
      </c>
      <c r="BB851" s="68">
        <v>0</v>
      </c>
      <c r="BC851" s="84">
        <f t="shared" si="1695"/>
        <v>1</v>
      </c>
      <c r="BD851" s="83">
        <f t="shared" si="1692"/>
        <v>1</v>
      </c>
      <c r="BE851" s="85">
        <v>2</v>
      </c>
      <c r="BF851" s="86">
        <v>44273.59851851852</v>
      </c>
      <c r="BG851" s="72" t="e">
        <f t="shared" si="2545"/>
        <v>#REF!</v>
      </c>
      <c r="BH851" s="87" t="e">
        <f t="shared" ref="BH851" si="2601">BG851-BF851</f>
        <v>#REF!</v>
      </c>
      <c r="BI851" s="80" t="e">
        <f t="shared" si="1694"/>
        <v>#REF!</v>
      </c>
      <c r="BJ851" s="238">
        <v>190000</v>
      </c>
    </row>
    <row r="852" spans="1:62" ht="13">
      <c r="A852" s="49"/>
      <c r="B852" s="50"/>
      <c r="C852" s="51">
        <v>850</v>
      </c>
      <c r="D852" s="52"/>
      <c r="E852" s="78"/>
      <c r="F852" s="105" t="s">
        <v>155</v>
      </c>
      <c r="G852" s="112" t="s">
        <v>156</v>
      </c>
      <c r="H852" s="81" t="s">
        <v>294</v>
      </c>
      <c r="I852" s="80" t="s">
        <v>458</v>
      </c>
      <c r="J852" s="82">
        <f>AU852</f>
        <v>7</v>
      </c>
      <c r="K852" s="80">
        <v>7</v>
      </c>
      <c r="L852" s="57"/>
      <c r="M852" s="58"/>
      <c r="N852" s="59">
        <f>SUM(K852+L852-M852)</f>
        <v>7</v>
      </c>
      <c r="O852" s="60"/>
      <c r="P852" s="58"/>
      <c r="Q852" s="59">
        <f>SUM(N852+O852-P852)</f>
        <v>7</v>
      </c>
      <c r="R852" s="60"/>
      <c r="S852" s="58"/>
      <c r="T852" s="61">
        <f>SUM(Q852+R852-S852)</f>
        <v>7</v>
      </c>
      <c r="U852" s="60"/>
      <c r="V852" s="58"/>
      <c r="W852" s="59">
        <f>SUM(T852+U852-V852)</f>
        <v>7</v>
      </c>
      <c r="X852" s="60"/>
      <c r="Y852" s="58"/>
      <c r="Z852" s="61">
        <f>SUM(W852+X852-Y852)</f>
        <v>7</v>
      </c>
      <c r="AA852" s="60"/>
      <c r="AB852" s="58"/>
      <c r="AC852" s="59">
        <f>SUM(Z852+AA852-AB852)</f>
        <v>7</v>
      </c>
      <c r="AD852" s="57"/>
      <c r="AE852" s="58"/>
      <c r="AF852" s="243">
        <f>SUM(AC852+AD852-AE852)</f>
        <v>7</v>
      </c>
      <c r="AG852" s="60"/>
      <c r="AH852" s="58"/>
      <c r="AI852" s="62">
        <f>SUM(AF852+AG852-AH852)</f>
        <v>7</v>
      </c>
      <c r="AJ852" s="60"/>
      <c r="AK852" s="58"/>
      <c r="AL852" s="62">
        <f>SUM(AI852+AJ852-AK852)</f>
        <v>7</v>
      </c>
      <c r="AM852" s="60"/>
      <c r="AN852" s="58"/>
      <c r="AO852" s="62">
        <f>SUM(AL852+AM852-AN852)</f>
        <v>7</v>
      </c>
      <c r="AP852" s="60"/>
      <c r="AQ852" s="58"/>
      <c r="AR852" s="62">
        <f>SUM(AO852+AP852-AQ852)</f>
        <v>7</v>
      </c>
      <c r="AS852" s="60"/>
      <c r="AT852" s="58"/>
      <c r="AU852" s="62">
        <f>SUM(AR852+AS852-AT852)</f>
        <v>7</v>
      </c>
      <c r="AV852" s="83">
        <f t="shared" ref="AV852" si="2602">SUM(L852+O852+R852+U852+X852+AA852+AD852+AG852+AJ852+AM852+AP852+AS852)</f>
        <v>0</v>
      </c>
      <c r="AW852" s="83">
        <f t="shared" ref="AW852:AW857" si="2603">SUM(M852+P852+S852+V852+Y852+AB852+AE852+AH852+AK852+AN852+AQ852+AT852)</f>
        <v>0</v>
      </c>
      <c r="AX852" s="64">
        <f>SUM(M852,P852,S852,V852,Y852,AB852,AE852,AH852,AK852,AN852,AQ852,AT852)</f>
        <v>0</v>
      </c>
      <c r="AY852" s="65" t="e">
        <f>AVERAGE(M852,P852,S852,V852,Y852,AB852,AE852,AH852,AK852,AN852,AQ852,AT852)</f>
        <v>#DIV/0!</v>
      </c>
      <c r="AZ852" s="66">
        <f>COUNT(M852,P852,S852,V852,Y852,AB852,AE852,AH852,AK852,AN852,AQ852,AT852)</f>
        <v>0</v>
      </c>
      <c r="BA852" s="67">
        <v>7</v>
      </c>
      <c r="BB852" s="68">
        <v>1</v>
      </c>
      <c r="BC852" s="84">
        <f t="shared" si="1695"/>
        <v>7</v>
      </c>
      <c r="BD852" s="83">
        <f t="shared" si="1692"/>
        <v>6</v>
      </c>
      <c r="BE852" s="85">
        <v>2</v>
      </c>
      <c r="BF852" s="86">
        <v>41983.385069444441</v>
      </c>
      <c r="BG852" s="72" t="e">
        <f t="shared" si="2545"/>
        <v>#REF!</v>
      </c>
      <c r="BH852" s="87" t="e">
        <f>BG852-BF852</f>
        <v>#REF!</v>
      </c>
      <c r="BI852" s="80" t="e">
        <f t="shared" si="1694"/>
        <v>#REF!</v>
      </c>
      <c r="BJ852" s="238">
        <v>2500</v>
      </c>
    </row>
    <row r="853" spans="1:62" ht="13">
      <c r="A853" s="75"/>
      <c r="B853" s="76"/>
      <c r="C853" s="51">
        <v>851</v>
      </c>
      <c r="D853" s="52"/>
      <c r="E853" s="78"/>
      <c r="F853" s="93" t="s">
        <v>1315</v>
      </c>
      <c r="G853" s="89" t="s">
        <v>2047</v>
      </c>
      <c r="H853" s="89" t="s">
        <v>294</v>
      </c>
      <c r="I853" s="80" t="s">
        <v>458</v>
      </c>
      <c r="J853" s="93">
        <f t="shared" ref="J853:J855" si="2604">AU853</f>
        <v>1</v>
      </c>
      <c r="K853" s="88">
        <v>1</v>
      </c>
      <c r="L853" s="58"/>
      <c r="M853" s="58"/>
      <c r="N853" s="62">
        <f t="shared" ref="N853:N855" si="2605">SUM(K853+L853-M853)</f>
        <v>1</v>
      </c>
      <c r="O853" s="60"/>
      <c r="P853" s="58"/>
      <c r="Q853" s="62">
        <f t="shared" ref="Q853:Q855" si="2606">SUM(N853+O853-P853)</f>
        <v>1</v>
      </c>
      <c r="R853" s="60"/>
      <c r="S853" s="58"/>
      <c r="T853" s="94">
        <f t="shared" ref="T853:T855" si="2607">SUM(Q853+R853-S853)</f>
        <v>1</v>
      </c>
      <c r="U853" s="60"/>
      <c r="V853" s="58"/>
      <c r="W853" s="62">
        <f t="shared" ref="W853:W855" si="2608">SUM(T853+U853-V853)</f>
        <v>1</v>
      </c>
      <c r="X853" s="60"/>
      <c r="Y853" s="58"/>
      <c r="Z853" s="94">
        <f t="shared" ref="Z853:Z855" si="2609">SUM(W853+X853-Y853)</f>
        <v>1</v>
      </c>
      <c r="AA853" s="60"/>
      <c r="AB853" s="58"/>
      <c r="AC853" s="62">
        <f t="shared" ref="AC853:AC855" si="2610">SUM(Z853+AA853-AB853)</f>
        <v>1</v>
      </c>
      <c r="AD853" s="57"/>
      <c r="AE853" s="58"/>
      <c r="AF853" s="165">
        <f t="shared" ref="AF853:AF855" si="2611">SUM(AC853+AD853-AE853)</f>
        <v>1</v>
      </c>
      <c r="AG853" s="60"/>
      <c r="AH853" s="58"/>
      <c r="AI853" s="62">
        <f t="shared" ref="AI853:AI855" si="2612">SUM(AF853+AG853-AH853)</f>
        <v>1</v>
      </c>
      <c r="AJ853" s="60"/>
      <c r="AK853" s="58"/>
      <c r="AL853" s="62">
        <f t="shared" ref="AL853:AL855" si="2613">SUM(AI853+AJ853-AK853)</f>
        <v>1</v>
      </c>
      <c r="AM853" s="60"/>
      <c r="AN853" s="58"/>
      <c r="AO853" s="62">
        <f t="shared" ref="AO853:AO855" si="2614">SUM(AL853+AM853-AN853)</f>
        <v>1</v>
      </c>
      <c r="AP853" s="60"/>
      <c r="AQ853" s="58"/>
      <c r="AR853" s="62">
        <f t="shared" ref="AR853:AR857" si="2615">SUM(AO853+AP853-AQ853)</f>
        <v>1</v>
      </c>
      <c r="AS853" s="60"/>
      <c r="AT853" s="58"/>
      <c r="AU853" s="62">
        <f t="shared" ref="AU853:AU857" si="2616">SUM(AR853+AS853-AT853)</f>
        <v>1</v>
      </c>
      <c r="AV853" s="96">
        <f t="shared" ref="AV853:AV855" si="2617">SUM(L853+O853+R853+U853+X853+AA853+AD853+AG853+AJ853+AM853+AP853+AS853)</f>
        <v>0</v>
      </c>
      <c r="AW853" s="83">
        <f t="shared" si="2603"/>
        <v>0</v>
      </c>
      <c r="AX853" s="98">
        <f t="shared" ref="AX853:AX857" si="2618">SUM(M853,P853,S853,V853,Y853,AB853,AE853,AH853,AK853,AN853,AQ853,AT853)</f>
        <v>0</v>
      </c>
      <c r="AY853" s="99" t="e">
        <f t="shared" ref="AY853:AY857" si="2619">AVERAGE(M853,P853,S853,V853,Y853,AB853,AE853,AH853,AK853,AN853,AQ853,AT853)</f>
        <v>#DIV/0!</v>
      </c>
      <c r="AZ853" s="100">
        <f t="shared" ref="AZ853:AZ857" si="2620">COUNT(M853,P853,S853,V853,Y853,AB853,AE853,AH853,AK853,AN853,AQ853,AT853)</f>
        <v>0</v>
      </c>
      <c r="BA853" s="101">
        <v>1</v>
      </c>
      <c r="BB853" s="102">
        <v>0</v>
      </c>
      <c r="BC853" s="84">
        <f t="shared" ref="BC853:BC860" si="2621">J853</f>
        <v>1</v>
      </c>
      <c r="BD853" s="83">
        <f t="shared" ref="BD853:BD860" si="2622">SUM(BC853-BB853)</f>
        <v>1</v>
      </c>
      <c r="BE853" s="85">
        <v>2</v>
      </c>
      <c r="BF853" s="86">
        <v>45108.798506944448</v>
      </c>
      <c r="BG853" s="72" t="e">
        <f t="shared" si="2545"/>
        <v>#REF!</v>
      </c>
      <c r="BH853" s="109" t="e">
        <f t="shared" ref="BH853:BH857" si="2623">BG853-BF853</f>
        <v>#REF!</v>
      </c>
      <c r="BI853" s="80" t="e">
        <f t="shared" ref="BI853:BI860" si="2624">IF(AND(J853&gt;0,BH853&gt;365),"Dead Stock","")</f>
        <v>#REF!</v>
      </c>
      <c r="BJ853" s="238">
        <v>531000</v>
      </c>
    </row>
    <row r="854" spans="1:62" ht="13">
      <c r="A854" s="49"/>
      <c r="B854" s="76"/>
      <c r="C854" s="51">
        <v>852</v>
      </c>
      <c r="D854" s="52"/>
      <c r="E854" s="78"/>
      <c r="F854" s="88" t="s">
        <v>1190</v>
      </c>
      <c r="G854" s="89" t="s">
        <v>1275</v>
      </c>
      <c r="H854" s="81" t="s">
        <v>294</v>
      </c>
      <c r="I854" s="80" t="s">
        <v>458</v>
      </c>
      <c r="J854" s="82">
        <f t="shared" si="2604"/>
        <v>1</v>
      </c>
      <c r="K854" s="80">
        <v>1</v>
      </c>
      <c r="L854" s="57"/>
      <c r="M854" s="58"/>
      <c r="N854" s="59">
        <f t="shared" si="2605"/>
        <v>1</v>
      </c>
      <c r="O854" s="60"/>
      <c r="P854" s="58"/>
      <c r="Q854" s="59">
        <f t="shared" si="2606"/>
        <v>1</v>
      </c>
      <c r="R854" s="60"/>
      <c r="S854" s="58"/>
      <c r="T854" s="61">
        <f t="shared" si="2607"/>
        <v>1</v>
      </c>
      <c r="U854" s="60"/>
      <c r="V854" s="58"/>
      <c r="W854" s="59">
        <f t="shared" si="2608"/>
        <v>1</v>
      </c>
      <c r="X854" s="60"/>
      <c r="Y854" s="58"/>
      <c r="Z854" s="61">
        <f t="shared" si="2609"/>
        <v>1</v>
      </c>
      <c r="AA854" s="60"/>
      <c r="AB854" s="58"/>
      <c r="AC854" s="59">
        <f t="shared" si="2610"/>
        <v>1</v>
      </c>
      <c r="AD854" s="57"/>
      <c r="AE854" s="58"/>
      <c r="AF854" s="243">
        <f t="shared" si="2611"/>
        <v>1</v>
      </c>
      <c r="AG854" s="60"/>
      <c r="AH854" s="58"/>
      <c r="AI854" s="62">
        <f t="shared" si="2612"/>
        <v>1</v>
      </c>
      <c r="AJ854" s="60"/>
      <c r="AK854" s="58"/>
      <c r="AL854" s="62">
        <f t="shared" si="2613"/>
        <v>1</v>
      </c>
      <c r="AM854" s="60"/>
      <c r="AN854" s="58"/>
      <c r="AO854" s="62">
        <f t="shared" si="2614"/>
        <v>1</v>
      </c>
      <c r="AP854" s="60"/>
      <c r="AQ854" s="58"/>
      <c r="AR854" s="62">
        <f t="shared" si="2615"/>
        <v>1</v>
      </c>
      <c r="AS854" s="60"/>
      <c r="AT854" s="58"/>
      <c r="AU854" s="62">
        <f t="shared" si="2616"/>
        <v>1</v>
      </c>
      <c r="AV854" s="83">
        <f t="shared" si="2617"/>
        <v>0</v>
      </c>
      <c r="AW854" s="83">
        <f t="shared" si="2603"/>
        <v>0</v>
      </c>
      <c r="AX854" s="64">
        <f t="shared" si="2618"/>
        <v>0</v>
      </c>
      <c r="AY854" s="65" t="e">
        <f t="shared" si="2619"/>
        <v>#DIV/0!</v>
      </c>
      <c r="AZ854" s="66">
        <f t="shared" si="2620"/>
        <v>0</v>
      </c>
      <c r="BA854" s="67">
        <f>MAX(0, Table176252626[[#This Row],[Column6]])</f>
        <v>1</v>
      </c>
      <c r="BB854" s="68">
        <v>0</v>
      </c>
      <c r="BC854" s="84">
        <f t="shared" si="2621"/>
        <v>1</v>
      </c>
      <c r="BD854" s="83">
        <f t="shared" si="2622"/>
        <v>1</v>
      </c>
      <c r="BE854" s="85">
        <v>2</v>
      </c>
      <c r="BF854" s="86">
        <v>44891.633113425924</v>
      </c>
      <c r="BG854" s="72" t="e">
        <f t="shared" si="2545"/>
        <v>#REF!</v>
      </c>
      <c r="BH854" s="87" t="e">
        <f t="shared" si="2623"/>
        <v>#REF!</v>
      </c>
      <c r="BI854" s="80" t="e">
        <f t="shared" si="2624"/>
        <v>#REF!</v>
      </c>
      <c r="BJ854" s="238">
        <v>524000</v>
      </c>
    </row>
    <row r="855" spans="1:62" ht="13">
      <c r="A855" s="49"/>
      <c r="B855" s="76"/>
      <c r="C855" s="51">
        <v>853</v>
      </c>
      <c r="D855" s="52"/>
      <c r="E855" s="78"/>
      <c r="F855" s="80" t="s">
        <v>1222</v>
      </c>
      <c r="G855" s="81" t="s">
        <v>1276</v>
      </c>
      <c r="H855" s="81" t="s">
        <v>294</v>
      </c>
      <c r="I855" s="80" t="s">
        <v>458</v>
      </c>
      <c r="J855" s="82">
        <f t="shared" si="2604"/>
        <v>1</v>
      </c>
      <c r="K855" s="54">
        <v>1</v>
      </c>
      <c r="L855" s="58"/>
      <c r="M855" s="58"/>
      <c r="N855" s="62">
        <f t="shared" si="2605"/>
        <v>1</v>
      </c>
      <c r="O855" s="60"/>
      <c r="P855" s="58"/>
      <c r="Q855" s="62">
        <f t="shared" si="2606"/>
        <v>1</v>
      </c>
      <c r="R855" s="60"/>
      <c r="S855" s="58"/>
      <c r="T855" s="94">
        <f t="shared" si="2607"/>
        <v>1</v>
      </c>
      <c r="U855" s="60"/>
      <c r="V855" s="58"/>
      <c r="W855" s="62">
        <f t="shared" si="2608"/>
        <v>1</v>
      </c>
      <c r="X855" s="60"/>
      <c r="Y855" s="58"/>
      <c r="Z855" s="94">
        <f t="shared" si="2609"/>
        <v>1</v>
      </c>
      <c r="AA855" s="60"/>
      <c r="AB855" s="58"/>
      <c r="AC855" s="62">
        <f t="shared" si="2610"/>
        <v>1</v>
      </c>
      <c r="AD855" s="57"/>
      <c r="AE855" s="58"/>
      <c r="AF855" s="165">
        <f t="shared" si="2611"/>
        <v>1</v>
      </c>
      <c r="AG855" s="60"/>
      <c r="AH855" s="58"/>
      <c r="AI855" s="62">
        <f t="shared" si="2612"/>
        <v>1</v>
      </c>
      <c r="AJ855" s="60"/>
      <c r="AK855" s="58"/>
      <c r="AL855" s="62">
        <f t="shared" si="2613"/>
        <v>1</v>
      </c>
      <c r="AM855" s="60"/>
      <c r="AN855" s="58"/>
      <c r="AO855" s="104">
        <f t="shared" si="2614"/>
        <v>1</v>
      </c>
      <c r="AP855" s="60"/>
      <c r="AQ855" s="58"/>
      <c r="AR855" s="104">
        <f t="shared" si="2615"/>
        <v>1</v>
      </c>
      <c r="AS855" s="60"/>
      <c r="AT855" s="58"/>
      <c r="AU855" s="62">
        <f t="shared" si="2616"/>
        <v>1</v>
      </c>
      <c r="AV855" s="123">
        <f t="shared" si="2617"/>
        <v>0</v>
      </c>
      <c r="AW855" s="83">
        <f t="shared" si="2603"/>
        <v>0</v>
      </c>
      <c r="AX855" s="64">
        <f t="shared" si="2618"/>
        <v>0</v>
      </c>
      <c r="AY855" s="65" t="e">
        <f t="shared" si="2619"/>
        <v>#DIV/0!</v>
      </c>
      <c r="AZ855" s="66">
        <f t="shared" si="2620"/>
        <v>0</v>
      </c>
      <c r="BA855" s="67">
        <f>MAX(0, Table176252626[[#This Row],[Column6]])</f>
        <v>1</v>
      </c>
      <c r="BB855" s="68">
        <v>0</v>
      </c>
      <c r="BC855" s="84">
        <f t="shared" si="2621"/>
        <v>1</v>
      </c>
      <c r="BD855" s="83">
        <f t="shared" si="2622"/>
        <v>1</v>
      </c>
      <c r="BE855" s="85">
        <v>2</v>
      </c>
      <c r="BF855" s="86">
        <v>44907.357986111114</v>
      </c>
      <c r="BG855" s="72" t="e">
        <f t="shared" si="2545"/>
        <v>#REF!</v>
      </c>
      <c r="BH855" s="87" t="e">
        <f t="shared" si="2623"/>
        <v>#REF!</v>
      </c>
      <c r="BI855" s="80" t="e">
        <f t="shared" si="2624"/>
        <v>#REF!</v>
      </c>
      <c r="BJ855" s="238">
        <v>217000</v>
      </c>
    </row>
    <row r="856" spans="1:62" ht="13">
      <c r="A856" s="75"/>
      <c r="B856" s="76"/>
      <c r="C856" s="77">
        <v>854</v>
      </c>
      <c r="D856" s="52"/>
      <c r="E856" s="78"/>
      <c r="F856" s="154" t="s">
        <v>619</v>
      </c>
      <c r="G856" s="155" t="s">
        <v>620</v>
      </c>
      <c r="H856" s="81" t="s">
        <v>294</v>
      </c>
      <c r="I856" s="80" t="s">
        <v>458</v>
      </c>
      <c r="J856" s="82">
        <f t="shared" ref="J856:J857" si="2625">AU856</f>
        <v>1</v>
      </c>
      <c r="K856" s="80">
        <v>1</v>
      </c>
      <c r="L856" s="57"/>
      <c r="M856" s="58"/>
      <c r="N856" s="59">
        <f t="shared" ref="N856:N857" si="2626">SUM(K856+L856-M856)</f>
        <v>1</v>
      </c>
      <c r="O856" s="60"/>
      <c r="P856" s="58"/>
      <c r="Q856" s="59">
        <f t="shared" ref="Q856:Q857" si="2627">SUM(N856+O856-P856)</f>
        <v>1</v>
      </c>
      <c r="R856" s="60"/>
      <c r="S856" s="58"/>
      <c r="T856" s="61">
        <f t="shared" ref="T856:T857" si="2628">SUM(Q856+R856-S856)</f>
        <v>1</v>
      </c>
      <c r="U856" s="60"/>
      <c r="V856" s="58"/>
      <c r="W856" s="59">
        <f t="shared" ref="W856:W857" si="2629">SUM(T856+U856-V856)</f>
        <v>1</v>
      </c>
      <c r="X856" s="60"/>
      <c r="Y856" s="58"/>
      <c r="Z856" s="61">
        <f t="shared" ref="Z856:Z857" si="2630">SUM(W856+X856-Y856)</f>
        <v>1</v>
      </c>
      <c r="AA856" s="60"/>
      <c r="AB856" s="58"/>
      <c r="AC856" s="59">
        <f t="shared" ref="AC856:AC857" si="2631">SUM(Z856+AA856-AB856)</f>
        <v>1</v>
      </c>
      <c r="AD856" s="57"/>
      <c r="AE856" s="58"/>
      <c r="AF856" s="243">
        <f t="shared" ref="AF856:AF857" si="2632">SUM(AC856+AD856-AE856)</f>
        <v>1</v>
      </c>
      <c r="AG856" s="60"/>
      <c r="AH856" s="58"/>
      <c r="AI856" s="62">
        <f t="shared" ref="AI856:AI857" si="2633">SUM(AF856+AG856-AH856)</f>
        <v>1</v>
      </c>
      <c r="AJ856" s="60"/>
      <c r="AK856" s="58"/>
      <c r="AL856" s="62">
        <f t="shared" ref="AL856:AL857" si="2634">SUM(AI856+AJ856-AK856)</f>
        <v>1</v>
      </c>
      <c r="AM856" s="60"/>
      <c r="AN856" s="58"/>
      <c r="AO856" s="62">
        <f t="shared" ref="AO856:AO857" si="2635">SUM(AL856+AM856-AN856)</f>
        <v>1</v>
      </c>
      <c r="AP856" s="60"/>
      <c r="AQ856" s="58"/>
      <c r="AR856" s="62">
        <f t="shared" si="2615"/>
        <v>1</v>
      </c>
      <c r="AS856" s="60"/>
      <c r="AT856" s="58"/>
      <c r="AU856" s="62">
        <f t="shared" si="2616"/>
        <v>1</v>
      </c>
      <c r="AV856" s="83">
        <f t="shared" ref="AV856:AV857" si="2636">SUM(L856+O856+R856+U856+X856+AA856+AD856+AG856+AJ856+AM856+AP856+AS856)</f>
        <v>0</v>
      </c>
      <c r="AW856" s="83">
        <f t="shared" si="2603"/>
        <v>0</v>
      </c>
      <c r="AX856" s="64">
        <f t="shared" si="2618"/>
        <v>0</v>
      </c>
      <c r="AY856" s="65" t="e">
        <f t="shared" si="2619"/>
        <v>#DIV/0!</v>
      </c>
      <c r="AZ856" s="66">
        <f t="shared" si="2620"/>
        <v>0</v>
      </c>
      <c r="BA856" s="67">
        <f>MAX(0, Table176252626[[#This Row],[Column6]])</f>
        <v>1</v>
      </c>
      <c r="BB856" s="68">
        <v>0</v>
      </c>
      <c r="BC856" s="84">
        <f t="shared" si="2621"/>
        <v>1</v>
      </c>
      <c r="BD856" s="83">
        <f t="shared" si="2622"/>
        <v>1</v>
      </c>
      <c r="BE856" s="85">
        <v>2</v>
      </c>
      <c r="BF856" s="86">
        <v>43370.460879629631</v>
      </c>
      <c r="BG856" s="72" t="e">
        <f t="shared" si="2545"/>
        <v>#REF!</v>
      </c>
      <c r="BH856" s="87" t="e">
        <f t="shared" si="2623"/>
        <v>#REF!</v>
      </c>
      <c r="BI856" s="80" t="e">
        <f t="shared" si="2624"/>
        <v>#REF!</v>
      </c>
      <c r="BJ856" s="238">
        <v>60000</v>
      </c>
    </row>
    <row r="857" spans="1:62" ht="13">
      <c r="A857" s="49"/>
      <c r="B857" s="50"/>
      <c r="C857" s="77">
        <v>855</v>
      </c>
      <c r="D857" s="52"/>
      <c r="E857" s="78"/>
      <c r="F857" s="154" t="s">
        <v>75</v>
      </c>
      <c r="G857" s="155" t="s">
        <v>76</v>
      </c>
      <c r="H857" s="81" t="s">
        <v>294</v>
      </c>
      <c r="I857" s="80" t="s">
        <v>458</v>
      </c>
      <c r="J857" s="82">
        <f t="shared" si="2625"/>
        <v>1</v>
      </c>
      <c r="K857" s="80">
        <v>1</v>
      </c>
      <c r="L857" s="57"/>
      <c r="M857" s="58"/>
      <c r="N857" s="59">
        <f t="shared" si="2626"/>
        <v>1</v>
      </c>
      <c r="O857" s="60"/>
      <c r="P857" s="58"/>
      <c r="Q857" s="59">
        <f t="shared" si="2627"/>
        <v>1</v>
      </c>
      <c r="R857" s="60"/>
      <c r="S857" s="58"/>
      <c r="T857" s="61">
        <f t="shared" si="2628"/>
        <v>1</v>
      </c>
      <c r="U857" s="60"/>
      <c r="V857" s="58"/>
      <c r="W857" s="59">
        <f t="shared" si="2629"/>
        <v>1</v>
      </c>
      <c r="X857" s="60"/>
      <c r="Y857" s="58"/>
      <c r="Z857" s="61">
        <f t="shared" si="2630"/>
        <v>1</v>
      </c>
      <c r="AA857" s="60"/>
      <c r="AB857" s="58"/>
      <c r="AC857" s="59">
        <f t="shared" si="2631"/>
        <v>1</v>
      </c>
      <c r="AD857" s="57"/>
      <c r="AE857" s="58"/>
      <c r="AF857" s="243">
        <f t="shared" si="2632"/>
        <v>1</v>
      </c>
      <c r="AG857" s="60"/>
      <c r="AH857" s="58"/>
      <c r="AI857" s="62">
        <f t="shared" si="2633"/>
        <v>1</v>
      </c>
      <c r="AJ857" s="60"/>
      <c r="AK857" s="58"/>
      <c r="AL857" s="62">
        <f t="shared" si="2634"/>
        <v>1</v>
      </c>
      <c r="AM857" s="60"/>
      <c r="AN857" s="58"/>
      <c r="AO857" s="62">
        <f t="shared" si="2635"/>
        <v>1</v>
      </c>
      <c r="AP857" s="60"/>
      <c r="AQ857" s="58"/>
      <c r="AR857" s="62">
        <f t="shared" si="2615"/>
        <v>1</v>
      </c>
      <c r="AS857" s="60"/>
      <c r="AT857" s="58"/>
      <c r="AU857" s="62">
        <f t="shared" si="2616"/>
        <v>1</v>
      </c>
      <c r="AV857" s="83">
        <f t="shared" si="2636"/>
        <v>0</v>
      </c>
      <c r="AW857" s="83">
        <f t="shared" si="2603"/>
        <v>0</v>
      </c>
      <c r="AX857" s="64">
        <f t="shared" si="2618"/>
        <v>0</v>
      </c>
      <c r="AY857" s="65" t="e">
        <f t="shared" si="2619"/>
        <v>#DIV/0!</v>
      </c>
      <c r="AZ857" s="66">
        <f t="shared" si="2620"/>
        <v>0</v>
      </c>
      <c r="BA857" s="67">
        <f>MAX(0, Table176252626[[#This Row],[Column6]])</f>
        <v>1</v>
      </c>
      <c r="BB857" s="68">
        <v>0</v>
      </c>
      <c r="BC857" s="84">
        <f t="shared" si="2621"/>
        <v>1</v>
      </c>
      <c r="BD857" s="83">
        <f t="shared" si="2622"/>
        <v>1</v>
      </c>
      <c r="BE857" s="85">
        <v>2</v>
      </c>
      <c r="BF857" s="86">
        <v>42809.660497685189</v>
      </c>
      <c r="BG857" s="72" t="e">
        <f t="shared" si="2545"/>
        <v>#REF!</v>
      </c>
      <c r="BH857" s="87" t="e">
        <f t="shared" si="2623"/>
        <v>#REF!</v>
      </c>
      <c r="BI857" s="80" t="e">
        <f t="shared" si="2624"/>
        <v>#REF!</v>
      </c>
      <c r="BJ857" s="238">
        <v>23460</v>
      </c>
    </row>
    <row r="858" spans="1:62" ht="13">
      <c r="A858" s="75"/>
      <c r="B858" s="76"/>
      <c r="C858" s="51">
        <v>856</v>
      </c>
      <c r="D858" s="52"/>
      <c r="E858" s="78"/>
      <c r="F858" s="80" t="s">
        <v>419</v>
      </c>
      <c r="G858" s="157" t="s">
        <v>420</v>
      </c>
      <c r="H858" s="81" t="s">
        <v>294</v>
      </c>
      <c r="I858" s="80" t="s">
        <v>458</v>
      </c>
      <c r="J858" s="82">
        <f>AU858</f>
        <v>1</v>
      </c>
      <c r="K858" s="80">
        <v>1</v>
      </c>
      <c r="L858" s="57"/>
      <c r="M858" s="58"/>
      <c r="N858" s="59">
        <f>SUM(K858+L858-M858)</f>
        <v>1</v>
      </c>
      <c r="O858" s="60"/>
      <c r="P858" s="58"/>
      <c r="Q858" s="59">
        <f>SUM(N858+O858-P858)</f>
        <v>1</v>
      </c>
      <c r="R858" s="60"/>
      <c r="S858" s="58"/>
      <c r="T858" s="61">
        <f>SUM(Q858+R858-S858)</f>
        <v>1</v>
      </c>
      <c r="U858" s="60"/>
      <c r="V858" s="58"/>
      <c r="W858" s="59">
        <f>SUM(T858+U858-V858)</f>
        <v>1</v>
      </c>
      <c r="X858" s="60"/>
      <c r="Y858" s="58"/>
      <c r="Z858" s="61">
        <f t="shared" ref="Z858:Z859" si="2637">SUM(W858+X858-Y858)</f>
        <v>1</v>
      </c>
      <c r="AA858" s="60"/>
      <c r="AB858" s="58"/>
      <c r="AC858" s="59">
        <f t="shared" ref="AC858:AC859" si="2638">SUM(Z858+AA858-AB858)</f>
        <v>1</v>
      </c>
      <c r="AD858" s="57"/>
      <c r="AE858" s="58"/>
      <c r="AF858" s="243">
        <f t="shared" ref="AF858:AF859" si="2639">SUM(AC858+AD858-AE858)</f>
        <v>1</v>
      </c>
      <c r="AG858" s="60"/>
      <c r="AH858" s="58"/>
      <c r="AI858" s="62">
        <f t="shared" ref="AI858:AI859" si="2640">SUM(AF858+AG858-AH858)</f>
        <v>1</v>
      </c>
      <c r="AJ858" s="60"/>
      <c r="AK858" s="58"/>
      <c r="AL858" s="62">
        <f t="shared" ref="AL858:AL859" si="2641">SUM(AI858+AJ858-AK858)</f>
        <v>1</v>
      </c>
      <c r="AM858" s="60"/>
      <c r="AN858" s="58"/>
      <c r="AO858" s="62">
        <f t="shared" ref="AO858:AO859" si="2642">SUM(AL858+AM858-AN858)</f>
        <v>1</v>
      </c>
      <c r="AP858" s="60"/>
      <c r="AQ858" s="58"/>
      <c r="AR858" s="62">
        <f>SUM(AO858+AP858-AQ858)</f>
        <v>1</v>
      </c>
      <c r="AS858" s="60"/>
      <c r="AT858" s="58"/>
      <c r="AU858" s="62">
        <f>SUM(AR858+AS858-AT858)</f>
        <v>1</v>
      </c>
      <c r="AV858" s="83">
        <f t="shared" ref="AV858" si="2643">SUM(L858+O858+R858+U858+X858+AA858+AD858+AG858+AJ858+AM858+AP858+AS858)</f>
        <v>0</v>
      </c>
      <c r="AW858" s="83">
        <f t="shared" ref="AW858" si="2644">SUM(M858+P858+S858+V858+Y858+AB858+AE858+AH858+AK858+AN858+AQ858+AT858)</f>
        <v>0</v>
      </c>
      <c r="AX858" s="64">
        <f>SUM(M858,P858,S858,V858,Y858,AB858,AE858,AH858,AK858,AN858,AQ858,AT858)</f>
        <v>0</v>
      </c>
      <c r="AY858" s="65" t="e">
        <f>AVERAGE(M858,P858,S858,V858,Y858,AB858,AE858,AH858,AK858,AN858,AQ858,AT858)</f>
        <v>#DIV/0!</v>
      </c>
      <c r="AZ858" s="66">
        <f>COUNT(M858,P858,S858,V858,Y858,AB858,AE858,AH858,AK858,AN858,AQ858,AT858)</f>
        <v>0</v>
      </c>
      <c r="BA858" s="67">
        <v>1</v>
      </c>
      <c r="BB858" s="68">
        <v>0</v>
      </c>
      <c r="BC858" s="84">
        <f t="shared" si="2621"/>
        <v>1</v>
      </c>
      <c r="BD858" s="83">
        <f t="shared" si="2622"/>
        <v>1</v>
      </c>
      <c r="BE858" s="85">
        <v>2</v>
      </c>
      <c r="BF858" s="86">
        <v>43091.637604166666</v>
      </c>
      <c r="BG858" s="72" t="e">
        <f t="shared" si="2545"/>
        <v>#REF!</v>
      </c>
      <c r="BH858" s="107" t="e">
        <f t="shared" ref="BH858:BH859" si="2645">BG858-BF858</f>
        <v>#REF!</v>
      </c>
      <c r="BI858" s="80" t="e">
        <f t="shared" si="2624"/>
        <v>#REF!</v>
      </c>
      <c r="BJ858" s="238">
        <v>146300</v>
      </c>
    </row>
    <row r="859" spans="1:62" ht="13">
      <c r="A859" s="49"/>
      <c r="B859" s="76"/>
      <c r="C859" s="51">
        <v>857</v>
      </c>
      <c r="D859" s="52"/>
      <c r="E859" s="78"/>
      <c r="F859" s="88" t="s">
        <v>1169</v>
      </c>
      <c r="G859" s="89" t="s">
        <v>1170</v>
      </c>
      <c r="H859" s="89" t="s">
        <v>689</v>
      </c>
      <c r="I859" s="88" t="s">
        <v>799</v>
      </c>
      <c r="J859" s="93">
        <f t="shared" ref="J859" si="2646">AU859</f>
        <v>1</v>
      </c>
      <c r="K859" s="88">
        <v>1</v>
      </c>
      <c r="L859" s="58"/>
      <c r="M859" s="58"/>
      <c r="N859" s="62">
        <f t="shared" ref="N859" si="2647">SUM(K859+L859-M859)</f>
        <v>1</v>
      </c>
      <c r="O859" s="60"/>
      <c r="P859" s="58"/>
      <c r="Q859" s="62">
        <f t="shared" ref="Q859" si="2648">SUM(N859+O859-P859)</f>
        <v>1</v>
      </c>
      <c r="R859" s="60"/>
      <c r="S859" s="58"/>
      <c r="T859" s="94">
        <f t="shared" ref="T859" si="2649">SUM(Q859+R859-S859)</f>
        <v>1</v>
      </c>
      <c r="U859" s="60"/>
      <c r="V859" s="58"/>
      <c r="W859" s="62">
        <f t="shared" ref="W859" si="2650">SUM(T859+U859-V859)</f>
        <v>1</v>
      </c>
      <c r="X859" s="60"/>
      <c r="Y859" s="58"/>
      <c r="Z859" s="94">
        <f t="shared" si="2637"/>
        <v>1</v>
      </c>
      <c r="AA859" s="60"/>
      <c r="AB859" s="58"/>
      <c r="AC859" s="62">
        <f t="shared" si="2638"/>
        <v>1</v>
      </c>
      <c r="AD859" s="57"/>
      <c r="AE859" s="58"/>
      <c r="AF859" s="165">
        <f t="shared" si="2639"/>
        <v>1</v>
      </c>
      <c r="AG859" s="60"/>
      <c r="AH859" s="58"/>
      <c r="AI859" s="62">
        <f t="shared" si="2640"/>
        <v>1</v>
      </c>
      <c r="AJ859" s="60"/>
      <c r="AK859" s="58"/>
      <c r="AL859" s="62">
        <f t="shared" si="2641"/>
        <v>1</v>
      </c>
      <c r="AM859" s="60"/>
      <c r="AN859" s="58"/>
      <c r="AO859" s="62">
        <f t="shared" si="2642"/>
        <v>1</v>
      </c>
      <c r="AP859" s="60"/>
      <c r="AQ859" s="58"/>
      <c r="AR859" s="62">
        <f t="shared" ref="AR859" si="2651">SUM(AO859+AP859-AQ859)</f>
        <v>1</v>
      </c>
      <c r="AS859" s="60"/>
      <c r="AT859" s="58"/>
      <c r="AU859" s="62">
        <f t="shared" ref="AU859" si="2652">SUM(AR859+AS859-AT859)</f>
        <v>1</v>
      </c>
      <c r="AV859" s="83">
        <f t="shared" ref="AV859:AW860" si="2653">SUM(L859+O859+R859+U859+X859+AA859+AD859+AG859+AJ859+AM859+AP859+AS859)</f>
        <v>0</v>
      </c>
      <c r="AW859" s="83">
        <f t="shared" si="2653"/>
        <v>0</v>
      </c>
      <c r="AX859" s="98">
        <f t="shared" ref="AX859" si="2654">SUM(M859,P859,S859,V859,Y859,AB859,AE859,AH859,AK859,AN859,AQ859,AT859)</f>
        <v>0</v>
      </c>
      <c r="AY859" s="99" t="e">
        <f t="shared" ref="AY859" si="2655">AVERAGE(M859,P859,S859,V859,Y859,AB859,AE859,AH859,AK859,AN859,AQ859,AT859)</f>
        <v>#DIV/0!</v>
      </c>
      <c r="AZ859" s="100">
        <f t="shared" ref="AZ859" si="2656">COUNT(M859,P859,S859,V859,Y859,AB859,AE859,AH859,AK859,AN859,AQ859,AT859)</f>
        <v>0</v>
      </c>
      <c r="BA859" s="67">
        <f>MAX(0, Table176252626[[#This Row],[Column6]])</f>
        <v>1</v>
      </c>
      <c r="BB859" s="68">
        <v>0</v>
      </c>
      <c r="BC859" s="84">
        <f t="shared" si="2621"/>
        <v>1</v>
      </c>
      <c r="BD859" s="83">
        <f t="shared" si="2622"/>
        <v>1</v>
      </c>
      <c r="BE859" s="85">
        <v>2</v>
      </c>
      <c r="BF859" s="86">
        <v>45058.537372685183</v>
      </c>
      <c r="BG859" s="72" t="e">
        <f t="shared" si="2545"/>
        <v>#REF!</v>
      </c>
      <c r="BH859" s="87" t="e">
        <f t="shared" si="2645"/>
        <v>#REF!</v>
      </c>
      <c r="BI859" s="80" t="e">
        <f t="shared" si="2624"/>
        <v>#REF!</v>
      </c>
      <c r="BJ859" s="238">
        <v>37000</v>
      </c>
    </row>
    <row r="860" spans="1:62" ht="13">
      <c r="A860" s="90"/>
      <c r="B860" s="91"/>
      <c r="C860" s="51">
        <v>858</v>
      </c>
      <c r="D860" s="52"/>
      <c r="E860" s="78"/>
      <c r="F860" s="80" t="s">
        <v>693</v>
      </c>
      <c r="G860" s="81" t="s">
        <v>694</v>
      </c>
      <c r="H860" s="81" t="s">
        <v>289</v>
      </c>
      <c r="I860" s="80" t="s">
        <v>799</v>
      </c>
      <c r="J860" s="82">
        <f t="shared" ref="J860" si="2657">AU860</f>
        <v>5</v>
      </c>
      <c r="K860" s="80">
        <v>2</v>
      </c>
      <c r="L860" s="57">
        <v>5</v>
      </c>
      <c r="M860" s="58">
        <v>2</v>
      </c>
      <c r="N860" s="59">
        <f>SUM(K860+L860-M860)</f>
        <v>5</v>
      </c>
      <c r="O860" s="60"/>
      <c r="P860" s="58"/>
      <c r="Q860" s="59">
        <f t="shared" ref="Q860" si="2658">SUM(N860+O860-P860)</f>
        <v>5</v>
      </c>
      <c r="R860" s="60"/>
      <c r="S860" s="58"/>
      <c r="T860" s="61">
        <f t="shared" ref="T860" si="2659">SUM(Q860+R860-S860)</f>
        <v>5</v>
      </c>
      <c r="U860" s="60"/>
      <c r="V860" s="58"/>
      <c r="W860" s="59">
        <f t="shared" ref="W860" si="2660">SUM(T860+U860-V860)</f>
        <v>5</v>
      </c>
      <c r="X860" s="60"/>
      <c r="Y860" s="58"/>
      <c r="Z860" s="61">
        <f t="shared" ref="Z860" si="2661">SUM(W860+X860-Y860)</f>
        <v>5</v>
      </c>
      <c r="AA860" s="60"/>
      <c r="AB860" s="58"/>
      <c r="AC860" s="59">
        <f t="shared" ref="AC860" si="2662">SUM(Z860+AA860-AB860)</f>
        <v>5</v>
      </c>
      <c r="AD860" s="57"/>
      <c r="AE860" s="58"/>
      <c r="AF860" s="243">
        <f t="shared" ref="AF860" si="2663">SUM(AC860+AD860-AE860)</f>
        <v>5</v>
      </c>
      <c r="AG860" s="60"/>
      <c r="AH860" s="58"/>
      <c r="AI860" s="62">
        <f t="shared" ref="AI860" si="2664">SUM(AF860+AG860-AH860)</f>
        <v>5</v>
      </c>
      <c r="AJ860" s="60"/>
      <c r="AK860" s="58"/>
      <c r="AL860" s="62">
        <f t="shared" ref="AL860" si="2665">SUM(AI860+AJ860-AK860)</f>
        <v>5</v>
      </c>
      <c r="AM860" s="60"/>
      <c r="AN860" s="58"/>
      <c r="AO860" s="62">
        <f t="shared" ref="AO860" si="2666">SUM(AL860+AM860-AN860)</f>
        <v>5</v>
      </c>
      <c r="AP860" s="60"/>
      <c r="AQ860" s="58"/>
      <c r="AR860" s="62">
        <f t="shared" ref="AR860" si="2667">SUM(AO860+AP860-AQ860)</f>
        <v>5</v>
      </c>
      <c r="AS860" s="60"/>
      <c r="AT860" s="58"/>
      <c r="AU860" s="62">
        <f>SUM(AR860+AS860-AT860)</f>
        <v>5</v>
      </c>
      <c r="AV860" s="83">
        <f t="shared" ref="AV860" si="2668">SUM(L860+O860+R860+U860+X860+AA860+AD860+AG860+AJ860+AM860+AP860+AS860)</f>
        <v>5</v>
      </c>
      <c r="AW860" s="83">
        <f t="shared" si="2653"/>
        <v>2</v>
      </c>
      <c r="AX860" s="64">
        <f>SUM(M860,P860,S860,V860,Y860,AB860,AE860,AH860,AK860,AN860,AQ860,AT860)</f>
        <v>2</v>
      </c>
      <c r="AY860" s="65">
        <f t="shared" ref="AY860" si="2669">AVERAGE(M860,P860,S860,V860,Y860,AB860,AE860,AH860,AK860,AN860,AQ860,AT860)</f>
        <v>2</v>
      </c>
      <c r="AZ860" s="66">
        <f t="shared" ref="AZ860" si="2670">COUNT(M860,P860,S860,V860,Y860,AB860,AE860,AH860,AK860,AN860,AQ860,AT860)</f>
        <v>1</v>
      </c>
      <c r="BA860" s="67">
        <f>MAX(0, Table176252626[[#This Row],[Column6]])</f>
        <v>5</v>
      </c>
      <c r="BB860" s="68">
        <v>1</v>
      </c>
      <c r="BC860" s="84">
        <f t="shared" si="2621"/>
        <v>5</v>
      </c>
      <c r="BD860" s="83">
        <f t="shared" si="2622"/>
        <v>4</v>
      </c>
      <c r="BE860" s="85">
        <v>2</v>
      </c>
      <c r="BF860" s="86">
        <v>46038</v>
      </c>
      <c r="BG860" s="72" t="e">
        <f t="shared" si="2545"/>
        <v>#REF!</v>
      </c>
      <c r="BH860" s="87" t="e">
        <f t="shared" ref="BH860" si="2671">BG860-BF860</f>
        <v>#REF!</v>
      </c>
      <c r="BI860" s="80" t="e">
        <f t="shared" si="2624"/>
        <v>#REF!</v>
      </c>
      <c r="BJ860" s="238">
        <v>1280</v>
      </c>
    </row>
    <row r="861" spans="1:62" ht="13">
      <c r="A861" s="49"/>
      <c r="B861" s="50"/>
      <c r="C861" s="51">
        <v>859</v>
      </c>
      <c r="D861" s="52"/>
      <c r="E861" s="78"/>
      <c r="F861" s="88" t="s">
        <v>1322</v>
      </c>
      <c r="G861" s="89" t="s">
        <v>1323</v>
      </c>
      <c r="H861" s="89" t="s">
        <v>1324</v>
      </c>
      <c r="I861" s="80" t="s">
        <v>458</v>
      </c>
      <c r="J861" s="93">
        <f t="shared" ref="J861" si="2672">AU861</f>
        <v>7</v>
      </c>
      <c r="K861" s="88">
        <v>27</v>
      </c>
      <c r="L861" s="58"/>
      <c r="M861" s="58">
        <v>8</v>
      </c>
      <c r="N861" s="62">
        <f t="shared" ref="N861" si="2673">SUM(K861+L861-M861)</f>
        <v>19</v>
      </c>
      <c r="O861" s="60"/>
      <c r="P861" s="58"/>
      <c r="Q861" s="62">
        <f t="shared" ref="Q861" si="2674">SUM(N861+O861-P861)</f>
        <v>19</v>
      </c>
      <c r="R861" s="60"/>
      <c r="S861" s="58">
        <v>1</v>
      </c>
      <c r="T861" s="94">
        <f t="shared" ref="T861" si="2675">SUM(Q861+R861-S861)</f>
        <v>18</v>
      </c>
      <c r="U861" s="60"/>
      <c r="V861" s="58">
        <v>1</v>
      </c>
      <c r="W861" s="62">
        <f t="shared" ref="W861" si="2676">SUM(T861+U861-V861)</f>
        <v>17</v>
      </c>
      <c r="X861" s="60"/>
      <c r="Y861" s="58">
        <f>1+1+1</f>
        <v>3</v>
      </c>
      <c r="Z861" s="94">
        <f t="shared" ref="Z861" si="2677">SUM(W861+X861-Y861)</f>
        <v>14</v>
      </c>
      <c r="AA861" s="60"/>
      <c r="AB861" s="58">
        <f>1+1+1</f>
        <v>3</v>
      </c>
      <c r="AC861" s="62">
        <f t="shared" ref="AC861" si="2678">SUM(Z861+AA861-AB861)</f>
        <v>11</v>
      </c>
      <c r="AD861" s="57"/>
      <c r="AE861" s="58"/>
      <c r="AF861" s="165">
        <f t="shared" ref="AF861" si="2679">SUM(AC861+AD861-AE861)</f>
        <v>11</v>
      </c>
      <c r="AG861" s="60"/>
      <c r="AH861" s="58">
        <v>4</v>
      </c>
      <c r="AI861" s="62">
        <f t="shared" ref="AI861" si="2680">SUM(AF861+AG861-AH861)</f>
        <v>7</v>
      </c>
      <c r="AJ861" s="60"/>
      <c r="AK861" s="58"/>
      <c r="AL861" s="62">
        <f t="shared" ref="AL861" si="2681">SUM(AI861+AJ861-AK861)</f>
        <v>7</v>
      </c>
      <c r="AM861" s="60"/>
      <c r="AN861" s="58"/>
      <c r="AO861" s="62">
        <f t="shared" ref="AO861" si="2682">SUM(AL861+AM861-AN861)</f>
        <v>7</v>
      </c>
      <c r="AP861" s="60"/>
      <c r="AQ861" s="58"/>
      <c r="AR861" s="62">
        <f t="shared" ref="AR861" si="2683">SUM(AO861+AP861-AQ861)</f>
        <v>7</v>
      </c>
      <c r="AS861" s="60"/>
      <c r="AT861" s="58"/>
      <c r="AU861" s="62">
        <f t="shared" ref="AU861" si="2684">SUM(AR861+AS861-AT861)</f>
        <v>7</v>
      </c>
      <c r="AV861" s="96">
        <f t="shared" ref="AV861" si="2685">SUM(L861+O861+R861+U861+X861+AA861+AD861+AG861+AJ861+AM861+AP861+AS861)</f>
        <v>0</v>
      </c>
      <c r="AW861" s="83">
        <f>SUM(M861+P861+S861+V861+Y861+AB861+AE861+AH861+AK861+AN861+AQ861+AT861)</f>
        <v>20</v>
      </c>
      <c r="AX861" s="98">
        <f t="shared" ref="AX861" si="2686">SUM(M861,P861,S861,V861,Y861,AB861,AE861,AH861,AK861,AN861,AQ861,AT861)</f>
        <v>20</v>
      </c>
      <c r="AY861" s="99">
        <f t="shared" ref="AY861" si="2687">AVERAGE(M861,P861,S861,V861,Y861,AB861,AE861,AH861,AK861,AN861,AQ861,AT861)</f>
        <v>3.3333333333333335</v>
      </c>
      <c r="AZ861" s="100">
        <f t="shared" ref="AZ861" si="2688">COUNT(M861,P861,S861,V861,Y861,AB861,AE861,AH861,AK861,AN861,AQ861,AT861)</f>
        <v>6</v>
      </c>
      <c r="BA861" s="101">
        <v>11</v>
      </c>
      <c r="BB861" s="102">
        <f>MIN(M861,P861,S861,V861,Y861,AB861,AE861,AH861,AK861,AN861,AQ861,AT861)</f>
        <v>1</v>
      </c>
      <c r="BC861" s="84">
        <f>J861</f>
        <v>7</v>
      </c>
      <c r="BD861" s="83">
        <f>SUM(BC861-BB861)</f>
        <v>6</v>
      </c>
      <c r="BE861" s="85">
        <v>2</v>
      </c>
      <c r="BF861" s="86">
        <v>45603.553923611114</v>
      </c>
      <c r="BG861" s="72" t="e">
        <f t="shared" si="2545"/>
        <v>#REF!</v>
      </c>
      <c r="BH861" s="103" t="e">
        <f>BG861-BF861</f>
        <v>#REF!</v>
      </c>
      <c r="BI861" s="80" t="e">
        <f>IF(AND(J861&gt;0,BH861&gt;365),"Dead Stock","")</f>
        <v>#REF!</v>
      </c>
      <c r="BJ861" s="238">
        <v>990</v>
      </c>
    </row>
    <row r="862" spans="1:62" ht="13">
      <c r="A862" s="49"/>
      <c r="B862" s="76"/>
      <c r="C862" s="77">
        <v>860</v>
      </c>
      <c r="D862" s="78"/>
      <c r="E862" s="78"/>
      <c r="F862" s="88" t="s">
        <v>1176</v>
      </c>
      <c r="G862" s="89" t="s">
        <v>1177</v>
      </c>
      <c r="H862" s="81" t="s">
        <v>773</v>
      </c>
      <c r="I862" s="80" t="s">
        <v>458</v>
      </c>
      <c r="J862" s="82">
        <f>AU862</f>
        <v>6</v>
      </c>
      <c r="K862" s="80">
        <v>6</v>
      </c>
      <c r="L862" s="57"/>
      <c r="M862" s="58"/>
      <c r="N862" s="59">
        <f>SUM(K862+L862-M862)</f>
        <v>6</v>
      </c>
      <c r="O862" s="60"/>
      <c r="P862" s="58"/>
      <c r="Q862" s="59">
        <f>SUM(N862+O862-P862)</f>
        <v>6</v>
      </c>
      <c r="R862" s="60"/>
      <c r="S862" s="58"/>
      <c r="T862" s="61">
        <f>SUM(Q862+R862-S862)</f>
        <v>6</v>
      </c>
      <c r="U862" s="60"/>
      <c r="V862" s="58"/>
      <c r="W862" s="59">
        <f>SUM(T862+U862-V862)</f>
        <v>6</v>
      </c>
      <c r="X862" s="60"/>
      <c r="Y862" s="58"/>
      <c r="Z862" s="61">
        <f>SUM(W862+X862-Y862)</f>
        <v>6</v>
      </c>
      <c r="AA862" s="60"/>
      <c r="AB862" s="58"/>
      <c r="AC862" s="59">
        <f>SUM(Z862+AA862-AB862)</f>
        <v>6</v>
      </c>
      <c r="AD862" s="57"/>
      <c r="AE862" s="58"/>
      <c r="AF862" s="243">
        <f>SUM(AC862+AD862-AE862)</f>
        <v>6</v>
      </c>
      <c r="AG862" s="60"/>
      <c r="AH862" s="58"/>
      <c r="AI862" s="62">
        <f>SUM(AF862+AG862-AH862)</f>
        <v>6</v>
      </c>
      <c r="AJ862" s="60"/>
      <c r="AK862" s="58"/>
      <c r="AL862" s="62">
        <f>SUM(AI862+AJ862-AK862)</f>
        <v>6</v>
      </c>
      <c r="AM862" s="60"/>
      <c r="AN862" s="58"/>
      <c r="AO862" s="62">
        <f>SUM(AL862+AM862-AN862)</f>
        <v>6</v>
      </c>
      <c r="AP862" s="60"/>
      <c r="AQ862" s="58"/>
      <c r="AR862" s="62">
        <f>SUM(AO862+AP862-AQ862)</f>
        <v>6</v>
      </c>
      <c r="AS862" s="60"/>
      <c r="AT862" s="58"/>
      <c r="AU862" s="62">
        <f>SUM(AR862+AS862-AT862)</f>
        <v>6</v>
      </c>
      <c r="AV862" s="83">
        <f t="shared" ref="AV862:AW868" si="2689">SUM(L862+O862+R862+U862+X862+AA862+AD862+AG862+AJ862+AM862+AP862+AS862)</f>
        <v>0</v>
      </c>
      <c r="AW862" s="83">
        <f t="shared" si="2689"/>
        <v>0</v>
      </c>
      <c r="AX862" s="64">
        <f>SUM(M862,P862,S862,V862,Y862,AB862,AE862,AH862,AK862,AN862,AQ862,AT862)</f>
        <v>0</v>
      </c>
      <c r="AY862" s="65" t="e">
        <f>AVERAGE(M862,P862,S862,V862,Y862,AB862,AE862,AH862,AK862,AN862,AQ862,AT862)</f>
        <v>#DIV/0!</v>
      </c>
      <c r="AZ862" s="66">
        <f>COUNT(M862,P862,S862,V862,Y862,AB862,AE862,AH862,AK862,AN862,AQ862,AT862)</f>
        <v>0</v>
      </c>
      <c r="BA862" s="67">
        <f>MAX(0, Table176252626[[#This Row],[Column6]])</f>
        <v>6</v>
      </c>
      <c r="BB862" s="68">
        <v>1</v>
      </c>
      <c r="BC862" s="84">
        <f t="shared" ref="BC862:BC875" si="2690">J862</f>
        <v>6</v>
      </c>
      <c r="BD862" s="83">
        <f t="shared" ref="BD862:BD874" si="2691">SUM(BC862-BB862)</f>
        <v>5</v>
      </c>
      <c r="BE862" s="85">
        <v>2</v>
      </c>
      <c r="BF862" s="86">
        <v>44882.560081018521</v>
      </c>
      <c r="BG862" s="72" t="e">
        <f t="shared" si="2545"/>
        <v>#REF!</v>
      </c>
      <c r="BH862" s="87" t="e">
        <f>BG862-BF862</f>
        <v>#REF!</v>
      </c>
      <c r="BI862" s="80" t="e">
        <f t="shared" ref="BI862:BI874" si="2692">IF(AND(J862&gt;0,BH862&gt;365),"Dead Stock","")</f>
        <v>#REF!</v>
      </c>
      <c r="BJ862" s="238">
        <v>3870</v>
      </c>
    </row>
    <row r="863" spans="1:62" ht="13">
      <c r="A863" s="161"/>
      <c r="B863" s="160"/>
      <c r="C863" s="77">
        <v>861</v>
      </c>
      <c r="D863" s="78"/>
      <c r="E863" s="78"/>
      <c r="F863" s="54" t="s">
        <v>546</v>
      </c>
      <c r="G863" s="164" t="s">
        <v>547</v>
      </c>
      <c r="H863" s="81" t="s">
        <v>1501</v>
      </c>
      <c r="I863" s="80" t="s">
        <v>458</v>
      </c>
      <c r="J863" s="82">
        <f t="shared" ref="J863:J870" si="2693">AU863</f>
        <v>1</v>
      </c>
      <c r="K863" s="80">
        <v>1</v>
      </c>
      <c r="L863" s="57"/>
      <c r="M863" s="58"/>
      <c r="N863" s="59">
        <f t="shared" ref="N863:N871" si="2694">SUM(K863+L863-M863)</f>
        <v>1</v>
      </c>
      <c r="O863" s="60"/>
      <c r="P863" s="58"/>
      <c r="Q863" s="59">
        <f t="shared" ref="Q863:Q871" si="2695">SUM(N863+O863-P863)</f>
        <v>1</v>
      </c>
      <c r="R863" s="60"/>
      <c r="S863" s="58"/>
      <c r="T863" s="61">
        <f t="shared" ref="T863:T871" si="2696">SUM(Q863+R863-S863)</f>
        <v>1</v>
      </c>
      <c r="U863" s="60"/>
      <c r="V863" s="58"/>
      <c r="W863" s="59">
        <f t="shared" ref="W863:W871" si="2697">SUM(T863+U863-V863)</f>
        <v>1</v>
      </c>
      <c r="X863" s="60"/>
      <c r="Y863" s="58"/>
      <c r="Z863" s="61">
        <f t="shared" ref="Z863:Z871" si="2698">SUM(W863+X863-Y863)</f>
        <v>1</v>
      </c>
      <c r="AA863" s="60"/>
      <c r="AB863" s="58"/>
      <c r="AC863" s="59">
        <f t="shared" ref="AC863:AC871" si="2699">SUM(Z863+AA863-AB863)</f>
        <v>1</v>
      </c>
      <c r="AD863" s="57"/>
      <c r="AE863" s="58"/>
      <c r="AF863" s="243">
        <f t="shared" ref="AF863:AF871" si="2700">SUM(AC863+AD863-AE863)</f>
        <v>1</v>
      </c>
      <c r="AG863" s="60"/>
      <c r="AH863" s="58"/>
      <c r="AI863" s="62">
        <f t="shared" ref="AI863:AI871" si="2701">SUM(AF863+AG863-AH863)</f>
        <v>1</v>
      </c>
      <c r="AJ863" s="60"/>
      <c r="AK863" s="58"/>
      <c r="AL863" s="62">
        <f t="shared" ref="AL863:AL871" si="2702">SUM(AI863+AJ863-AK863)</f>
        <v>1</v>
      </c>
      <c r="AM863" s="60"/>
      <c r="AN863" s="58"/>
      <c r="AO863" s="62">
        <f t="shared" ref="AO863:AO871" si="2703">SUM(AL863+AM863-AN863)</f>
        <v>1</v>
      </c>
      <c r="AP863" s="60"/>
      <c r="AQ863" s="58"/>
      <c r="AR863" s="104">
        <f t="shared" ref="AR863:AR871" si="2704">SUM(AO863+AP863-AQ863)</f>
        <v>1</v>
      </c>
      <c r="AS863" s="57"/>
      <c r="AT863" s="58"/>
      <c r="AU863" s="62">
        <f t="shared" ref="AU863:AU871" si="2705">SUM(AR863+AS863-AT863)</f>
        <v>1</v>
      </c>
      <c r="AV863" s="83">
        <f t="shared" ref="AV863:AW874" si="2706">SUM(L863+O863+R863+U863+X863+AA863+AD863+AG863+AJ863+AM863+AP863+AS863)</f>
        <v>0</v>
      </c>
      <c r="AW863" s="83">
        <f t="shared" si="2689"/>
        <v>0</v>
      </c>
      <c r="AX863" s="64">
        <f t="shared" ref="AX863:AX871" si="2707">SUM(M863,P863,S863,V863,Y863,AB863,AE863,AH863,AK863,AN863,AQ863,AT863)</f>
        <v>0</v>
      </c>
      <c r="AY863" s="65" t="e">
        <f t="shared" ref="AY863:AY870" si="2708">AVERAGE(M863,P863,S863,V863,Y863,AB863,AE863,AH863,AK863,AN863,AQ863,AT863)</f>
        <v>#DIV/0!</v>
      </c>
      <c r="AZ863" s="66">
        <f t="shared" ref="AZ863:AZ870" si="2709">COUNT(M863,P863,S863,V863,Y863,AB863,AE863,AH863,AK863,AN863,AQ863,AT863)</f>
        <v>0</v>
      </c>
      <c r="BA863" s="67">
        <f>MAX(0, Table176252626[[#This Row],[Column6]])</f>
        <v>1</v>
      </c>
      <c r="BB863" s="68">
        <v>0</v>
      </c>
      <c r="BC863" s="84">
        <f t="shared" si="2690"/>
        <v>1</v>
      </c>
      <c r="BD863" s="83">
        <f t="shared" si="2691"/>
        <v>1</v>
      </c>
      <c r="BE863" s="85">
        <v>2</v>
      </c>
      <c r="BF863" s="86">
        <v>43193.647245370368</v>
      </c>
      <c r="BG863" s="72" t="e">
        <f t="shared" si="2545"/>
        <v>#REF!</v>
      </c>
      <c r="BH863" s="87" t="e">
        <f t="shared" ref="BH863:BH871" si="2710">BG863-BF863</f>
        <v>#REF!</v>
      </c>
      <c r="BI863" s="80" t="e">
        <f t="shared" si="2692"/>
        <v>#REF!</v>
      </c>
      <c r="BJ863" s="238">
        <v>15120</v>
      </c>
    </row>
    <row r="864" spans="1:62" ht="13">
      <c r="A864" s="161"/>
      <c r="B864" s="162"/>
      <c r="C864" s="51">
        <v>862</v>
      </c>
      <c r="D864" s="78"/>
      <c r="E864" s="78"/>
      <c r="F864" s="54" t="s">
        <v>535</v>
      </c>
      <c r="G864" s="55" t="s">
        <v>1296</v>
      </c>
      <c r="H864" s="81" t="s">
        <v>1501</v>
      </c>
      <c r="I864" s="80" t="s">
        <v>458</v>
      </c>
      <c r="J864" s="82">
        <f t="shared" si="2693"/>
        <v>1</v>
      </c>
      <c r="K864" s="80">
        <v>1</v>
      </c>
      <c r="L864" s="57"/>
      <c r="M864" s="58"/>
      <c r="N864" s="59">
        <f t="shared" si="2694"/>
        <v>1</v>
      </c>
      <c r="O864" s="60"/>
      <c r="P864" s="58"/>
      <c r="Q864" s="59">
        <f t="shared" si="2695"/>
        <v>1</v>
      </c>
      <c r="R864" s="60"/>
      <c r="S864" s="58"/>
      <c r="T864" s="61">
        <f t="shared" si="2696"/>
        <v>1</v>
      </c>
      <c r="U864" s="60"/>
      <c r="V864" s="58"/>
      <c r="W864" s="59">
        <f t="shared" si="2697"/>
        <v>1</v>
      </c>
      <c r="X864" s="60"/>
      <c r="Y864" s="58"/>
      <c r="Z864" s="61">
        <f t="shared" si="2698"/>
        <v>1</v>
      </c>
      <c r="AA864" s="60"/>
      <c r="AB864" s="58"/>
      <c r="AC864" s="59">
        <f t="shared" si="2699"/>
        <v>1</v>
      </c>
      <c r="AD864" s="57"/>
      <c r="AE864" s="58"/>
      <c r="AF864" s="243">
        <f t="shared" si="2700"/>
        <v>1</v>
      </c>
      <c r="AG864" s="60"/>
      <c r="AH864" s="58"/>
      <c r="AI864" s="62">
        <f t="shared" si="2701"/>
        <v>1</v>
      </c>
      <c r="AJ864" s="60"/>
      <c r="AK864" s="58"/>
      <c r="AL864" s="62">
        <f t="shared" si="2702"/>
        <v>1</v>
      </c>
      <c r="AM864" s="60"/>
      <c r="AN864" s="58"/>
      <c r="AO864" s="62">
        <f t="shared" si="2703"/>
        <v>1</v>
      </c>
      <c r="AP864" s="60"/>
      <c r="AQ864" s="58"/>
      <c r="AR864" s="104">
        <f t="shared" si="2704"/>
        <v>1</v>
      </c>
      <c r="AS864" s="57"/>
      <c r="AT864" s="58"/>
      <c r="AU864" s="62">
        <f t="shared" si="2705"/>
        <v>1</v>
      </c>
      <c r="AV864" s="83">
        <f t="shared" si="2706"/>
        <v>0</v>
      </c>
      <c r="AW864" s="83">
        <f t="shared" si="2689"/>
        <v>0</v>
      </c>
      <c r="AX864" s="64">
        <f t="shared" si="2707"/>
        <v>0</v>
      </c>
      <c r="AY864" s="65" t="e">
        <f t="shared" si="2708"/>
        <v>#DIV/0!</v>
      </c>
      <c r="AZ864" s="66">
        <f t="shared" si="2709"/>
        <v>0</v>
      </c>
      <c r="BA864" s="67">
        <f>MAX(0, Table176252626[[#This Row],[Column6]])</f>
        <v>1</v>
      </c>
      <c r="BB864" s="68">
        <v>0</v>
      </c>
      <c r="BC864" s="84">
        <f t="shared" si="2690"/>
        <v>1</v>
      </c>
      <c r="BD864" s="83">
        <f t="shared" si="2691"/>
        <v>1</v>
      </c>
      <c r="BE864" s="85">
        <v>2</v>
      </c>
      <c r="BF864" s="86">
        <v>42593.483310185184</v>
      </c>
      <c r="BG864" s="72" t="e">
        <f t="shared" si="2545"/>
        <v>#REF!</v>
      </c>
      <c r="BH864" s="87" t="e">
        <f t="shared" si="2710"/>
        <v>#REF!</v>
      </c>
      <c r="BI864" s="80" t="e">
        <f t="shared" si="2692"/>
        <v>#REF!</v>
      </c>
      <c r="BJ864" s="238">
        <v>37706.400000000001</v>
      </c>
    </row>
    <row r="865" spans="1:62" ht="13">
      <c r="A865" s="161"/>
      <c r="B865" s="162"/>
      <c r="C865" s="51">
        <v>863</v>
      </c>
      <c r="D865" s="78"/>
      <c r="E865" s="78"/>
      <c r="F865" s="88" t="s">
        <v>973</v>
      </c>
      <c r="G865" s="89" t="s">
        <v>974</v>
      </c>
      <c r="H865" s="81" t="s">
        <v>1501</v>
      </c>
      <c r="I865" s="80" t="s">
        <v>458</v>
      </c>
      <c r="J865" s="82">
        <f t="shared" si="2693"/>
        <v>1</v>
      </c>
      <c r="K865" s="80">
        <v>1</v>
      </c>
      <c r="L865" s="57"/>
      <c r="M865" s="58"/>
      <c r="N865" s="59">
        <f t="shared" si="2694"/>
        <v>1</v>
      </c>
      <c r="O865" s="60"/>
      <c r="P865" s="58"/>
      <c r="Q865" s="59">
        <f t="shared" si="2695"/>
        <v>1</v>
      </c>
      <c r="R865" s="60"/>
      <c r="S865" s="58"/>
      <c r="T865" s="61">
        <f t="shared" si="2696"/>
        <v>1</v>
      </c>
      <c r="U865" s="60"/>
      <c r="V865" s="58"/>
      <c r="W865" s="59">
        <f t="shared" si="2697"/>
        <v>1</v>
      </c>
      <c r="X865" s="60"/>
      <c r="Y865" s="58"/>
      <c r="Z865" s="61">
        <f t="shared" si="2698"/>
        <v>1</v>
      </c>
      <c r="AA865" s="60"/>
      <c r="AB865" s="58"/>
      <c r="AC865" s="59">
        <f t="shared" si="2699"/>
        <v>1</v>
      </c>
      <c r="AD865" s="57"/>
      <c r="AE865" s="58"/>
      <c r="AF865" s="243">
        <f t="shared" si="2700"/>
        <v>1</v>
      </c>
      <c r="AG865" s="60"/>
      <c r="AH865" s="58"/>
      <c r="AI865" s="62">
        <f t="shared" si="2701"/>
        <v>1</v>
      </c>
      <c r="AJ865" s="60"/>
      <c r="AK865" s="58"/>
      <c r="AL865" s="62">
        <f t="shared" si="2702"/>
        <v>1</v>
      </c>
      <c r="AM865" s="60"/>
      <c r="AN865" s="58"/>
      <c r="AO865" s="62">
        <f t="shared" si="2703"/>
        <v>1</v>
      </c>
      <c r="AP865" s="60"/>
      <c r="AQ865" s="58"/>
      <c r="AR865" s="104">
        <f t="shared" si="2704"/>
        <v>1</v>
      </c>
      <c r="AS865" s="57"/>
      <c r="AT865" s="58"/>
      <c r="AU865" s="62">
        <f t="shared" si="2705"/>
        <v>1</v>
      </c>
      <c r="AV865" s="83">
        <f t="shared" si="2706"/>
        <v>0</v>
      </c>
      <c r="AW865" s="83">
        <f t="shared" si="2689"/>
        <v>0</v>
      </c>
      <c r="AX865" s="64">
        <f t="shared" si="2707"/>
        <v>0</v>
      </c>
      <c r="AY865" s="65" t="e">
        <f t="shared" si="2708"/>
        <v>#DIV/0!</v>
      </c>
      <c r="AZ865" s="66">
        <f t="shared" si="2709"/>
        <v>0</v>
      </c>
      <c r="BA865" s="67">
        <f>MAX(0, Table176252626[[#This Row],[Column6]])</f>
        <v>1</v>
      </c>
      <c r="BB865" s="68">
        <v>0</v>
      </c>
      <c r="BC865" s="84">
        <f t="shared" si="2690"/>
        <v>1</v>
      </c>
      <c r="BD865" s="83">
        <f t="shared" si="2691"/>
        <v>1</v>
      </c>
      <c r="BE865" s="85">
        <v>2</v>
      </c>
      <c r="BF865" s="86">
        <v>44477.571828703702</v>
      </c>
      <c r="BG865" s="72" t="e">
        <f t="shared" si="2545"/>
        <v>#REF!</v>
      </c>
      <c r="BH865" s="107" t="e">
        <f t="shared" si="2710"/>
        <v>#REF!</v>
      </c>
      <c r="BI865" s="80" t="e">
        <f t="shared" si="2692"/>
        <v>#REF!</v>
      </c>
      <c r="BJ865" s="238">
        <v>4445</v>
      </c>
    </row>
    <row r="866" spans="1:62" ht="13">
      <c r="A866" s="161"/>
      <c r="B866" s="160"/>
      <c r="C866" s="51">
        <v>864</v>
      </c>
      <c r="D866" s="78"/>
      <c r="E866" s="78"/>
      <c r="F866" s="54" t="s">
        <v>524</v>
      </c>
      <c r="G866" s="55" t="s">
        <v>525</v>
      </c>
      <c r="H866" s="81" t="s">
        <v>1501</v>
      </c>
      <c r="I866" s="80" t="s">
        <v>458</v>
      </c>
      <c r="J866" s="82">
        <f t="shared" si="2693"/>
        <v>1</v>
      </c>
      <c r="K866" s="80">
        <v>1</v>
      </c>
      <c r="L866" s="57"/>
      <c r="M866" s="58"/>
      <c r="N866" s="59">
        <f t="shared" si="2694"/>
        <v>1</v>
      </c>
      <c r="O866" s="60"/>
      <c r="P866" s="58"/>
      <c r="Q866" s="59">
        <f t="shared" si="2695"/>
        <v>1</v>
      </c>
      <c r="R866" s="60"/>
      <c r="S866" s="58"/>
      <c r="T866" s="61">
        <f t="shared" si="2696"/>
        <v>1</v>
      </c>
      <c r="U866" s="60"/>
      <c r="V866" s="58"/>
      <c r="W866" s="59">
        <f t="shared" si="2697"/>
        <v>1</v>
      </c>
      <c r="X866" s="60"/>
      <c r="Y866" s="58"/>
      <c r="Z866" s="61">
        <f t="shared" si="2698"/>
        <v>1</v>
      </c>
      <c r="AA866" s="60"/>
      <c r="AB866" s="58"/>
      <c r="AC866" s="59">
        <f t="shared" si="2699"/>
        <v>1</v>
      </c>
      <c r="AD866" s="57"/>
      <c r="AE866" s="58"/>
      <c r="AF866" s="243">
        <f t="shared" si="2700"/>
        <v>1</v>
      </c>
      <c r="AG866" s="60"/>
      <c r="AH866" s="58"/>
      <c r="AI866" s="62">
        <f t="shared" si="2701"/>
        <v>1</v>
      </c>
      <c r="AJ866" s="60"/>
      <c r="AK866" s="58"/>
      <c r="AL866" s="62">
        <f t="shared" si="2702"/>
        <v>1</v>
      </c>
      <c r="AM866" s="60"/>
      <c r="AN866" s="58"/>
      <c r="AO866" s="62">
        <f t="shared" si="2703"/>
        <v>1</v>
      </c>
      <c r="AP866" s="60"/>
      <c r="AQ866" s="58"/>
      <c r="AR866" s="104">
        <f t="shared" si="2704"/>
        <v>1</v>
      </c>
      <c r="AS866" s="57"/>
      <c r="AT866" s="58"/>
      <c r="AU866" s="62">
        <f t="shared" si="2705"/>
        <v>1</v>
      </c>
      <c r="AV866" s="83">
        <f t="shared" si="2706"/>
        <v>0</v>
      </c>
      <c r="AW866" s="83">
        <f t="shared" si="2689"/>
        <v>0</v>
      </c>
      <c r="AX866" s="64">
        <f t="shared" si="2707"/>
        <v>0</v>
      </c>
      <c r="AY866" s="65" t="e">
        <f t="shared" si="2708"/>
        <v>#DIV/0!</v>
      </c>
      <c r="AZ866" s="66">
        <f t="shared" si="2709"/>
        <v>0</v>
      </c>
      <c r="BA866" s="67">
        <f>MAX(0, Table176252626[[#This Row],[Column6]])</f>
        <v>1</v>
      </c>
      <c r="BB866" s="68">
        <v>0</v>
      </c>
      <c r="BC866" s="84">
        <f t="shared" si="2690"/>
        <v>1</v>
      </c>
      <c r="BD866" s="83">
        <f t="shared" si="2691"/>
        <v>1</v>
      </c>
      <c r="BE866" s="85">
        <v>2</v>
      </c>
      <c r="BF866" s="86">
        <v>43053.611759259256</v>
      </c>
      <c r="BG866" s="72" t="e">
        <f t="shared" si="2545"/>
        <v>#REF!</v>
      </c>
      <c r="BH866" s="87" t="e">
        <f t="shared" si="2710"/>
        <v>#REF!</v>
      </c>
      <c r="BI866" s="80" t="e">
        <f t="shared" si="2692"/>
        <v>#REF!</v>
      </c>
      <c r="BJ866" s="238">
        <v>21980</v>
      </c>
    </row>
    <row r="867" spans="1:62" ht="13">
      <c r="A867" s="161"/>
      <c r="B867" s="162"/>
      <c r="C867" s="51">
        <v>865</v>
      </c>
      <c r="D867" s="78"/>
      <c r="E867" s="78"/>
      <c r="F867" s="54" t="s">
        <v>528</v>
      </c>
      <c r="G867" s="55" t="s">
        <v>529</v>
      </c>
      <c r="H867" s="81" t="s">
        <v>1501</v>
      </c>
      <c r="I867" s="80" t="s">
        <v>458</v>
      </c>
      <c r="J867" s="82">
        <f t="shared" si="2693"/>
        <v>3</v>
      </c>
      <c r="K867" s="80">
        <v>3</v>
      </c>
      <c r="L867" s="57"/>
      <c r="M867" s="58"/>
      <c r="N867" s="59">
        <f t="shared" si="2694"/>
        <v>3</v>
      </c>
      <c r="O867" s="60"/>
      <c r="P867" s="58"/>
      <c r="Q867" s="59">
        <f t="shared" si="2695"/>
        <v>3</v>
      </c>
      <c r="R867" s="60"/>
      <c r="S867" s="58"/>
      <c r="T867" s="61">
        <f t="shared" si="2696"/>
        <v>3</v>
      </c>
      <c r="U867" s="60"/>
      <c r="V867" s="58"/>
      <c r="W867" s="59">
        <f t="shared" si="2697"/>
        <v>3</v>
      </c>
      <c r="X867" s="60"/>
      <c r="Y867" s="58"/>
      <c r="Z867" s="61">
        <f t="shared" si="2698"/>
        <v>3</v>
      </c>
      <c r="AA867" s="60"/>
      <c r="AB867" s="58"/>
      <c r="AC867" s="59">
        <f t="shared" si="2699"/>
        <v>3</v>
      </c>
      <c r="AD867" s="57"/>
      <c r="AE867" s="58"/>
      <c r="AF867" s="243">
        <f t="shared" si="2700"/>
        <v>3</v>
      </c>
      <c r="AG867" s="60"/>
      <c r="AH867" s="58"/>
      <c r="AI867" s="62">
        <f t="shared" si="2701"/>
        <v>3</v>
      </c>
      <c r="AJ867" s="60"/>
      <c r="AK867" s="58"/>
      <c r="AL867" s="62">
        <f t="shared" si="2702"/>
        <v>3</v>
      </c>
      <c r="AM867" s="60"/>
      <c r="AN867" s="58"/>
      <c r="AO867" s="62">
        <f t="shared" si="2703"/>
        <v>3</v>
      </c>
      <c r="AP867" s="60"/>
      <c r="AQ867" s="58"/>
      <c r="AR867" s="104">
        <f t="shared" si="2704"/>
        <v>3</v>
      </c>
      <c r="AS867" s="57"/>
      <c r="AT867" s="58"/>
      <c r="AU867" s="62">
        <f t="shared" si="2705"/>
        <v>3</v>
      </c>
      <c r="AV867" s="83">
        <f t="shared" si="2706"/>
        <v>0</v>
      </c>
      <c r="AW867" s="83">
        <f t="shared" si="2689"/>
        <v>0</v>
      </c>
      <c r="AX867" s="64">
        <f t="shared" si="2707"/>
        <v>0</v>
      </c>
      <c r="AY867" s="65" t="e">
        <f t="shared" si="2708"/>
        <v>#DIV/0!</v>
      </c>
      <c r="AZ867" s="66">
        <f t="shared" si="2709"/>
        <v>0</v>
      </c>
      <c r="BA867" s="67">
        <f>MAX(0, Table176252626[[#This Row],[Column6]])</f>
        <v>3</v>
      </c>
      <c r="BB867" s="68">
        <v>1</v>
      </c>
      <c r="BC867" s="84">
        <f t="shared" si="2690"/>
        <v>3</v>
      </c>
      <c r="BD867" s="83">
        <f t="shared" si="2691"/>
        <v>2</v>
      </c>
      <c r="BE867" s="85">
        <v>2</v>
      </c>
      <c r="BF867" s="86">
        <v>43011.542847222219</v>
      </c>
      <c r="BG867" s="72" t="e">
        <f t="shared" si="2545"/>
        <v>#REF!</v>
      </c>
      <c r="BH867" s="87" t="e">
        <f t="shared" si="2710"/>
        <v>#REF!</v>
      </c>
      <c r="BI867" s="80" t="e">
        <f t="shared" si="2692"/>
        <v>#REF!</v>
      </c>
      <c r="BJ867" s="238">
        <v>1152</v>
      </c>
    </row>
    <row r="868" spans="1:62" ht="13">
      <c r="A868" s="161"/>
      <c r="B868" s="160"/>
      <c r="C868" s="77">
        <v>866</v>
      </c>
      <c r="D868" s="78"/>
      <c r="E868" s="78"/>
      <c r="F868" s="54" t="s">
        <v>530</v>
      </c>
      <c r="G868" s="55" t="s">
        <v>531</v>
      </c>
      <c r="H868" s="81" t="s">
        <v>1501</v>
      </c>
      <c r="I868" s="80" t="s">
        <v>458</v>
      </c>
      <c r="J868" s="82">
        <f t="shared" si="2693"/>
        <v>2</v>
      </c>
      <c r="K868" s="80">
        <v>2</v>
      </c>
      <c r="L868" s="57"/>
      <c r="M868" s="58"/>
      <c r="N868" s="59">
        <f t="shared" si="2694"/>
        <v>2</v>
      </c>
      <c r="O868" s="60"/>
      <c r="P868" s="58"/>
      <c r="Q868" s="59">
        <f t="shared" si="2695"/>
        <v>2</v>
      </c>
      <c r="R868" s="60"/>
      <c r="S868" s="58"/>
      <c r="T868" s="61">
        <f t="shared" si="2696"/>
        <v>2</v>
      </c>
      <c r="U868" s="60"/>
      <c r="V868" s="58"/>
      <c r="W868" s="59">
        <f t="shared" si="2697"/>
        <v>2</v>
      </c>
      <c r="X868" s="60"/>
      <c r="Y868" s="58"/>
      <c r="Z868" s="61">
        <f t="shared" si="2698"/>
        <v>2</v>
      </c>
      <c r="AA868" s="60"/>
      <c r="AB868" s="58"/>
      <c r="AC868" s="59">
        <f t="shared" si="2699"/>
        <v>2</v>
      </c>
      <c r="AD868" s="57"/>
      <c r="AE868" s="58"/>
      <c r="AF868" s="243">
        <f t="shared" si="2700"/>
        <v>2</v>
      </c>
      <c r="AG868" s="60"/>
      <c r="AH868" s="58"/>
      <c r="AI868" s="62">
        <f t="shared" si="2701"/>
        <v>2</v>
      </c>
      <c r="AJ868" s="60"/>
      <c r="AK868" s="58"/>
      <c r="AL868" s="62">
        <f t="shared" si="2702"/>
        <v>2</v>
      </c>
      <c r="AM868" s="60"/>
      <c r="AN868" s="58"/>
      <c r="AO868" s="62">
        <f t="shared" si="2703"/>
        <v>2</v>
      </c>
      <c r="AP868" s="60"/>
      <c r="AQ868" s="58"/>
      <c r="AR868" s="104">
        <f t="shared" si="2704"/>
        <v>2</v>
      </c>
      <c r="AS868" s="57"/>
      <c r="AT868" s="58"/>
      <c r="AU868" s="62">
        <f t="shared" si="2705"/>
        <v>2</v>
      </c>
      <c r="AV868" s="83">
        <f t="shared" si="2706"/>
        <v>0</v>
      </c>
      <c r="AW868" s="83">
        <f t="shared" si="2689"/>
        <v>0</v>
      </c>
      <c r="AX868" s="64">
        <f t="shared" si="2707"/>
        <v>0</v>
      </c>
      <c r="AY868" s="65" t="e">
        <f t="shared" si="2708"/>
        <v>#DIV/0!</v>
      </c>
      <c r="AZ868" s="66">
        <f t="shared" si="2709"/>
        <v>0</v>
      </c>
      <c r="BA868" s="67">
        <v>2</v>
      </c>
      <c r="BB868" s="68">
        <v>1</v>
      </c>
      <c r="BC868" s="84">
        <f t="shared" si="2690"/>
        <v>2</v>
      </c>
      <c r="BD868" s="83">
        <f t="shared" si="2691"/>
        <v>1</v>
      </c>
      <c r="BE868" s="85">
        <v>2</v>
      </c>
      <c r="BF868" s="86">
        <v>43011.542847222219</v>
      </c>
      <c r="BG868" s="72" t="e">
        <f t="shared" si="2545"/>
        <v>#REF!</v>
      </c>
      <c r="BH868" s="87" t="e">
        <f t="shared" si="2710"/>
        <v>#REF!</v>
      </c>
      <c r="BI868" s="80" t="e">
        <f t="shared" si="2692"/>
        <v>#REF!</v>
      </c>
      <c r="BJ868" s="238">
        <v>1152</v>
      </c>
    </row>
    <row r="869" spans="1:62" ht="13">
      <c r="A869" s="159"/>
      <c r="B869" s="160"/>
      <c r="C869" s="77">
        <v>867</v>
      </c>
      <c r="D869" s="78"/>
      <c r="E869" s="78"/>
      <c r="F869" s="54" t="s">
        <v>536</v>
      </c>
      <c r="G869" s="55" t="s">
        <v>537</v>
      </c>
      <c r="H869" s="81" t="s">
        <v>1501</v>
      </c>
      <c r="I869" s="80" t="s">
        <v>458</v>
      </c>
      <c r="J869" s="82">
        <f t="shared" si="2693"/>
        <v>1</v>
      </c>
      <c r="K869" s="80">
        <v>1</v>
      </c>
      <c r="L869" s="57"/>
      <c r="M869" s="58"/>
      <c r="N869" s="59">
        <f t="shared" si="2694"/>
        <v>1</v>
      </c>
      <c r="O869" s="60"/>
      <c r="P869" s="58"/>
      <c r="Q869" s="59">
        <f t="shared" si="2695"/>
        <v>1</v>
      </c>
      <c r="R869" s="60"/>
      <c r="S869" s="58"/>
      <c r="T869" s="61">
        <f t="shared" si="2696"/>
        <v>1</v>
      </c>
      <c r="U869" s="60"/>
      <c r="V869" s="58"/>
      <c r="W869" s="59">
        <f t="shared" si="2697"/>
        <v>1</v>
      </c>
      <c r="X869" s="60"/>
      <c r="Y869" s="58"/>
      <c r="Z869" s="61">
        <f t="shared" si="2698"/>
        <v>1</v>
      </c>
      <c r="AA869" s="60"/>
      <c r="AB869" s="58"/>
      <c r="AC869" s="59">
        <f t="shared" si="2699"/>
        <v>1</v>
      </c>
      <c r="AD869" s="57"/>
      <c r="AE869" s="58"/>
      <c r="AF869" s="243">
        <f t="shared" si="2700"/>
        <v>1</v>
      </c>
      <c r="AG869" s="60"/>
      <c r="AH869" s="58"/>
      <c r="AI869" s="62">
        <f t="shared" si="2701"/>
        <v>1</v>
      </c>
      <c r="AJ869" s="60"/>
      <c r="AK869" s="58"/>
      <c r="AL869" s="62">
        <f t="shared" si="2702"/>
        <v>1</v>
      </c>
      <c r="AM869" s="60"/>
      <c r="AN869" s="58"/>
      <c r="AO869" s="62">
        <f t="shared" si="2703"/>
        <v>1</v>
      </c>
      <c r="AP869" s="60"/>
      <c r="AQ869" s="58"/>
      <c r="AR869" s="104">
        <f t="shared" si="2704"/>
        <v>1</v>
      </c>
      <c r="AS869" s="57"/>
      <c r="AT869" s="58"/>
      <c r="AU869" s="62">
        <f t="shared" si="2705"/>
        <v>1</v>
      </c>
      <c r="AV869" s="83">
        <f t="shared" si="2706"/>
        <v>0</v>
      </c>
      <c r="AW869" s="83">
        <f t="shared" si="2706"/>
        <v>0</v>
      </c>
      <c r="AX869" s="64">
        <f t="shared" si="2707"/>
        <v>0</v>
      </c>
      <c r="AY869" s="65" t="e">
        <f t="shared" si="2708"/>
        <v>#DIV/0!</v>
      </c>
      <c r="AZ869" s="66">
        <f t="shared" si="2709"/>
        <v>0</v>
      </c>
      <c r="BA869" s="67">
        <f>MAX(0, Table176252626[[#This Row],[Column6]])</f>
        <v>1</v>
      </c>
      <c r="BB869" s="68">
        <v>0</v>
      </c>
      <c r="BC869" s="84">
        <f t="shared" si="2690"/>
        <v>1</v>
      </c>
      <c r="BD869" s="83">
        <f t="shared" si="2691"/>
        <v>1</v>
      </c>
      <c r="BE869" s="85">
        <v>2</v>
      </c>
      <c r="BF869" s="86">
        <v>42251.568761574075</v>
      </c>
      <c r="BG869" s="72" t="e">
        <f t="shared" si="2545"/>
        <v>#REF!</v>
      </c>
      <c r="BH869" s="87" t="e">
        <f t="shared" si="2710"/>
        <v>#REF!</v>
      </c>
      <c r="BI869" s="80" t="e">
        <f t="shared" si="2692"/>
        <v>#REF!</v>
      </c>
      <c r="BJ869" s="238">
        <v>20925</v>
      </c>
    </row>
    <row r="870" spans="1:62" ht="13">
      <c r="A870" s="161"/>
      <c r="B870" s="160"/>
      <c r="C870" s="51">
        <v>868</v>
      </c>
      <c r="D870" s="78"/>
      <c r="E870" s="78"/>
      <c r="F870" s="54" t="s">
        <v>526</v>
      </c>
      <c r="G870" s="55" t="s">
        <v>527</v>
      </c>
      <c r="H870" s="81" t="s">
        <v>1501</v>
      </c>
      <c r="I870" s="80" t="s">
        <v>458</v>
      </c>
      <c r="J870" s="82">
        <f t="shared" si="2693"/>
        <v>1</v>
      </c>
      <c r="K870" s="80">
        <v>1</v>
      </c>
      <c r="L870" s="57"/>
      <c r="M870" s="58"/>
      <c r="N870" s="59">
        <f t="shared" si="2694"/>
        <v>1</v>
      </c>
      <c r="O870" s="60"/>
      <c r="P870" s="58"/>
      <c r="Q870" s="59">
        <f t="shared" si="2695"/>
        <v>1</v>
      </c>
      <c r="R870" s="60"/>
      <c r="S870" s="58"/>
      <c r="T870" s="61">
        <f t="shared" si="2696"/>
        <v>1</v>
      </c>
      <c r="U870" s="60"/>
      <c r="V870" s="58"/>
      <c r="W870" s="59">
        <f t="shared" si="2697"/>
        <v>1</v>
      </c>
      <c r="X870" s="60"/>
      <c r="Y870" s="58"/>
      <c r="Z870" s="61">
        <f t="shared" si="2698"/>
        <v>1</v>
      </c>
      <c r="AA870" s="60"/>
      <c r="AB870" s="58"/>
      <c r="AC870" s="59">
        <f t="shared" si="2699"/>
        <v>1</v>
      </c>
      <c r="AD870" s="57"/>
      <c r="AE870" s="58"/>
      <c r="AF870" s="243">
        <f t="shared" si="2700"/>
        <v>1</v>
      </c>
      <c r="AG870" s="60"/>
      <c r="AH870" s="58"/>
      <c r="AI870" s="62">
        <f t="shared" si="2701"/>
        <v>1</v>
      </c>
      <c r="AJ870" s="60"/>
      <c r="AK870" s="58"/>
      <c r="AL870" s="62">
        <f t="shared" si="2702"/>
        <v>1</v>
      </c>
      <c r="AM870" s="60"/>
      <c r="AN870" s="58"/>
      <c r="AO870" s="62">
        <f t="shared" si="2703"/>
        <v>1</v>
      </c>
      <c r="AP870" s="60"/>
      <c r="AQ870" s="58"/>
      <c r="AR870" s="104">
        <f t="shared" si="2704"/>
        <v>1</v>
      </c>
      <c r="AS870" s="57"/>
      <c r="AT870" s="58"/>
      <c r="AU870" s="62">
        <f t="shared" si="2705"/>
        <v>1</v>
      </c>
      <c r="AV870" s="83">
        <f t="shared" si="2706"/>
        <v>0</v>
      </c>
      <c r="AW870" s="83">
        <f t="shared" si="2706"/>
        <v>0</v>
      </c>
      <c r="AX870" s="64">
        <f t="shared" si="2707"/>
        <v>0</v>
      </c>
      <c r="AY870" s="65" t="e">
        <f t="shared" si="2708"/>
        <v>#DIV/0!</v>
      </c>
      <c r="AZ870" s="66">
        <f t="shared" si="2709"/>
        <v>0</v>
      </c>
      <c r="BA870" s="67">
        <f>MAX(0, Table176252626[[#This Row],[Column6]])</f>
        <v>1</v>
      </c>
      <c r="BB870" s="68">
        <v>0</v>
      </c>
      <c r="BC870" s="84">
        <f t="shared" si="2690"/>
        <v>1</v>
      </c>
      <c r="BD870" s="83">
        <f t="shared" si="2691"/>
        <v>1</v>
      </c>
      <c r="BE870" s="85">
        <v>2</v>
      </c>
      <c r="BF870" s="86">
        <v>43011.542847222219</v>
      </c>
      <c r="BG870" s="72" t="e">
        <f t="shared" si="2545"/>
        <v>#REF!</v>
      </c>
      <c r="BH870" s="87" t="e">
        <f t="shared" si="2710"/>
        <v>#REF!</v>
      </c>
      <c r="BI870" s="80" t="e">
        <f t="shared" si="2692"/>
        <v>#REF!</v>
      </c>
      <c r="BJ870" s="238">
        <v>2059.1999999999998</v>
      </c>
    </row>
    <row r="871" spans="1:62" ht="13">
      <c r="A871" s="159"/>
      <c r="B871" s="160"/>
      <c r="C871" s="51">
        <v>869</v>
      </c>
      <c r="D871" s="78"/>
      <c r="E871" s="78"/>
      <c r="F871" s="54" t="s">
        <v>533</v>
      </c>
      <c r="G871" s="55" t="s">
        <v>534</v>
      </c>
      <c r="H871" s="81" t="s">
        <v>1501</v>
      </c>
      <c r="I871" s="80" t="s">
        <v>458</v>
      </c>
      <c r="J871" s="82">
        <f t="shared" ref="J871" si="2711">AU871</f>
        <v>1</v>
      </c>
      <c r="K871" s="80">
        <v>1</v>
      </c>
      <c r="L871" s="57"/>
      <c r="M871" s="58"/>
      <c r="N871" s="59">
        <f t="shared" si="2694"/>
        <v>1</v>
      </c>
      <c r="O871" s="60"/>
      <c r="P871" s="58"/>
      <c r="Q871" s="59">
        <f t="shared" si="2695"/>
        <v>1</v>
      </c>
      <c r="R871" s="60"/>
      <c r="S871" s="58"/>
      <c r="T871" s="61">
        <f t="shared" si="2696"/>
        <v>1</v>
      </c>
      <c r="U871" s="60"/>
      <c r="V871" s="58"/>
      <c r="W871" s="59">
        <f t="shared" si="2697"/>
        <v>1</v>
      </c>
      <c r="X871" s="60"/>
      <c r="Y871" s="58"/>
      <c r="Z871" s="61">
        <f t="shared" si="2698"/>
        <v>1</v>
      </c>
      <c r="AA871" s="60"/>
      <c r="AB871" s="58"/>
      <c r="AC871" s="59">
        <f t="shared" si="2699"/>
        <v>1</v>
      </c>
      <c r="AD871" s="57"/>
      <c r="AE871" s="58"/>
      <c r="AF871" s="243">
        <f t="shared" si="2700"/>
        <v>1</v>
      </c>
      <c r="AG871" s="60"/>
      <c r="AH871" s="58"/>
      <c r="AI871" s="62">
        <f t="shared" si="2701"/>
        <v>1</v>
      </c>
      <c r="AJ871" s="60"/>
      <c r="AK871" s="58"/>
      <c r="AL871" s="62">
        <f t="shared" si="2702"/>
        <v>1</v>
      </c>
      <c r="AM871" s="60"/>
      <c r="AN871" s="58"/>
      <c r="AO871" s="62">
        <f t="shared" si="2703"/>
        <v>1</v>
      </c>
      <c r="AP871" s="60"/>
      <c r="AQ871" s="58"/>
      <c r="AR871" s="104">
        <f t="shared" si="2704"/>
        <v>1</v>
      </c>
      <c r="AS871" s="57"/>
      <c r="AT871" s="58"/>
      <c r="AU871" s="62">
        <f t="shared" si="2705"/>
        <v>1</v>
      </c>
      <c r="AV871" s="83">
        <f t="shared" ref="AV871" si="2712">SUM(L871+O871+R871+U871+X871+AA871+AD871+AG871+AJ871+AM871+AP871+AS871)</f>
        <v>0</v>
      </c>
      <c r="AW871" s="83">
        <f t="shared" si="2706"/>
        <v>0</v>
      </c>
      <c r="AX871" s="64">
        <f t="shared" si="2707"/>
        <v>0</v>
      </c>
      <c r="AY871" s="65" t="e">
        <f t="shared" ref="AY871" si="2713">AVERAGE(M871,P871,S871,V871,Y871,AB871,AE871,AH871,AK871,AN871,AQ871,AT871)</f>
        <v>#DIV/0!</v>
      </c>
      <c r="AZ871" s="66">
        <f t="shared" ref="AZ871" si="2714">COUNT(M871,P871,S871,V871,Y871,AB871,AE871,AH871,AK871,AN871,AQ871,AT871)</f>
        <v>0</v>
      </c>
      <c r="BA871" s="67">
        <f>MAX(0, Table176252626[[#This Row],[Column6]])</f>
        <v>1</v>
      </c>
      <c r="BB871" s="68">
        <v>0</v>
      </c>
      <c r="BC871" s="84">
        <f t="shared" si="2690"/>
        <v>1</v>
      </c>
      <c r="BD871" s="83">
        <f t="shared" si="2691"/>
        <v>1</v>
      </c>
      <c r="BE871" s="85">
        <v>2</v>
      </c>
      <c r="BF871" s="86">
        <v>42843.577534722222</v>
      </c>
      <c r="BG871" s="72" t="e">
        <f t="shared" si="2545"/>
        <v>#REF!</v>
      </c>
      <c r="BH871" s="87" t="e">
        <f t="shared" si="2710"/>
        <v>#REF!</v>
      </c>
      <c r="BI871" s="80" t="e">
        <f t="shared" si="2692"/>
        <v>#REF!</v>
      </c>
      <c r="BJ871" s="238">
        <v>33950</v>
      </c>
    </row>
    <row r="872" spans="1:62" ht="13">
      <c r="A872" s="161"/>
      <c r="B872" s="162"/>
      <c r="C872" s="51">
        <v>870</v>
      </c>
      <c r="D872" s="78"/>
      <c r="E872" s="78"/>
      <c r="F872" s="54" t="s">
        <v>782</v>
      </c>
      <c r="G872" s="55" t="s">
        <v>1297</v>
      </c>
      <c r="H872" s="81" t="s">
        <v>1501</v>
      </c>
      <c r="I872" s="80" t="s">
        <v>458</v>
      </c>
      <c r="J872" s="82">
        <f t="shared" ref="J872:J874" si="2715">AU872</f>
        <v>1</v>
      </c>
      <c r="K872" s="80">
        <v>0</v>
      </c>
      <c r="L872" s="57"/>
      <c r="M872" s="58"/>
      <c r="N872" s="59">
        <f t="shared" ref="N872:N874" si="2716">SUM(K872+L872-M872)</f>
        <v>0</v>
      </c>
      <c r="O872" s="60">
        <v>1</v>
      </c>
      <c r="P872" s="58"/>
      <c r="Q872" s="59">
        <f t="shared" ref="Q872:Q874" si="2717">SUM(N872+O872-P872)</f>
        <v>1</v>
      </c>
      <c r="R872" s="60"/>
      <c r="S872" s="58"/>
      <c r="T872" s="61">
        <f t="shared" ref="T872:T874" si="2718">SUM(Q872+R872-S872)</f>
        <v>1</v>
      </c>
      <c r="U872" s="60"/>
      <c r="V872" s="58"/>
      <c r="W872" s="59">
        <f t="shared" ref="W872:W874" si="2719">SUM(T872+U872-V872)</f>
        <v>1</v>
      </c>
      <c r="X872" s="60"/>
      <c r="Y872" s="58"/>
      <c r="Z872" s="61">
        <f t="shared" ref="Z872:Z874" si="2720">SUM(W872+X872-Y872)</f>
        <v>1</v>
      </c>
      <c r="AA872" s="60"/>
      <c r="AB872" s="58"/>
      <c r="AC872" s="59">
        <f t="shared" ref="AC872:AC874" si="2721">SUM(Z872+AA872-AB872)</f>
        <v>1</v>
      </c>
      <c r="AD872" s="57"/>
      <c r="AE872" s="58">
        <v>1</v>
      </c>
      <c r="AF872" s="243">
        <f t="shared" ref="AF872:AF874" si="2722">SUM(AC872+AD872-AE872)</f>
        <v>0</v>
      </c>
      <c r="AG872" s="60">
        <v>1</v>
      </c>
      <c r="AH872" s="58"/>
      <c r="AI872" s="62">
        <f t="shared" ref="AI872:AI874" si="2723">SUM(AF872+AG872-AH872)</f>
        <v>1</v>
      </c>
      <c r="AJ872" s="60"/>
      <c r="AK872" s="58"/>
      <c r="AL872" s="62">
        <f t="shared" ref="AL872:AL874" si="2724">SUM(AI872+AJ872-AK872)</f>
        <v>1</v>
      </c>
      <c r="AM872" s="60"/>
      <c r="AN872" s="58"/>
      <c r="AO872" s="62">
        <f t="shared" ref="AO872:AO874" si="2725">SUM(AL872+AM872-AN872)</f>
        <v>1</v>
      </c>
      <c r="AP872" s="60"/>
      <c r="AQ872" s="58"/>
      <c r="AR872" s="104">
        <f t="shared" ref="AR872:AR874" si="2726">SUM(AO872+AP872-AQ872)</f>
        <v>1</v>
      </c>
      <c r="AS872" s="57"/>
      <c r="AT872" s="58"/>
      <c r="AU872" s="62">
        <f t="shared" ref="AU872:AU874" si="2727">SUM(AR872+AS872-AT872)</f>
        <v>1</v>
      </c>
      <c r="AV872" s="83">
        <f>SUM(L872+O872+R872+U872+X872+AA872+AD872+AG872+AJ872+AM872+AP872+AS872)</f>
        <v>2</v>
      </c>
      <c r="AW872" s="83">
        <f t="shared" si="2706"/>
        <v>1</v>
      </c>
      <c r="AX872" s="64">
        <f t="shared" ref="AX872:AX874" si="2728">SUM(M872,P872,S872,V872,Y872,AB872,AE872,AH872,AK872,AN872,AQ872,AT872)</f>
        <v>1</v>
      </c>
      <c r="AY872" s="65">
        <f t="shared" ref="AY872:AY874" si="2729">AVERAGE(M872,P872,S872,V872,Y872,AB872,AE872,AH872,AK872,AN872,AQ872,AT872)</f>
        <v>1</v>
      </c>
      <c r="AZ872" s="66">
        <f t="shared" ref="AZ872:AZ874" si="2730">COUNT(M872,P872,S872,V872,Y872,AB872,AE872,AH872,AK872,AN872,AQ872,AT872)</f>
        <v>1</v>
      </c>
      <c r="BA872" s="67">
        <v>1</v>
      </c>
      <c r="BB872" s="68">
        <v>0</v>
      </c>
      <c r="BC872" s="84">
        <f t="shared" si="2690"/>
        <v>1</v>
      </c>
      <c r="BD872" s="83">
        <f t="shared" si="2691"/>
        <v>1</v>
      </c>
      <c r="BE872" s="85">
        <v>2</v>
      </c>
      <c r="BF872" s="86">
        <v>46261</v>
      </c>
      <c r="BG872" s="72" t="e">
        <f t="shared" si="2545"/>
        <v>#REF!</v>
      </c>
      <c r="BH872" s="87" t="e">
        <f t="shared" ref="BH872:BH873" si="2731">BG872-BF872</f>
        <v>#REF!</v>
      </c>
      <c r="BI872" s="80" t="e">
        <f t="shared" si="2692"/>
        <v>#REF!</v>
      </c>
      <c r="BJ872" s="238">
        <v>5666.4</v>
      </c>
    </row>
    <row r="873" spans="1:62" ht="13">
      <c r="A873" s="159"/>
      <c r="B873" s="163"/>
      <c r="C873" s="51">
        <v>871</v>
      </c>
      <c r="D873" s="78"/>
      <c r="E873" s="78"/>
      <c r="F873" s="54" t="s">
        <v>808</v>
      </c>
      <c r="G873" s="55" t="s">
        <v>1312</v>
      </c>
      <c r="H873" s="81" t="s">
        <v>1501</v>
      </c>
      <c r="I873" s="80" t="s">
        <v>458</v>
      </c>
      <c r="J873" s="82">
        <f t="shared" si="2715"/>
        <v>2</v>
      </c>
      <c r="K873" s="80">
        <v>2</v>
      </c>
      <c r="L873" s="57"/>
      <c r="M873" s="58"/>
      <c r="N873" s="59">
        <f t="shared" si="2716"/>
        <v>2</v>
      </c>
      <c r="O873" s="60"/>
      <c r="P873" s="58"/>
      <c r="Q873" s="59">
        <f t="shared" si="2717"/>
        <v>2</v>
      </c>
      <c r="R873" s="60"/>
      <c r="S873" s="58"/>
      <c r="T873" s="61">
        <f t="shared" si="2718"/>
        <v>2</v>
      </c>
      <c r="U873" s="60"/>
      <c r="V873" s="58"/>
      <c r="W873" s="59">
        <f t="shared" si="2719"/>
        <v>2</v>
      </c>
      <c r="X873" s="60"/>
      <c r="Y873" s="58"/>
      <c r="Z873" s="61">
        <f t="shared" si="2720"/>
        <v>2</v>
      </c>
      <c r="AA873" s="60"/>
      <c r="AB873" s="58"/>
      <c r="AC873" s="59">
        <f t="shared" si="2721"/>
        <v>2</v>
      </c>
      <c r="AD873" s="57"/>
      <c r="AE873" s="58">
        <v>1</v>
      </c>
      <c r="AF873" s="243">
        <f t="shared" si="2722"/>
        <v>1</v>
      </c>
      <c r="AG873" s="60">
        <v>1</v>
      </c>
      <c r="AH873" s="58"/>
      <c r="AI873" s="62">
        <f t="shared" si="2723"/>
        <v>2</v>
      </c>
      <c r="AJ873" s="60"/>
      <c r="AK873" s="58"/>
      <c r="AL873" s="62">
        <f t="shared" si="2724"/>
        <v>2</v>
      </c>
      <c r="AM873" s="60"/>
      <c r="AN873" s="58"/>
      <c r="AO873" s="62">
        <f t="shared" si="2725"/>
        <v>2</v>
      </c>
      <c r="AP873" s="60"/>
      <c r="AQ873" s="58"/>
      <c r="AR873" s="104">
        <f t="shared" si="2726"/>
        <v>2</v>
      </c>
      <c r="AS873" s="57"/>
      <c r="AT873" s="58"/>
      <c r="AU873" s="62">
        <f t="shared" si="2727"/>
        <v>2</v>
      </c>
      <c r="AV873" s="83">
        <f>SUM(L873+O873+R873+U873+X873+AA873+AD873+AG873+AJ873+AM873+AP873+AS873)</f>
        <v>1</v>
      </c>
      <c r="AW873" s="83">
        <f t="shared" si="2706"/>
        <v>1</v>
      </c>
      <c r="AX873" s="64">
        <f t="shared" si="2728"/>
        <v>1</v>
      </c>
      <c r="AY873" s="65">
        <f t="shared" si="2729"/>
        <v>1</v>
      </c>
      <c r="AZ873" s="66">
        <f t="shared" si="2730"/>
        <v>1</v>
      </c>
      <c r="BA873" s="67">
        <v>1</v>
      </c>
      <c r="BB873" s="68">
        <v>0</v>
      </c>
      <c r="BC873" s="84">
        <f t="shared" si="2690"/>
        <v>2</v>
      </c>
      <c r="BD873" s="83">
        <f t="shared" si="2691"/>
        <v>2</v>
      </c>
      <c r="BE873" s="85">
        <v>2</v>
      </c>
      <c r="BF873" s="86">
        <v>46261</v>
      </c>
      <c r="BG873" s="72" t="e">
        <f t="shared" si="2545"/>
        <v>#REF!</v>
      </c>
      <c r="BH873" s="87" t="e">
        <f t="shared" si="2731"/>
        <v>#REF!</v>
      </c>
      <c r="BI873" s="80" t="e">
        <f t="shared" si="2692"/>
        <v>#REF!</v>
      </c>
      <c r="BJ873" s="238">
        <v>5112</v>
      </c>
    </row>
    <row r="874" spans="1:62" ht="13">
      <c r="A874" s="161"/>
      <c r="B874" s="162"/>
      <c r="C874" s="77">
        <v>872</v>
      </c>
      <c r="D874" s="78"/>
      <c r="E874" s="78"/>
      <c r="F874" s="54" t="s">
        <v>781</v>
      </c>
      <c r="G874" s="55" t="s">
        <v>1298</v>
      </c>
      <c r="H874" s="81" t="s">
        <v>1501</v>
      </c>
      <c r="I874" s="80" t="s">
        <v>458</v>
      </c>
      <c r="J874" s="82">
        <f t="shared" si="2715"/>
        <v>1</v>
      </c>
      <c r="K874" s="80">
        <v>1</v>
      </c>
      <c r="L874" s="57"/>
      <c r="M874" s="58"/>
      <c r="N874" s="59">
        <f t="shared" si="2716"/>
        <v>1</v>
      </c>
      <c r="O874" s="60"/>
      <c r="P874" s="58"/>
      <c r="Q874" s="59">
        <f t="shared" si="2717"/>
        <v>1</v>
      </c>
      <c r="R874" s="60"/>
      <c r="S874" s="58"/>
      <c r="T874" s="61">
        <f t="shared" si="2718"/>
        <v>1</v>
      </c>
      <c r="U874" s="60"/>
      <c r="V874" s="58"/>
      <c r="W874" s="59">
        <f t="shared" si="2719"/>
        <v>1</v>
      </c>
      <c r="X874" s="60"/>
      <c r="Y874" s="58"/>
      <c r="Z874" s="61">
        <f t="shared" si="2720"/>
        <v>1</v>
      </c>
      <c r="AA874" s="60"/>
      <c r="AB874" s="58"/>
      <c r="AC874" s="59">
        <f t="shared" si="2721"/>
        <v>1</v>
      </c>
      <c r="AD874" s="57"/>
      <c r="AE874" s="58"/>
      <c r="AF874" s="243">
        <f t="shared" si="2722"/>
        <v>1</v>
      </c>
      <c r="AG874" s="60"/>
      <c r="AH874" s="58"/>
      <c r="AI874" s="62">
        <f t="shared" si="2723"/>
        <v>1</v>
      </c>
      <c r="AJ874" s="60"/>
      <c r="AK874" s="58"/>
      <c r="AL874" s="62">
        <f t="shared" si="2724"/>
        <v>1</v>
      </c>
      <c r="AM874" s="60"/>
      <c r="AN874" s="58"/>
      <c r="AO874" s="62">
        <f t="shared" si="2725"/>
        <v>1</v>
      </c>
      <c r="AP874" s="60"/>
      <c r="AQ874" s="58"/>
      <c r="AR874" s="104">
        <f t="shared" si="2726"/>
        <v>1</v>
      </c>
      <c r="AS874" s="57"/>
      <c r="AT874" s="58"/>
      <c r="AU874" s="62">
        <f t="shared" si="2727"/>
        <v>1</v>
      </c>
      <c r="AV874" s="83">
        <f>SUM(L874+O874+R874+U874+X874+AA874+AD874+AG874+AJ874+AM874+AP874+AS874)</f>
        <v>0</v>
      </c>
      <c r="AW874" s="83">
        <f t="shared" si="2706"/>
        <v>0</v>
      </c>
      <c r="AX874" s="64">
        <f t="shared" si="2728"/>
        <v>0</v>
      </c>
      <c r="AY874" s="65" t="e">
        <f t="shared" si="2729"/>
        <v>#DIV/0!</v>
      </c>
      <c r="AZ874" s="66">
        <f t="shared" si="2730"/>
        <v>0</v>
      </c>
      <c r="BA874" s="67">
        <f>MAX(0, Table176252626[[#This Row],[Column6]])</f>
        <v>1</v>
      </c>
      <c r="BB874" s="68">
        <v>0</v>
      </c>
      <c r="BC874" s="84">
        <f t="shared" si="2690"/>
        <v>1</v>
      </c>
      <c r="BD874" s="83">
        <f t="shared" si="2691"/>
        <v>1</v>
      </c>
      <c r="BE874" s="85">
        <v>2</v>
      </c>
      <c r="BF874" s="86">
        <v>43455.633831018517</v>
      </c>
      <c r="BG874" s="72" t="e">
        <f t="shared" si="2545"/>
        <v>#REF!</v>
      </c>
      <c r="BH874" s="87" t="e">
        <f>BG874-BF874</f>
        <v>#REF!</v>
      </c>
      <c r="BI874" s="80" t="e">
        <f t="shared" si="2692"/>
        <v>#REF!</v>
      </c>
      <c r="BJ874" s="238">
        <v>2736</v>
      </c>
    </row>
    <row r="875" spans="1:62" ht="13">
      <c r="A875" s="161"/>
      <c r="B875" s="160"/>
      <c r="C875" s="77">
        <v>873</v>
      </c>
      <c r="D875" s="78"/>
      <c r="E875" s="108" t="s">
        <v>1916</v>
      </c>
      <c r="F875" s="88" t="s">
        <v>1687</v>
      </c>
      <c r="G875" s="89" t="s">
        <v>1688</v>
      </c>
      <c r="H875" s="89" t="s">
        <v>292</v>
      </c>
      <c r="I875" s="88" t="s">
        <v>458</v>
      </c>
      <c r="J875" s="93">
        <f t="shared" ref="J875" si="2732">AU875</f>
        <v>1</v>
      </c>
      <c r="K875" s="80">
        <v>1</v>
      </c>
      <c r="L875" s="58"/>
      <c r="M875" s="58">
        <v>1</v>
      </c>
      <c r="N875" s="62">
        <f t="shared" ref="N875" si="2733">SUM(K875+L875-M875)</f>
        <v>0</v>
      </c>
      <c r="O875" s="60"/>
      <c r="P875" s="58"/>
      <c r="Q875" s="62">
        <f t="shared" ref="Q875" si="2734">SUM(N875+O875-P875)</f>
        <v>0</v>
      </c>
      <c r="R875" s="60">
        <v>1</v>
      </c>
      <c r="S875" s="58"/>
      <c r="T875" s="94">
        <f t="shared" ref="T875" si="2735">SUM(Q875+R875-S875)</f>
        <v>1</v>
      </c>
      <c r="U875" s="60"/>
      <c r="V875" s="58"/>
      <c r="W875" s="62">
        <f t="shared" ref="W875" si="2736">SUM(T875+U875-V875)</f>
        <v>1</v>
      </c>
      <c r="X875" s="60"/>
      <c r="Y875" s="58"/>
      <c r="Z875" s="94">
        <f t="shared" ref="Z875" si="2737">SUM(W875+X875-Y875)</f>
        <v>1</v>
      </c>
      <c r="AA875" s="60"/>
      <c r="AB875" s="58"/>
      <c r="AC875" s="62">
        <f t="shared" ref="AC875" si="2738">SUM(Z875+AA875-AB875)</f>
        <v>1</v>
      </c>
      <c r="AD875" s="57"/>
      <c r="AE875" s="58"/>
      <c r="AF875" s="165">
        <f t="shared" ref="AF875" si="2739">SUM(AC875+AD875-AE875)</f>
        <v>1</v>
      </c>
      <c r="AG875" s="60"/>
      <c r="AH875" s="58"/>
      <c r="AI875" s="62">
        <f t="shared" ref="AI875" si="2740">SUM(AF875+AG875-AH875)</f>
        <v>1</v>
      </c>
      <c r="AJ875" s="60"/>
      <c r="AK875" s="58"/>
      <c r="AL875" s="62">
        <f t="shared" ref="AL875" si="2741">SUM(AI875+AJ875-AK875)</f>
        <v>1</v>
      </c>
      <c r="AM875" s="60"/>
      <c r="AN875" s="58"/>
      <c r="AO875" s="62">
        <f t="shared" ref="AO875" si="2742">SUM(AL875+AM875-AN875)</f>
        <v>1</v>
      </c>
      <c r="AP875" s="60"/>
      <c r="AQ875" s="58"/>
      <c r="AR875" s="62">
        <f t="shared" ref="AR875" si="2743">SUM(AO875+AP875-AQ875)</f>
        <v>1</v>
      </c>
      <c r="AS875" s="60"/>
      <c r="AT875" s="58"/>
      <c r="AU875" s="62">
        <f t="shared" ref="AU875" si="2744">SUM(AR875+AS875-AT875)</f>
        <v>1</v>
      </c>
      <c r="AV875" s="96">
        <f>SUM(L875+O875+R875+U875+X875+AA875+AD875+AG875+AJ875+AM875+AP875+AS875)</f>
        <v>1</v>
      </c>
      <c r="AW875" s="83">
        <f t="shared" ref="AW875" si="2745">SUM(M875+P875+S875+V875+Y875+AB875+AE875+AH875+AK875+AN875+AQ875+AT875)</f>
        <v>1</v>
      </c>
      <c r="AX875" s="98">
        <f t="shared" ref="AX875" si="2746">SUM(M875,P875,S875,V875,Y875,AB875,AE875,AH875,AK875,AN875,AQ875,AT875)</f>
        <v>1</v>
      </c>
      <c r="AY875" s="99">
        <f t="shared" ref="AY875" si="2747">AVERAGE(M875,P875,S875,V875,Y875,AB875,AE875,AH875,AK875,AN875,AQ875,AT875)</f>
        <v>1</v>
      </c>
      <c r="AZ875" s="100">
        <f t="shared" ref="AZ875" si="2748">COUNT(M875,P875,S875,V875,Y875,AB875,AE875,AH875,AK875,AN875,AQ875,AT875)</f>
        <v>1</v>
      </c>
      <c r="BA875" s="101">
        <f>MAX(M875,P875,S875,V875,Y875,AB875,AE875,AH875,AK875,AN875,AQ875,AT875)</f>
        <v>1</v>
      </c>
      <c r="BB875" s="102">
        <v>0</v>
      </c>
      <c r="BC875" s="84">
        <f t="shared" si="2690"/>
        <v>1</v>
      </c>
      <c r="BD875" s="83">
        <f t="shared" ref="BD875" si="2749">SUM(BC875-BB875)</f>
        <v>1</v>
      </c>
      <c r="BE875" s="85">
        <v>2</v>
      </c>
      <c r="BF875" s="86">
        <v>46099</v>
      </c>
      <c r="BG875" s="72" t="e">
        <f t="shared" si="2545"/>
        <v>#REF!</v>
      </c>
      <c r="BH875" s="103" t="e">
        <f t="shared" ref="BH875" si="2750">BG875-BF875</f>
        <v>#REF!</v>
      </c>
      <c r="BI875" s="80" t="e">
        <f t="shared" ref="BI875" si="2751">IF(AND(J875&gt;0,BH875&gt;365),"Dead Stock","")</f>
        <v>#REF!</v>
      </c>
      <c r="BJ875" s="238">
        <v>10833</v>
      </c>
    </row>
    <row r="876" spans="1:62" ht="13">
      <c r="A876" s="49"/>
      <c r="B876" s="50"/>
      <c r="C876" s="51">
        <v>874</v>
      </c>
      <c r="D876" s="108" t="s">
        <v>1529</v>
      </c>
      <c r="E876" s="78">
        <v>2</v>
      </c>
      <c r="F876" s="88" t="s">
        <v>1598</v>
      </c>
      <c r="G876" s="89" t="s">
        <v>1599</v>
      </c>
      <c r="H876" s="89" t="s">
        <v>1600</v>
      </c>
      <c r="I876" s="80" t="s">
        <v>458</v>
      </c>
      <c r="J876" s="93">
        <f>AU876</f>
        <v>1</v>
      </c>
      <c r="K876" s="88">
        <v>1</v>
      </c>
      <c r="L876" s="58"/>
      <c r="M876" s="58"/>
      <c r="N876" s="62">
        <f>SUM(K876+L876-M876)</f>
        <v>1</v>
      </c>
      <c r="O876" s="60"/>
      <c r="P876" s="58"/>
      <c r="Q876" s="62">
        <f>SUM(N876+O876-P876)</f>
        <v>1</v>
      </c>
      <c r="R876" s="60"/>
      <c r="S876" s="58"/>
      <c r="T876" s="94">
        <f>SUM(Q876+R876-S876)</f>
        <v>1</v>
      </c>
      <c r="U876" s="60"/>
      <c r="V876" s="58"/>
      <c r="W876" s="62">
        <f>SUM(T876+U876-V876)</f>
        <v>1</v>
      </c>
      <c r="X876" s="60"/>
      <c r="Y876" s="58"/>
      <c r="Z876" s="94">
        <f>SUM(W876+X876-Y876)</f>
        <v>1</v>
      </c>
      <c r="AA876" s="60"/>
      <c r="AB876" s="58"/>
      <c r="AC876" s="62">
        <f>SUM(Z876+AA876-AB876)</f>
        <v>1</v>
      </c>
      <c r="AD876" s="57"/>
      <c r="AE876" s="58"/>
      <c r="AF876" s="165">
        <f>SUM(AC876+AD876-AE876)</f>
        <v>1</v>
      </c>
      <c r="AG876" s="60"/>
      <c r="AH876" s="58"/>
      <c r="AI876" s="62">
        <f>SUM(AF876+AG876-AH876)</f>
        <v>1</v>
      </c>
      <c r="AJ876" s="60"/>
      <c r="AK876" s="58"/>
      <c r="AL876" s="62">
        <f>SUM(AI876+AJ876-AK876)</f>
        <v>1</v>
      </c>
      <c r="AM876" s="60"/>
      <c r="AN876" s="58"/>
      <c r="AO876" s="62">
        <f>SUM(AL876+AM876-AN876)</f>
        <v>1</v>
      </c>
      <c r="AP876" s="60"/>
      <c r="AQ876" s="58"/>
      <c r="AR876" s="62">
        <f>SUM(AO876+AP876-AQ876)</f>
        <v>1</v>
      </c>
      <c r="AS876" s="60"/>
      <c r="AT876" s="58"/>
      <c r="AU876" s="62">
        <f>SUM(AR876+AS876-AT876)</f>
        <v>1</v>
      </c>
      <c r="AV876" s="96">
        <f t="shared" ref="AV876:AV877" si="2752">SUM(L876+O876+R876+U876+X876+AA876+AD876+AG876+AJ876+AM876+AP876+AS876)</f>
        <v>0</v>
      </c>
      <c r="AW876" s="83">
        <f t="shared" ref="AW876:AW902" si="2753">SUM(M876+P876+S876+V876+Y876+AB876+AE876+AH876+AK876+AN876+AQ876+AT876)</f>
        <v>0</v>
      </c>
      <c r="AX876" s="98">
        <f>SUM(M876,P876,S876,V876,Y876,AB876,AE876,AH876,AK876,AN876,AQ876,AT876)</f>
        <v>0</v>
      </c>
      <c r="AY876" s="99" t="e">
        <f>AVERAGE(M876,P876,S876,V876,Y876,AB876,AE876,AH876,AK876,AN876,AQ876,AT876)</f>
        <v>#DIV/0!</v>
      </c>
      <c r="AZ876" s="100">
        <f>COUNT(M876,P876,S876,V876,Y876,AB876,AE876,AH876,AK876,AN876,AQ876,AT876)</f>
        <v>0</v>
      </c>
      <c r="BA876" s="101">
        <v>1</v>
      </c>
      <c r="BB876" s="102">
        <v>0</v>
      </c>
      <c r="BC876" s="84">
        <f t="shared" ref="BC876:BC895" si="2754">J876</f>
        <v>1</v>
      </c>
      <c r="BD876" s="83">
        <f t="shared" ref="BD876:BD892" si="2755">SUM(BC876-BB876)</f>
        <v>1</v>
      </c>
      <c r="BE876" s="85">
        <v>2</v>
      </c>
      <c r="BF876" s="86">
        <v>45527.575879629629</v>
      </c>
      <c r="BG876" s="72" t="e">
        <f t="shared" si="2545"/>
        <v>#REF!</v>
      </c>
      <c r="BH876" s="103" t="e">
        <f>BG876-BF876</f>
        <v>#REF!</v>
      </c>
      <c r="BI876" s="80" t="e">
        <f t="shared" ref="BI876:BI892" si="2756">IF(AND(J876&gt;0,BH876&gt;365),"Dead Stock","")</f>
        <v>#REF!</v>
      </c>
      <c r="BJ876" s="238">
        <v>17300</v>
      </c>
    </row>
    <row r="877" spans="1:62" ht="13">
      <c r="A877" s="75"/>
      <c r="B877" s="76"/>
      <c r="C877" s="51">
        <v>875</v>
      </c>
      <c r="D877" s="108" t="s">
        <v>1529</v>
      </c>
      <c r="E877" s="78">
        <v>3</v>
      </c>
      <c r="F877" s="54" t="s">
        <v>968</v>
      </c>
      <c r="G877" s="55" t="s">
        <v>734</v>
      </c>
      <c r="H877" s="81" t="s">
        <v>1324</v>
      </c>
      <c r="I877" s="80" t="s">
        <v>458</v>
      </c>
      <c r="J877" s="82">
        <f>AU877</f>
        <v>1</v>
      </c>
      <c r="K877" s="80">
        <v>1</v>
      </c>
      <c r="L877" s="57"/>
      <c r="M877" s="58"/>
      <c r="N877" s="59">
        <f>SUM(K877+L877-M877)</f>
        <v>1</v>
      </c>
      <c r="O877" s="60"/>
      <c r="P877" s="58"/>
      <c r="Q877" s="59">
        <f>SUM(N877+O877-P877)</f>
        <v>1</v>
      </c>
      <c r="R877" s="60"/>
      <c r="S877" s="58"/>
      <c r="T877" s="61">
        <f>SUM(Q877+R877-S877)</f>
        <v>1</v>
      </c>
      <c r="U877" s="60"/>
      <c r="V877" s="58"/>
      <c r="W877" s="59">
        <f>SUM(T877+U877-V877)</f>
        <v>1</v>
      </c>
      <c r="X877" s="60"/>
      <c r="Y877" s="58"/>
      <c r="Z877" s="61">
        <f>SUM(W877+X877-Y877)</f>
        <v>1</v>
      </c>
      <c r="AA877" s="60"/>
      <c r="AB877" s="58"/>
      <c r="AC877" s="59">
        <f>SUM(Z877+AA877-AB877)</f>
        <v>1</v>
      </c>
      <c r="AD877" s="57"/>
      <c r="AE877" s="58"/>
      <c r="AF877" s="243">
        <f>SUM(AC877+AD877-AE877)</f>
        <v>1</v>
      </c>
      <c r="AG877" s="60"/>
      <c r="AH877" s="58"/>
      <c r="AI877" s="62">
        <f>SUM(AF877+AG877-AH877)</f>
        <v>1</v>
      </c>
      <c r="AJ877" s="60"/>
      <c r="AK877" s="58"/>
      <c r="AL877" s="62">
        <f>SUM(AI877+AJ877-AK877)</f>
        <v>1</v>
      </c>
      <c r="AM877" s="60"/>
      <c r="AN877" s="58"/>
      <c r="AO877" s="62">
        <f>SUM(AL877+AM877-AN877)</f>
        <v>1</v>
      </c>
      <c r="AP877" s="60"/>
      <c r="AQ877" s="58"/>
      <c r="AR877" s="62">
        <f>SUM(AO877+AP877-AQ877)</f>
        <v>1</v>
      </c>
      <c r="AS877" s="60"/>
      <c r="AT877" s="58"/>
      <c r="AU877" s="62">
        <f>SUM(AR877+AS877-AT877)</f>
        <v>1</v>
      </c>
      <c r="AV877" s="83">
        <f t="shared" si="2752"/>
        <v>0</v>
      </c>
      <c r="AW877" s="83">
        <f t="shared" si="2753"/>
        <v>0</v>
      </c>
      <c r="AX877" s="64">
        <f>SUM(M877,P877,S877,V877,Y877,AB877,AE877,AH877,AK877,AN877,AQ877,AT877)</f>
        <v>0</v>
      </c>
      <c r="AY877" s="65" t="e">
        <f>AVERAGE(M877,P877,S877,V877,Y877,AB877,AE877,AH877,AK877,AN877,AQ877,AT877)</f>
        <v>#DIV/0!</v>
      </c>
      <c r="AZ877" s="66">
        <f>COUNT(M877,P877,S877,V877,Y877,AB877,AE877,AH877,AK877,AN877,AQ877,AT877)</f>
        <v>0</v>
      </c>
      <c r="BA877" s="67">
        <v>1</v>
      </c>
      <c r="BB877" s="68">
        <v>0</v>
      </c>
      <c r="BC877" s="84">
        <f t="shared" si="2754"/>
        <v>1</v>
      </c>
      <c r="BD877" s="83">
        <f t="shared" si="2755"/>
        <v>1</v>
      </c>
      <c r="BE877" s="85">
        <v>2</v>
      </c>
      <c r="BF877" s="86">
        <v>43642.535717592589</v>
      </c>
      <c r="BG877" s="72" t="e">
        <f t="shared" si="2545"/>
        <v>#REF!</v>
      </c>
      <c r="BH877" s="107" t="e">
        <f>BG877-BF877</f>
        <v>#REF!</v>
      </c>
      <c r="BI877" s="80" t="e">
        <f t="shared" si="2756"/>
        <v>#REF!</v>
      </c>
      <c r="BJ877" s="238">
        <v>90000</v>
      </c>
    </row>
    <row r="878" spans="1:62" ht="13">
      <c r="A878" s="75"/>
      <c r="B878" s="76"/>
      <c r="C878" s="51">
        <v>876</v>
      </c>
      <c r="D878" s="108" t="s">
        <v>1529</v>
      </c>
      <c r="E878" s="78">
        <v>4</v>
      </c>
      <c r="F878" s="80" t="s">
        <v>901</v>
      </c>
      <c r="G878" s="81" t="s">
        <v>2054</v>
      </c>
      <c r="H878" s="81" t="s">
        <v>289</v>
      </c>
      <c r="I878" s="80" t="s">
        <v>458</v>
      </c>
      <c r="J878" s="82">
        <f t="shared" ref="J878:J890" si="2757">AU878</f>
        <v>8</v>
      </c>
      <c r="K878" s="80">
        <v>8</v>
      </c>
      <c r="L878" s="57"/>
      <c r="M878" s="58"/>
      <c r="N878" s="59">
        <f t="shared" ref="N878:N883" si="2758">SUM(K878+L878-M878)</f>
        <v>8</v>
      </c>
      <c r="O878" s="60"/>
      <c r="P878" s="58"/>
      <c r="Q878" s="59">
        <f t="shared" ref="Q878:Q883" si="2759">SUM(N878+O878-P878)</f>
        <v>8</v>
      </c>
      <c r="R878" s="60"/>
      <c r="S878" s="58"/>
      <c r="T878" s="61">
        <f t="shared" ref="T878:T883" si="2760">SUM(Q878+R878-S878)</f>
        <v>8</v>
      </c>
      <c r="U878" s="60"/>
      <c r="V878" s="58"/>
      <c r="W878" s="59">
        <f t="shared" ref="W878:W883" si="2761">SUM(T878+U878-V878)</f>
        <v>8</v>
      </c>
      <c r="X878" s="60"/>
      <c r="Y878" s="58"/>
      <c r="Z878" s="61">
        <f t="shared" ref="Z878:Z883" si="2762">SUM(W878+X878-Y878)</f>
        <v>8</v>
      </c>
      <c r="AA878" s="60"/>
      <c r="AB878" s="58"/>
      <c r="AC878" s="59">
        <f t="shared" ref="AC878:AC883" si="2763">SUM(Z878+AA878-AB878)</f>
        <v>8</v>
      </c>
      <c r="AD878" s="57"/>
      <c r="AE878" s="58"/>
      <c r="AF878" s="243">
        <f t="shared" ref="AF878:AF883" si="2764">SUM(AC878+AD878-AE878)</f>
        <v>8</v>
      </c>
      <c r="AG878" s="60"/>
      <c r="AH878" s="58"/>
      <c r="AI878" s="62">
        <f t="shared" ref="AI878:AI883" si="2765">SUM(AF878+AG878-AH878)</f>
        <v>8</v>
      </c>
      <c r="AJ878" s="60"/>
      <c r="AK878" s="58"/>
      <c r="AL878" s="62">
        <f t="shared" ref="AL878:AL883" si="2766">SUM(AI878+AJ878-AK878)</f>
        <v>8</v>
      </c>
      <c r="AM878" s="60"/>
      <c r="AN878" s="58"/>
      <c r="AO878" s="62">
        <f t="shared" ref="AO878:AO883" si="2767">SUM(AL878+AM878-AN878)</f>
        <v>8</v>
      </c>
      <c r="AP878" s="60"/>
      <c r="AQ878" s="58"/>
      <c r="AR878" s="62">
        <f t="shared" ref="AR878:AR884" si="2768">SUM(AO878+AP878-AQ878)</f>
        <v>8</v>
      </c>
      <c r="AS878" s="60"/>
      <c r="AT878" s="58"/>
      <c r="AU878" s="62">
        <f t="shared" ref="AU878:AU881" si="2769">SUM(AR878+AS878-AT878)</f>
        <v>8</v>
      </c>
      <c r="AV878" s="83">
        <f t="shared" ref="AV878:AV879" si="2770">SUM(L878+O878+R878+U878+X878+AA878+AD878+AG878+AJ878+AM878+AP878+AS878)</f>
        <v>0</v>
      </c>
      <c r="AW878" s="83">
        <f t="shared" si="2753"/>
        <v>0</v>
      </c>
      <c r="AX878" s="64">
        <f t="shared" ref="AX878:AX881" si="2771">SUM(M878,P878,S878,V878,Y878,AB878,AE878,AH878,AK878,AN878,AQ878,AT878)</f>
        <v>0</v>
      </c>
      <c r="AY878" s="65" t="e">
        <f t="shared" ref="AY878:AY882" si="2772">AVERAGE(M878,P878,S878,V878,Y878,AB878,AE878,AH878,AK878,AN878,AQ878,AT878)</f>
        <v>#DIV/0!</v>
      </c>
      <c r="AZ878" s="66">
        <f t="shared" ref="AZ878:AZ882" si="2773">COUNT(M878,P878,S878,V878,Y878,AB878,AE878,AH878,AK878,AN878,AQ878,AT878)</f>
        <v>0</v>
      </c>
      <c r="BA878" s="67">
        <f>MAX(0, Table176252626[[#This Row],[Column6]])</f>
        <v>8</v>
      </c>
      <c r="BB878" s="68">
        <v>1</v>
      </c>
      <c r="BC878" s="84">
        <f t="shared" si="2754"/>
        <v>8</v>
      </c>
      <c r="BD878" s="83">
        <f t="shared" si="2755"/>
        <v>7</v>
      </c>
      <c r="BE878" s="85">
        <v>2</v>
      </c>
      <c r="BF878" s="86">
        <v>44678.379351851851</v>
      </c>
      <c r="BG878" s="72" t="e">
        <f t="shared" si="2545"/>
        <v>#REF!</v>
      </c>
      <c r="BH878" s="87" t="e">
        <f t="shared" ref="BH878:BH884" si="2774">BG878-BF878</f>
        <v>#REF!</v>
      </c>
      <c r="BI878" s="80" t="e">
        <f t="shared" si="2756"/>
        <v>#REF!</v>
      </c>
      <c r="BJ878" s="238">
        <v>1400</v>
      </c>
    </row>
    <row r="879" spans="1:62" ht="13">
      <c r="A879" s="49"/>
      <c r="B879" s="76"/>
      <c r="C879" s="51">
        <v>877</v>
      </c>
      <c r="D879" s="108" t="s">
        <v>1529</v>
      </c>
      <c r="E879" s="78">
        <v>6</v>
      </c>
      <c r="F879" s="105" t="s">
        <v>164</v>
      </c>
      <c r="G879" s="81" t="s">
        <v>2055</v>
      </c>
      <c r="H879" s="81" t="s">
        <v>302</v>
      </c>
      <c r="I879" s="80" t="s">
        <v>458</v>
      </c>
      <c r="J879" s="82">
        <f t="shared" si="2757"/>
        <v>1</v>
      </c>
      <c r="K879" s="80">
        <v>2</v>
      </c>
      <c r="L879" s="57"/>
      <c r="M879" s="58"/>
      <c r="N879" s="59">
        <f t="shared" si="2758"/>
        <v>2</v>
      </c>
      <c r="O879" s="60"/>
      <c r="P879" s="58"/>
      <c r="Q879" s="59">
        <f t="shared" si="2759"/>
        <v>2</v>
      </c>
      <c r="R879" s="60"/>
      <c r="S879" s="58"/>
      <c r="T879" s="61">
        <f t="shared" si="2760"/>
        <v>2</v>
      </c>
      <c r="U879" s="60"/>
      <c r="V879" s="58"/>
      <c r="W879" s="59">
        <f t="shared" si="2761"/>
        <v>2</v>
      </c>
      <c r="X879" s="60"/>
      <c r="Y879" s="58"/>
      <c r="Z879" s="61">
        <f t="shared" si="2762"/>
        <v>2</v>
      </c>
      <c r="AA879" s="60"/>
      <c r="AB879" s="58">
        <v>1</v>
      </c>
      <c r="AC879" s="59">
        <f t="shared" si="2763"/>
        <v>1</v>
      </c>
      <c r="AD879" s="57"/>
      <c r="AE879" s="58"/>
      <c r="AF879" s="243">
        <f t="shared" si="2764"/>
        <v>1</v>
      </c>
      <c r="AG879" s="60"/>
      <c r="AH879" s="58"/>
      <c r="AI879" s="62">
        <f t="shared" si="2765"/>
        <v>1</v>
      </c>
      <c r="AJ879" s="60"/>
      <c r="AK879" s="58"/>
      <c r="AL879" s="62">
        <f t="shared" si="2766"/>
        <v>1</v>
      </c>
      <c r="AM879" s="60"/>
      <c r="AN879" s="58"/>
      <c r="AO879" s="62">
        <f t="shared" si="2767"/>
        <v>1</v>
      </c>
      <c r="AP879" s="60"/>
      <c r="AQ879" s="58"/>
      <c r="AR879" s="62">
        <f t="shared" si="2768"/>
        <v>1</v>
      </c>
      <c r="AS879" s="60"/>
      <c r="AT879" s="58"/>
      <c r="AU879" s="62">
        <f t="shared" si="2769"/>
        <v>1</v>
      </c>
      <c r="AV879" s="83">
        <f t="shared" si="2770"/>
        <v>0</v>
      </c>
      <c r="AW879" s="83">
        <f t="shared" si="2753"/>
        <v>1</v>
      </c>
      <c r="AX879" s="64">
        <f t="shared" si="2771"/>
        <v>1</v>
      </c>
      <c r="AY879" s="65">
        <f t="shared" si="2772"/>
        <v>1</v>
      </c>
      <c r="AZ879" s="66">
        <f t="shared" si="2773"/>
        <v>1</v>
      </c>
      <c r="BA879" s="67">
        <v>1</v>
      </c>
      <c r="BB879" s="68">
        <v>0</v>
      </c>
      <c r="BC879" s="84">
        <f t="shared" si="2754"/>
        <v>1</v>
      </c>
      <c r="BD879" s="83">
        <f t="shared" si="2755"/>
        <v>1</v>
      </c>
      <c r="BE879" s="85">
        <v>2</v>
      </c>
      <c r="BF879" s="86">
        <v>45147.683356481481</v>
      </c>
      <c r="BG879" s="72" t="e">
        <f t="shared" si="2545"/>
        <v>#REF!</v>
      </c>
      <c r="BH879" s="107" t="e">
        <f t="shared" si="2774"/>
        <v>#REF!</v>
      </c>
      <c r="BI879" s="80" t="e">
        <f t="shared" si="2756"/>
        <v>#REF!</v>
      </c>
      <c r="BJ879" s="238">
        <v>3200</v>
      </c>
    </row>
    <row r="880" spans="1:62" ht="13">
      <c r="A880" s="49"/>
      <c r="B880" s="50"/>
      <c r="C880" s="77">
        <v>878</v>
      </c>
      <c r="D880" s="108" t="s">
        <v>1529</v>
      </c>
      <c r="E880" s="78">
        <v>7</v>
      </c>
      <c r="F880" s="121" t="s">
        <v>792</v>
      </c>
      <c r="G880" s="206" t="s">
        <v>1511</v>
      </c>
      <c r="H880" s="81" t="s">
        <v>290</v>
      </c>
      <c r="I880" s="80" t="s">
        <v>799</v>
      </c>
      <c r="J880" s="82">
        <f t="shared" si="2757"/>
        <v>1</v>
      </c>
      <c r="K880" s="80">
        <v>0</v>
      </c>
      <c r="L880" s="57"/>
      <c r="M880" s="58"/>
      <c r="N880" s="59">
        <f t="shared" si="2758"/>
        <v>0</v>
      </c>
      <c r="O880" s="60">
        <v>2</v>
      </c>
      <c r="P880" s="58">
        <v>1</v>
      </c>
      <c r="Q880" s="59">
        <f t="shared" si="2759"/>
        <v>1</v>
      </c>
      <c r="R880" s="60">
        <f>1+2</f>
        <v>3</v>
      </c>
      <c r="S880" s="58">
        <v>1</v>
      </c>
      <c r="T880" s="61">
        <f t="shared" si="2760"/>
        <v>3</v>
      </c>
      <c r="U880" s="60"/>
      <c r="V880" s="58"/>
      <c r="W880" s="59">
        <f t="shared" si="2761"/>
        <v>3</v>
      </c>
      <c r="X880" s="60"/>
      <c r="Y880" s="58"/>
      <c r="Z880" s="61">
        <f t="shared" si="2762"/>
        <v>3</v>
      </c>
      <c r="AA880" s="60">
        <v>2</v>
      </c>
      <c r="AB880" s="58">
        <f>3+1</f>
        <v>4</v>
      </c>
      <c r="AC880" s="59">
        <f t="shared" si="2763"/>
        <v>1</v>
      </c>
      <c r="AD880" s="57"/>
      <c r="AE880" s="58"/>
      <c r="AF880" s="243">
        <f t="shared" si="2764"/>
        <v>1</v>
      </c>
      <c r="AG880" s="60"/>
      <c r="AH880" s="58"/>
      <c r="AI880" s="62">
        <f t="shared" si="2765"/>
        <v>1</v>
      </c>
      <c r="AJ880" s="60"/>
      <c r="AK880" s="58"/>
      <c r="AL880" s="62">
        <f t="shared" si="2766"/>
        <v>1</v>
      </c>
      <c r="AM880" s="60"/>
      <c r="AN880" s="58"/>
      <c r="AO880" s="62">
        <f t="shared" si="2767"/>
        <v>1</v>
      </c>
      <c r="AP880" s="60"/>
      <c r="AQ880" s="58"/>
      <c r="AR880" s="104">
        <f t="shared" si="2768"/>
        <v>1</v>
      </c>
      <c r="AS880" s="57"/>
      <c r="AT880" s="58"/>
      <c r="AU880" s="62">
        <f t="shared" si="2769"/>
        <v>1</v>
      </c>
      <c r="AV880" s="83">
        <f t="shared" ref="AV880" si="2775">SUM(L880+O880+R880+U880+X880+AA880+AD880+AG880+AJ880+AM880+AP880+AS880)</f>
        <v>7</v>
      </c>
      <c r="AW880" s="83">
        <f t="shared" si="2753"/>
        <v>6</v>
      </c>
      <c r="AX880" s="64">
        <f t="shared" si="2771"/>
        <v>6</v>
      </c>
      <c r="AY880" s="65">
        <f t="shared" si="2772"/>
        <v>2</v>
      </c>
      <c r="AZ880" s="66">
        <f t="shared" si="2773"/>
        <v>3</v>
      </c>
      <c r="BA880" s="67">
        <f>MAX(0, Table176252626[[#This Row],[Column6]])</f>
        <v>1</v>
      </c>
      <c r="BB880" s="68">
        <v>0</v>
      </c>
      <c r="BC880" s="84">
        <f t="shared" si="2754"/>
        <v>1</v>
      </c>
      <c r="BD880" s="83">
        <f t="shared" si="2755"/>
        <v>1</v>
      </c>
      <c r="BE880" s="85">
        <v>2</v>
      </c>
      <c r="BF880" s="86"/>
      <c r="BG880" s="72" t="e">
        <f t="shared" si="2545"/>
        <v>#REF!</v>
      </c>
      <c r="BH880" s="87" t="e">
        <f t="shared" si="2774"/>
        <v>#REF!</v>
      </c>
      <c r="BI880" s="80" t="e">
        <f t="shared" si="2756"/>
        <v>#REF!</v>
      </c>
      <c r="BJ880" s="238">
        <v>3000</v>
      </c>
    </row>
    <row r="881" spans="1:62" ht="13">
      <c r="A881" s="75"/>
      <c r="B881" s="76"/>
      <c r="C881" s="77">
        <v>879</v>
      </c>
      <c r="D881" s="108" t="s">
        <v>1529</v>
      </c>
      <c r="E881" s="78">
        <v>10</v>
      </c>
      <c r="F881" s="80" t="s">
        <v>36</v>
      </c>
      <c r="G881" s="81" t="s">
        <v>37</v>
      </c>
      <c r="H881" s="81" t="s">
        <v>1502</v>
      </c>
      <c r="I881" s="80" t="s">
        <v>458</v>
      </c>
      <c r="J881" s="82">
        <f t="shared" si="2757"/>
        <v>1</v>
      </c>
      <c r="K881" s="80">
        <v>1</v>
      </c>
      <c r="L881" s="57"/>
      <c r="M881" s="58"/>
      <c r="N881" s="59">
        <f t="shared" si="2758"/>
        <v>1</v>
      </c>
      <c r="O881" s="60"/>
      <c r="P881" s="58"/>
      <c r="Q881" s="59">
        <f t="shared" si="2759"/>
        <v>1</v>
      </c>
      <c r="R881" s="60"/>
      <c r="S881" s="58"/>
      <c r="T881" s="61">
        <f t="shared" si="2760"/>
        <v>1</v>
      </c>
      <c r="U881" s="60"/>
      <c r="V881" s="58"/>
      <c r="W881" s="59">
        <f t="shared" si="2761"/>
        <v>1</v>
      </c>
      <c r="X881" s="60"/>
      <c r="Y881" s="58"/>
      <c r="Z881" s="61">
        <f t="shared" si="2762"/>
        <v>1</v>
      </c>
      <c r="AA881" s="60"/>
      <c r="AB881" s="58"/>
      <c r="AC881" s="59">
        <f t="shared" si="2763"/>
        <v>1</v>
      </c>
      <c r="AD881" s="57"/>
      <c r="AE881" s="58"/>
      <c r="AF881" s="243">
        <f t="shared" si="2764"/>
        <v>1</v>
      </c>
      <c r="AG881" s="60"/>
      <c r="AH881" s="58"/>
      <c r="AI881" s="62">
        <f t="shared" si="2765"/>
        <v>1</v>
      </c>
      <c r="AJ881" s="60"/>
      <c r="AK881" s="58"/>
      <c r="AL881" s="62">
        <f t="shared" si="2766"/>
        <v>1</v>
      </c>
      <c r="AM881" s="60"/>
      <c r="AN881" s="58"/>
      <c r="AO881" s="62">
        <f t="shared" si="2767"/>
        <v>1</v>
      </c>
      <c r="AP881" s="60"/>
      <c r="AQ881" s="58"/>
      <c r="AR881" s="104">
        <f t="shared" si="2768"/>
        <v>1</v>
      </c>
      <c r="AS881" s="57"/>
      <c r="AT881" s="58"/>
      <c r="AU881" s="62">
        <f t="shared" si="2769"/>
        <v>1</v>
      </c>
      <c r="AV881" s="83">
        <f t="shared" ref="AV881" si="2776">SUM(L881+O881+R881+U881+X881+AA881+AD881+AG881+AJ881+AM881+AP881+AS881)</f>
        <v>0</v>
      </c>
      <c r="AW881" s="83">
        <f t="shared" si="2753"/>
        <v>0</v>
      </c>
      <c r="AX881" s="64">
        <f t="shared" si="2771"/>
        <v>0</v>
      </c>
      <c r="AY881" s="65" t="e">
        <f t="shared" si="2772"/>
        <v>#DIV/0!</v>
      </c>
      <c r="AZ881" s="66">
        <f t="shared" si="2773"/>
        <v>0</v>
      </c>
      <c r="BA881" s="67">
        <f>MAX(0, Table176252626[[#This Row],[Column6]])</f>
        <v>1</v>
      </c>
      <c r="BB881" s="68">
        <v>0</v>
      </c>
      <c r="BC881" s="84">
        <f t="shared" si="2754"/>
        <v>1</v>
      </c>
      <c r="BD881" s="83">
        <f t="shared" si="2755"/>
        <v>1</v>
      </c>
      <c r="BE881" s="85">
        <v>2</v>
      </c>
      <c r="BF881" s="86">
        <v>44582.531226851854</v>
      </c>
      <c r="BG881" s="72" t="e">
        <f t="shared" si="2545"/>
        <v>#REF!</v>
      </c>
      <c r="BH881" s="107" t="e">
        <f t="shared" si="2774"/>
        <v>#REF!</v>
      </c>
      <c r="BI881" s="80" t="e">
        <f t="shared" si="2756"/>
        <v>#REF!</v>
      </c>
      <c r="BJ881" s="238">
        <v>5100</v>
      </c>
    </row>
    <row r="882" spans="1:62" ht="13">
      <c r="A882" s="49"/>
      <c r="B882" s="76"/>
      <c r="C882" s="51">
        <v>880</v>
      </c>
      <c r="D882" s="108" t="s">
        <v>1529</v>
      </c>
      <c r="E882" s="78">
        <v>11</v>
      </c>
      <c r="F882" s="80" t="s">
        <v>315</v>
      </c>
      <c r="G882" s="81" t="s">
        <v>316</v>
      </c>
      <c r="H882" s="81" t="s">
        <v>1504</v>
      </c>
      <c r="I882" s="80" t="s">
        <v>458</v>
      </c>
      <c r="J882" s="82">
        <f t="shared" si="2757"/>
        <v>1</v>
      </c>
      <c r="K882" s="80">
        <v>1</v>
      </c>
      <c r="L882" s="57"/>
      <c r="M882" s="58"/>
      <c r="N882" s="59">
        <f t="shared" si="2758"/>
        <v>1</v>
      </c>
      <c r="O882" s="60"/>
      <c r="P882" s="58"/>
      <c r="Q882" s="59">
        <f t="shared" si="2759"/>
        <v>1</v>
      </c>
      <c r="R882" s="60"/>
      <c r="S882" s="58"/>
      <c r="T882" s="61">
        <f t="shared" si="2760"/>
        <v>1</v>
      </c>
      <c r="U882" s="60"/>
      <c r="V882" s="58"/>
      <c r="W882" s="59">
        <f t="shared" si="2761"/>
        <v>1</v>
      </c>
      <c r="X882" s="60"/>
      <c r="Y882" s="58"/>
      <c r="Z882" s="61">
        <f t="shared" si="2762"/>
        <v>1</v>
      </c>
      <c r="AA882" s="60"/>
      <c r="AB882" s="58"/>
      <c r="AC882" s="59">
        <f t="shared" si="2763"/>
        <v>1</v>
      </c>
      <c r="AD882" s="57"/>
      <c r="AE882" s="58"/>
      <c r="AF882" s="243">
        <f t="shared" si="2764"/>
        <v>1</v>
      </c>
      <c r="AG882" s="60"/>
      <c r="AH882" s="58"/>
      <c r="AI882" s="62">
        <f t="shared" si="2765"/>
        <v>1</v>
      </c>
      <c r="AJ882" s="60"/>
      <c r="AK882" s="58"/>
      <c r="AL882" s="62">
        <f t="shared" si="2766"/>
        <v>1</v>
      </c>
      <c r="AM882" s="60"/>
      <c r="AN882" s="58"/>
      <c r="AO882" s="62">
        <f t="shared" si="2767"/>
        <v>1</v>
      </c>
      <c r="AP882" s="60"/>
      <c r="AQ882" s="58"/>
      <c r="AR882" s="104">
        <f t="shared" si="2768"/>
        <v>1</v>
      </c>
      <c r="AS882" s="57"/>
      <c r="AT882" s="58"/>
      <c r="AU882" s="62">
        <f t="shared" ref="AU882:AU890" si="2777">SUM(AR882+AS882-AT882)</f>
        <v>1</v>
      </c>
      <c r="AV882" s="83">
        <f t="shared" ref="AV882:AV884" si="2778">SUM(L882+O882+R882+U882+X882+AA882+AD882+AG882+AJ882+AM882+AP882+AS882)</f>
        <v>0</v>
      </c>
      <c r="AW882" s="83">
        <f t="shared" si="2753"/>
        <v>0</v>
      </c>
      <c r="AX882" s="64">
        <f t="shared" ref="AX882:AX890" si="2779">SUM(M882,P882,S882,V882,Y882,AB882,AE882,AH882,AK882,AN882,AQ882,AT882)</f>
        <v>0</v>
      </c>
      <c r="AY882" s="65" t="e">
        <f t="shared" si="2772"/>
        <v>#DIV/0!</v>
      </c>
      <c r="AZ882" s="66">
        <f t="shared" si="2773"/>
        <v>0</v>
      </c>
      <c r="BA882" s="67">
        <f>MAX(0, Table176252626[[#This Row],[Column6]])</f>
        <v>1</v>
      </c>
      <c r="BB882" s="68">
        <v>0</v>
      </c>
      <c r="BC882" s="84">
        <f t="shared" si="2754"/>
        <v>1</v>
      </c>
      <c r="BD882" s="83">
        <f t="shared" si="2755"/>
        <v>1</v>
      </c>
      <c r="BE882" s="85">
        <v>2</v>
      </c>
      <c r="BF882" s="86">
        <v>44995.573483796295</v>
      </c>
      <c r="BG882" s="72" t="e">
        <f t="shared" si="2545"/>
        <v>#REF!</v>
      </c>
      <c r="BH882" s="87" t="e">
        <f t="shared" si="2774"/>
        <v>#REF!</v>
      </c>
      <c r="BI882" s="80" t="e">
        <f t="shared" si="2756"/>
        <v>#REF!</v>
      </c>
      <c r="BJ882" s="238">
        <v>27750</v>
      </c>
    </row>
    <row r="883" spans="1:62" ht="13">
      <c r="A883" s="49"/>
      <c r="B883" s="76"/>
      <c r="C883" s="51">
        <v>881</v>
      </c>
      <c r="D883" s="108" t="s">
        <v>1529</v>
      </c>
      <c r="E883" s="78">
        <v>12</v>
      </c>
      <c r="F883" s="105" t="s">
        <v>1145</v>
      </c>
      <c r="G883" s="106" t="s">
        <v>1146</v>
      </c>
      <c r="H883" s="81" t="s">
        <v>1160</v>
      </c>
      <c r="I883" s="80" t="s">
        <v>458</v>
      </c>
      <c r="J883" s="82">
        <f t="shared" si="2757"/>
        <v>1</v>
      </c>
      <c r="K883" s="80">
        <v>1</v>
      </c>
      <c r="L883" s="57"/>
      <c r="M883" s="58"/>
      <c r="N883" s="59">
        <f t="shared" si="2758"/>
        <v>1</v>
      </c>
      <c r="O883" s="60"/>
      <c r="P883" s="58"/>
      <c r="Q883" s="59">
        <f t="shared" si="2759"/>
        <v>1</v>
      </c>
      <c r="R883" s="60"/>
      <c r="S883" s="58"/>
      <c r="T883" s="61">
        <f t="shared" si="2760"/>
        <v>1</v>
      </c>
      <c r="U883" s="60"/>
      <c r="V883" s="58"/>
      <c r="W883" s="59">
        <f t="shared" si="2761"/>
        <v>1</v>
      </c>
      <c r="X883" s="60"/>
      <c r="Y883" s="58"/>
      <c r="Z883" s="61">
        <f t="shared" si="2762"/>
        <v>1</v>
      </c>
      <c r="AA883" s="60"/>
      <c r="AB883" s="58"/>
      <c r="AC883" s="59">
        <f t="shared" si="2763"/>
        <v>1</v>
      </c>
      <c r="AD883" s="57"/>
      <c r="AE883" s="58"/>
      <c r="AF883" s="243">
        <f t="shared" si="2764"/>
        <v>1</v>
      </c>
      <c r="AG883" s="60"/>
      <c r="AH883" s="58"/>
      <c r="AI883" s="62">
        <f t="shared" si="2765"/>
        <v>1</v>
      </c>
      <c r="AJ883" s="60"/>
      <c r="AK883" s="58"/>
      <c r="AL883" s="62">
        <f t="shared" si="2766"/>
        <v>1</v>
      </c>
      <c r="AM883" s="60"/>
      <c r="AN883" s="58"/>
      <c r="AO883" s="62">
        <f t="shared" si="2767"/>
        <v>1</v>
      </c>
      <c r="AP883" s="60"/>
      <c r="AQ883" s="58"/>
      <c r="AR883" s="62">
        <f t="shared" si="2768"/>
        <v>1</v>
      </c>
      <c r="AS883" s="60"/>
      <c r="AT883" s="58"/>
      <c r="AU883" s="62">
        <f t="shared" si="2777"/>
        <v>1</v>
      </c>
      <c r="AV883" s="83">
        <f t="shared" si="2778"/>
        <v>0</v>
      </c>
      <c r="AW883" s="83">
        <f t="shared" si="2753"/>
        <v>0</v>
      </c>
      <c r="AX883" s="64">
        <f t="shared" si="2779"/>
        <v>0</v>
      </c>
      <c r="AY883" s="65" t="e">
        <f t="shared" ref="AY883:AY885" si="2780">AVERAGE(M883,P883,S883,V883,Y883,AB883,AE883,AH883,AK883,AN883,AQ883,AT883)</f>
        <v>#DIV/0!</v>
      </c>
      <c r="AZ883" s="66">
        <f t="shared" ref="AZ883:AZ885" si="2781">COUNT(M883,P883,S883,V883,Y883,AB883,AE883,AH883,AK883,AN883,AQ883,AT883)</f>
        <v>0</v>
      </c>
      <c r="BA883" s="67">
        <f>MAX(0, Table176252626[[#This Row],[Column6]])</f>
        <v>1</v>
      </c>
      <c r="BB883" s="68">
        <v>0</v>
      </c>
      <c r="BC883" s="84">
        <f t="shared" si="2754"/>
        <v>1</v>
      </c>
      <c r="BD883" s="83">
        <f t="shared" si="2755"/>
        <v>1</v>
      </c>
      <c r="BE883" s="85">
        <v>2</v>
      </c>
      <c r="BF883" s="86">
        <v>45176.650416666664</v>
      </c>
      <c r="BG883" s="72" t="e">
        <f t="shared" si="2545"/>
        <v>#REF!</v>
      </c>
      <c r="BH883" s="87" t="e">
        <f t="shared" si="2774"/>
        <v>#REF!</v>
      </c>
      <c r="BI883" s="80" t="e">
        <f t="shared" si="2756"/>
        <v>#REF!</v>
      </c>
      <c r="BJ883" s="238">
        <v>51000</v>
      </c>
    </row>
    <row r="884" spans="1:62" ht="13">
      <c r="A884" s="75"/>
      <c r="B884" s="76"/>
      <c r="C884" s="51">
        <v>882</v>
      </c>
      <c r="D884" s="108" t="s">
        <v>1529</v>
      </c>
      <c r="E884" s="78">
        <v>13</v>
      </c>
      <c r="F884" s="80" t="s">
        <v>548</v>
      </c>
      <c r="G884" s="81" t="s">
        <v>549</v>
      </c>
      <c r="H884" s="81" t="s">
        <v>291</v>
      </c>
      <c r="I884" s="80" t="s">
        <v>799</v>
      </c>
      <c r="J884" s="82">
        <f t="shared" si="2757"/>
        <v>1</v>
      </c>
      <c r="K884" s="80">
        <v>1</v>
      </c>
      <c r="L884" s="58"/>
      <c r="M884" s="58"/>
      <c r="N884" s="62">
        <f t="shared" ref="N884" si="2782">SUM(K884+L884-M884)</f>
        <v>1</v>
      </c>
      <c r="O884" s="60"/>
      <c r="P884" s="58"/>
      <c r="Q884" s="62">
        <f t="shared" ref="Q884" si="2783">SUM(N884+O884-P884)</f>
        <v>1</v>
      </c>
      <c r="R884" s="60"/>
      <c r="S884" s="58"/>
      <c r="T884" s="94">
        <f t="shared" ref="T884" si="2784">SUM(Q884+R884-S884)</f>
        <v>1</v>
      </c>
      <c r="U884" s="60"/>
      <c r="V884" s="58"/>
      <c r="W884" s="62">
        <f t="shared" ref="W884:W885" si="2785">SUM(T884+U884-V884)</f>
        <v>1</v>
      </c>
      <c r="X884" s="60"/>
      <c r="Y884" s="58"/>
      <c r="Z884" s="94">
        <f t="shared" ref="Z884" si="2786">SUM(W884+X884-Y884)</f>
        <v>1</v>
      </c>
      <c r="AA884" s="60"/>
      <c r="AB884" s="58"/>
      <c r="AC884" s="62">
        <f t="shared" ref="AC884" si="2787">SUM(Z884+AA884-AB884)</f>
        <v>1</v>
      </c>
      <c r="AD884" s="57"/>
      <c r="AE884" s="58"/>
      <c r="AF884" s="165">
        <f t="shared" ref="AF884" si="2788">SUM(AC884+AD884-AE884)</f>
        <v>1</v>
      </c>
      <c r="AG884" s="60"/>
      <c r="AH884" s="58"/>
      <c r="AI884" s="62">
        <f t="shared" ref="AI884" si="2789">SUM(AF884+AG884-AH884)</f>
        <v>1</v>
      </c>
      <c r="AJ884" s="60"/>
      <c r="AK884" s="58"/>
      <c r="AL884" s="62">
        <f t="shared" ref="AL884" si="2790">SUM(AI884+AJ884-AK884)</f>
        <v>1</v>
      </c>
      <c r="AM884" s="60"/>
      <c r="AN884" s="58"/>
      <c r="AO884" s="62">
        <f t="shared" ref="AO884" si="2791">SUM(AL884+AM884-AN884)</f>
        <v>1</v>
      </c>
      <c r="AP884" s="60"/>
      <c r="AQ884" s="58"/>
      <c r="AR884" s="104">
        <f t="shared" si="2768"/>
        <v>1</v>
      </c>
      <c r="AS884" s="57"/>
      <c r="AT884" s="58"/>
      <c r="AU884" s="62">
        <f t="shared" si="2777"/>
        <v>1</v>
      </c>
      <c r="AV884" s="128">
        <f t="shared" si="2778"/>
        <v>0</v>
      </c>
      <c r="AW884" s="83">
        <f t="shared" si="2753"/>
        <v>0</v>
      </c>
      <c r="AX884" s="64">
        <f t="shared" si="2779"/>
        <v>0</v>
      </c>
      <c r="AY884" s="65" t="e">
        <f t="shared" si="2780"/>
        <v>#DIV/0!</v>
      </c>
      <c r="AZ884" s="66">
        <f t="shared" si="2781"/>
        <v>0</v>
      </c>
      <c r="BA884" s="67">
        <f>MAX(0, Table176252626[[#This Row],[Column6]])</f>
        <v>1</v>
      </c>
      <c r="BB884" s="68">
        <v>0</v>
      </c>
      <c r="BC884" s="84">
        <f t="shared" si="2754"/>
        <v>1</v>
      </c>
      <c r="BD884" s="83">
        <f t="shared" si="2755"/>
        <v>1</v>
      </c>
      <c r="BE884" s="85">
        <v>2</v>
      </c>
      <c r="BF884" s="86">
        <v>44968.789722222224</v>
      </c>
      <c r="BG884" s="72" t="e">
        <f t="shared" si="2545"/>
        <v>#REF!</v>
      </c>
      <c r="BH884" s="87" t="e">
        <f t="shared" si="2774"/>
        <v>#REF!</v>
      </c>
      <c r="BI884" s="80" t="e">
        <f t="shared" si="2756"/>
        <v>#REF!</v>
      </c>
      <c r="BJ884" s="238">
        <v>18000</v>
      </c>
    </row>
    <row r="885" spans="1:62" ht="13">
      <c r="A885" s="75"/>
      <c r="B885" s="76"/>
      <c r="C885" s="51">
        <v>883</v>
      </c>
      <c r="D885" s="108" t="s">
        <v>1529</v>
      </c>
      <c r="E885" s="78">
        <v>14</v>
      </c>
      <c r="F885" s="54" t="s">
        <v>544</v>
      </c>
      <c r="G885" s="55" t="s">
        <v>545</v>
      </c>
      <c r="H885" s="81" t="s">
        <v>1501</v>
      </c>
      <c r="I885" s="80" t="s">
        <v>458</v>
      </c>
      <c r="J885" s="82">
        <f t="shared" si="2757"/>
        <v>1</v>
      </c>
      <c r="K885" s="80">
        <v>1</v>
      </c>
      <c r="L885" s="57"/>
      <c r="M885" s="58"/>
      <c r="N885" s="59">
        <f t="shared" ref="N885:N890" si="2792">SUM(K885+L885-M885)</f>
        <v>1</v>
      </c>
      <c r="O885" s="60"/>
      <c r="P885" s="58"/>
      <c r="Q885" s="59">
        <f t="shared" ref="Q885" si="2793">SUM(N885+O885-P885)</f>
        <v>1</v>
      </c>
      <c r="R885" s="60"/>
      <c r="S885" s="58"/>
      <c r="T885" s="61">
        <f t="shared" ref="T885" si="2794">SUM(Q885+R885-S885)</f>
        <v>1</v>
      </c>
      <c r="U885" s="60"/>
      <c r="V885" s="58"/>
      <c r="W885" s="59">
        <f t="shared" si="2785"/>
        <v>1</v>
      </c>
      <c r="X885" s="60"/>
      <c r="Y885" s="58"/>
      <c r="Z885" s="61">
        <f t="shared" ref="Z885:Z890" si="2795">SUM(W885+X885-Y885)</f>
        <v>1</v>
      </c>
      <c r="AA885" s="60"/>
      <c r="AB885" s="58"/>
      <c r="AC885" s="59">
        <f t="shared" ref="AC885:AC890" si="2796">SUM(Z885+AA885-AB885)</f>
        <v>1</v>
      </c>
      <c r="AD885" s="57"/>
      <c r="AE885" s="58"/>
      <c r="AF885" s="243">
        <f t="shared" ref="AF885:AF890" si="2797">SUM(AC885+AD885-AE885)</f>
        <v>1</v>
      </c>
      <c r="AG885" s="60"/>
      <c r="AH885" s="58"/>
      <c r="AI885" s="62">
        <f t="shared" ref="AI885:AI890" si="2798">SUM(AF885+AG885-AH885)</f>
        <v>1</v>
      </c>
      <c r="AJ885" s="60"/>
      <c r="AK885" s="58"/>
      <c r="AL885" s="62">
        <f t="shared" ref="AL885:AL890" si="2799">SUM(AI885+AJ885-AK885)</f>
        <v>1</v>
      </c>
      <c r="AM885" s="60"/>
      <c r="AN885" s="58"/>
      <c r="AO885" s="62">
        <f t="shared" ref="AO885" si="2800">SUM(AL885+AM885-AN885)</f>
        <v>1</v>
      </c>
      <c r="AP885" s="60"/>
      <c r="AQ885" s="58"/>
      <c r="AR885" s="104">
        <f t="shared" ref="AR885" si="2801">SUM(AO885+AP885-AQ885)</f>
        <v>1</v>
      </c>
      <c r="AS885" s="57"/>
      <c r="AT885" s="58"/>
      <c r="AU885" s="62">
        <f t="shared" si="2777"/>
        <v>1</v>
      </c>
      <c r="AV885" s="83">
        <f>SUM(L885+O885+R885+U885+X885+AA885+AD885+AG885+AJ885+AM885+AP885+AS885)</f>
        <v>0</v>
      </c>
      <c r="AW885" s="83">
        <f t="shared" si="2753"/>
        <v>0</v>
      </c>
      <c r="AX885" s="64">
        <f t="shared" si="2779"/>
        <v>0</v>
      </c>
      <c r="AY885" s="65" t="e">
        <f t="shared" si="2780"/>
        <v>#DIV/0!</v>
      </c>
      <c r="AZ885" s="66">
        <f t="shared" si="2781"/>
        <v>0</v>
      </c>
      <c r="BA885" s="67">
        <f>MAX(0, Table176252626[[#This Row],[Column6]])</f>
        <v>1</v>
      </c>
      <c r="BB885" s="68">
        <v>0</v>
      </c>
      <c r="BC885" s="84">
        <f t="shared" si="2754"/>
        <v>1</v>
      </c>
      <c r="BD885" s="83">
        <f t="shared" si="2755"/>
        <v>1</v>
      </c>
      <c r="BE885" s="85">
        <v>2</v>
      </c>
      <c r="BF885" s="86">
        <v>45636.5700462963</v>
      </c>
      <c r="BG885" s="72" t="e">
        <f t="shared" si="2545"/>
        <v>#REF!</v>
      </c>
      <c r="BH885" s="87" t="e">
        <f t="shared" ref="BH885" si="2802">BG885-BF885</f>
        <v>#REF!</v>
      </c>
      <c r="BI885" s="80" t="e">
        <f t="shared" si="2756"/>
        <v>#REF!</v>
      </c>
      <c r="BJ885" s="238">
        <v>51840</v>
      </c>
    </row>
    <row r="886" spans="1:62" ht="13">
      <c r="A886" s="75"/>
      <c r="B886" s="76"/>
      <c r="C886" s="77">
        <v>884</v>
      </c>
      <c r="D886" s="108" t="s">
        <v>1529</v>
      </c>
      <c r="E886" s="78">
        <v>15</v>
      </c>
      <c r="F886" s="88" t="s">
        <v>1313</v>
      </c>
      <c r="G886" s="89" t="s">
        <v>1314</v>
      </c>
      <c r="H886" s="89" t="s">
        <v>1281</v>
      </c>
      <c r="I886" s="80" t="s">
        <v>458</v>
      </c>
      <c r="J886" s="93">
        <f>AU886</f>
        <v>2</v>
      </c>
      <c r="K886" s="88">
        <v>2</v>
      </c>
      <c r="L886" s="58"/>
      <c r="M886" s="58"/>
      <c r="N886" s="62">
        <f>SUM(K886+L886-M886)</f>
        <v>2</v>
      </c>
      <c r="O886" s="60"/>
      <c r="P886" s="58"/>
      <c r="Q886" s="62">
        <f>SUM(N886+O886-P886)</f>
        <v>2</v>
      </c>
      <c r="R886" s="60"/>
      <c r="S886" s="58"/>
      <c r="T886" s="94">
        <f>SUM(Q886+R886-S886)</f>
        <v>2</v>
      </c>
      <c r="U886" s="60"/>
      <c r="V886" s="58"/>
      <c r="W886" s="62">
        <f>SUM(T886+U886-V886)</f>
        <v>2</v>
      </c>
      <c r="X886" s="60"/>
      <c r="Y886" s="58"/>
      <c r="Z886" s="94">
        <f>SUM(W886+X886-Y886)</f>
        <v>2</v>
      </c>
      <c r="AA886" s="60"/>
      <c r="AB886" s="58"/>
      <c r="AC886" s="62">
        <f>SUM(Z886+AA886-AB886)</f>
        <v>2</v>
      </c>
      <c r="AD886" s="57"/>
      <c r="AE886" s="58"/>
      <c r="AF886" s="165">
        <f>SUM(AC886+AD886-AE886)</f>
        <v>2</v>
      </c>
      <c r="AG886" s="60"/>
      <c r="AH886" s="58"/>
      <c r="AI886" s="62">
        <f>SUM(AF886+AG886-AH886)</f>
        <v>2</v>
      </c>
      <c r="AJ886" s="60"/>
      <c r="AK886" s="58"/>
      <c r="AL886" s="62">
        <f>SUM(AI886+AJ886-AK886)</f>
        <v>2</v>
      </c>
      <c r="AM886" s="60"/>
      <c r="AN886" s="58"/>
      <c r="AO886" s="62">
        <f>SUM(AL886+AM886-AN886)</f>
        <v>2</v>
      </c>
      <c r="AP886" s="60"/>
      <c r="AQ886" s="58"/>
      <c r="AR886" s="62">
        <f>SUM(AO886+AP886-AQ886)</f>
        <v>2</v>
      </c>
      <c r="AS886" s="60"/>
      <c r="AT886" s="58"/>
      <c r="AU886" s="62">
        <f>SUM(AR886+AS886-AT886)</f>
        <v>2</v>
      </c>
      <c r="AV886" s="96">
        <f t="shared" ref="AV886" si="2803">SUM(L886+O886+R886+U886+X886+AA886+AD886+AG886+AJ886+AM886+AP886+AS886)</f>
        <v>0</v>
      </c>
      <c r="AW886" s="83">
        <f t="shared" si="2753"/>
        <v>0</v>
      </c>
      <c r="AX886" s="98">
        <f>SUM(M886,P886,S886,V886,Y886,AB886,AE886,AH886,AK886,AN886,AQ886,AT886)</f>
        <v>0</v>
      </c>
      <c r="AY886" s="99" t="e">
        <f>AVERAGE(M886,P886,S886,V886,Y886,AB886,AE886,AH886,AK886,AN886,AQ886,AT886)</f>
        <v>#DIV/0!</v>
      </c>
      <c r="AZ886" s="100">
        <f>COUNT(M886,P886,S886,V886,Y886,AB886,AE886,AH886,AK886,AN886,AQ886,AT886)</f>
        <v>0</v>
      </c>
      <c r="BA886" s="101">
        <v>2</v>
      </c>
      <c r="BB886" s="102">
        <v>1</v>
      </c>
      <c r="BC886" s="84">
        <f t="shared" si="2754"/>
        <v>2</v>
      </c>
      <c r="BD886" s="83">
        <f t="shared" si="2755"/>
        <v>1</v>
      </c>
      <c r="BE886" s="85">
        <v>2</v>
      </c>
      <c r="BF886" s="86">
        <v>45393.555821759262</v>
      </c>
      <c r="BG886" s="72" t="e">
        <f t="shared" si="2545"/>
        <v>#REF!</v>
      </c>
      <c r="BH886" s="109" t="e">
        <f>BG886-BF886</f>
        <v>#REF!</v>
      </c>
      <c r="BI886" s="80" t="e">
        <f t="shared" si="2756"/>
        <v>#REF!</v>
      </c>
      <c r="BJ886" s="238">
        <v>20500</v>
      </c>
    </row>
    <row r="887" spans="1:62" ht="13">
      <c r="A887" s="49"/>
      <c r="B887" s="50"/>
      <c r="C887" s="77">
        <v>885</v>
      </c>
      <c r="D887" s="249" t="s">
        <v>1529</v>
      </c>
      <c r="E887" s="78">
        <v>16</v>
      </c>
      <c r="F887" s="105" t="s">
        <v>429</v>
      </c>
      <c r="G887" s="106" t="s">
        <v>430</v>
      </c>
      <c r="H887" s="81" t="s">
        <v>294</v>
      </c>
      <c r="I887" s="80" t="s">
        <v>458</v>
      </c>
      <c r="J887" s="82">
        <f t="shared" ref="J887" si="2804">AU887</f>
        <v>1</v>
      </c>
      <c r="K887" s="80">
        <v>0</v>
      </c>
      <c r="L887" s="57"/>
      <c r="M887" s="58"/>
      <c r="N887" s="59">
        <f t="shared" ref="N887" si="2805">SUM(K887+L887-M887)</f>
        <v>0</v>
      </c>
      <c r="O887" s="60"/>
      <c r="P887" s="58"/>
      <c r="Q887" s="59">
        <f t="shared" ref="Q887" si="2806">SUM(N887+O887-P887)</f>
        <v>0</v>
      </c>
      <c r="R887" s="60"/>
      <c r="S887" s="58"/>
      <c r="T887" s="61">
        <f t="shared" ref="T887" si="2807">SUM(Q887+R887-S887)</f>
        <v>0</v>
      </c>
      <c r="U887" s="60"/>
      <c r="V887" s="58"/>
      <c r="W887" s="59">
        <f t="shared" ref="W887" si="2808">SUM(T887+U887-V887)</f>
        <v>0</v>
      </c>
      <c r="X887" s="60"/>
      <c r="Y887" s="58"/>
      <c r="Z887" s="61">
        <f t="shared" ref="Z887" si="2809">SUM(W887+X887-Y887)</f>
        <v>0</v>
      </c>
      <c r="AA887" s="60"/>
      <c r="AB887" s="58"/>
      <c r="AC887" s="59">
        <f t="shared" ref="AC887" si="2810">SUM(Z887+AA887-AB887)</f>
        <v>0</v>
      </c>
      <c r="AD887" s="57">
        <v>1</v>
      </c>
      <c r="AE887" s="58"/>
      <c r="AF887" s="243">
        <f t="shared" ref="AF887" si="2811">SUM(AC887+AD887-AE887)</f>
        <v>1</v>
      </c>
      <c r="AG887" s="60"/>
      <c r="AH887" s="58"/>
      <c r="AI887" s="62">
        <f t="shared" ref="AI887" si="2812">SUM(AF887+AG887-AH887)</f>
        <v>1</v>
      </c>
      <c r="AJ887" s="60"/>
      <c r="AK887" s="58"/>
      <c r="AL887" s="62">
        <f t="shared" ref="AL887" si="2813">SUM(AI887+AJ887-AK887)</f>
        <v>1</v>
      </c>
      <c r="AM887" s="60"/>
      <c r="AN887" s="58"/>
      <c r="AO887" s="62">
        <f t="shared" ref="AO887" si="2814">SUM(AL887+AM887-AN887)</f>
        <v>1</v>
      </c>
      <c r="AP887" s="60"/>
      <c r="AQ887" s="58"/>
      <c r="AR887" s="62">
        <f t="shared" ref="AR887" si="2815">SUM(AO887+AP887-AQ887)</f>
        <v>1</v>
      </c>
      <c r="AS887" s="60"/>
      <c r="AT887" s="58"/>
      <c r="AU887" s="62">
        <f t="shared" ref="AU887" si="2816">SUM(AR887+AS887-AT887)</f>
        <v>1</v>
      </c>
      <c r="AV887" s="83">
        <f t="shared" ref="AV887" si="2817">SUM(L887+O887+R887+U887+X887+AA887+AD887+AG887+AJ887+AM887+AP887+AS887)</f>
        <v>1</v>
      </c>
      <c r="AW887" s="83">
        <f t="shared" ref="AW887" si="2818">SUM(M887+P887+S887+V887+Y887+AB887+AE887+AH887+AK887+AN887+AQ887+AT887)</f>
        <v>0</v>
      </c>
      <c r="AX887" s="64">
        <f t="shared" ref="AX887" si="2819">SUM(M887,P887,S887,V887,Y887,AB887,AE887,AH887,AK887,AN887,AQ887,AT887)</f>
        <v>0</v>
      </c>
      <c r="AY887" s="65" t="e">
        <f t="shared" ref="AY887" si="2820">AVERAGE(M887,P887,S887,V887,Y887,AB887,AE887,AH887,AK887,AN887,AQ887,AT887)</f>
        <v>#DIV/0!</v>
      </c>
      <c r="AZ887" s="66">
        <f t="shared" ref="AZ887" si="2821">COUNT(M887,P887,S887,V887,Y887,AB887,AE887,AH887,AK887,AN887,AQ887,AT887)</f>
        <v>0</v>
      </c>
      <c r="BA887" s="67">
        <v>1</v>
      </c>
      <c r="BB887" s="68">
        <v>0</v>
      </c>
      <c r="BC887" s="84">
        <f>J887</f>
        <v>1</v>
      </c>
      <c r="BD887" s="83">
        <f>SUM(BC887-BB887)</f>
        <v>1</v>
      </c>
      <c r="BE887" s="85">
        <v>2</v>
      </c>
      <c r="BF887" s="86">
        <v>46224</v>
      </c>
      <c r="BG887" s="72" t="e">
        <f t="shared" si="2545"/>
        <v>#REF!</v>
      </c>
      <c r="BH887" s="87" t="e">
        <f t="shared" ref="BH887" si="2822">BG887-BF887</f>
        <v>#REF!</v>
      </c>
      <c r="BI887" s="80" t="e">
        <f>IF(AND(J887&gt;0,BH887&gt;365),"Dead Stock","")</f>
        <v>#REF!</v>
      </c>
      <c r="BJ887" s="238">
        <v>540000</v>
      </c>
    </row>
    <row r="888" spans="1:62" ht="13">
      <c r="A888" s="49"/>
      <c r="B888" s="50"/>
      <c r="C888" s="51">
        <v>886</v>
      </c>
      <c r="D888" s="108" t="s">
        <v>1529</v>
      </c>
      <c r="E888" s="78">
        <v>17</v>
      </c>
      <c r="F888" s="88" t="s">
        <v>1972</v>
      </c>
      <c r="G888" s="89" t="s">
        <v>1973</v>
      </c>
      <c r="H888" s="89" t="s">
        <v>532</v>
      </c>
      <c r="I888" s="80" t="s">
        <v>458</v>
      </c>
      <c r="J888" s="93">
        <f>AU888</f>
        <v>2</v>
      </c>
      <c r="K888" s="88">
        <v>0</v>
      </c>
      <c r="L888" s="58"/>
      <c r="M888" s="58"/>
      <c r="N888" s="62">
        <f>SUM(K888+L888-M888)</f>
        <v>0</v>
      </c>
      <c r="O888" s="60"/>
      <c r="P888" s="58"/>
      <c r="Q888" s="62">
        <f>SUM(N888+O888-P888)</f>
        <v>0</v>
      </c>
      <c r="R888" s="60"/>
      <c r="S888" s="58"/>
      <c r="T888" s="94">
        <f>SUM(Q888+R888-S888)</f>
        <v>0</v>
      </c>
      <c r="U888" s="60"/>
      <c r="V888" s="58"/>
      <c r="W888" s="62">
        <f>SUM(T888+U888-V888)</f>
        <v>0</v>
      </c>
      <c r="X888" s="60"/>
      <c r="Y888" s="58"/>
      <c r="Z888" s="94">
        <f>SUM(W888+X888-Y888)</f>
        <v>0</v>
      </c>
      <c r="AA888" s="60">
        <v>2</v>
      </c>
      <c r="AB888" s="58"/>
      <c r="AC888" s="62">
        <f>SUM(Z888+AA888-AB888)</f>
        <v>2</v>
      </c>
      <c r="AD888" s="57"/>
      <c r="AE888" s="58"/>
      <c r="AF888" s="165">
        <f>SUM(AC888+AD888-AE888)</f>
        <v>2</v>
      </c>
      <c r="AG888" s="60"/>
      <c r="AH888" s="58"/>
      <c r="AI888" s="62">
        <f>SUM(AF888+AG888-AH888)</f>
        <v>2</v>
      </c>
      <c r="AJ888" s="60"/>
      <c r="AK888" s="58"/>
      <c r="AL888" s="62">
        <f>SUM(AI888+AJ888-AK888)</f>
        <v>2</v>
      </c>
      <c r="AM888" s="60"/>
      <c r="AN888" s="58"/>
      <c r="AO888" s="62">
        <f>SUM(AL888+AM888-AN888)</f>
        <v>2</v>
      </c>
      <c r="AP888" s="60"/>
      <c r="AQ888" s="58"/>
      <c r="AR888" s="62">
        <f>SUM(AO888+AP888-AQ888)</f>
        <v>2</v>
      </c>
      <c r="AS888" s="60"/>
      <c r="AT888" s="58"/>
      <c r="AU888" s="62">
        <f>SUM(AR888+AS888-AT888)</f>
        <v>2</v>
      </c>
      <c r="AV888" s="96">
        <f>SUM(L888+O888+R888+U888+X888+AA888+AD888+AG888+AJ888+AM888+AP888+AS888)</f>
        <v>2</v>
      </c>
      <c r="AW888" s="83">
        <f>SUM(M888+P888+S888+V888+Y888+AB888+AE888+AH888+AK888+AN888+AQ888+AT888)</f>
        <v>0</v>
      </c>
      <c r="AX888" s="98">
        <f>SUM(M888,P888,S888,V888,Y888,AB888,AE888,AH888,AK888,AN888,AQ888,AT888)</f>
        <v>0</v>
      </c>
      <c r="AY888" s="99" t="e">
        <f>AVERAGE(M888,P888,S888,V888,Y888,AB888,AE888,AH888,AK888,AN888,AQ888,AT888)</f>
        <v>#DIV/0!</v>
      </c>
      <c r="AZ888" s="100">
        <f>COUNT(M888,P888,S888,V888,Y888,AB888,AE888,AH888,AK888,AN888,AQ888,AT888)</f>
        <v>0</v>
      </c>
      <c r="BA888" s="101">
        <v>2</v>
      </c>
      <c r="BB888" s="102">
        <v>1</v>
      </c>
      <c r="BC888" s="84">
        <f>J888</f>
        <v>2</v>
      </c>
      <c r="BD888" s="83">
        <f>SUM(BC888-BB888)</f>
        <v>1</v>
      </c>
      <c r="BE888" s="85">
        <v>2</v>
      </c>
      <c r="BF888" s="86">
        <v>46193</v>
      </c>
      <c r="BG888" s="72" t="e">
        <f t="shared" si="2545"/>
        <v>#REF!</v>
      </c>
      <c r="BH888" s="103" t="e">
        <f>BG888-BF888</f>
        <v>#REF!</v>
      </c>
      <c r="BI888" s="80" t="e">
        <f>IF(AND(J888&gt;0,BH888&gt;365),"Dead Stock","")</f>
        <v>#REF!</v>
      </c>
      <c r="BJ888" s="238">
        <v>6364</v>
      </c>
    </row>
    <row r="889" spans="1:62" ht="13">
      <c r="A889" s="90"/>
      <c r="B889" s="91"/>
      <c r="C889" s="51">
        <v>887</v>
      </c>
      <c r="D889" s="249" t="s">
        <v>1529</v>
      </c>
      <c r="E889" s="78">
        <v>18</v>
      </c>
      <c r="F889" s="88" t="s">
        <v>2007</v>
      </c>
      <c r="G889" s="216" t="s">
        <v>2008</v>
      </c>
      <c r="H889" s="89" t="s">
        <v>299</v>
      </c>
      <c r="I889" s="80" t="s">
        <v>458</v>
      </c>
      <c r="J889" s="93">
        <f>AU889</f>
        <v>2</v>
      </c>
      <c r="K889" s="88">
        <v>0</v>
      </c>
      <c r="L889" s="58"/>
      <c r="M889" s="58"/>
      <c r="N889" s="62">
        <f>SUM(K889+L889-M889)</f>
        <v>0</v>
      </c>
      <c r="O889" s="60"/>
      <c r="P889" s="58"/>
      <c r="Q889" s="62">
        <f>SUM(N889+O889-P889)</f>
        <v>0</v>
      </c>
      <c r="R889" s="60"/>
      <c r="S889" s="58"/>
      <c r="T889" s="94">
        <f>SUM(Q889+R889-S889)</f>
        <v>0</v>
      </c>
      <c r="U889" s="60"/>
      <c r="V889" s="58"/>
      <c r="W889" s="62">
        <f>SUM(T889+U889-V889)</f>
        <v>0</v>
      </c>
      <c r="X889" s="60"/>
      <c r="Y889" s="58"/>
      <c r="Z889" s="94">
        <f>SUM(W889+X889-Y889)</f>
        <v>0</v>
      </c>
      <c r="AA889" s="60"/>
      <c r="AB889" s="58"/>
      <c r="AC889" s="62">
        <f>SUM(Z889+AA889-AB889)</f>
        <v>0</v>
      </c>
      <c r="AD889" s="57"/>
      <c r="AE889" s="58"/>
      <c r="AF889" s="165">
        <f>SUM(AC889+AD889-AE889)</f>
        <v>0</v>
      </c>
      <c r="AG889" s="60">
        <v>2</v>
      </c>
      <c r="AH889" s="58"/>
      <c r="AI889" s="62">
        <f>SUM(AF889+AG889-AH889)</f>
        <v>2</v>
      </c>
      <c r="AJ889" s="60"/>
      <c r="AK889" s="58"/>
      <c r="AL889" s="62">
        <f>SUM(AI889+AJ889-AK889)</f>
        <v>2</v>
      </c>
      <c r="AM889" s="60"/>
      <c r="AN889" s="58"/>
      <c r="AO889" s="62">
        <f>SUM(AL889+AM889-AN889)</f>
        <v>2</v>
      </c>
      <c r="AP889" s="60"/>
      <c r="AQ889" s="58"/>
      <c r="AR889" s="62">
        <f>SUM(AO889+AP889-AQ889)</f>
        <v>2</v>
      </c>
      <c r="AS889" s="60"/>
      <c r="AT889" s="58"/>
      <c r="AU889" s="62">
        <f>SUM(AR889+AS889-AT889)</f>
        <v>2</v>
      </c>
      <c r="AV889" s="96">
        <f>SUM(L889+O889+R889+U889+X889+AA889+AD889+AG889+AJ889+AM889+AP889+AS889)</f>
        <v>2</v>
      </c>
      <c r="AW889" s="83">
        <f>SUM(M889+P889+S889+V889+Y889+AB889+AE889+AH889+AK889+AN889+AQ889+AT889)</f>
        <v>0</v>
      </c>
      <c r="AX889" s="98">
        <f>SUM(M889,P889,S889,V889,Y889,AB889,AE889,AH889,AK889,AN889,AQ889,AT889)</f>
        <v>0</v>
      </c>
      <c r="AY889" s="99" t="e">
        <f>AVERAGE(M889,P889,S889,V889,Y889,AB889,AE889,AH889,AK889,AN889,AQ889,AT889)</f>
        <v>#DIV/0!</v>
      </c>
      <c r="AZ889" s="100">
        <f>COUNT(M889,P889,S889,V889,Y889,AB889,AE889,AH889,AK889,AN889,AQ889,AT889)</f>
        <v>0</v>
      </c>
      <c r="BA889" s="101">
        <v>2</v>
      </c>
      <c r="BB889" s="102">
        <v>0</v>
      </c>
      <c r="BC889" s="84">
        <f>J889</f>
        <v>2</v>
      </c>
      <c r="BD889" s="83">
        <f>SUM(BC889-BB889)</f>
        <v>2</v>
      </c>
      <c r="BE889" s="85">
        <v>2</v>
      </c>
      <c r="BF889" s="86">
        <v>46248</v>
      </c>
      <c r="BG889" s="72" t="e">
        <f t="shared" si="2545"/>
        <v>#REF!</v>
      </c>
      <c r="BH889" s="103" t="e">
        <f>BG889-BF889</f>
        <v>#REF!</v>
      </c>
      <c r="BI889" s="80" t="e">
        <f>IF(AND(J889&gt;0,BH889&gt;365),"Dead Stock","")</f>
        <v>#REF!</v>
      </c>
      <c r="BJ889" s="238">
        <v>37000</v>
      </c>
    </row>
    <row r="890" spans="1:62" ht="13">
      <c r="A890" s="49"/>
      <c r="B890" s="50"/>
      <c r="C890" s="51">
        <v>888</v>
      </c>
      <c r="D890" s="108" t="s">
        <v>1924</v>
      </c>
      <c r="E890" s="78">
        <v>1</v>
      </c>
      <c r="F890" s="80" t="s">
        <v>870</v>
      </c>
      <c r="G890" s="81" t="s">
        <v>871</v>
      </c>
      <c r="H890" s="81" t="s">
        <v>294</v>
      </c>
      <c r="I890" s="80" t="s">
        <v>458</v>
      </c>
      <c r="J890" s="82">
        <f t="shared" si="2757"/>
        <v>1</v>
      </c>
      <c r="K890" s="80">
        <v>1</v>
      </c>
      <c r="L890" s="57"/>
      <c r="M890" s="58"/>
      <c r="N890" s="59">
        <f t="shared" si="2792"/>
        <v>1</v>
      </c>
      <c r="O890" s="60"/>
      <c r="P890" s="58"/>
      <c r="Q890" s="59">
        <f t="shared" ref="Q890" si="2823">SUM(N890+O890-P890)</f>
        <v>1</v>
      </c>
      <c r="R890" s="60"/>
      <c r="S890" s="58"/>
      <c r="T890" s="61">
        <f t="shared" ref="T890" si="2824">SUM(Q890+R890-S890)</f>
        <v>1</v>
      </c>
      <c r="U890" s="60"/>
      <c r="V890" s="58"/>
      <c r="W890" s="59">
        <f t="shared" ref="W890" si="2825">SUM(T890+U890-V890)</f>
        <v>1</v>
      </c>
      <c r="X890" s="60"/>
      <c r="Y890" s="58"/>
      <c r="Z890" s="61">
        <f t="shared" si="2795"/>
        <v>1</v>
      </c>
      <c r="AA890" s="60"/>
      <c r="AB890" s="58"/>
      <c r="AC890" s="59">
        <f t="shared" si="2796"/>
        <v>1</v>
      </c>
      <c r="AD890" s="57"/>
      <c r="AE890" s="58"/>
      <c r="AF890" s="243">
        <f t="shared" si="2797"/>
        <v>1</v>
      </c>
      <c r="AG890" s="60"/>
      <c r="AH890" s="58"/>
      <c r="AI890" s="62">
        <f t="shared" si="2798"/>
        <v>1</v>
      </c>
      <c r="AJ890" s="60"/>
      <c r="AK890" s="58"/>
      <c r="AL890" s="62">
        <f t="shared" si="2799"/>
        <v>1</v>
      </c>
      <c r="AM890" s="60"/>
      <c r="AN890" s="58"/>
      <c r="AO890" s="62">
        <f t="shared" ref="AO890" si="2826">SUM(AL890+AM890-AN890)</f>
        <v>1</v>
      </c>
      <c r="AP890" s="60"/>
      <c r="AQ890" s="58"/>
      <c r="AR890" s="62">
        <f t="shared" ref="AR890" si="2827">SUM(AO890+AP890-AQ890)</f>
        <v>1</v>
      </c>
      <c r="AS890" s="60"/>
      <c r="AT890" s="58"/>
      <c r="AU890" s="62">
        <f t="shared" si="2777"/>
        <v>1</v>
      </c>
      <c r="AV890" s="83">
        <f t="shared" ref="AV890" si="2828">SUM(L890+O890+R890+U890+X890+AA890+AD890+AG890+AJ890+AM890+AP890+AS890)</f>
        <v>0</v>
      </c>
      <c r="AW890" s="83">
        <f t="shared" si="2753"/>
        <v>0</v>
      </c>
      <c r="AX890" s="64">
        <f t="shared" si="2779"/>
        <v>0</v>
      </c>
      <c r="AY890" s="65" t="e">
        <f t="shared" ref="AY890" si="2829">AVERAGE(M890,P890,S890,V890,Y890,AB890,AE890,AH890,AK890,AN890,AQ890,AT890)</f>
        <v>#DIV/0!</v>
      </c>
      <c r="AZ890" s="66">
        <f t="shared" ref="AZ890" si="2830">COUNT(M890,P890,S890,V890,Y890,AB890,AE890,AH890,AK890,AN890,AQ890,AT890)</f>
        <v>0</v>
      </c>
      <c r="BA890" s="67">
        <f>MAX(0, Table176252626[[#This Row],[Column6]])</f>
        <v>1</v>
      </c>
      <c r="BB890" s="68">
        <v>0</v>
      </c>
      <c r="BC890" s="84">
        <f t="shared" si="2754"/>
        <v>1</v>
      </c>
      <c r="BD890" s="83">
        <f t="shared" si="2755"/>
        <v>1</v>
      </c>
      <c r="BE890" s="85">
        <v>2</v>
      </c>
      <c r="BF890" s="86">
        <v>44208.54859953704</v>
      </c>
      <c r="BG890" s="72" t="e">
        <f t="shared" si="2545"/>
        <v>#REF!</v>
      </c>
      <c r="BH890" s="87" t="e">
        <f t="shared" ref="BH890" si="2831">BG890-BF890</f>
        <v>#REF!</v>
      </c>
      <c r="BI890" s="80" t="e">
        <f t="shared" si="2756"/>
        <v>#REF!</v>
      </c>
      <c r="BJ890" s="238">
        <v>5900</v>
      </c>
    </row>
    <row r="891" spans="1:62" ht="13">
      <c r="A891" s="49"/>
      <c r="B891" s="76"/>
      <c r="C891" s="51">
        <v>889</v>
      </c>
      <c r="D891" s="108" t="s">
        <v>1924</v>
      </c>
      <c r="E891" s="78">
        <v>1</v>
      </c>
      <c r="F891" s="88" t="s">
        <v>1095</v>
      </c>
      <c r="G891" s="89" t="s">
        <v>1096</v>
      </c>
      <c r="H891" s="81" t="s">
        <v>290</v>
      </c>
      <c r="I891" s="80" t="s">
        <v>458</v>
      </c>
      <c r="J891" s="82">
        <f t="shared" ref="J891:J902" si="2832">AU891</f>
        <v>4</v>
      </c>
      <c r="K891" s="80">
        <v>4</v>
      </c>
      <c r="L891" s="57"/>
      <c r="M891" s="58"/>
      <c r="N891" s="59">
        <f>SUM(K891+L891-M891)</f>
        <v>4</v>
      </c>
      <c r="O891" s="60"/>
      <c r="P891" s="58"/>
      <c r="Q891" s="59">
        <f t="shared" ref="Q891:Q894" si="2833">SUM(N891+O891-P891)</f>
        <v>4</v>
      </c>
      <c r="R891" s="60"/>
      <c r="S891" s="58"/>
      <c r="T891" s="61">
        <f>SUM(Q891+R891-S891)</f>
        <v>4</v>
      </c>
      <c r="U891" s="60"/>
      <c r="V891" s="58"/>
      <c r="W891" s="59">
        <f>SUM(T891+U891-V891)</f>
        <v>4</v>
      </c>
      <c r="X891" s="60"/>
      <c r="Y891" s="58"/>
      <c r="Z891" s="61">
        <f>SUM(W891+X891-Y891)</f>
        <v>4</v>
      </c>
      <c r="AA891" s="60"/>
      <c r="AB891" s="58"/>
      <c r="AC891" s="59">
        <f>SUM(Z891+AA891-AB891)</f>
        <v>4</v>
      </c>
      <c r="AD891" s="57"/>
      <c r="AE891" s="58"/>
      <c r="AF891" s="243">
        <f>SUM(AC891+AD891-AE891)</f>
        <v>4</v>
      </c>
      <c r="AG891" s="60"/>
      <c r="AH891" s="58"/>
      <c r="AI891" s="62">
        <f>SUM(AF891+AG891-AH891)</f>
        <v>4</v>
      </c>
      <c r="AJ891" s="60"/>
      <c r="AK891" s="58"/>
      <c r="AL891" s="62">
        <f>SUM(AI891+AJ891-AK891)</f>
        <v>4</v>
      </c>
      <c r="AM891" s="60"/>
      <c r="AN891" s="58"/>
      <c r="AO891" s="62">
        <f t="shared" ref="AO891:AO894" si="2834">SUM(AL891+AM891-AN891)</f>
        <v>4</v>
      </c>
      <c r="AP891" s="60"/>
      <c r="AQ891" s="58"/>
      <c r="AR891" s="62">
        <f>SUM(AO891+AP891-AQ891)</f>
        <v>4</v>
      </c>
      <c r="AS891" s="60"/>
      <c r="AT891" s="58"/>
      <c r="AU891" s="62">
        <f t="shared" ref="AU891:AU894" si="2835">SUM(AR891+AS891-AT891)</f>
        <v>4</v>
      </c>
      <c r="AV891" s="83">
        <f t="shared" ref="AV891:AV894" si="2836">SUM(L891+O891+R891+U891+X891+AA891+AD891+AG891+AJ891+AM891+AP891+AS891)</f>
        <v>0</v>
      </c>
      <c r="AW891" s="83">
        <f t="shared" si="2753"/>
        <v>0</v>
      </c>
      <c r="AX891" s="64">
        <f t="shared" ref="AX891:AX894" si="2837">SUM(M891,P891,S891,V891,Y891,AB891,AE891,AH891,AK891,AN891,AQ891,AT891)</f>
        <v>0</v>
      </c>
      <c r="AY891" s="65" t="e">
        <f t="shared" ref="AY891:AY902" si="2838">AVERAGE(M891,P891,S891,V891,Y891,AB891,AE891,AH891,AK891,AN891,AQ891,AT891)</f>
        <v>#DIV/0!</v>
      </c>
      <c r="AZ891" s="66">
        <f t="shared" ref="AZ891:AZ902" si="2839">COUNT(M891,P891,S891,V891,Y891,AB891,AE891,AH891,AK891,AN891,AQ891,AT891)</f>
        <v>0</v>
      </c>
      <c r="BA891" s="67">
        <v>4</v>
      </c>
      <c r="BB891" s="68">
        <v>1</v>
      </c>
      <c r="BC891" s="84">
        <f t="shared" si="2754"/>
        <v>4</v>
      </c>
      <c r="BD891" s="83">
        <f t="shared" si="2755"/>
        <v>3</v>
      </c>
      <c r="BE891" s="85">
        <v>2</v>
      </c>
      <c r="BF891" s="86">
        <v>44788.543321759258</v>
      </c>
      <c r="BG891" s="72" t="e">
        <f t="shared" si="2545"/>
        <v>#REF!</v>
      </c>
      <c r="BH891" s="107" t="e">
        <f t="shared" ref="BH891:BH902" si="2840">BG891-BF891</f>
        <v>#REF!</v>
      </c>
      <c r="BI891" s="80" t="e">
        <f t="shared" si="2756"/>
        <v>#REF!</v>
      </c>
      <c r="BJ891" s="238">
        <v>2283.87</v>
      </c>
    </row>
    <row r="892" spans="1:62" ht="13">
      <c r="A892" s="49"/>
      <c r="B892" s="50"/>
      <c r="C892" s="77">
        <v>890</v>
      </c>
      <c r="D892" s="108" t="s">
        <v>1924</v>
      </c>
      <c r="E892" s="78">
        <v>2</v>
      </c>
      <c r="F892" s="88" t="s">
        <v>811</v>
      </c>
      <c r="G892" s="89" t="s">
        <v>812</v>
      </c>
      <c r="H892" s="81" t="s">
        <v>290</v>
      </c>
      <c r="I892" s="80" t="s">
        <v>458</v>
      </c>
      <c r="J892" s="82">
        <f t="shared" si="2832"/>
        <v>2</v>
      </c>
      <c r="K892" s="80">
        <v>2</v>
      </c>
      <c r="L892" s="57"/>
      <c r="M892" s="58"/>
      <c r="N892" s="59">
        <f t="shared" ref="N892:N899" si="2841">SUM(K892+L892-M892)</f>
        <v>2</v>
      </c>
      <c r="O892" s="60"/>
      <c r="P892" s="58"/>
      <c r="Q892" s="59">
        <f t="shared" si="2833"/>
        <v>2</v>
      </c>
      <c r="R892" s="60"/>
      <c r="S892" s="58"/>
      <c r="T892" s="61">
        <f t="shared" ref="T892:T901" si="2842">SUM(Q892+R892-S892)</f>
        <v>2</v>
      </c>
      <c r="U892" s="60"/>
      <c r="V892" s="58"/>
      <c r="W892" s="59">
        <f t="shared" ref="W892:W901" si="2843">SUM(T892+U892-V892)</f>
        <v>2</v>
      </c>
      <c r="X892" s="60"/>
      <c r="Y892" s="58"/>
      <c r="Z892" s="61">
        <f t="shared" ref="Z892:Z901" si="2844">SUM(W892+X892-Y892)</f>
        <v>2</v>
      </c>
      <c r="AA892" s="60"/>
      <c r="AB892" s="58"/>
      <c r="AC892" s="59">
        <f t="shared" ref="AC892:AC901" si="2845">SUM(Z892+AA892-AB892)</f>
        <v>2</v>
      </c>
      <c r="AD892" s="57"/>
      <c r="AE892" s="58"/>
      <c r="AF892" s="243">
        <f t="shared" ref="AF892:AF901" si="2846">SUM(AC892+AD892-AE892)</f>
        <v>2</v>
      </c>
      <c r="AG892" s="60"/>
      <c r="AH892" s="58"/>
      <c r="AI892" s="62">
        <f t="shared" ref="AI892:AI901" si="2847">SUM(AF892+AG892-AH892)</f>
        <v>2</v>
      </c>
      <c r="AJ892" s="60"/>
      <c r="AK892" s="58"/>
      <c r="AL892" s="62">
        <f t="shared" ref="AL892:AL899" si="2848">SUM(AI892+AJ892-AK892)</f>
        <v>2</v>
      </c>
      <c r="AM892" s="60"/>
      <c r="AN892" s="58"/>
      <c r="AO892" s="62">
        <f t="shared" si="2834"/>
        <v>2</v>
      </c>
      <c r="AP892" s="60"/>
      <c r="AQ892" s="58"/>
      <c r="AR892" s="62">
        <f>SUM(AO892+AP892-AQ892)</f>
        <v>2</v>
      </c>
      <c r="AS892" s="60"/>
      <c r="AT892" s="58"/>
      <c r="AU892" s="62">
        <f t="shared" si="2835"/>
        <v>2</v>
      </c>
      <c r="AV892" s="83">
        <f t="shared" si="2836"/>
        <v>0</v>
      </c>
      <c r="AW892" s="83">
        <f t="shared" si="2753"/>
        <v>0</v>
      </c>
      <c r="AX892" s="64">
        <f t="shared" si="2837"/>
        <v>0</v>
      </c>
      <c r="AY892" s="65" t="e">
        <f t="shared" si="2838"/>
        <v>#DIV/0!</v>
      </c>
      <c r="AZ892" s="66">
        <f t="shared" si="2839"/>
        <v>0</v>
      </c>
      <c r="BA892" s="67">
        <v>2</v>
      </c>
      <c r="BB892" s="68">
        <v>1</v>
      </c>
      <c r="BC892" s="84">
        <f t="shared" si="2754"/>
        <v>2</v>
      </c>
      <c r="BD892" s="83">
        <f t="shared" si="2755"/>
        <v>1</v>
      </c>
      <c r="BE892" s="85">
        <v>2</v>
      </c>
      <c r="BF892" s="86">
        <v>43878.64199074074</v>
      </c>
      <c r="BG892" s="72" t="e">
        <f t="shared" si="2545"/>
        <v>#REF!</v>
      </c>
      <c r="BH892" s="87" t="e">
        <f t="shared" si="2840"/>
        <v>#REF!</v>
      </c>
      <c r="BI892" s="80" t="e">
        <f t="shared" si="2756"/>
        <v>#REF!</v>
      </c>
      <c r="BJ892" s="238">
        <v>1890</v>
      </c>
    </row>
    <row r="893" spans="1:62" ht="13">
      <c r="A893" s="75"/>
      <c r="B893" s="76"/>
      <c r="C893" s="77">
        <v>891</v>
      </c>
      <c r="D893" s="108" t="s">
        <v>1924</v>
      </c>
      <c r="E893" s="78">
        <v>3</v>
      </c>
      <c r="F893" s="137" t="s">
        <v>588</v>
      </c>
      <c r="G893" s="81" t="s">
        <v>967</v>
      </c>
      <c r="H893" s="81" t="s">
        <v>289</v>
      </c>
      <c r="I893" s="80" t="s">
        <v>3</v>
      </c>
      <c r="J893" s="82">
        <f t="shared" si="2832"/>
        <v>0.5</v>
      </c>
      <c r="K893" s="80">
        <v>0.5</v>
      </c>
      <c r="L893" s="57"/>
      <c r="M893" s="58"/>
      <c r="N893" s="59">
        <f t="shared" si="2841"/>
        <v>0.5</v>
      </c>
      <c r="O893" s="60"/>
      <c r="P893" s="58"/>
      <c r="Q893" s="59">
        <f t="shared" si="2833"/>
        <v>0.5</v>
      </c>
      <c r="R893" s="60"/>
      <c r="S893" s="58"/>
      <c r="T893" s="61">
        <f>SUM(Q893+R893-S893)</f>
        <v>0.5</v>
      </c>
      <c r="U893" s="60"/>
      <c r="V893" s="58"/>
      <c r="W893" s="59">
        <f t="shared" si="2843"/>
        <v>0.5</v>
      </c>
      <c r="X893" s="60"/>
      <c r="Y893" s="58"/>
      <c r="Z893" s="61">
        <f t="shared" si="2844"/>
        <v>0.5</v>
      </c>
      <c r="AA893" s="60"/>
      <c r="AB893" s="58"/>
      <c r="AC893" s="59">
        <f t="shared" si="2845"/>
        <v>0.5</v>
      </c>
      <c r="AD893" s="57"/>
      <c r="AE893" s="58"/>
      <c r="AF893" s="243">
        <f t="shared" si="2846"/>
        <v>0.5</v>
      </c>
      <c r="AG893" s="60"/>
      <c r="AH893" s="58"/>
      <c r="AI893" s="62">
        <f t="shared" si="2847"/>
        <v>0.5</v>
      </c>
      <c r="AJ893" s="60"/>
      <c r="AK893" s="58"/>
      <c r="AL893" s="62">
        <f t="shared" si="2848"/>
        <v>0.5</v>
      </c>
      <c r="AM893" s="60"/>
      <c r="AN893" s="58"/>
      <c r="AO893" s="62">
        <f t="shared" si="2834"/>
        <v>0.5</v>
      </c>
      <c r="AP893" s="60"/>
      <c r="AQ893" s="58"/>
      <c r="AR893" s="62">
        <f>SUM(AO893+AP893-AQ893)</f>
        <v>0.5</v>
      </c>
      <c r="AS893" s="60"/>
      <c r="AT893" s="58"/>
      <c r="AU893" s="62">
        <f t="shared" si="2835"/>
        <v>0.5</v>
      </c>
      <c r="AV893" s="83">
        <f t="shared" si="2836"/>
        <v>0</v>
      </c>
      <c r="AW893" s="83">
        <f t="shared" si="2753"/>
        <v>0</v>
      </c>
      <c r="AX893" s="64">
        <f t="shared" si="2837"/>
        <v>0</v>
      </c>
      <c r="AY893" s="65" t="e">
        <f t="shared" si="2838"/>
        <v>#DIV/0!</v>
      </c>
      <c r="AZ893" s="66">
        <f t="shared" si="2839"/>
        <v>0</v>
      </c>
      <c r="BA893" s="67">
        <v>0.5</v>
      </c>
      <c r="BB893" s="68">
        <v>0</v>
      </c>
      <c r="BC893" s="84">
        <f t="shared" si="2754"/>
        <v>0.5</v>
      </c>
      <c r="BD893" s="83">
        <f t="shared" ref="BD893:BD926" si="2849">SUM(BC893-BB893)</f>
        <v>0.5</v>
      </c>
      <c r="BE893" s="85">
        <v>2</v>
      </c>
      <c r="BF893" s="86">
        <v>44466.571319444447</v>
      </c>
      <c r="BG893" s="72" t="e">
        <f t="shared" si="2545"/>
        <v>#REF!</v>
      </c>
      <c r="BH893" s="87" t="e">
        <f t="shared" si="2840"/>
        <v>#REF!</v>
      </c>
      <c r="BI893" s="80" t="e">
        <f t="shared" ref="BI893:BI926" si="2850">IF(AND(J893&gt;0,BH893&gt;365),"Dead Stock","")</f>
        <v>#REF!</v>
      </c>
      <c r="BJ893" s="238">
        <v>25000</v>
      </c>
    </row>
    <row r="894" spans="1:62" ht="13">
      <c r="A894" s="49"/>
      <c r="B894" s="50"/>
      <c r="C894" s="51">
        <v>892</v>
      </c>
      <c r="D894" s="108" t="s">
        <v>1924</v>
      </c>
      <c r="E894" s="78">
        <v>4</v>
      </c>
      <c r="F894" s="80" t="s">
        <v>45</v>
      </c>
      <c r="G894" s="81" t="s">
        <v>46</v>
      </c>
      <c r="H894" s="81" t="s">
        <v>289</v>
      </c>
      <c r="I894" s="80" t="s">
        <v>3</v>
      </c>
      <c r="J894" s="82">
        <f t="shared" si="2832"/>
        <v>1</v>
      </c>
      <c r="K894" s="80">
        <v>1</v>
      </c>
      <c r="L894" s="57"/>
      <c r="M894" s="58"/>
      <c r="N894" s="62">
        <f t="shared" si="2841"/>
        <v>1</v>
      </c>
      <c r="O894" s="60"/>
      <c r="P894" s="58"/>
      <c r="Q894" s="62">
        <f t="shared" si="2833"/>
        <v>1</v>
      </c>
      <c r="R894" s="60"/>
      <c r="S894" s="58"/>
      <c r="T894" s="94">
        <f t="shared" si="2842"/>
        <v>1</v>
      </c>
      <c r="U894" s="60"/>
      <c r="V894" s="58"/>
      <c r="W894" s="62">
        <f t="shared" si="2843"/>
        <v>1</v>
      </c>
      <c r="X894" s="60"/>
      <c r="Y894" s="58"/>
      <c r="Z894" s="94">
        <f t="shared" si="2844"/>
        <v>1</v>
      </c>
      <c r="AA894" s="60"/>
      <c r="AB894" s="58"/>
      <c r="AC894" s="62">
        <f t="shared" si="2845"/>
        <v>1</v>
      </c>
      <c r="AD894" s="57"/>
      <c r="AE894" s="58"/>
      <c r="AF894" s="165">
        <f t="shared" si="2846"/>
        <v>1</v>
      </c>
      <c r="AG894" s="60"/>
      <c r="AH894" s="58"/>
      <c r="AI894" s="62">
        <f t="shared" si="2847"/>
        <v>1</v>
      </c>
      <c r="AJ894" s="60"/>
      <c r="AK894" s="58"/>
      <c r="AL894" s="62">
        <f t="shared" si="2848"/>
        <v>1</v>
      </c>
      <c r="AM894" s="60"/>
      <c r="AN894" s="58"/>
      <c r="AO894" s="62">
        <f t="shared" si="2834"/>
        <v>1</v>
      </c>
      <c r="AP894" s="60"/>
      <c r="AQ894" s="58"/>
      <c r="AR894" s="62">
        <f>SUM(AO894+AP894-AQ894)</f>
        <v>1</v>
      </c>
      <c r="AS894" s="60"/>
      <c r="AT894" s="58"/>
      <c r="AU894" s="62">
        <f t="shared" si="2835"/>
        <v>1</v>
      </c>
      <c r="AV894" s="83">
        <f t="shared" si="2836"/>
        <v>0</v>
      </c>
      <c r="AW894" s="83">
        <f t="shared" si="2753"/>
        <v>0</v>
      </c>
      <c r="AX894" s="64">
        <f t="shared" si="2837"/>
        <v>0</v>
      </c>
      <c r="AY894" s="65" t="e">
        <f t="shared" si="2838"/>
        <v>#DIV/0!</v>
      </c>
      <c r="AZ894" s="66">
        <f t="shared" si="2839"/>
        <v>0</v>
      </c>
      <c r="BA894" s="67">
        <f>MAX(0, Table176252626[[#This Row],[Column6]])</f>
        <v>1</v>
      </c>
      <c r="BB894" s="68">
        <v>0</v>
      </c>
      <c r="BC894" s="84">
        <f t="shared" si="2754"/>
        <v>1</v>
      </c>
      <c r="BD894" s="83">
        <f t="shared" si="2849"/>
        <v>1</v>
      </c>
      <c r="BE894" s="85">
        <v>2</v>
      </c>
      <c r="BF894" s="86">
        <v>44295.64671296296</v>
      </c>
      <c r="BG894" s="72" t="e">
        <f t="shared" si="2545"/>
        <v>#REF!</v>
      </c>
      <c r="BH894" s="87" t="e">
        <f t="shared" si="2840"/>
        <v>#REF!</v>
      </c>
      <c r="BI894" s="80" t="e">
        <f t="shared" si="2850"/>
        <v>#REF!</v>
      </c>
      <c r="BJ894" s="238">
        <v>26000</v>
      </c>
    </row>
    <row r="895" spans="1:62" ht="13">
      <c r="A895" s="90"/>
      <c r="B895" s="91"/>
      <c r="C895" s="51">
        <v>893</v>
      </c>
      <c r="D895" s="108" t="s">
        <v>1924</v>
      </c>
      <c r="E895" s="78">
        <v>5</v>
      </c>
      <c r="F895" s="80" t="s">
        <v>766</v>
      </c>
      <c r="G895" s="30" t="s">
        <v>767</v>
      </c>
      <c r="H895" s="81" t="s">
        <v>289</v>
      </c>
      <c r="I895" s="80" t="s">
        <v>458</v>
      </c>
      <c r="J895" s="82">
        <f t="shared" si="2832"/>
        <v>2</v>
      </c>
      <c r="K895" s="80">
        <v>2</v>
      </c>
      <c r="L895" s="57"/>
      <c r="M895" s="58"/>
      <c r="N895" s="59">
        <f t="shared" si="2841"/>
        <v>2</v>
      </c>
      <c r="O895" s="60"/>
      <c r="P895" s="58"/>
      <c r="Q895" s="59">
        <f t="shared" ref="Q895:Q901" si="2851">SUM(N895+O895-P895)</f>
        <v>2</v>
      </c>
      <c r="R895" s="60"/>
      <c r="S895" s="58"/>
      <c r="T895" s="61">
        <f t="shared" si="2842"/>
        <v>2</v>
      </c>
      <c r="U895" s="60"/>
      <c r="V895" s="58"/>
      <c r="W895" s="59">
        <f t="shared" si="2843"/>
        <v>2</v>
      </c>
      <c r="X895" s="60"/>
      <c r="Y895" s="58"/>
      <c r="Z895" s="61">
        <f t="shared" si="2844"/>
        <v>2</v>
      </c>
      <c r="AA895" s="60"/>
      <c r="AB895" s="58"/>
      <c r="AC895" s="59">
        <f t="shared" si="2845"/>
        <v>2</v>
      </c>
      <c r="AD895" s="57"/>
      <c r="AE895" s="58"/>
      <c r="AF895" s="243">
        <f t="shared" si="2846"/>
        <v>2</v>
      </c>
      <c r="AG895" s="60"/>
      <c r="AH895" s="58"/>
      <c r="AI895" s="62">
        <f t="shared" si="2847"/>
        <v>2</v>
      </c>
      <c r="AJ895" s="60"/>
      <c r="AK895" s="58"/>
      <c r="AL895" s="62">
        <f t="shared" si="2848"/>
        <v>2</v>
      </c>
      <c r="AM895" s="60"/>
      <c r="AN895" s="58"/>
      <c r="AO895" s="62">
        <f t="shared" ref="AO895:AO901" si="2852">SUM(AL895+AM895-AN895)</f>
        <v>2</v>
      </c>
      <c r="AP895" s="60"/>
      <c r="AQ895" s="58"/>
      <c r="AR895" s="62">
        <f t="shared" ref="AR895:AR902" si="2853">SUM(AO895+AP895-AQ895)</f>
        <v>2</v>
      </c>
      <c r="AS895" s="60"/>
      <c r="AT895" s="58"/>
      <c r="AU895" s="62">
        <f t="shared" ref="AU895:AU902" si="2854">SUM(AR895+AS895-AT895)</f>
        <v>2</v>
      </c>
      <c r="AV895" s="83">
        <f t="shared" ref="AV895:AV901" si="2855">SUM(L895+O895+R895+U895+X895+AA895+AD895+AG895+AJ895+AM895+AP895+AS895)</f>
        <v>0</v>
      </c>
      <c r="AW895" s="83">
        <f t="shared" si="2753"/>
        <v>0</v>
      </c>
      <c r="AX895" s="64">
        <f t="shared" ref="AX895:AX902" si="2856">SUM(M895,P895,S895,V895,Y895,AB895,AE895,AH895,AK895,AN895,AQ895,AT895)</f>
        <v>0</v>
      </c>
      <c r="AY895" s="65" t="e">
        <f t="shared" si="2838"/>
        <v>#DIV/0!</v>
      </c>
      <c r="AZ895" s="66">
        <f t="shared" si="2839"/>
        <v>0</v>
      </c>
      <c r="BA895" s="67">
        <v>2</v>
      </c>
      <c r="BB895" s="68">
        <v>1</v>
      </c>
      <c r="BC895" s="84">
        <f t="shared" si="2754"/>
        <v>2</v>
      </c>
      <c r="BD895" s="83">
        <f t="shared" si="2849"/>
        <v>1</v>
      </c>
      <c r="BE895" s="85">
        <v>2</v>
      </c>
      <c r="BF895" s="86">
        <v>43656.420624999999</v>
      </c>
      <c r="BG895" s="72" t="e">
        <f t="shared" si="2545"/>
        <v>#REF!</v>
      </c>
      <c r="BH895" s="87" t="e">
        <f t="shared" si="2840"/>
        <v>#REF!</v>
      </c>
      <c r="BI895" s="80" t="e">
        <f t="shared" si="2850"/>
        <v>#REF!</v>
      </c>
      <c r="BJ895" s="238">
        <v>9913.5</v>
      </c>
    </row>
    <row r="896" spans="1:62" ht="13">
      <c r="A896" s="49"/>
      <c r="B896" s="50"/>
      <c r="C896" s="51">
        <v>894</v>
      </c>
      <c r="D896" s="108" t="s">
        <v>1924</v>
      </c>
      <c r="E896" s="78">
        <v>6</v>
      </c>
      <c r="F896" s="80" t="s">
        <v>439</v>
      </c>
      <c r="G896" s="81" t="s">
        <v>440</v>
      </c>
      <c r="H896" s="81" t="s">
        <v>1722</v>
      </c>
      <c r="I896" s="80" t="s">
        <v>2</v>
      </c>
      <c r="J896" s="82">
        <f t="shared" si="2832"/>
        <v>2</v>
      </c>
      <c r="K896" s="80">
        <v>2</v>
      </c>
      <c r="L896" s="57"/>
      <c r="M896" s="58"/>
      <c r="N896" s="59">
        <f t="shared" si="2841"/>
        <v>2</v>
      </c>
      <c r="O896" s="60"/>
      <c r="P896" s="58"/>
      <c r="Q896" s="59">
        <f t="shared" si="2851"/>
        <v>2</v>
      </c>
      <c r="R896" s="60"/>
      <c r="S896" s="58"/>
      <c r="T896" s="61">
        <f t="shared" si="2842"/>
        <v>2</v>
      </c>
      <c r="U896" s="60"/>
      <c r="V896" s="58"/>
      <c r="W896" s="59">
        <f t="shared" si="2843"/>
        <v>2</v>
      </c>
      <c r="X896" s="60"/>
      <c r="Y896" s="58"/>
      <c r="Z896" s="61">
        <f t="shared" si="2844"/>
        <v>2</v>
      </c>
      <c r="AA896" s="60"/>
      <c r="AB896" s="58"/>
      <c r="AC896" s="59">
        <f t="shared" si="2845"/>
        <v>2</v>
      </c>
      <c r="AD896" s="57"/>
      <c r="AE896" s="58"/>
      <c r="AF896" s="243">
        <f t="shared" si="2846"/>
        <v>2</v>
      </c>
      <c r="AG896" s="60"/>
      <c r="AH896" s="58"/>
      <c r="AI896" s="62">
        <f t="shared" si="2847"/>
        <v>2</v>
      </c>
      <c r="AJ896" s="60"/>
      <c r="AK896" s="58"/>
      <c r="AL896" s="62">
        <f t="shared" si="2848"/>
        <v>2</v>
      </c>
      <c r="AM896" s="60"/>
      <c r="AN896" s="58"/>
      <c r="AO896" s="62">
        <f t="shared" si="2852"/>
        <v>2</v>
      </c>
      <c r="AP896" s="60"/>
      <c r="AQ896" s="58"/>
      <c r="AR896" s="62">
        <f t="shared" si="2853"/>
        <v>2</v>
      </c>
      <c r="AS896" s="60"/>
      <c r="AT896" s="58"/>
      <c r="AU896" s="62">
        <f t="shared" si="2854"/>
        <v>2</v>
      </c>
      <c r="AV896" s="83">
        <f t="shared" si="2855"/>
        <v>0</v>
      </c>
      <c r="AW896" s="83">
        <f t="shared" si="2753"/>
        <v>0</v>
      </c>
      <c r="AX896" s="64">
        <f t="shared" si="2856"/>
        <v>0</v>
      </c>
      <c r="AY896" s="65" t="e">
        <f t="shared" si="2838"/>
        <v>#DIV/0!</v>
      </c>
      <c r="AZ896" s="66">
        <f t="shared" si="2839"/>
        <v>0</v>
      </c>
      <c r="BA896" s="67">
        <v>2</v>
      </c>
      <c r="BB896" s="68">
        <v>1</v>
      </c>
      <c r="BC896" s="84">
        <f t="shared" ref="BC896:BC926" si="2857">J896</f>
        <v>2</v>
      </c>
      <c r="BD896" s="83">
        <f t="shared" si="2849"/>
        <v>1</v>
      </c>
      <c r="BE896" s="85">
        <v>2</v>
      </c>
      <c r="BF896" s="86">
        <v>43136.668124999997</v>
      </c>
      <c r="BG896" s="72" t="e">
        <f t="shared" si="2545"/>
        <v>#REF!</v>
      </c>
      <c r="BH896" s="87" t="e">
        <f t="shared" si="2840"/>
        <v>#REF!</v>
      </c>
      <c r="BI896" s="80" t="e">
        <f t="shared" si="2850"/>
        <v>#REF!</v>
      </c>
      <c r="BJ896" s="238">
        <v>25548</v>
      </c>
    </row>
    <row r="897" spans="1:62" ht="13">
      <c r="A897" s="75"/>
      <c r="B897" s="76"/>
      <c r="C897" s="51">
        <v>895</v>
      </c>
      <c r="D897" s="108" t="s">
        <v>1924</v>
      </c>
      <c r="E897" s="78">
        <v>7</v>
      </c>
      <c r="F897" s="105" t="s">
        <v>426</v>
      </c>
      <c r="G897" s="81" t="s">
        <v>427</v>
      </c>
      <c r="H897" s="81" t="s">
        <v>291</v>
      </c>
      <c r="I897" s="80" t="s">
        <v>458</v>
      </c>
      <c r="J897" s="82">
        <f t="shared" si="2832"/>
        <v>1</v>
      </c>
      <c r="K897" s="80">
        <v>1</v>
      </c>
      <c r="L897" s="57"/>
      <c r="M897" s="58"/>
      <c r="N897" s="59">
        <f t="shared" si="2841"/>
        <v>1</v>
      </c>
      <c r="O897" s="60"/>
      <c r="P897" s="58"/>
      <c r="Q897" s="59">
        <f t="shared" si="2851"/>
        <v>1</v>
      </c>
      <c r="R897" s="60"/>
      <c r="S897" s="58"/>
      <c r="T897" s="61">
        <f t="shared" si="2842"/>
        <v>1</v>
      </c>
      <c r="U897" s="60"/>
      <c r="V897" s="58"/>
      <c r="W897" s="59">
        <f t="shared" si="2843"/>
        <v>1</v>
      </c>
      <c r="X897" s="60"/>
      <c r="Y897" s="58"/>
      <c r="Z897" s="61">
        <f t="shared" si="2844"/>
        <v>1</v>
      </c>
      <c r="AA897" s="60"/>
      <c r="AB897" s="58"/>
      <c r="AC897" s="59">
        <f t="shared" si="2845"/>
        <v>1</v>
      </c>
      <c r="AD897" s="57"/>
      <c r="AE897" s="58"/>
      <c r="AF897" s="243">
        <f t="shared" si="2846"/>
        <v>1</v>
      </c>
      <c r="AG897" s="60"/>
      <c r="AH897" s="58"/>
      <c r="AI897" s="62">
        <f t="shared" si="2847"/>
        <v>1</v>
      </c>
      <c r="AJ897" s="60"/>
      <c r="AK897" s="58"/>
      <c r="AL897" s="62">
        <f t="shared" si="2848"/>
        <v>1</v>
      </c>
      <c r="AM897" s="60"/>
      <c r="AN897" s="58"/>
      <c r="AO897" s="62">
        <f t="shared" si="2852"/>
        <v>1</v>
      </c>
      <c r="AP897" s="60"/>
      <c r="AQ897" s="58"/>
      <c r="AR897" s="104">
        <f t="shared" si="2853"/>
        <v>1</v>
      </c>
      <c r="AS897" s="57"/>
      <c r="AT897" s="58"/>
      <c r="AU897" s="62">
        <f t="shared" si="2854"/>
        <v>1</v>
      </c>
      <c r="AV897" s="83">
        <f t="shared" si="2855"/>
        <v>0</v>
      </c>
      <c r="AW897" s="83">
        <f t="shared" si="2753"/>
        <v>0</v>
      </c>
      <c r="AX897" s="64">
        <f t="shared" si="2856"/>
        <v>0</v>
      </c>
      <c r="AY897" s="65" t="e">
        <f t="shared" si="2838"/>
        <v>#DIV/0!</v>
      </c>
      <c r="AZ897" s="66">
        <f t="shared" si="2839"/>
        <v>0</v>
      </c>
      <c r="BA897" s="67">
        <f>MAX(0, Table176252626[[#This Row],[Column6]])</f>
        <v>1</v>
      </c>
      <c r="BB897" s="68">
        <v>0</v>
      </c>
      <c r="BC897" s="84">
        <f t="shared" si="2857"/>
        <v>1</v>
      </c>
      <c r="BD897" s="83">
        <f t="shared" si="2849"/>
        <v>1</v>
      </c>
      <c r="BE897" s="85">
        <v>2</v>
      </c>
      <c r="BF897" s="86">
        <v>43111.615370370368</v>
      </c>
      <c r="BG897" s="72" t="e">
        <f t="shared" si="2545"/>
        <v>#REF!</v>
      </c>
      <c r="BH897" s="87" t="e">
        <f t="shared" si="2840"/>
        <v>#REF!</v>
      </c>
      <c r="BI897" s="80" t="e">
        <f t="shared" si="2850"/>
        <v>#REF!</v>
      </c>
      <c r="BJ897" s="238">
        <v>26600</v>
      </c>
    </row>
    <row r="898" spans="1:62" ht="13">
      <c r="A898" s="49"/>
      <c r="B898" s="76"/>
      <c r="C898" s="77">
        <v>896</v>
      </c>
      <c r="D898" s="108" t="s">
        <v>1924</v>
      </c>
      <c r="E898" s="78">
        <v>8</v>
      </c>
      <c r="F898" s="105" t="s">
        <v>852</v>
      </c>
      <c r="G898" s="81" t="s">
        <v>851</v>
      </c>
      <c r="H898" s="81" t="s">
        <v>289</v>
      </c>
      <c r="I898" s="80" t="s">
        <v>802</v>
      </c>
      <c r="J898" s="82">
        <f t="shared" si="2832"/>
        <v>30</v>
      </c>
      <c r="K898" s="80">
        <v>30</v>
      </c>
      <c r="L898" s="57"/>
      <c r="M898" s="58"/>
      <c r="N898" s="59">
        <f t="shared" si="2841"/>
        <v>30</v>
      </c>
      <c r="O898" s="60"/>
      <c r="P898" s="58"/>
      <c r="Q898" s="59">
        <f t="shared" si="2851"/>
        <v>30</v>
      </c>
      <c r="R898" s="60"/>
      <c r="S898" s="58"/>
      <c r="T898" s="61">
        <f t="shared" si="2842"/>
        <v>30</v>
      </c>
      <c r="U898" s="60"/>
      <c r="V898" s="58"/>
      <c r="W898" s="59">
        <f t="shared" si="2843"/>
        <v>30</v>
      </c>
      <c r="X898" s="60"/>
      <c r="Y898" s="58"/>
      <c r="Z898" s="61">
        <f t="shared" si="2844"/>
        <v>30</v>
      </c>
      <c r="AA898" s="60"/>
      <c r="AB898" s="58"/>
      <c r="AC898" s="59">
        <f t="shared" si="2845"/>
        <v>30</v>
      </c>
      <c r="AD898" s="57"/>
      <c r="AE898" s="58"/>
      <c r="AF898" s="243">
        <f t="shared" si="2846"/>
        <v>30</v>
      </c>
      <c r="AG898" s="60"/>
      <c r="AH898" s="58"/>
      <c r="AI898" s="62">
        <f t="shared" si="2847"/>
        <v>30</v>
      </c>
      <c r="AJ898" s="60"/>
      <c r="AK898" s="58"/>
      <c r="AL898" s="62">
        <f t="shared" si="2848"/>
        <v>30</v>
      </c>
      <c r="AM898" s="60"/>
      <c r="AN898" s="58"/>
      <c r="AO898" s="62">
        <f t="shared" si="2852"/>
        <v>30</v>
      </c>
      <c r="AP898" s="60"/>
      <c r="AQ898" s="58"/>
      <c r="AR898" s="104">
        <f t="shared" si="2853"/>
        <v>30</v>
      </c>
      <c r="AS898" s="57"/>
      <c r="AT898" s="58"/>
      <c r="AU898" s="62">
        <f t="shared" si="2854"/>
        <v>30</v>
      </c>
      <c r="AV898" s="83">
        <f t="shared" si="2855"/>
        <v>0</v>
      </c>
      <c r="AW898" s="83">
        <f t="shared" si="2753"/>
        <v>0</v>
      </c>
      <c r="AX898" s="64">
        <f t="shared" si="2856"/>
        <v>0</v>
      </c>
      <c r="AY898" s="65" t="e">
        <f t="shared" si="2838"/>
        <v>#DIV/0!</v>
      </c>
      <c r="AZ898" s="66">
        <f t="shared" si="2839"/>
        <v>0</v>
      </c>
      <c r="BA898" s="67">
        <f>MAX(0, Table176252626[[#This Row],[Column6]])</f>
        <v>30</v>
      </c>
      <c r="BB898" s="68">
        <v>1</v>
      </c>
      <c r="BC898" s="84">
        <f t="shared" si="2857"/>
        <v>30</v>
      </c>
      <c r="BD898" s="83">
        <f t="shared" si="2849"/>
        <v>29</v>
      </c>
      <c r="BE898" s="85">
        <v>2</v>
      </c>
      <c r="BF898" s="86">
        <v>44168.441099537034</v>
      </c>
      <c r="BG898" s="72" t="e">
        <f t="shared" si="2545"/>
        <v>#REF!</v>
      </c>
      <c r="BH898" s="87" t="e">
        <f t="shared" si="2840"/>
        <v>#REF!</v>
      </c>
      <c r="BI898" s="80" t="e">
        <f t="shared" si="2850"/>
        <v>#REF!</v>
      </c>
      <c r="BJ898" s="238">
        <v>700</v>
      </c>
    </row>
    <row r="899" spans="1:62" ht="13">
      <c r="A899" s="49"/>
      <c r="B899" s="76"/>
      <c r="C899" s="77">
        <v>897</v>
      </c>
      <c r="D899" s="108" t="s">
        <v>1924</v>
      </c>
      <c r="E899" s="78">
        <v>9</v>
      </c>
      <c r="F899" s="80" t="s">
        <v>625</v>
      </c>
      <c r="G899" s="81" t="s">
        <v>626</v>
      </c>
      <c r="H899" s="81" t="s">
        <v>289</v>
      </c>
      <c r="I899" s="80" t="s">
        <v>2</v>
      </c>
      <c r="J899" s="82">
        <f t="shared" si="2832"/>
        <v>1</v>
      </c>
      <c r="K899" s="80">
        <v>0</v>
      </c>
      <c r="L899" s="57"/>
      <c r="M899" s="58"/>
      <c r="N899" s="59">
        <f t="shared" si="2841"/>
        <v>0</v>
      </c>
      <c r="O899" s="60"/>
      <c r="P899" s="58"/>
      <c r="Q899" s="59">
        <f t="shared" si="2851"/>
        <v>0</v>
      </c>
      <c r="R899" s="60"/>
      <c r="S899" s="58"/>
      <c r="T899" s="61">
        <f t="shared" si="2842"/>
        <v>0</v>
      </c>
      <c r="U899" s="60"/>
      <c r="V899" s="58"/>
      <c r="W899" s="59">
        <f t="shared" si="2843"/>
        <v>0</v>
      </c>
      <c r="X899" s="60"/>
      <c r="Y899" s="58"/>
      <c r="Z899" s="61">
        <f t="shared" si="2844"/>
        <v>0</v>
      </c>
      <c r="AA899" s="60">
        <v>1</v>
      </c>
      <c r="AB899" s="58"/>
      <c r="AC899" s="59">
        <f t="shared" si="2845"/>
        <v>1</v>
      </c>
      <c r="AD899" s="57"/>
      <c r="AE899" s="58"/>
      <c r="AF899" s="243">
        <f t="shared" si="2846"/>
        <v>1</v>
      </c>
      <c r="AG899" s="60"/>
      <c r="AH899" s="58"/>
      <c r="AI899" s="62">
        <f t="shared" si="2847"/>
        <v>1</v>
      </c>
      <c r="AJ899" s="60"/>
      <c r="AK899" s="58"/>
      <c r="AL899" s="62">
        <f t="shared" si="2848"/>
        <v>1</v>
      </c>
      <c r="AM899" s="60"/>
      <c r="AN899" s="58"/>
      <c r="AO899" s="62">
        <f t="shared" si="2852"/>
        <v>1</v>
      </c>
      <c r="AP899" s="60"/>
      <c r="AQ899" s="58"/>
      <c r="AR899" s="62">
        <f t="shared" si="2853"/>
        <v>1</v>
      </c>
      <c r="AS899" s="60"/>
      <c r="AT899" s="58"/>
      <c r="AU899" s="62">
        <f t="shared" si="2854"/>
        <v>1</v>
      </c>
      <c r="AV899" s="83">
        <f t="shared" si="2855"/>
        <v>1</v>
      </c>
      <c r="AW899" s="83">
        <f t="shared" si="2753"/>
        <v>0</v>
      </c>
      <c r="AX899" s="64">
        <f t="shared" si="2856"/>
        <v>0</v>
      </c>
      <c r="AY899" s="65" t="e">
        <f t="shared" si="2838"/>
        <v>#DIV/0!</v>
      </c>
      <c r="AZ899" s="66">
        <f t="shared" si="2839"/>
        <v>0</v>
      </c>
      <c r="BA899" s="67">
        <f>MAX(0, Table176252626[[#This Row],[Column6]])</f>
        <v>1</v>
      </c>
      <c r="BB899" s="68">
        <v>0</v>
      </c>
      <c r="BC899" s="84">
        <f t="shared" si="2857"/>
        <v>1</v>
      </c>
      <c r="BD899" s="83">
        <f t="shared" si="2849"/>
        <v>1</v>
      </c>
      <c r="BE899" s="85">
        <v>2</v>
      </c>
      <c r="BF899" s="86">
        <v>46182</v>
      </c>
      <c r="BG899" s="72" t="e">
        <f t="shared" si="2545"/>
        <v>#REF!</v>
      </c>
      <c r="BH899" s="87" t="e">
        <f t="shared" si="2840"/>
        <v>#REF!</v>
      </c>
      <c r="BI899" s="80" t="e">
        <f t="shared" si="2850"/>
        <v>#REF!</v>
      </c>
      <c r="BJ899" s="238">
        <v>13400</v>
      </c>
    </row>
    <row r="900" spans="1:62" ht="13">
      <c r="A900" s="49"/>
      <c r="B900" s="50"/>
      <c r="C900" s="51">
        <v>898</v>
      </c>
      <c r="D900" s="108" t="s">
        <v>1924</v>
      </c>
      <c r="E900" s="78">
        <v>10</v>
      </c>
      <c r="F900" s="54" t="s">
        <v>639</v>
      </c>
      <c r="G900" s="55" t="s">
        <v>640</v>
      </c>
      <c r="H900" s="55" t="s">
        <v>289</v>
      </c>
      <c r="I900" s="80" t="s">
        <v>458</v>
      </c>
      <c r="J900" s="82">
        <f t="shared" si="2832"/>
        <v>1</v>
      </c>
      <c r="K900" s="54">
        <v>1</v>
      </c>
      <c r="L900" s="57"/>
      <c r="M900" s="58"/>
      <c r="N900" s="59">
        <f t="shared" ref="N900:N902" si="2858">SUM(K900+L900-M900)</f>
        <v>1</v>
      </c>
      <c r="O900" s="60"/>
      <c r="P900" s="58"/>
      <c r="Q900" s="59">
        <f t="shared" si="2851"/>
        <v>1</v>
      </c>
      <c r="R900" s="60"/>
      <c r="S900" s="58"/>
      <c r="T900" s="61">
        <f t="shared" si="2842"/>
        <v>1</v>
      </c>
      <c r="U900" s="60"/>
      <c r="V900" s="58"/>
      <c r="W900" s="59">
        <f t="shared" si="2843"/>
        <v>1</v>
      </c>
      <c r="X900" s="60"/>
      <c r="Y900" s="58"/>
      <c r="Z900" s="61">
        <f t="shared" si="2844"/>
        <v>1</v>
      </c>
      <c r="AA900" s="60"/>
      <c r="AB900" s="58"/>
      <c r="AC900" s="59">
        <f t="shared" si="2845"/>
        <v>1</v>
      </c>
      <c r="AD900" s="57"/>
      <c r="AE900" s="58"/>
      <c r="AF900" s="243">
        <f t="shared" si="2846"/>
        <v>1</v>
      </c>
      <c r="AG900" s="60"/>
      <c r="AH900" s="58"/>
      <c r="AI900" s="62">
        <f t="shared" si="2847"/>
        <v>1</v>
      </c>
      <c r="AJ900" s="60"/>
      <c r="AK900" s="58"/>
      <c r="AL900" s="62">
        <f t="shared" ref="AL900:AL902" si="2859">SUM(AI900+AJ900-AK900)</f>
        <v>1</v>
      </c>
      <c r="AM900" s="60"/>
      <c r="AN900" s="58"/>
      <c r="AO900" s="62">
        <f t="shared" si="2852"/>
        <v>1</v>
      </c>
      <c r="AP900" s="60"/>
      <c r="AQ900" s="58"/>
      <c r="AR900" s="62">
        <f t="shared" si="2853"/>
        <v>1</v>
      </c>
      <c r="AS900" s="60"/>
      <c r="AT900" s="58"/>
      <c r="AU900" s="62">
        <f t="shared" si="2854"/>
        <v>1</v>
      </c>
      <c r="AV900" s="83">
        <f t="shared" si="2855"/>
        <v>0</v>
      </c>
      <c r="AW900" s="83">
        <f t="shared" si="2753"/>
        <v>0</v>
      </c>
      <c r="AX900" s="64">
        <f t="shared" si="2856"/>
        <v>0</v>
      </c>
      <c r="AY900" s="65" t="e">
        <f t="shared" si="2838"/>
        <v>#DIV/0!</v>
      </c>
      <c r="AZ900" s="66">
        <f t="shared" si="2839"/>
        <v>0</v>
      </c>
      <c r="BA900" s="67">
        <f>MAX(0, Table176252626[[#This Row],[Column6]])</f>
        <v>1</v>
      </c>
      <c r="BB900" s="68">
        <v>0</v>
      </c>
      <c r="BC900" s="84">
        <f t="shared" si="2857"/>
        <v>1</v>
      </c>
      <c r="BD900" s="83">
        <f t="shared" si="2849"/>
        <v>1</v>
      </c>
      <c r="BE900" s="85">
        <v>2</v>
      </c>
      <c r="BF900" s="86">
        <v>44480.443576388891</v>
      </c>
      <c r="BG900" s="72" t="e">
        <f t="shared" si="2545"/>
        <v>#REF!</v>
      </c>
      <c r="BH900" s="87" t="e">
        <f t="shared" si="2840"/>
        <v>#REF!</v>
      </c>
      <c r="BI900" s="80" t="e">
        <f t="shared" si="2850"/>
        <v>#REF!</v>
      </c>
      <c r="BJ900" s="238">
        <v>20200</v>
      </c>
    </row>
    <row r="901" spans="1:62" ht="13">
      <c r="A901" s="75"/>
      <c r="B901" s="76"/>
      <c r="C901" s="51">
        <v>899</v>
      </c>
      <c r="D901" s="108" t="s">
        <v>1924</v>
      </c>
      <c r="E901" s="78">
        <v>11</v>
      </c>
      <c r="F901" s="80" t="s">
        <v>180</v>
      </c>
      <c r="G901" s="173" t="s">
        <v>1758</v>
      </c>
      <c r="H901" s="81" t="s">
        <v>289</v>
      </c>
      <c r="I901" s="80" t="s">
        <v>458</v>
      </c>
      <c r="J901" s="82">
        <f t="shared" si="2832"/>
        <v>1</v>
      </c>
      <c r="K901" s="80">
        <v>2</v>
      </c>
      <c r="L901" s="57"/>
      <c r="M901" s="58"/>
      <c r="N901" s="59">
        <f t="shared" si="2858"/>
        <v>2</v>
      </c>
      <c r="O901" s="60"/>
      <c r="P901" s="58"/>
      <c r="Q901" s="59">
        <f t="shared" si="2851"/>
        <v>2</v>
      </c>
      <c r="R901" s="60"/>
      <c r="S901" s="58"/>
      <c r="T901" s="61">
        <f t="shared" si="2842"/>
        <v>2</v>
      </c>
      <c r="U901" s="60"/>
      <c r="V901" s="58"/>
      <c r="W901" s="59">
        <f t="shared" si="2843"/>
        <v>2</v>
      </c>
      <c r="X901" s="60"/>
      <c r="Y901" s="58">
        <v>1</v>
      </c>
      <c r="Z901" s="61">
        <f t="shared" si="2844"/>
        <v>1</v>
      </c>
      <c r="AA901" s="60"/>
      <c r="AB901" s="58"/>
      <c r="AC901" s="59">
        <f t="shared" si="2845"/>
        <v>1</v>
      </c>
      <c r="AD901" s="57"/>
      <c r="AE901" s="58"/>
      <c r="AF901" s="243">
        <f t="shared" si="2846"/>
        <v>1</v>
      </c>
      <c r="AG901" s="60"/>
      <c r="AH901" s="58"/>
      <c r="AI901" s="62">
        <f t="shared" si="2847"/>
        <v>1</v>
      </c>
      <c r="AJ901" s="60"/>
      <c r="AK901" s="58"/>
      <c r="AL901" s="62">
        <f t="shared" si="2859"/>
        <v>1</v>
      </c>
      <c r="AM901" s="60"/>
      <c r="AN901" s="58"/>
      <c r="AO901" s="62">
        <f t="shared" si="2852"/>
        <v>1</v>
      </c>
      <c r="AP901" s="60"/>
      <c r="AQ901" s="58"/>
      <c r="AR901" s="62">
        <f t="shared" si="2853"/>
        <v>1</v>
      </c>
      <c r="AS901" s="60"/>
      <c r="AT901" s="58"/>
      <c r="AU901" s="62">
        <f t="shared" si="2854"/>
        <v>1</v>
      </c>
      <c r="AV901" s="83">
        <f t="shared" si="2855"/>
        <v>0</v>
      </c>
      <c r="AW901" s="83">
        <f t="shared" si="2753"/>
        <v>1</v>
      </c>
      <c r="AX901" s="64">
        <f t="shared" si="2856"/>
        <v>1</v>
      </c>
      <c r="AY901" s="65">
        <f t="shared" si="2838"/>
        <v>1</v>
      </c>
      <c r="AZ901" s="66">
        <f t="shared" si="2839"/>
        <v>1</v>
      </c>
      <c r="BA901" s="67">
        <f>MAX(0, Table176252626[[#This Row],[Column6]])</f>
        <v>1</v>
      </c>
      <c r="BB901" s="68">
        <v>0</v>
      </c>
      <c r="BC901" s="84">
        <f t="shared" si="2857"/>
        <v>1</v>
      </c>
      <c r="BD901" s="83">
        <f t="shared" si="2849"/>
        <v>1</v>
      </c>
      <c r="BE901" s="85">
        <v>2</v>
      </c>
      <c r="BF901" s="86">
        <v>43384.631331018521</v>
      </c>
      <c r="BG901" s="72" t="e">
        <f t="shared" si="2545"/>
        <v>#REF!</v>
      </c>
      <c r="BH901" s="87" t="e">
        <f t="shared" si="2840"/>
        <v>#REF!</v>
      </c>
      <c r="BI901" s="80" t="e">
        <f t="shared" si="2850"/>
        <v>#REF!</v>
      </c>
      <c r="BJ901" s="238">
        <v>32000</v>
      </c>
    </row>
    <row r="902" spans="1:62" ht="13">
      <c r="A902" s="49"/>
      <c r="B902" s="50"/>
      <c r="C902" s="51">
        <v>900</v>
      </c>
      <c r="D902" s="108" t="s">
        <v>1924</v>
      </c>
      <c r="E902" s="78">
        <v>12</v>
      </c>
      <c r="F902" s="80" t="s">
        <v>809</v>
      </c>
      <c r="G902" s="81" t="s">
        <v>810</v>
      </c>
      <c r="H902" s="81" t="s">
        <v>289</v>
      </c>
      <c r="I902" s="80" t="s">
        <v>458</v>
      </c>
      <c r="J902" s="82">
        <f t="shared" si="2832"/>
        <v>1</v>
      </c>
      <c r="K902" s="80">
        <v>1</v>
      </c>
      <c r="L902" s="57"/>
      <c r="M902" s="58"/>
      <c r="N902" s="59">
        <f t="shared" si="2858"/>
        <v>1</v>
      </c>
      <c r="O902" s="60"/>
      <c r="P902" s="58"/>
      <c r="Q902" s="59">
        <f>SUM(N902+O902-P902)</f>
        <v>1</v>
      </c>
      <c r="R902" s="60"/>
      <c r="S902" s="58"/>
      <c r="T902" s="61">
        <f>SUM(Q902+R902-S902)</f>
        <v>1</v>
      </c>
      <c r="U902" s="60"/>
      <c r="V902" s="58"/>
      <c r="W902" s="59">
        <f>SUM(T902+U902-V902)</f>
        <v>1</v>
      </c>
      <c r="X902" s="60"/>
      <c r="Y902" s="58"/>
      <c r="Z902" s="61">
        <f>SUM(W902+X902-Y902)</f>
        <v>1</v>
      </c>
      <c r="AA902" s="60"/>
      <c r="AB902" s="58"/>
      <c r="AC902" s="59">
        <f>SUM(Z902+AA902-AB902)</f>
        <v>1</v>
      </c>
      <c r="AD902" s="57"/>
      <c r="AE902" s="58"/>
      <c r="AF902" s="243">
        <f>SUM(AC902+AD902-AE902)</f>
        <v>1</v>
      </c>
      <c r="AG902" s="60"/>
      <c r="AH902" s="58"/>
      <c r="AI902" s="62">
        <f>SUM(AF902+AG902-AH902)</f>
        <v>1</v>
      </c>
      <c r="AJ902" s="60"/>
      <c r="AK902" s="58"/>
      <c r="AL902" s="62">
        <f t="shared" si="2859"/>
        <v>1</v>
      </c>
      <c r="AM902" s="60"/>
      <c r="AN902" s="58"/>
      <c r="AO902" s="62">
        <f t="shared" ref="AO902" si="2860">SUM(AL902+AM902-AN902)</f>
        <v>1</v>
      </c>
      <c r="AP902" s="60"/>
      <c r="AQ902" s="58"/>
      <c r="AR902" s="62">
        <f t="shared" si="2853"/>
        <v>1</v>
      </c>
      <c r="AS902" s="60"/>
      <c r="AT902" s="58"/>
      <c r="AU902" s="62">
        <f t="shared" si="2854"/>
        <v>1</v>
      </c>
      <c r="AV902" s="83">
        <f t="shared" ref="AV902" si="2861">SUM(L902+O902+R902+U902+X902+AA902+AD902+AG902+AJ902+AM902+AP902+AS902)</f>
        <v>0</v>
      </c>
      <c r="AW902" s="83">
        <f t="shared" si="2753"/>
        <v>0</v>
      </c>
      <c r="AX902" s="64">
        <f t="shared" si="2856"/>
        <v>0</v>
      </c>
      <c r="AY902" s="65" t="e">
        <f t="shared" si="2838"/>
        <v>#DIV/0!</v>
      </c>
      <c r="AZ902" s="66">
        <f t="shared" si="2839"/>
        <v>0</v>
      </c>
      <c r="BA902" s="67">
        <f>MAX(0, Table176252626[[#This Row],[Column6]])</f>
        <v>1</v>
      </c>
      <c r="BB902" s="68">
        <v>0</v>
      </c>
      <c r="BC902" s="84">
        <f t="shared" si="2857"/>
        <v>1</v>
      </c>
      <c r="BD902" s="83">
        <f t="shared" si="2849"/>
        <v>1</v>
      </c>
      <c r="BE902" s="85">
        <v>2</v>
      </c>
      <c r="BF902" s="86">
        <v>43874.548449074071</v>
      </c>
      <c r="BG902" s="72" t="e">
        <f t="shared" si="2545"/>
        <v>#REF!</v>
      </c>
      <c r="BH902" s="87" t="e">
        <f t="shared" si="2840"/>
        <v>#REF!</v>
      </c>
      <c r="BI902" s="80" t="e">
        <f t="shared" si="2850"/>
        <v>#REF!</v>
      </c>
      <c r="BJ902" s="238">
        <v>27576</v>
      </c>
    </row>
    <row r="903" spans="1:62" ht="13">
      <c r="A903" s="90"/>
      <c r="B903" s="91"/>
      <c r="C903" s="51">
        <v>901</v>
      </c>
      <c r="D903" s="108" t="s">
        <v>1924</v>
      </c>
      <c r="E903" s="78">
        <v>28</v>
      </c>
      <c r="F903" s="80" t="s">
        <v>87</v>
      </c>
      <c r="G903" s="81" t="s">
        <v>88</v>
      </c>
      <c r="H903" s="81" t="s">
        <v>291</v>
      </c>
      <c r="I903" s="80" t="s">
        <v>458</v>
      </c>
      <c r="J903" s="82">
        <f t="shared" ref="J903:J906" si="2862">AU903</f>
        <v>1</v>
      </c>
      <c r="K903" s="80">
        <v>1</v>
      </c>
      <c r="L903" s="57"/>
      <c r="M903" s="58"/>
      <c r="N903" s="59">
        <f t="shared" ref="N903:N906" si="2863">SUM(K903+L903-M903)</f>
        <v>1</v>
      </c>
      <c r="O903" s="60"/>
      <c r="P903" s="58"/>
      <c r="Q903" s="59">
        <f t="shared" ref="Q903:Q906" si="2864">SUM(N903+O903-P903)</f>
        <v>1</v>
      </c>
      <c r="R903" s="60"/>
      <c r="S903" s="58"/>
      <c r="T903" s="61">
        <f t="shared" ref="T903:T906" si="2865">SUM(Q903+R903-S903)</f>
        <v>1</v>
      </c>
      <c r="U903" s="60"/>
      <c r="V903" s="58"/>
      <c r="W903" s="59">
        <f t="shared" ref="W903:W906" si="2866">SUM(T903+U903-V903)</f>
        <v>1</v>
      </c>
      <c r="X903" s="60"/>
      <c r="Y903" s="58"/>
      <c r="Z903" s="61">
        <f t="shared" ref="Z903:Z906" si="2867">SUM(W903+X903-Y903)</f>
        <v>1</v>
      </c>
      <c r="AA903" s="60"/>
      <c r="AB903" s="58"/>
      <c r="AC903" s="59">
        <f t="shared" ref="AC903:AC906" si="2868">SUM(Z903+AA903-AB903)</f>
        <v>1</v>
      </c>
      <c r="AD903" s="57"/>
      <c r="AE903" s="58"/>
      <c r="AF903" s="243">
        <f t="shared" ref="AF903:AF906" si="2869">SUM(AC903+AD903-AE903)</f>
        <v>1</v>
      </c>
      <c r="AG903" s="60"/>
      <c r="AH903" s="58"/>
      <c r="AI903" s="62">
        <f t="shared" ref="AI903:AI906" si="2870">SUM(AF903+AG903-AH903)</f>
        <v>1</v>
      </c>
      <c r="AJ903" s="60"/>
      <c r="AK903" s="58"/>
      <c r="AL903" s="62">
        <f t="shared" ref="AL903:AL906" si="2871">SUM(AI903+AJ903-AK903)</f>
        <v>1</v>
      </c>
      <c r="AM903" s="60"/>
      <c r="AN903" s="58"/>
      <c r="AO903" s="62">
        <f t="shared" ref="AO903:AO906" si="2872">SUM(AL903+AM903-AN903)</f>
        <v>1</v>
      </c>
      <c r="AP903" s="60"/>
      <c r="AQ903" s="58"/>
      <c r="AR903" s="104">
        <f t="shared" ref="AR903:AR906" si="2873">SUM(AO903+AP903-AQ903)</f>
        <v>1</v>
      </c>
      <c r="AS903" s="57"/>
      <c r="AT903" s="58"/>
      <c r="AU903" s="62">
        <f t="shared" ref="AU903:AU906" si="2874">SUM(AR903+AS903-AT903)</f>
        <v>1</v>
      </c>
      <c r="AV903" s="83">
        <f t="shared" ref="AV903:AW906" si="2875">SUM(L903+O903+R903+U903+X903+AA903+AD903+AG903+AJ903+AM903+AP903+AS903)</f>
        <v>0</v>
      </c>
      <c r="AW903" s="83">
        <f t="shared" si="2875"/>
        <v>0</v>
      </c>
      <c r="AX903" s="64">
        <f t="shared" ref="AX903:AX906" si="2876">SUM(M903,P903,S903,V903,Y903,AB903,AE903,AH903,AK903,AN903,AQ903,AT903)</f>
        <v>0</v>
      </c>
      <c r="AY903" s="65" t="e">
        <f t="shared" ref="AY903:AY906" si="2877">AVERAGE(M903,P903,S903,V903,Y903,AB903,AE903,AH903,AK903,AN903,AQ903,AT903)</f>
        <v>#DIV/0!</v>
      </c>
      <c r="AZ903" s="66">
        <f t="shared" ref="AZ903:AZ906" si="2878">COUNT(M903,P903,S903,V903,Y903,AB903,AE903,AH903,AK903,AN903,AQ903,AT903)</f>
        <v>0</v>
      </c>
      <c r="BA903" s="67">
        <f>MAX(0, Table176252626[[#This Row],[Column6]])</f>
        <v>1</v>
      </c>
      <c r="BB903" s="68">
        <v>0</v>
      </c>
      <c r="BC903" s="84">
        <f t="shared" si="2857"/>
        <v>1</v>
      </c>
      <c r="BD903" s="83">
        <f t="shared" si="2849"/>
        <v>1</v>
      </c>
      <c r="BE903" s="85">
        <v>2</v>
      </c>
      <c r="BF903" s="86">
        <v>41888.766145833331</v>
      </c>
      <c r="BG903" s="72" t="e">
        <f t="shared" si="2545"/>
        <v>#REF!</v>
      </c>
      <c r="BH903" s="87" t="e">
        <f t="shared" ref="BH903:BH906" si="2879">BG903-BF903</f>
        <v>#REF!</v>
      </c>
      <c r="BI903" s="80" t="e">
        <f t="shared" si="2850"/>
        <v>#REF!</v>
      </c>
      <c r="BJ903" s="238">
        <v>34790</v>
      </c>
    </row>
    <row r="904" spans="1:62" ht="13">
      <c r="A904" s="49"/>
      <c r="B904" s="50"/>
      <c r="C904" s="77">
        <v>902</v>
      </c>
      <c r="D904" s="108" t="s">
        <v>1924</v>
      </c>
      <c r="E904" s="78">
        <v>29</v>
      </c>
      <c r="F904" s="80" t="s">
        <v>618</v>
      </c>
      <c r="G904" s="81" t="s">
        <v>616</v>
      </c>
      <c r="H904" s="81" t="s">
        <v>300</v>
      </c>
      <c r="I904" s="80" t="s">
        <v>458</v>
      </c>
      <c r="J904" s="82">
        <f t="shared" si="2862"/>
        <v>3</v>
      </c>
      <c r="K904" s="80">
        <v>4</v>
      </c>
      <c r="L904" s="57"/>
      <c r="M904" s="58"/>
      <c r="N904" s="59">
        <f t="shared" si="2863"/>
        <v>4</v>
      </c>
      <c r="O904" s="60"/>
      <c r="P904" s="58"/>
      <c r="Q904" s="59">
        <f t="shared" si="2864"/>
        <v>4</v>
      </c>
      <c r="R904" s="60"/>
      <c r="S904" s="58"/>
      <c r="T904" s="61">
        <f t="shared" si="2865"/>
        <v>4</v>
      </c>
      <c r="U904" s="60"/>
      <c r="V904" s="58"/>
      <c r="W904" s="59">
        <f t="shared" si="2866"/>
        <v>4</v>
      </c>
      <c r="X904" s="60"/>
      <c r="Y904" s="58"/>
      <c r="Z904" s="61">
        <f t="shared" si="2867"/>
        <v>4</v>
      </c>
      <c r="AA904" s="60"/>
      <c r="AB904" s="58"/>
      <c r="AC904" s="59">
        <f t="shared" si="2868"/>
        <v>4</v>
      </c>
      <c r="AD904" s="57"/>
      <c r="AE904" s="58">
        <v>1</v>
      </c>
      <c r="AF904" s="243">
        <f t="shared" si="2869"/>
        <v>3</v>
      </c>
      <c r="AG904" s="60"/>
      <c r="AH904" s="58"/>
      <c r="AI904" s="62">
        <f t="shared" si="2870"/>
        <v>3</v>
      </c>
      <c r="AJ904" s="60"/>
      <c r="AK904" s="58"/>
      <c r="AL904" s="62">
        <f t="shared" si="2871"/>
        <v>3</v>
      </c>
      <c r="AM904" s="60"/>
      <c r="AN904" s="58"/>
      <c r="AO904" s="62">
        <f t="shared" si="2872"/>
        <v>3</v>
      </c>
      <c r="AP904" s="60"/>
      <c r="AQ904" s="58"/>
      <c r="AR904" s="62">
        <f t="shared" si="2873"/>
        <v>3</v>
      </c>
      <c r="AS904" s="60"/>
      <c r="AT904" s="58"/>
      <c r="AU904" s="165">
        <f t="shared" si="2874"/>
        <v>3</v>
      </c>
      <c r="AV904" s="151">
        <f t="shared" si="2875"/>
        <v>0</v>
      </c>
      <c r="AW904" s="83">
        <f t="shared" si="2875"/>
        <v>1</v>
      </c>
      <c r="AX904" s="64">
        <f t="shared" si="2876"/>
        <v>1</v>
      </c>
      <c r="AY904" s="65">
        <f t="shared" si="2877"/>
        <v>1</v>
      </c>
      <c r="AZ904" s="66">
        <f t="shared" si="2878"/>
        <v>1</v>
      </c>
      <c r="BA904" s="67">
        <f>MAX(0, Table176252626[[#This Row],[Column6]])</f>
        <v>3</v>
      </c>
      <c r="BB904" s="68">
        <v>1</v>
      </c>
      <c r="BC904" s="84">
        <f t="shared" si="2857"/>
        <v>3</v>
      </c>
      <c r="BD904" s="83">
        <f t="shared" si="2849"/>
        <v>2</v>
      </c>
      <c r="BE904" s="85">
        <v>2</v>
      </c>
      <c r="BF904" s="86">
        <v>43330.551921296297</v>
      </c>
      <c r="BG904" s="72" t="e">
        <f t="shared" si="2545"/>
        <v>#REF!</v>
      </c>
      <c r="BH904" s="87" t="e">
        <f t="shared" si="2879"/>
        <v>#REF!</v>
      </c>
      <c r="BI904" s="80" t="e">
        <f t="shared" si="2850"/>
        <v>#REF!</v>
      </c>
      <c r="BJ904" s="238">
        <v>425</v>
      </c>
    </row>
    <row r="905" spans="1:62" ht="13">
      <c r="A905" s="75"/>
      <c r="B905" s="76"/>
      <c r="C905" s="77">
        <v>903</v>
      </c>
      <c r="D905" s="108" t="s">
        <v>1924</v>
      </c>
      <c r="E905" s="78">
        <v>30</v>
      </c>
      <c r="F905" s="80" t="s">
        <v>617</v>
      </c>
      <c r="G905" s="81" t="s">
        <v>615</v>
      </c>
      <c r="H905" s="81" t="s">
        <v>300</v>
      </c>
      <c r="I905" s="80" t="s">
        <v>458</v>
      </c>
      <c r="J905" s="82">
        <f t="shared" si="2862"/>
        <v>2</v>
      </c>
      <c r="K905" s="80">
        <v>2</v>
      </c>
      <c r="L905" s="57"/>
      <c r="M905" s="58"/>
      <c r="N905" s="59">
        <f t="shared" si="2863"/>
        <v>2</v>
      </c>
      <c r="O905" s="60"/>
      <c r="P905" s="58"/>
      <c r="Q905" s="59">
        <f t="shared" si="2864"/>
        <v>2</v>
      </c>
      <c r="R905" s="60"/>
      <c r="S905" s="58"/>
      <c r="T905" s="61">
        <f t="shared" si="2865"/>
        <v>2</v>
      </c>
      <c r="U905" s="60"/>
      <c r="V905" s="58"/>
      <c r="W905" s="59">
        <f t="shared" si="2866"/>
        <v>2</v>
      </c>
      <c r="X905" s="60"/>
      <c r="Y905" s="58"/>
      <c r="Z905" s="61">
        <f t="shared" si="2867"/>
        <v>2</v>
      </c>
      <c r="AA905" s="60"/>
      <c r="AB905" s="58"/>
      <c r="AC905" s="59">
        <f t="shared" si="2868"/>
        <v>2</v>
      </c>
      <c r="AD905" s="57"/>
      <c r="AE905" s="58"/>
      <c r="AF905" s="243">
        <f t="shared" si="2869"/>
        <v>2</v>
      </c>
      <c r="AG905" s="60"/>
      <c r="AH905" s="58"/>
      <c r="AI905" s="62">
        <f t="shared" si="2870"/>
        <v>2</v>
      </c>
      <c r="AJ905" s="60"/>
      <c r="AK905" s="58"/>
      <c r="AL905" s="62">
        <f t="shared" si="2871"/>
        <v>2</v>
      </c>
      <c r="AM905" s="60"/>
      <c r="AN905" s="58"/>
      <c r="AO905" s="62">
        <f t="shared" si="2872"/>
        <v>2</v>
      </c>
      <c r="AP905" s="60"/>
      <c r="AQ905" s="58"/>
      <c r="AR905" s="62">
        <f t="shared" si="2873"/>
        <v>2</v>
      </c>
      <c r="AS905" s="60"/>
      <c r="AT905" s="58"/>
      <c r="AU905" s="165">
        <f t="shared" si="2874"/>
        <v>2</v>
      </c>
      <c r="AV905" s="151">
        <f t="shared" si="2875"/>
        <v>0</v>
      </c>
      <c r="AW905" s="83">
        <f t="shared" si="2875"/>
        <v>0</v>
      </c>
      <c r="AX905" s="64">
        <f t="shared" si="2876"/>
        <v>0</v>
      </c>
      <c r="AY905" s="65" t="e">
        <f t="shared" si="2877"/>
        <v>#DIV/0!</v>
      </c>
      <c r="AZ905" s="66">
        <f t="shared" si="2878"/>
        <v>0</v>
      </c>
      <c r="BA905" s="67">
        <v>2</v>
      </c>
      <c r="BB905" s="68">
        <v>1</v>
      </c>
      <c r="BC905" s="84">
        <f t="shared" si="2857"/>
        <v>2</v>
      </c>
      <c r="BD905" s="83">
        <f t="shared" si="2849"/>
        <v>1</v>
      </c>
      <c r="BE905" s="85">
        <v>2</v>
      </c>
      <c r="BF905" s="86">
        <v>43330.551921296297</v>
      </c>
      <c r="BG905" s="72" t="e">
        <f t="shared" ref="BG905:BG933" si="2880">BG904</f>
        <v>#REF!</v>
      </c>
      <c r="BH905" s="87" t="e">
        <f t="shared" si="2879"/>
        <v>#REF!</v>
      </c>
      <c r="BI905" s="80" t="e">
        <f t="shared" si="2850"/>
        <v>#REF!</v>
      </c>
      <c r="BJ905" s="238">
        <v>9500</v>
      </c>
    </row>
    <row r="906" spans="1:62" ht="13">
      <c r="A906" s="49"/>
      <c r="B906" s="50"/>
      <c r="C906" s="51">
        <v>904</v>
      </c>
      <c r="D906" s="108" t="s">
        <v>1924</v>
      </c>
      <c r="E906" s="78">
        <v>33</v>
      </c>
      <c r="F906" s="80" t="s">
        <v>944</v>
      </c>
      <c r="G906" s="207" t="s">
        <v>945</v>
      </c>
      <c r="H906" s="81" t="s">
        <v>943</v>
      </c>
      <c r="I906" s="80" t="s">
        <v>458</v>
      </c>
      <c r="J906" s="82">
        <f t="shared" si="2862"/>
        <v>1</v>
      </c>
      <c r="K906" s="80">
        <v>1</v>
      </c>
      <c r="L906" s="57"/>
      <c r="M906" s="58"/>
      <c r="N906" s="59">
        <f t="shared" si="2863"/>
        <v>1</v>
      </c>
      <c r="O906" s="60"/>
      <c r="P906" s="58"/>
      <c r="Q906" s="59">
        <f t="shared" si="2864"/>
        <v>1</v>
      </c>
      <c r="R906" s="60"/>
      <c r="S906" s="58"/>
      <c r="T906" s="61">
        <f t="shared" si="2865"/>
        <v>1</v>
      </c>
      <c r="U906" s="60"/>
      <c r="V906" s="58"/>
      <c r="W906" s="59">
        <f t="shared" si="2866"/>
        <v>1</v>
      </c>
      <c r="X906" s="60"/>
      <c r="Y906" s="58"/>
      <c r="Z906" s="61">
        <f t="shared" si="2867"/>
        <v>1</v>
      </c>
      <c r="AA906" s="60"/>
      <c r="AB906" s="58"/>
      <c r="AC906" s="59">
        <f t="shared" si="2868"/>
        <v>1</v>
      </c>
      <c r="AD906" s="57"/>
      <c r="AE906" s="58"/>
      <c r="AF906" s="243">
        <f t="shared" si="2869"/>
        <v>1</v>
      </c>
      <c r="AG906" s="60"/>
      <c r="AH906" s="58"/>
      <c r="AI906" s="62">
        <f t="shared" si="2870"/>
        <v>1</v>
      </c>
      <c r="AJ906" s="60"/>
      <c r="AK906" s="58"/>
      <c r="AL906" s="62">
        <f t="shared" si="2871"/>
        <v>1</v>
      </c>
      <c r="AM906" s="60"/>
      <c r="AN906" s="58"/>
      <c r="AO906" s="62">
        <f t="shared" si="2872"/>
        <v>1</v>
      </c>
      <c r="AP906" s="60"/>
      <c r="AQ906" s="58"/>
      <c r="AR906" s="104">
        <f t="shared" si="2873"/>
        <v>1</v>
      </c>
      <c r="AS906" s="57"/>
      <c r="AT906" s="58"/>
      <c r="AU906" s="165">
        <f t="shared" si="2874"/>
        <v>1</v>
      </c>
      <c r="AV906" s="151">
        <f t="shared" si="2875"/>
        <v>0</v>
      </c>
      <c r="AW906" s="83">
        <f t="shared" si="2875"/>
        <v>0</v>
      </c>
      <c r="AX906" s="64">
        <f t="shared" si="2876"/>
        <v>0</v>
      </c>
      <c r="AY906" s="65" t="e">
        <f t="shared" si="2877"/>
        <v>#DIV/0!</v>
      </c>
      <c r="AZ906" s="66">
        <f t="shared" si="2878"/>
        <v>0</v>
      </c>
      <c r="BA906" s="67">
        <f>MAX(0, Table176252626[[#This Row],[Column6]])</f>
        <v>1</v>
      </c>
      <c r="BB906" s="68">
        <v>0</v>
      </c>
      <c r="BC906" s="84">
        <f t="shared" si="2857"/>
        <v>1</v>
      </c>
      <c r="BD906" s="83">
        <f t="shared" si="2849"/>
        <v>1</v>
      </c>
      <c r="BE906" s="85">
        <v>2</v>
      </c>
      <c r="BF906" s="86">
        <v>45371.581979166665</v>
      </c>
      <c r="BG906" s="72" t="e">
        <f t="shared" si="2880"/>
        <v>#REF!</v>
      </c>
      <c r="BH906" s="87" t="e">
        <f t="shared" si="2879"/>
        <v>#REF!</v>
      </c>
      <c r="BI906" s="80" t="e">
        <f t="shared" si="2850"/>
        <v>#REF!</v>
      </c>
      <c r="BJ906" s="238">
        <v>18000</v>
      </c>
    </row>
    <row r="907" spans="1:62" ht="13">
      <c r="A907" s="49"/>
      <c r="B907" s="50"/>
      <c r="C907" s="51">
        <v>905</v>
      </c>
      <c r="D907" s="108" t="s">
        <v>1924</v>
      </c>
      <c r="E907" s="78">
        <v>40</v>
      </c>
      <c r="F907" s="88" t="s">
        <v>473</v>
      </c>
      <c r="G907" s="89" t="s">
        <v>1555</v>
      </c>
      <c r="H907" s="89" t="s">
        <v>1542</v>
      </c>
      <c r="I907" s="80" t="s">
        <v>458</v>
      </c>
      <c r="J907" s="93">
        <f t="shared" ref="J907" si="2881">AU907</f>
        <v>3</v>
      </c>
      <c r="K907" s="80">
        <v>3</v>
      </c>
      <c r="L907" s="58"/>
      <c r="M907" s="58"/>
      <c r="N907" s="62">
        <f t="shared" ref="N907" si="2882">SUM(K907+L907-M907)</f>
        <v>3</v>
      </c>
      <c r="O907" s="60"/>
      <c r="P907" s="58"/>
      <c r="Q907" s="62">
        <f t="shared" ref="Q907" si="2883">SUM(N907+O907-P907)</f>
        <v>3</v>
      </c>
      <c r="R907" s="60"/>
      <c r="S907" s="58"/>
      <c r="T907" s="94">
        <f t="shared" ref="T907" si="2884">SUM(Q907+R907-S907)</f>
        <v>3</v>
      </c>
      <c r="U907" s="60"/>
      <c r="V907" s="58"/>
      <c r="W907" s="62">
        <f t="shared" ref="W907" si="2885">SUM(T907+U907-V907)</f>
        <v>3</v>
      </c>
      <c r="X907" s="60"/>
      <c r="Y907" s="58"/>
      <c r="Z907" s="94">
        <f t="shared" ref="Z907" si="2886">SUM(W907+X907-Y907)</f>
        <v>3</v>
      </c>
      <c r="AA907" s="60"/>
      <c r="AB907" s="58"/>
      <c r="AC907" s="62">
        <f t="shared" ref="AC907" si="2887">SUM(Z907+AA907-AB907)</f>
        <v>3</v>
      </c>
      <c r="AD907" s="57"/>
      <c r="AE907" s="58"/>
      <c r="AF907" s="165">
        <f t="shared" ref="AF907" si="2888">SUM(AC907+AD907-AE907)</f>
        <v>3</v>
      </c>
      <c r="AG907" s="60"/>
      <c r="AH907" s="58"/>
      <c r="AI907" s="62">
        <f t="shared" ref="AI907" si="2889">SUM(AF907+AG907-AH907)</f>
        <v>3</v>
      </c>
      <c r="AJ907" s="60"/>
      <c r="AK907" s="58"/>
      <c r="AL907" s="62">
        <f t="shared" ref="AL907" si="2890">SUM(AI907+AJ907-AK907)</f>
        <v>3</v>
      </c>
      <c r="AM907" s="60"/>
      <c r="AN907" s="58"/>
      <c r="AO907" s="62">
        <f t="shared" ref="AO907" si="2891">SUM(AL907+AM907-AN907)</f>
        <v>3</v>
      </c>
      <c r="AP907" s="60"/>
      <c r="AQ907" s="58"/>
      <c r="AR907" s="62">
        <f t="shared" ref="AR907" si="2892">SUM(AO907+AP907-AQ907)</f>
        <v>3</v>
      </c>
      <c r="AS907" s="60"/>
      <c r="AT907" s="58"/>
      <c r="AU907" s="62">
        <f t="shared" ref="AU907" si="2893">SUM(AR907+AS907-AT907)</f>
        <v>3</v>
      </c>
      <c r="AV907" s="96">
        <f t="shared" ref="AV907:AW916" si="2894">SUM(L907+O907+R907+U907+X907+AA907+AD907+AG907+AJ907+AM907+AP907+AS907)</f>
        <v>0</v>
      </c>
      <c r="AW907" s="83">
        <f t="shared" si="2894"/>
        <v>0</v>
      </c>
      <c r="AX907" s="98">
        <f t="shared" ref="AX907" si="2895">SUM(M907,P907,S907,V907,Y907,AB907,AE907,AH907,AK907,AN907,AQ907,AT907)</f>
        <v>0</v>
      </c>
      <c r="AY907" s="99" t="e">
        <f t="shared" ref="AY907" si="2896">AVERAGE(M907,P907,S907,V907,Y907,AB907,AE907,AH907,AK907,AN907,AQ907,AT907)</f>
        <v>#DIV/0!</v>
      </c>
      <c r="AZ907" s="100">
        <f t="shared" ref="AZ907" si="2897">COUNT(M907,P907,S907,V907,Y907,AB907,AE907,AH907,AK907,AN907,AQ907,AT907)</f>
        <v>0</v>
      </c>
      <c r="BA907" s="101">
        <v>3</v>
      </c>
      <c r="BB907" s="102">
        <v>1</v>
      </c>
      <c r="BC907" s="84">
        <f t="shared" si="2857"/>
        <v>3</v>
      </c>
      <c r="BD907" s="83">
        <f t="shared" si="2849"/>
        <v>2</v>
      </c>
      <c r="BE907" s="85">
        <v>2</v>
      </c>
      <c r="BF907" s="86">
        <v>45388.390335648146</v>
      </c>
      <c r="BG907" s="72" t="e">
        <f t="shared" si="2880"/>
        <v>#REF!</v>
      </c>
      <c r="BH907" s="103" t="e">
        <f t="shared" ref="BH907" si="2898">BG907-BF907</f>
        <v>#REF!</v>
      </c>
      <c r="BI907" s="80" t="e">
        <f t="shared" si="2850"/>
        <v>#REF!</v>
      </c>
      <c r="BJ907" s="238">
        <v>1160</v>
      </c>
    </row>
    <row r="908" spans="1:62" ht="13">
      <c r="A908" s="49"/>
      <c r="B908" s="50"/>
      <c r="C908" s="51">
        <v>906</v>
      </c>
      <c r="D908" s="108" t="s">
        <v>1924</v>
      </c>
      <c r="E908" s="78">
        <v>41</v>
      </c>
      <c r="F908" s="80" t="s">
        <v>926</v>
      </c>
      <c r="G908" s="81" t="s">
        <v>927</v>
      </c>
      <c r="H908" s="81" t="s">
        <v>1503</v>
      </c>
      <c r="I908" s="80" t="s">
        <v>458</v>
      </c>
      <c r="J908" s="82">
        <f>AU908</f>
        <v>1</v>
      </c>
      <c r="K908" s="80">
        <v>1</v>
      </c>
      <c r="L908" s="57"/>
      <c r="M908" s="58"/>
      <c r="N908" s="59">
        <f>SUM(K908+L908-M908)</f>
        <v>1</v>
      </c>
      <c r="O908" s="60"/>
      <c r="P908" s="58"/>
      <c r="Q908" s="59">
        <f>SUM(N908+O908-P908)</f>
        <v>1</v>
      </c>
      <c r="R908" s="60"/>
      <c r="S908" s="58"/>
      <c r="T908" s="61">
        <f>SUM(Q908+R908-S908)</f>
        <v>1</v>
      </c>
      <c r="U908" s="60"/>
      <c r="V908" s="58"/>
      <c r="W908" s="59">
        <f>SUM(T908+U908-V908)</f>
        <v>1</v>
      </c>
      <c r="X908" s="60"/>
      <c r="Y908" s="58"/>
      <c r="Z908" s="61">
        <f>SUM(W908+X908-Y908)</f>
        <v>1</v>
      </c>
      <c r="AA908" s="60"/>
      <c r="AB908" s="58"/>
      <c r="AC908" s="59">
        <f>SUM(Z908+AA908-AB908)</f>
        <v>1</v>
      </c>
      <c r="AD908" s="57"/>
      <c r="AE908" s="58"/>
      <c r="AF908" s="243">
        <f>SUM(AC908+AD908-AE908)</f>
        <v>1</v>
      </c>
      <c r="AG908" s="60"/>
      <c r="AH908" s="58"/>
      <c r="AI908" s="62">
        <f>SUM(AF908+AG908-AH908)</f>
        <v>1</v>
      </c>
      <c r="AJ908" s="60"/>
      <c r="AK908" s="58"/>
      <c r="AL908" s="62">
        <f>SUM(AI908+AJ908-AK908)</f>
        <v>1</v>
      </c>
      <c r="AM908" s="60"/>
      <c r="AN908" s="58"/>
      <c r="AO908" s="62">
        <f t="shared" ref="AO908:AO919" si="2899">SUM(AL908+AM908-AN908)</f>
        <v>1</v>
      </c>
      <c r="AP908" s="60"/>
      <c r="AQ908" s="58"/>
      <c r="AR908" s="104">
        <f t="shared" ref="AR908:AR918" si="2900">SUM(AO908+AP908-AQ908)</f>
        <v>1</v>
      </c>
      <c r="AS908" s="57"/>
      <c r="AT908" s="58"/>
      <c r="AU908" s="62">
        <f>SUM(AR908+AS908-AT908)</f>
        <v>1</v>
      </c>
      <c r="AV908" s="83">
        <f>SUM(L908+O908+R908+U908+X908+AA908+AD908+AG908+AJ908+AM908+AP908+AS908)</f>
        <v>0</v>
      </c>
      <c r="AW908" s="83">
        <f t="shared" si="2894"/>
        <v>0</v>
      </c>
      <c r="AX908" s="64">
        <f>SUM(M908,P908,S908,V908,Y908,AB908,AE908,AH908,AK908,AN908,AQ908,AT908)</f>
        <v>0</v>
      </c>
      <c r="AY908" s="65" t="e">
        <f>AVERAGE(M908,P908,S908,V908,Y908,AB908,AE908,AH908,AK908,AN908,AQ908,AT908)</f>
        <v>#DIV/0!</v>
      </c>
      <c r="AZ908" s="66">
        <f>COUNT(M908,P908,S908,V908,Y908,AB908,AE908,AH908,AK908,AN908,AQ908,AT908)</f>
        <v>0</v>
      </c>
      <c r="BA908" s="67">
        <f>MAX(0, Table176252626[[#This Row],[Column6]])</f>
        <v>1</v>
      </c>
      <c r="BB908" s="68">
        <v>0</v>
      </c>
      <c r="BC908" s="84">
        <f t="shared" si="2857"/>
        <v>1</v>
      </c>
      <c r="BD908" s="83">
        <f t="shared" si="2849"/>
        <v>1</v>
      </c>
      <c r="BE908" s="85">
        <v>2</v>
      </c>
      <c r="BF908" s="86">
        <v>45005.618541666663</v>
      </c>
      <c r="BG908" s="72" t="e">
        <f t="shared" si="2880"/>
        <v>#REF!</v>
      </c>
      <c r="BH908" s="87" t="e">
        <f t="shared" ref="BH908:BH921" si="2901">BG908-BF908</f>
        <v>#REF!</v>
      </c>
      <c r="BI908" s="80" t="e">
        <f t="shared" si="2850"/>
        <v>#REF!</v>
      </c>
      <c r="BJ908" s="238">
        <v>5040</v>
      </c>
    </row>
    <row r="909" spans="1:62" ht="13">
      <c r="A909" s="75"/>
      <c r="B909" s="76"/>
      <c r="C909" s="51">
        <v>907</v>
      </c>
      <c r="D909" s="108" t="s">
        <v>1924</v>
      </c>
      <c r="E909" s="78">
        <v>42</v>
      </c>
      <c r="F909" s="80" t="s">
        <v>924</v>
      </c>
      <c r="G909" s="81" t="s">
        <v>925</v>
      </c>
      <c r="H909" s="81" t="s">
        <v>1503</v>
      </c>
      <c r="I909" s="80" t="s">
        <v>458</v>
      </c>
      <c r="J909" s="82">
        <f>AU909</f>
        <v>2</v>
      </c>
      <c r="K909" s="80">
        <v>2</v>
      </c>
      <c r="L909" s="57"/>
      <c r="M909" s="58"/>
      <c r="N909" s="59">
        <f>SUM(K909+L909-M909)</f>
        <v>2</v>
      </c>
      <c r="O909" s="60"/>
      <c r="P909" s="58"/>
      <c r="Q909" s="59">
        <f>SUM(N909+O909-P909)</f>
        <v>2</v>
      </c>
      <c r="R909" s="60"/>
      <c r="S909" s="58"/>
      <c r="T909" s="61">
        <f>SUM(Q909+R909-S909)</f>
        <v>2</v>
      </c>
      <c r="U909" s="60"/>
      <c r="V909" s="58"/>
      <c r="W909" s="59">
        <f>SUM(T909+U909-V909)</f>
        <v>2</v>
      </c>
      <c r="X909" s="60"/>
      <c r="Y909" s="58"/>
      <c r="Z909" s="61">
        <f>SUM(W909+X909-Y909)</f>
        <v>2</v>
      </c>
      <c r="AA909" s="60"/>
      <c r="AB909" s="58"/>
      <c r="AC909" s="59">
        <f>SUM(Z909+AA909-AB909)</f>
        <v>2</v>
      </c>
      <c r="AD909" s="57"/>
      <c r="AE909" s="58"/>
      <c r="AF909" s="243">
        <f>SUM(AC909+AD909-AE909)</f>
        <v>2</v>
      </c>
      <c r="AG909" s="60"/>
      <c r="AH909" s="58"/>
      <c r="AI909" s="62">
        <f>SUM(AF909+AG909-AH909)</f>
        <v>2</v>
      </c>
      <c r="AJ909" s="60"/>
      <c r="AK909" s="58"/>
      <c r="AL909" s="62">
        <f>SUM(AI909+AJ909-AK909)</f>
        <v>2</v>
      </c>
      <c r="AM909" s="60"/>
      <c r="AN909" s="58"/>
      <c r="AO909" s="62">
        <f t="shared" si="2899"/>
        <v>2</v>
      </c>
      <c r="AP909" s="60"/>
      <c r="AQ909" s="58"/>
      <c r="AR909" s="104">
        <f t="shared" si="2900"/>
        <v>2</v>
      </c>
      <c r="AS909" s="57"/>
      <c r="AT909" s="58"/>
      <c r="AU909" s="62">
        <f>SUM(AR909+AS909-AT909)</f>
        <v>2</v>
      </c>
      <c r="AV909" s="83">
        <f>SUM(L909+O909+R909+U909+X909+AA909+AD909+AG909+AJ909+AM909+AP909+AS909)</f>
        <v>0</v>
      </c>
      <c r="AW909" s="83">
        <f t="shared" si="2894"/>
        <v>0</v>
      </c>
      <c r="AX909" s="64">
        <f>SUM(M909,P909,S909,V909,Y909,AB909,AE909,AH909,AK909,AN909,AQ909,AT909)</f>
        <v>0</v>
      </c>
      <c r="AY909" s="65" t="e">
        <f>AVERAGE(M909,P909,S909,V909,Y909,AB909,AE909,AH909,AK909,AN909,AQ909,AT909)</f>
        <v>#DIV/0!</v>
      </c>
      <c r="AZ909" s="66">
        <f>COUNT(M909,P909,S909,V909,Y909,AB909,AE909,AH909,AK909,AN909,AQ909,AT909)</f>
        <v>0</v>
      </c>
      <c r="BA909" s="67">
        <v>2</v>
      </c>
      <c r="BB909" s="68">
        <v>1</v>
      </c>
      <c r="BC909" s="84">
        <f t="shared" si="2857"/>
        <v>2</v>
      </c>
      <c r="BD909" s="83">
        <f t="shared" si="2849"/>
        <v>1</v>
      </c>
      <c r="BE909" s="85">
        <v>2</v>
      </c>
      <c r="BF909" s="86">
        <v>45005.618541666663</v>
      </c>
      <c r="BG909" s="72" t="e">
        <f t="shared" si="2880"/>
        <v>#REF!</v>
      </c>
      <c r="BH909" s="87" t="e">
        <f t="shared" si="2901"/>
        <v>#REF!</v>
      </c>
      <c r="BI909" s="80" t="e">
        <f t="shared" si="2850"/>
        <v>#REF!</v>
      </c>
      <c r="BJ909" s="238">
        <v>15760</v>
      </c>
    </row>
    <row r="910" spans="1:62" ht="13">
      <c r="A910" s="75"/>
      <c r="B910" s="76"/>
      <c r="C910" s="77">
        <v>908</v>
      </c>
      <c r="D910" s="127"/>
      <c r="E910" s="127"/>
      <c r="F910" s="80" t="s">
        <v>726</v>
      </c>
      <c r="G910" s="81" t="s">
        <v>727</v>
      </c>
      <c r="H910" s="81" t="s">
        <v>290</v>
      </c>
      <c r="I910" s="80" t="s">
        <v>314</v>
      </c>
      <c r="J910" s="82">
        <f>AU910</f>
        <v>1</v>
      </c>
      <c r="K910" s="80">
        <v>1</v>
      </c>
      <c r="L910" s="57"/>
      <c r="M910" s="58"/>
      <c r="N910" s="59">
        <f>SUM(K910+L910-M910)</f>
        <v>1</v>
      </c>
      <c r="O910" s="60"/>
      <c r="P910" s="58"/>
      <c r="Q910" s="59">
        <f>SUM(N910+O910-P910)</f>
        <v>1</v>
      </c>
      <c r="R910" s="60"/>
      <c r="S910" s="58"/>
      <c r="T910" s="61">
        <f>SUM(Q910+R910-S910)</f>
        <v>1</v>
      </c>
      <c r="U910" s="60"/>
      <c r="V910" s="58"/>
      <c r="W910" s="59">
        <f>SUM(T910+U910-V910)</f>
        <v>1</v>
      </c>
      <c r="X910" s="60"/>
      <c r="Y910" s="58"/>
      <c r="Z910" s="61">
        <f>SUM(W910+X910-Y910)</f>
        <v>1</v>
      </c>
      <c r="AA910" s="60"/>
      <c r="AB910" s="58"/>
      <c r="AC910" s="59">
        <f>SUM(Z910+AA910-AB910)</f>
        <v>1</v>
      </c>
      <c r="AD910" s="57"/>
      <c r="AE910" s="58"/>
      <c r="AF910" s="243">
        <f>SUM(AC910+AD910-AE910)</f>
        <v>1</v>
      </c>
      <c r="AG910" s="60"/>
      <c r="AH910" s="58"/>
      <c r="AI910" s="62">
        <f>SUM(AF910+AG910-AH910)</f>
        <v>1</v>
      </c>
      <c r="AJ910" s="60"/>
      <c r="AK910" s="58"/>
      <c r="AL910" s="62">
        <f>SUM(AI910+AJ910-AK910)</f>
        <v>1</v>
      </c>
      <c r="AM910" s="60"/>
      <c r="AN910" s="58"/>
      <c r="AO910" s="62">
        <f>SUM(AL910+AM910-AN910)</f>
        <v>1</v>
      </c>
      <c r="AP910" s="60"/>
      <c r="AQ910" s="58"/>
      <c r="AR910" s="62">
        <f>SUM(AO910+AP910-AQ910)</f>
        <v>1</v>
      </c>
      <c r="AS910" s="60"/>
      <c r="AT910" s="58"/>
      <c r="AU910" s="62">
        <f>SUM(AR910+AS910-AT910)</f>
        <v>1</v>
      </c>
      <c r="AV910" s="83">
        <f>SUM(L910+O910+R910+U910+X910+AA910+AD910+AG910+AJ910+AM910+AP910+AS910)</f>
        <v>0</v>
      </c>
      <c r="AW910" s="83">
        <f>SUM(M910+P910+S910+V910+Y910+AB910+AE910+AH910+AK910+AN910+AQ910+AT910)</f>
        <v>0</v>
      </c>
      <c r="AX910" s="64">
        <f>SUM(M910,P910,S910,V910,Y910,AB910,AE910,AH910,AK910,AN910,AQ910,AT910)</f>
        <v>0</v>
      </c>
      <c r="AY910" s="65" t="e">
        <f>AVERAGE(M910,P910,S910,V910,Y910,AB910,AE910,AH910,AK910,AN910,AQ910,AT910)</f>
        <v>#DIV/0!</v>
      </c>
      <c r="AZ910" s="66">
        <f>COUNT(M910,P910,S910,V910,Y910,AB910,AE910,AH910,AK910,AN910,AQ910,AT910)</f>
        <v>0</v>
      </c>
      <c r="BA910" s="67">
        <f>MAX(0, Table176252626[[#This Row],[Column6]])</f>
        <v>1</v>
      </c>
      <c r="BB910" s="68">
        <v>0</v>
      </c>
      <c r="BC910" s="84">
        <f>J910</f>
        <v>1</v>
      </c>
      <c r="BD910" s="83">
        <f>SUM(BC910-BB910)</f>
        <v>1</v>
      </c>
      <c r="BE910" s="85">
        <v>2</v>
      </c>
      <c r="BF910" s="86">
        <v>43591.347442129627</v>
      </c>
      <c r="BG910" s="72" t="e">
        <f t="shared" si="2880"/>
        <v>#REF!</v>
      </c>
      <c r="BH910" s="87" t="e">
        <f>BG910-BF910</f>
        <v>#REF!</v>
      </c>
      <c r="BI910" s="80" t="e">
        <f>IF(AND(J910&gt;0,BH910&gt;365),"Dead Stock","")</f>
        <v>#REF!</v>
      </c>
      <c r="BJ910" s="238">
        <v>313.60000000000002</v>
      </c>
    </row>
    <row r="911" spans="1:62" ht="13">
      <c r="A911" s="49"/>
      <c r="B911" s="50"/>
      <c r="C911" s="77">
        <v>909</v>
      </c>
      <c r="D911" s="203" t="s">
        <v>291</v>
      </c>
      <c r="E911" s="144">
        <v>1</v>
      </c>
      <c r="F911" s="80" t="s">
        <v>550</v>
      </c>
      <c r="G911" s="81" t="s">
        <v>820</v>
      </c>
      <c r="H911" s="81" t="s">
        <v>291</v>
      </c>
      <c r="I911" s="80" t="s">
        <v>1239</v>
      </c>
      <c r="J911" s="82">
        <f t="shared" ref="J911:J916" si="2902">AU911</f>
        <v>0</v>
      </c>
      <c r="K911" s="80">
        <v>0</v>
      </c>
      <c r="L911" s="57">
        <v>80</v>
      </c>
      <c r="M911" s="58">
        <v>80</v>
      </c>
      <c r="N911" s="59">
        <f t="shared" ref="N911:N916" si="2903">SUM(K911+L911-M911)</f>
        <v>0</v>
      </c>
      <c r="O911" s="60">
        <v>80</v>
      </c>
      <c r="P911" s="58">
        <v>80</v>
      </c>
      <c r="Q911" s="59">
        <f t="shared" ref="Q911:Q916" si="2904">SUM(N911+O911-P911)</f>
        <v>0</v>
      </c>
      <c r="R911" s="60">
        <v>80</v>
      </c>
      <c r="S911" s="58">
        <v>80</v>
      </c>
      <c r="T911" s="61">
        <f t="shared" ref="T911:T916" si="2905">SUM(Q911+R911-S911)</f>
        <v>0</v>
      </c>
      <c r="U911" s="60">
        <v>80</v>
      </c>
      <c r="V911" s="58">
        <v>80</v>
      </c>
      <c r="W911" s="59">
        <f t="shared" ref="W911:W916" si="2906">SUM(T911+U911-V911)</f>
        <v>0</v>
      </c>
      <c r="X911" s="60">
        <v>80</v>
      </c>
      <c r="Y911" s="58">
        <v>80</v>
      </c>
      <c r="Z911" s="61">
        <f t="shared" ref="Z911:Z916" si="2907">SUM(W911+X911-Y911)</f>
        <v>0</v>
      </c>
      <c r="AA911" s="60">
        <v>80</v>
      </c>
      <c r="AB911" s="58">
        <v>80</v>
      </c>
      <c r="AC911" s="59">
        <f t="shared" ref="AC911:AC916" si="2908">SUM(Z911+AA911-AB911)</f>
        <v>0</v>
      </c>
      <c r="AD911" s="57">
        <v>80</v>
      </c>
      <c r="AE911" s="58">
        <v>80</v>
      </c>
      <c r="AF911" s="243">
        <f>SUM(AC911+AD911-AE911)</f>
        <v>0</v>
      </c>
      <c r="AG911" s="60">
        <v>80</v>
      </c>
      <c r="AH911" s="58">
        <v>80</v>
      </c>
      <c r="AI911" s="62">
        <f t="shared" ref="AI911:AI916" si="2909">SUM(AF911+AG911-AH911)</f>
        <v>0</v>
      </c>
      <c r="AJ911" s="60"/>
      <c r="AK911" s="58"/>
      <c r="AL911" s="62">
        <f t="shared" ref="AL911:AL916" si="2910">SUM(AI911+AJ911-AK911)</f>
        <v>0</v>
      </c>
      <c r="AM911" s="60"/>
      <c r="AN911" s="58"/>
      <c r="AO911" s="62">
        <f t="shared" si="2899"/>
        <v>0</v>
      </c>
      <c r="AP911" s="60"/>
      <c r="AQ911" s="58"/>
      <c r="AR911" s="104">
        <f t="shared" si="2900"/>
        <v>0</v>
      </c>
      <c r="AS911" s="57"/>
      <c r="AT911" s="58"/>
      <c r="AU911" s="62">
        <f t="shared" ref="AU911:AU916" si="2911">SUM(AR911+AS911-AT911)</f>
        <v>0</v>
      </c>
      <c r="AV911" s="128">
        <f t="shared" ref="AV911:AV916" si="2912">SUM(L911+O911+R911+U911+X911+AA911+AD911+AG911+AJ911+AM911+AP911+AS911)</f>
        <v>640</v>
      </c>
      <c r="AW911" s="83">
        <f t="shared" si="2894"/>
        <v>640</v>
      </c>
      <c r="AX911" s="64">
        <f t="shared" ref="AX911:AX916" si="2913">SUM(M911,P911,S911,V911,Y911,AB911,AE911,AH911,AK911,AN911,AQ911,AT911)</f>
        <v>640</v>
      </c>
      <c r="AY911" s="65">
        <f t="shared" ref="AY911:AY916" si="2914">AVERAGE(M911,P911,S911,V911,Y911,AB911,AE911,AH911,AK911,AN911,AQ911,AT911)</f>
        <v>80</v>
      </c>
      <c r="AZ911" s="66">
        <f t="shared" ref="AZ911:AZ916" si="2915">COUNT(M911,P911,S911,V911,Y911,AB911,AE911,AH911,AK911,AN911,AQ911,AT911)</f>
        <v>8</v>
      </c>
      <c r="BA911" s="67">
        <f>MAX(M911,P911,S911,V911,Y911,AB911,AE911,AH911,AK911,AN911,AQ911,AT911)</f>
        <v>80</v>
      </c>
      <c r="BB911" s="68">
        <v>0</v>
      </c>
      <c r="BC911" s="84">
        <f t="shared" si="2857"/>
        <v>0</v>
      </c>
      <c r="BD911" s="83">
        <f t="shared" si="2849"/>
        <v>0</v>
      </c>
      <c r="BE911" s="85">
        <v>2</v>
      </c>
      <c r="BF911" s="86"/>
      <c r="BG911" s="72" t="e">
        <f t="shared" si="2880"/>
        <v>#REF!</v>
      </c>
      <c r="BH911" s="107" t="e">
        <f t="shared" si="2901"/>
        <v>#REF!</v>
      </c>
      <c r="BI911" s="80" t="e">
        <f t="shared" si="2850"/>
        <v>#REF!</v>
      </c>
      <c r="BJ911" s="238">
        <v>123</v>
      </c>
    </row>
    <row r="912" spans="1:62" ht="13">
      <c r="A912" s="75"/>
      <c r="B912" s="76"/>
      <c r="C912" s="51">
        <v>910</v>
      </c>
      <c r="D912" s="203" t="s">
        <v>291</v>
      </c>
      <c r="E912" s="144">
        <v>2</v>
      </c>
      <c r="F912" s="90" t="s">
        <v>551</v>
      </c>
      <c r="G912" s="134" t="s">
        <v>2056</v>
      </c>
      <c r="H912" s="81" t="s">
        <v>291</v>
      </c>
      <c r="I912" s="80" t="s">
        <v>1239</v>
      </c>
      <c r="J912" s="82">
        <f t="shared" si="2902"/>
        <v>0</v>
      </c>
      <c r="K912" s="80">
        <v>0</v>
      </c>
      <c r="L912" s="57">
        <v>120</v>
      </c>
      <c r="M912" s="58">
        <v>120</v>
      </c>
      <c r="N912" s="59">
        <f t="shared" si="2903"/>
        <v>0</v>
      </c>
      <c r="O912" s="60">
        <v>120</v>
      </c>
      <c r="P912" s="58">
        <v>120</v>
      </c>
      <c r="Q912" s="59">
        <f t="shared" si="2904"/>
        <v>0</v>
      </c>
      <c r="R912" s="60">
        <v>120</v>
      </c>
      <c r="S912" s="58">
        <v>120</v>
      </c>
      <c r="T912" s="61">
        <f t="shared" si="2905"/>
        <v>0</v>
      </c>
      <c r="U912" s="60">
        <v>160</v>
      </c>
      <c r="V912" s="58">
        <v>160</v>
      </c>
      <c r="W912" s="59">
        <f t="shared" si="2906"/>
        <v>0</v>
      </c>
      <c r="X912" s="60">
        <v>160</v>
      </c>
      <c r="Y912" s="58">
        <v>160</v>
      </c>
      <c r="Z912" s="61">
        <f t="shared" si="2907"/>
        <v>0</v>
      </c>
      <c r="AA912" s="60">
        <v>160</v>
      </c>
      <c r="AB912" s="58">
        <v>160</v>
      </c>
      <c r="AC912" s="59">
        <f t="shared" si="2908"/>
        <v>0</v>
      </c>
      <c r="AD912" s="57">
        <v>160</v>
      </c>
      <c r="AE912" s="58">
        <v>160</v>
      </c>
      <c r="AF912" s="243">
        <f t="shared" ref="AF912:AF916" si="2916">SUM(AC912+AD912-AE912)</f>
        <v>0</v>
      </c>
      <c r="AG912" s="60">
        <v>160</v>
      </c>
      <c r="AH912" s="58">
        <v>160</v>
      </c>
      <c r="AI912" s="62">
        <f t="shared" si="2909"/>
        <v>0</v>
      </c>
      <c r="AJ912" s="60"/>
      <c r="AK912" s="58"/>
      <c r="AL912" s="62">
        <f t="shared" si="2910"/>
        <v>0</v>
      </c>
      <c r="AM912" s="60"/>
      <c r="AN912" s="58"/>
      <c r="AO912" s="62">
        <f t="shared" si="2899"/>
        <v>0</v>
      </c>
      <c r="AP912" s="60"/>
      <c r="AQ912" s="58"/>
      <c r="AR912" s="104">
        <f t="shared" si="2900"/>
        <v>0</v>
      </c>
      <c r="AS912" s="57"/>
      <c r="AT912" s="58"/>
      <c r="AU912" s="62">
        <f t="shared" si="2911"/>
        <v>0</v>
      </c>
      <c r="AV912" s="128">
        <f t="shared" si="2912"/>
        <v>1160</v>
      </c>
      <c r="AW912" s="83">
        <f t="shared" si="2894"/>
        <v>1160</v>
      </c>
      <c r="AX912" s="64">
        <f t="shared" si="2913"/>
        <v>1160</v>
      </c>
      <c r="AY912" s="65">
        <f t="shared" si="2914"/>
        <v>145</v>
      </c>
      <c r="AZ912" s="66">
        <f t="shared" si="2915"/>
        <v>8</v>
      </c>
      <c r="BA912" s="67">
        <v>1</v>
      </c>
      <c r="BB912" s="68">
        <v>0</v>
      </c>
      <c r="BC912" s="84">
        <f t="shared" si="2857"/>
        <v>0</v>
      </c>
      <c r="BD912" s="83">
        <f t="shared" si="2849"/>
        <v>0</v>
      </c>
      <c r="BE912" s="85">
        <v>2</v>
      </c>
      <c r="BF912" s="86"/>
      <c r="BG912" s="72" t="e">
        <f t="shared" si="2880"/>
        <v>#REF!</v>
      </c>
      <c r="BH912" s="107" t="e">
        <f t="shared" si="2901"/>
        <v>#REF!</v>
      </c>
      <c r="BI912" s="80" t="e">
        <f t="shared" si="2850"/>
        <v>#REF!</v>
      </c>
      <c r="BJ912" s="238">
        <v>123</v>
      </c>
    </row>
    <row r="913" spans="1:62" ht="13">
      <c r="A913" s="49"/>
      <c r="B913" s="76"/>
      <c r="C913" s="51">
        <v>911</v>
      </c>
      <c r="D913" s="203" t="s">
        <v>291</v>
      </c>
      <c r="E913" s="144">
        <v>3</v>
      </c>
      <c r="F913" s="80" t="s">
        <v>552</v>
      </c>
      <c r="G913" s="81" t="s">
        <v>553</v>
      </c>
      <c r="H913" s="81" t="s">
        <v>291</v>
      </c>
      <c r="I913" s="80" t="s">
        <v>1239</v>
      </c>
      <c r="J913" s="82">
        <f t="shared" si="2902"/>
        <v>25</v>
      </c>
      <c r="K913" s="80">
        <v>0</v>
      </c>
      <c r="L913" s="57">
        <v>100</v>
      </c>
      <c r="M913" s="58"/>
      <c r="N913" s="59">
        <f t="shared" si="2903"/>
        <v>100</v>
      </c>
      <c r="O913" s="60"/>
      <c r="P913" s="58">
        <f>25+25+25</f>
        <v>75</v>
      </c>
      <c r="Q913" s="59">
        <f t="shared" si="2904"/>
        <v>25</v>
      </c>
      <c r="R913" s="60">
        <v>100</v>
      </c>
      <c r="S913" s="58">
        <f>25+25+25+25</f>
        <v>100</v>
      </c>
      <c r="T913" s="61">
        <f t="shared" si="2905"/>
        <v>25</v>
      </c>
      <c r="U913" s="60">
        <v>100</v>
      </c>
      <c r="V913" s="58">
        <f>25+25+25</f>
        <v>75</v>
      </c>
      <c r="W913" s="59">
        <f t="shared" si="2906"/>
        <v>50</v>
      </c>
      <c r="X913" s="60">
        <v>100</v>
      </c>
      <c r="Y913" s="58">
        <f>25+25</f>
        <v>50</v>
      </c>
      <c r="Z913" s="61">
        <f t="shared" si="2907"/>
        <v>100</v>
      </c>
      <c r="AA913" s="60"/>
      <c r="AB913" s="58">
        <v>75</v>
      </c>
      <c r="AC913" s="59">
        <f t="shared" si="2908"/>
        <v>25</v>
      </c>
      <c r="AD913" s="57">
        <v>100</v>
      </c>
      <c r="AE913" s="58">
        <f>25+25</f>
        <v>50</v>
      </c>
      <c r="AF913" s="243">
        <f t="shared" si="2916"/>
        <v>75</v>
      </c>
      <c r="AG913" s="60"/>
      <c r="AH913" s="58">
        <f>25+25</f>
        <v>50</v>
      </c>
      <c r="AI913" s="62">
        <f t="shared" si="2909"/>
        <v>25</v>
      </c>
      <c r="AJ913" s="60"/>
      <c r="AK913" s="58"/>
      <c r="AL913" s="62">
        <f t="shared" si="2910"/>
        <v>25</v>
      </c>
      <c r="AM913" s="60"/>
      <c r="AN913" s="58"/>
      <c r="AO913" s="62">
        <f t="shared" si="2899"/>
        <v>25</v>
      </c>
      <c r="AP913" s="60"/>
      <c r="AQ913" s="58"/>
      <c r="AR913" s="104">
        <f t="shared" si="2900"/>
        <v>25</v>
      </c>
      <c r="AS913" s="57"/>
      <c r="AT913" s="58"/>
      <c r="AU913" s="62">
        <f t="shared" si="2911"/>
        <v>25</v>
      </c>
      <c r="AV913" s="128">
        <f t="shared" si="2912"/>
        <v>500</v>
      </c>
      <c r="AW913" s="83">
        <f t="shared" si="2894"/>
        <v>475</v>
      </c>
      <c r="AX913" s="64">
        <f t="shared" si="2913"/>
        <v>475</v>
      </c>
      <c r="AY913" s="65">
        <f t="shared" si="2914"/>
        <v>67.857142857142861</v>
      </c>
      <c r="AZ913" s="66">
        <f t="shared" si="2915"/>
        <v>7</v>
      </c>
      <c r="BA913" s="67">
        <f>MAX(0, Table176252626[[#This Row],[Column6]])</f>
        <v>25</v>
      </c>
      <c r="BB913" s="68">
        <v>1</v>
      </c>
      <c r="BC913" s="84">
        <f t="shared" si="2857"/>
        <v>25</v>
      </c>
      <c r="BD913" s="83">
        <f t="shared" si="2849"/>
        <v>24</v>
      </c>
      <c r="BE913" s="85">
        <v>2</v>
      </c>
      <c r="BF913" s="86">
        <v>46242</v>
      </c>
      <c r="BG913" s="72" t="e">
        <f t="shared" si="2880"/>
        <v>#REF!</v>
      </c>
      <c r="BH913" s="107" t="e">
        <f t="shared" si="2901"/>
        <v>#REF!</v>
      </c>
      <c r="BI913" s="80" t="e">
        <f t="shared" si="2850"/>
        <v>#REF!</v>
      </c>
      <c r="BJ913" s="238">
        <v>8</v>
      </c>
    </row>
    <row r="914" spans="1:62" ht="13">
      <c r="A914" s="49"/>
      <c r="B914" s="76"/>
      <c r="C914" s="51">
        <v>912</v>
      </c>
      <c r="D914" s="250" t="s">
        <v>1532</v>
      </c>
      <c r="E914" s="251">
        <v>1</v>
      </c>
      <c r="F914" s="80" t="s">
        <v>143</v>
      </c>
      <c r="G914" s="81" t="s">
        <v>907</v>
      </c>
      <c r="H914" s="81" t="s">
        <v>294</v>
      </c>
      <c r="I914" s="80" t="s">
        <v>803</v>
      </c>
      <c r="J914" s="82">
        <f t="shared" si="2902"/>
        <v>400</v>
      </c>
      <c r="K914" s="80">
        <v>700</v>
      </c>
      <c r="L914" s="57">
        <v>400</v>
      </c>
      <c r="M914" s="58">
        <f>200+200+20+200+20</f>
        <v>640</v>
      </c>
      <c r="N914" s="59">
        <f t="shared" si="2903"/>
        <v>460</v>
      </c>
      <c r="O914" s="60"/>
      <c r="P914" s="58">
        <v>160</v>
      </c>
      <c r="Q914" s="59">
        <f t="shared" si="2904"/>
        <v>300</v>
      </c>
      <c r="R914" s="60">
        <f>200+200</f>
        <v>400</v>
      </c>
      <c r="S914" s="58"/>
      <c r="T914" s="61">
        <f t="shared" si="2905"/>
        <v>700</v>
      </c>
      <c r="U914" s="60"/>
      <c r="V914" s="58">
        <v>100</v>
      </c>
      <c r="W914" s="59">
        <f t="shared" si="2906"/>
        <v>600</v>
      </c>
      <c r="X914" s="60"/>
      <c r="Y914" s="58"/>
      <c r="Z914" s="61">
        <f t="shared" si="2907"/>
        <v>600</v>
      </c>
      <c r="AA914" s="60"/>
      <c r="AB914" s="58"/>
      <c r="AC914" s="59">
        <f t="shared" si="2908"/>
        <v>600</v>
      </c>
      <c r="AD914" s="57">
        <v>200</v>
      </c>
      <c r="AE914" s="58">
        <f>100+100+100+100</f>
        <v>400</v>
      </c>
      <c r="AF914" s="243">
        <f t="shared" si="2916"/>
        <v>400</v>
      </c>
      <c r="AG914" s="60"/>
      <c r="AH914" s="58"/>
      <c r="AI914" s="62">
        <f t="shared" si="2909"/>
        <v>400</v>
      </c>
      <c r="AJ914" s="60"/>
      <c r="AK914" s="58"/>
      <c r="AL914" s="62">
        <f t="shared" si="2910"/>
        <v>400</v>
      </c>
      <c r="AM914" s="60"/>
      <c r="AN914" s="58"/>
      <c r="AO914" s="62">
        <f t="shared" si="2899"/>
        <v>400</v>
      </c>
      <c r="AP914" s="60"/>
      <c r="AQ914" s="58"/>
      <c r="AR914" s="104">
        <f t="shared" si="2900"/>
        <v>400</v>
      </c>
      <c r="AS914" s="57"/>
      <c r="AT914" s="58"/>
      <c r="AU914" s="62">
        <f t="shared" si="2911"/>
        <v>400</v>
      </c>
      <c r="AV914" s="128">
        <f t="shared" si="2912"/>
        <v>1000</v>
      </c>
      <c r="AW914" s="83">
        <f t="shared" si="2894"/>
        <v>1300</v>
      </c>
      <c r="AX914" s="64">
        <f t="shared" si="2913"/>
        <v>1300</v>
      </c>
      <c r="AY914" s="65">
        <f t="shared" si="2914"/>
        <v>325</v>
      </c>
      <c r="AZ914" s="66">
        <f t="shared" si="2915"/>
        <v>4</v>
      </c>
      <c r="BA914" s="67">
        <f>MAX(0, Table176252626[[#This Row],[Column6]])</f>
        <v>400</v>
      </c>
      <c r="BB914" s="68">
        <v>100</v>
      </c>
      <c r="BC914" s="84">
        <f t="shared" si="2857"/>
        <v>400</v>
      </c>
      <c r="BD914" s="83">
        <f t="shared" si="2849"/>
        <v>300</v>
      </c>
      <c r="BE914" s="85">
        <v>2</v>
      </c>
      <c r="BF914" s="86">
        <v>46212</v>
      </c>
      <c r="BG914" s="72" t="e">
        <f t="shared" si="2880"/>
        <v>#REF!</v>
      </c>
      <c r="BH914" s="107" t="e">
        <f t="shared" si="2901"/>
        <v>#REF!</v>
      </c>
      <c r="BI914" s="80" t="e">
        <f t="shared" si="2850"/>
        <v>#REF!</v>
      </c>
      <c r="BJ914" s="238">
        <v>25900</v>
      </c>
    </row>
    <row r="915" spans="1:62" ht="13">
      <c r="A915" s="49"/>
      <c r="B915" s="50"/>
      <c r="C915" s="51">
        <v>913</v>
      </c>
      <c r="D915" s="250" t="s">
        <v>1532</v>
      </c>
      <c r="E915" s="251">
        <v>2</v>
      </c>
      <c r="F915" s="80" t="s">
        <v>169</v>
      </c>
      <c r="G915" s="81" t="s">
        <v>908</v>
      </c>
      <c r="H915" s="81" t="s">
        <v>289</v>
      </c>
      <c r="I915" s="80" t="s">
        <v>800</v>
      </c>
      <c r="J915" s="82">
        <f t="shared" si="2902"/>
        <v>2</v>
      </c>
      <c r="K915" s="80">
        <v>3</v>
      </c>
      <c r="L915" s="57"/>
      <c r="M915" s="58">
        <v>1</v>
      </c>
      <c r="N915" s="59">
        <f t="shared" si="2903"/>
        <v>2</v>
      </c>
      <c r="O915" s="60">
        <v>2</v>
      </c>
      <c r="P915" s="58">
        <f>1+1+1</f>
        <v>3</v>
      </c>
      <c r="Q915" s="59">
        <f t="shared" si="2904"/>
        <v>1</v>
      </c>
      <c r="R915" s="60">
        <f>1+1+1+1+1</f>
        <v>5</v>
      </c>
      <c r="S915" s="58">
        <f>1+1</f>
        <v>2</v>
      </c>
      <c r="T915" s="61">
        <f t="shared" si="2905"/>
        <v>4</v>
      </c>
      <c r="U915" s="60">
        <v>2</v>
      </c>
      <c r="V915" s="58">
        <f>1+3</f>
        <v>4</v>
      </c>
      <c r="W915" s="59">
        <f t="shared" si="2906"/>
        <v>2</v>
      </c>
      <c r="X915" s="60"/>
      <c r="Y915" s="58">
        <v>1</v>
      </c>
      <c r="Z915" s="61">
        <f t="shared" si="2907"/>
        <v>1</v>
      </c>
      <c r="AA915" s="60">
        <f>2+1</f>
        <v>3</v>
      </c>
      <c r="AB915" s="58">
        <v>1</v>
      </c>
      <c r="AC915" s="59">
        <f t="shared" si="2908"/>
        <v>3</v>
      </c>
      <c r="AD915" s="57">
        <f>1+1</f>
        <v>2</v>
      </c>
      <c r="AE915" s="58">
        <f>1+1</f>
        <v>2</v>
      </c>
      <c r="AF915" s="243">
        <f t="shared" si="2916"/>
        <v>3</v>
      </c>
      <c r="AG915" s="60">
        <v>1</v>
      </c>
      <c r="AH915" s="58">
        <f>1+1</f>
        <v>2</v>
      </c>
      <c r="AI915" s="62">
        <f t="shared" si="2909"/>
        <v>2</v>
      </c>
      <c r="AJ915" s="60"/>
      <c r="AK915" s="58"/>
      <c r="AL915" s="62">
        <f t="shared" si="2910"/>
        <v>2</v>
      </c>
      <c r="AM915" s="60"/>
      <c r="AN915" s="58"/>
      <c r="AO915" s="62">
        <f t="shared" si="2899"/>
        <v>2</v>
      </c>
      <c r="AP915" s="60"/>
      <c r="AQ915" s="58"/>
      <c r="AR915" s="104">
        <f t="shared" si="2900"/>
        <v>2</v>
      </c>
      <c r="AS915" s="57"/>
      <c r="AT915" s="58"/>
      <c r="AU915" s="62">
        <f t="shared" si="2911"/>
        <v>2</v>
      </c>
      <c r="AV915" s="128">
        <f t="shared" si="2912"/>
        <v>15</v>
      </c>
      <c r="AW915" s="83">
        <f t="shared" si="2894"/>
        <v>16</v>
      </c>
      <c r="AX915" s="64">
        <f t="shared" si="2913"/>
        <v>16</v>
      </c>
      <c r="AY915" s="65">
        <f t="shared" si="2914"/>
        <v>2</v>
      </c>
      <c r="AZ915" s="66">
        <f t="shared" si="2915"/>
        <v>8</v>
      </c>
      <c r="BA915" s="67">
        <v>3</v>
      </c>
      <c r="BB915" s="68">
        <v>1</v>
      </c>
      <c r="BC915" s="84">
        <f t="shared" si="2857"/>
        <v>2</v>
      </c>
      <c r="BD915" s="83">
        <f t="shared" si="2849"/>
        <v>1</v>
      </c>
      <c r="BE915" s="85">
        <v>2</v>
      </c>
      <c r="BF915" s="86">
        <v>46218</v>
      </c>
      <c r="BG915" s="72" t="e">
        <f t="shared" si="2880"/>
        <v>#REF!</v>
      </c>
      <c r="BH915" s="107" t="e">
        <f t="shared" si="2901"/>
        <v>#REF!</v>
      </c>
      <c r="BI915" s="80" t="e">
        <f t="shared" si="2850"/>
        <v>#REF!</v>
      </c>
      <c r="BJ915" s="238">
        <v>25900</v>
      </c>
    </row>
    <row r="916" spans="1:62" ht="13">
      <c r="A916" s="75"/>
      <c r="B916" s="76"/>
      <c r="C916" s="77">
        <v>914</v>
      </c>
      <c r="D916" s="250" t="s">
        <v>1532</v>
      </c>
      <c r="E916" s="251">
        <v>3</v>
      </c>
      <c r="F916" s="80" t="s">
        <v>918</v>
      </c>
      <c r="G916" s="81" t="s">
        <v>919</v>
      </c>
      <c r="H916" s="81" t="s">
        <v>300</v>
      </c>
      <c r="I916" s="80" t="s">
        <v>800</v>
      </c>
      <c r="J916" s="82">
        <f t="shared" si="2902"/>
        <v>1</v>
      </c>
      <c r="K916" s="80">
        <v>1</v>
      </c>
      <c r="L916" s="57"/>
      <c r="M916" s="58"/>
      <c r="N916" s="59">
        <f t="shared" si="2903"/>
        <v>1</v>
      </c>
      <c r="O916" s="60"/>
      <c r="P916" s="58"/>
      <c r="Q916" s="59">
        <f t="shared" si="2904"/>
        <v>1</v>
      </c>
      <c r="R916" s="60"/>
      <c r="S916" s="58"/>
      <c r="T916" s="61">
        <f t="shared" si="2905"/>
        <v>1</v>
      </c>
      <c r="U916" s="60"/>
      <c r="V916" s="58"/>
      <c r="W916" s="59">
        <f t="shared" si="2906"/>
        <v>1</v>
      </c>
      <c r="X916" s="60">
        <f>1+3</f>
        <v>4</v>
      </c>
      <c r="Y916" s="58"/>
      <c r="Z916" s="61">
        <f t="shared" si="2907"/>
        <v>5</v>
      </c>
      <c r="AA916" s="60">
        <v>1</v>
      </c>
      <c r="AB916" s="58"/>
      <c r="AC916" s="59">
        <f t="shared" si="2908"/>
        <v>6</v>
      </c>
      <c r="AD916" s="57"/>
      <c r="AE916" s="58">
        <v>5</v>
      </c>
      <c r="AF916" s="243">
        <f t="shared" si="2916"/>
        <v>1</v>
      </c>
      <c r="AG916" s="60"/>
      <c r="AH916" s="58"/>
      <c r="AI916" s="62">
        <f t="shared" si="2909"/>
        <v>1</v>
      </c>
      <c r="AJ916" s="60"/>
      <c r="AK916" s="58"/>
      <c r="AL916" s="62">
        <f t="shared" si="2910"/>
        <v>1</v>
      </c>
      <c r="AM916" s="60"/>
      <c r="AN916" s="58"/>
      <c r="AO916" s="62">
        <f t="shared" si="2899"/>
        <v>1</v>
      </c>
      <c r="AP916" s="60"/>
      <c r="AQ916" s="58"/>
      <c r="AR916" s="104">
        <f t="shared" si="2900"/>
        <v>1</v>
      </c>
      <c r="AS916" s="57"/>
      <c r="AT916" s="58"/>
      <c r="AU916" s="62">
        <f t="shared" si="2911"/>
        <v>1</v>
      </c>
      <c r="AV916" s="128">
        <f t="shared" si="2912"/>
        <v>5</v>
      </c>
      <c r="AW916" s="83">
        <f t="shared" si="2894"/>
        <v>5</v>
      </c>
      <c r="AX916" s="64">
        <f t="shared" si="2913"/>
        <v>5</v>
      </c>
      <c r="AY916" s="65">
        <f t="shared" si="2914"/>
        <v>5</v>
      </c>
      <c r="AZ916" s="66">
        <f t="shared" si="2915"/>
        <v>1</v>
      </c>
      <c r="BA916" s="67">
        <f>MAX(0, Table176252626[[#This Row],[Column6]])</f>
        <v>1</v>
      </c>
      <c r="BB916" s="68">
        <v>0</v>
      </c>
      <c r="BC916" s="84">
        <f t="shared" si="2857"/>
        <v>1</v>
      </c>
      <c r="BD916" s="83">
        <f t="shared" si="2849"/>
        <v>1</v>
      </c>
      <c r="BE916" s="85">
        <v>2</v>
      </c>
      <c r="BF916" s="86">
        <v>46196</v>
      </c>
      <c r="BG916" s="72" t="e">
        <f t="shared" si="2880"/>
        <v>#REF!</v>
      </c>
      <c r="BH916" s="87" t="e">
        <f t="shared" si="2901"/>
        <v>#REF!</v>
      </c>
      <c r="BI916" s="80" t="e">
        <f t="shared" si="2850"/>
        <v>#REF!</v>
      </c>
      <c r="BJ916" s="238">
        <v>22500</v>
      </c>
    </row>
    <row r="917" spans="1:62" ht="13">
      <c r="A917" s="49"/>
      <c r="B917" s="50"/>
      <c r="C917" s="77">
        <v>915</v>
      </c>
      <c r="D917" s="250" t="s">
        <v>1532</v>
      </c>
      <c r="E917" s="251">
        <v>4</v>
      </c>
      <c r="F917" s="88" t="s">
        <v>1271</v>
      </c>
      <c r="G917" s="89" t="s">
        <v>1272</v>
      </c>
      <c r="H917" s="89" t="s">
        <v>1950</v>
      </c>
      <c r="I917" s="88" t="s">
        <v>800</v>
      </c>
      <c r="J917" s="93">
        <f t="shared" ref="J917:J922" si="2917">AU917</f>
        <v>1</v>
      </c>
      <c r="K917" s="80">
        <v>0</v>
      </c>
      <c r="L917" s="58">
        <v>1</v>
      </c>
      <c r="M917" s="58"/>
      <c r="N917" s="62">
        <f t="shared" ref="N917:N922" si="2918">SUM(K917+L917-M917)</f>
        <v>1</v>
      </c>
      <c r="O917" s="60"/>
      <c r="P917" s="58"/>
      <c r="Q917" s="62">
        <f t="shared" ref="Q917:Q922" si="2919">SUM(N917+O917-P917)</f>
        <v>1</v>
      </c>
      <c r="R917" s="60"/>
      <c r="S917" s="58"/>
      <c r="T917" s="94">
        <f t="shared" ref="T917:T922" si="2920">SUM(Q917+R917-S917)</f>
        <v>1</v>
      </c>
      <c r="U917" s="60"/>
      <c r="V917" s="58"/>
      <c r="W917" s="62">
        <f t="shared" ref="W917:W922" si="2921">SUM(T917+U917-V917)</f>
        <v>1</v>
      </c>
      <c r="X917" s="60"/>
      <c r="Y917" s="58"/>
      <c r="Z917" s="94">
        <f t="shared" ref="Z917:Z922" si="2922">SUM(W917+X917-Y917)</f>
        <v>1</v>
      </c>
      <c r="AA917" s="60"/>
      <c r="AB917" s="58"/>
      <c r="AC917" s="62">
        <f t="shared" ref="AC917:AC922" si="2923">SUM(Z917+AA917-AB917)</f>
        <v>1</v>
      </c>
      <c r="AD917" s="57"/>
      <c r="AE917" s="58"/>
      <c r="AF917" s="165">
        <f t="shared" ref="AF917:AF922" si="2924">SUM(AC917+AD917-AE917)</f>
        <v>1</v>
      </c>
      <c r="AG917" s="60"/>
      <c r="AH917" s="58"/>
      <c r="AI917" s="62">
        <f t="shared" ref="AI917:AI922" si="2925">SUM(AF917+AG917-AH917)</f>
        <v>1</v>
      </c>
      <c r="AJ917" s="60"/>
      <c r="AK917" s="58"/>
      <c r="AL917" s="62">
        <f t="shared" ref="AL917:AL922" si="2926">SUM(AI917+AJ917-AK917)</f>
        <v>1</v>
      </c>
      <c r="AM917" s="60"/>
      <c r="AN917" s="58"/>
      <c r="AO917" s="62">
        <f t="shared" si="2899"/>
        <v>1</v>
      </c>
      <c r="AP917" s="60"/>
      <c r="AQ917" s="58"/>
      <c r="AR917" s="62">
        <f t="shared" si="2900"/>
        <v>1</v>
      </c>
      <c r="AS917" s="60"/>
      <c r="AT917" s="58"/>
      <c r="AU917" s="62">
        <f t="shared" ref="AU917:AU922" si="2927">SUM(AR917+AS917-AT917)</f>
        <v>1</v>
      </c>
      <c r="AV917" s="96">
        <f t="shared" ref="AV917:AW919" si="2928">SUM(L917+O917+R917+U917+X917+AA917+AD917+AG917+AJ917+AM917+AP917+AS917)</f>
        <v>1</v>
      </c>
      <c r="AW917" s="83">
        <f t="shared" si="2928"/>
        <v>0</v>
      </c>
      <c r="AX917" s="98">
        <f t="shared" ref="AX917:AX922" si="2929">SUM(M917,P917,S917,V917,Y917,AB917,AE917,AH917,AK917,AN917,AQ917,AT917)</f>
        <v>0</v>
      </c>
      <c r="AY917" s="99" t="e">
        <f t="shared" ref="AY917:AY921" si="2930">AVERAGE(M917,P917,S917,V917,Y917,AB917,AE917,AH917,AK917,AN917,AQ917,AT917)</f>
        <v>#DIV/0!</v>
      </c>
      <c r="AZ917" s="100">
        <f t="shared" ref="AZ917:AZ921" si="2931">COUNT(M917,P917,S917,V917,Y917,AB917,AE917,AH917,AK917,AN917,AQ917,AT917)</f>
        <v>0</v>
      </c>
      <c r="BA917" s="101">
        <v>1</v>
      </c>
      <c r="BB917" s="102">
        <v>0</v>
      </c>
      <c r="BC917" s="84">
        <f t="shared" si="2857"/>
        <v>1</v>
      </c>
      <c r="BD917" s="83">
        <f t="shared" si="2849"/>
        <v>1</v>
      </c>
      <c r="BE917" s="85">
        <v>2</v>
      </c>
      <c r="BF917" s="86">
        <v>46041</v>
      </c>
      <c r="BG917" s="72" t="e">
        <f t="shared" si="2880"/>
        <v>#REF!</v>
      </c>
      <c r="BH917" s="109" t="e">
        <f t="shared" si="2901"/>
        <v>#REF!</v>
      </c>
      <c r="BI917" s="80" t="e">
        <f t="shared" si="2850"/>
        <v>#REF!</v>
      </c>
      <c r="BJ917" s="238">
        <v>19800</v>
      </c>
    </row>
    <row r="918" spans="1:62" ht="13">
      <c r="A918" s="49"/>
      <c r="B918" s="50"/>
      <c r="C918" s="51">
        <v>916</v>
      </c>
      <c r="D918" s="250" t="s">
        <v>1532</v>
      </c>
      <c r="E918" s="251">
        <v>5</v>
      </c>
      <c r="F918" s="88" t="s">
        <v>1308</v>
      </c>
      <c r="G918" s="89" t="s">
        <v>1307</v>
      </c>
      <c r="H918" s="89" t="s">
        <v>294</v>
      </c>
      <c r="I918" s="88" t="s">
        <v>803</v>
      </c>
      <c r="J918" s="93">
        <f t="shared" si="2917"/>
        <v>160</v>
      </c>
      <c r="K918" s="88">
        <v>180</v>
      </c>
      <c r="L918" s="58"/>
      <c r="M918" s="58"/>
      <c r="N918" s="62">
        <f t="shared" si="2918"/>
        <v>180</v>
      </c>
      <c r="O918" s="60"/>
      <c r="P918" s="58"/>
      <c r="Q918" s="62">
        <f t="shared" si="2919"/>
        <v>180</v>
      </c>
      <c r="R918" s="60"/>
      <c r="S918" s="58">
        <v>20</v>
      </c>
      <c r="T918" s="94">
        <f t="shared" si="2920"/>
        <v>160</v>
      </c>
      <c r="U918" s="60"/>
      <c r="V918" s="58"/>
      <c r="W918" s="62">
        <f t="shared" si="2921"/>
        <v>160</v>
      </c>
      <c r="X918" s="60"/>
      <c r="Y918" s="58"/>
      <c r="Z918" s="94">
        <f t="shared" si="2922"/>
        <v>160</v>
      </c>
      <c r="AA918" s="60"/>
      <c r="AB918" s="58"/>
      <c r="AC918" s="62">
        <f t="shared" si="2923"/>
        <v>160</v>
      </c>
      <c r="AD918" s="57"/>
      <c r="AE918" s="58"/>
      <c r="AF918" s="165">
        <f t="shared" si="2924"/>
        <v>160</v>
      </c>
      <c r="AG918" s="60"/>
      <c r="AH918" s="58"/>
      <c r="AI918" s="62">
        <f t="shared" si="2925"/>
        <v>160</v>
      </c>
      <c r="AJ918" s="60"/>
      <c r="AK918" s="58"/>
      <c r="AL918" s="62">
        <f t="shared" si="2926"/>
        <v>160</v>
      </c>
      <c r="AM918" s="60"/>
      <c r="AN918" s="58"/>
      <c r="AO918" s="62">
        <f t="shared" si="2899"/>
        <v>160</v>
      </c>
      <c r="AP918" s="60"/>
      <c r="AQ918" s="58"/>
      <c r="AR918" s="62">
        <f t="shared" si="2900"/>
        <v>160</v>
      </c>
      <c r="AS918" s="60"/>
      <c r="AT918" s="58"/>
      <c r="AU918" s="62">
        <f t="shared" si="2927"/>
        <v>160</v>
      </c>
      <c r="AV918" s="96">
        <f t="shared" si="2928"/>
        <v>0</v>
      </c>
      <c r="AW918" s="83">
        <f t="shared" si="2928"/>
        <v>20</v>
      </c>
      <c r="AX918" s="98">
        <f t="shared" si="2929"/>
        <v>20</v>
      </c>
      <c r="AY918" s="99">
        <f t="shared" si="2930"/>
        <v>20</v>
      </c>
      <c r="AZ918" s="100">
        <f t="shared" si="2931"/>
        <v>1</v>
      </c>
      <c r="BA918" s="101">
        <v>160</v>
      </c>
      <c r="BB918" s="102">
        <v>10</v>
      </c>
      <c r="BC918" s="84">
        <f t="shared" si="2857"/>
        <v>160</v>
      </c>
      <c r="BD918" s="83">
        <f t="shared" si="2849"/>
        <v>150</v>
      </c>
      <c r="BE918" s="85">
        <v>2</v>
      </c>
      <c r="BF918" s="86">
        <v>45513.348923611113</v>
      </c>
      <c r="BG918" s="72" t="e">
        <f t="shared" si="2880"/>
        <v>#REF!</v>
      </c>
      <c r="BH918" s="109" t="e">
        <f t="shared" si="2901"/>
        <v>#REF!</v>
      </c>
      <c r="BI918" s="80" t="e">
        <f t="shared" si="2850"/>
        <v>#REF!</v>
      </c>
      <c r="BJ918" s="238">
        <v>29500</v>
      </c>
    </row>
    <row r="919" spans="1:62" ht="13">
      <c r="A919" s="49"/>
      <c r="B919" s="76"/>
      <c r="C919" s="51">
        <v>917</v>
      </c>
      <c r="D919" s="250" t="s">
        <v>1532</v>
      </c>
      <c r="E919" s="251">
        <v>6</v>
      </c>
      <c r="F919" s="88" t="s">
        <v>1273</v>
      </c>
      <c r="G919" s="89" t="s">
        <v>1274</v>
      </c>
      <c r="H919" s="89" t="s">
        <v>300</v>
      </c>
      <c r="I919" s="88" t="s">
        <v>801</v>
      </c>
      <c r="J919" s="93">
        <f t="shared" si="2917"/>
        <v>5</v>
      </c>
      <c r="K919" s="88">
        <v>5</v>
      </c>
      <c r="L919" s="58"/>
      <c r="M919" s="58"/>
      <c r="N919" s="62">
        <f t="shared" si="2918"/>
        <v>5</v>
      </c>
      <c r="O919" s="60"/>
      <c r="P919" s="58"/>
      <c r="Q919" s="62">
        <f t="shared" si="2919"/>
        <v>5</v>
      </c>
      <c r="R919" s="60"/>
      <c r="S919" s="58"/>
      <c r="T919" s="94">
        <f t="shared" si="2920"/>
        <v>5</v>
      </c>
      <c r="U919" s="60"/>
      <c r="V919" s="58"/>
      <c r="W919" s="62">
        <f t="shared" si="2921"/>
        <v>5</v>
      </c>
      <c r="X919" s="60"/>
      <c r="Y919" s="58"/>
      <c r="Z919" s="94">
        <f t="shared" si="2922"/>
        <v>5</v>
      </c>
      <c r="AA919" s="60"/>
      <c r="AB919" s="58"/>
      <c r="AC919" s="62">
        <f t="shared" si="2923"/>
        <v>5</v>
      </c>
      <c r="AD919" s="57"/>
      <c r="AE919" s="58"/>
      <c r="AF919" s="165">
        <f t="shared" si="2924"/>
        <v>5</v>
      </c>
      <c r="AG919" s="60"/>
      <c r="AH919" s="58"/>
      <c r="AI919" s="62">
        <f t="shared" si="2925"/>
        <v>5</v>
      </c>
      <c r="AJ919" s="60"/>
      <c r="AK919" s="58"/>
      <c r="AL919" s="62">
        <f t="shared" si="2926"/>
        <v>5</v>
      </c>
      <c r="AM919" s="60"/>
      <c r="AN919" s="58"/>
      <c r="AO919" s="62">
        <f t="shared" si="2899"/>
        <v>5</v>
      </c>
      <c r="AP919" s="60"/>
      <c r="AQ919" s="58"/>
      <c r="AR919" s="62">
        <f t="shared" ref="AR919" si="2932">SUM(AO919+AP919-AQ919)</f>
        <v>5</v>
      </c>
      <c r="AS919" s="60"/>
      <c r="AT919" s="58"/>
      <c r="AU919" s="62">
        <f t="shared" si="2927"/>
        <v>5</v>
      </c>
      <c r="AV919" s="96">
        <f t="shared" si="2928"/>
        <v>0</v>
      </c>
      <c r="AW919" s="83">
        <f t="shared" si="2928"/>
        <v>0</v>
      </c>
      <c r="AX919" s="98">
        <f t="shared" si="2929"/>
        <v>0</v>
      </c>
      <c r="AY919" s="99" t="e">
        <f t="shared" si="2930"/>
        <v>#DIV/0!</v>
      </c>
      <c r="AZ919" s="100">
        <f t="shared" si="2931"/>
        <v>0</v>
      </c>
      <c r="BA919" s="101">
        <v>5</v>
      </c>
      <c r="BB919" s="102">
        <v>1</v>
      </c>
      <c r="BC919" s="84">
        <f t="shared" si="2857"/>
        <v>5</v>
      </c>
      <c r="BD919" s="83">
        <f t="shared" si="2849"/>
        <v>4</v>
      </c>
      <c r="BE919" s="85">
        <v>2</v>
      </c>
      <c r="BF919" s="86">
        <v>45856</v>
      </c>
      <c r="BG919" s="72" t="e">
        <f t="shared" si="2880"/>
        <v>#REF!</v>
      </c>
      <c r="BH919" s="103" t="e">
        <f t="shared" si="2901"/>
        <v>#REF!</v>
      </c>
      <c r="BI919" s="80" t="e">
        <f t="shared" si="2850"/>
        <v>#REF!</v>
      </c>
      <c r="BJ919" s="238">
        <v>2980</v>
      </c>
    </row>
    <row r="920" spans="1:62" ht="13">
      <c r="A920" s="49"/>
      <c r="B920" s="50"/>
      <c r="C920" s="51">
        <v>918</v>
      </c>
      <c r="D920" s="108"/>
      <c r="E920" s="78"/>
      <c r="F920" s="88" t="s">
        <v>1725</v>
      </c>
      <c r="G920" s="89" t="s">
        <v>1726</v>
      </c>
      <c r="H920" s="89" t="s">
        <v>301</v>
      </c>
      <c r="I920" s="80" t="s">
        <v>458</v>
      </c>
      <c r="J920" s="93">
        <f t="shared" si="2917"/>
        <v>50</v>
      </c>
      <c r="K920" s="88">
        <v>50</v>
      </c>
      <c r="L920" s="58"/>
      <c r="M920" s="58"/>
      <c r="N920" s="62">
        <f t="shared" si="2918"/>
        <v>50</v>
      </c>
      <c r="O920" s="60"/>
      <c r="P920" s="58"/>
      <c r="Q920" s="62">
        <f t="shared" si="2919"/>
        <v>50</v>
      </c>
      <c r="R920" s="60"/>
      <c r="S920" s="58"/>
      <c r="T920" s="94">
        <f t="shared" si="2920"/>
        <v>50</v>
      </c>
      <c r="U920" s="60"/>
      <c r="V920" s="58"/>
      <c r="W920" s="62">
        <f t="shared" si="2921"/>
        <v>50</v>
      </c>
      <c r="X920" s="60"/>
      <c r="Y920" s="58"/>
      <c r="Z920" s="94">
        <f t="shared" si="2922"/>
        <v>50</v>
      </c>
      <c r="AA920" s="60"/>
      <c r="AB920" s="58"/>
      <c r="AC920" s="62">
        <f t="shared" si="2923"/>
        <v>50</v>
      </c>
      <c r="AD920" s="57"/>
      <c r="AE920" s="58"/>
      <c r="AF920" s="165">
        <f t="shared" si="2924"/>
        <v>50</v>
      </c>
      <c r="AG920" s="60"/>
      <c r="AH920" s="58"/>
      <c r="AI920" s="62">
        <f t="shared" si="2925"/>
        <v>50</v>
      </c>
      <c r="AJ920" s="60"/>
      <c r="AK920" s="58"/>
      <c r="AL920" s="62">
        <f t="shared" si="2926"/>
        <v>50</v>
      </c>
      <c r="AM920" s="60"/>
      <c r="AN920" s="58"/>
      <c r="AO920" s="62">
        <f>SUM(AL920+AM920-AN920)</f>
        <v>50</v>
      </c>
      <c r="AP920" s="60"/>
      <c r="AQ920" s="58"/>
      <c r="AR920" s="62">
        <f>SUM(AO920+AP920-AQ920)</f>
        <v>50</v>
      </c>
      <c r="AS920" s="60"/>
      <c r="AT920" s="58"/>
      <c r="AU920" s="62">
        <f t="shared" si="2927"/>
        <v>50</v>
      </c>
      <c r="AV920" s="96">
        <f t="shared" ref="AV920" si="2933">SUM(L920+O920+R920+U920+X920+AA920+AD920+AG920+AJ920+AM920+AP920+AS920)</f>
        <v>0</v>
      </c>
      <c r="AW920" s="83">
        <f t="shared" ref="AW920:AW922" si="2934">SUM(M920+P920+S920+V920+Y920+AB920+AE920+AH920+AK920+AN920+AQ920+AT920)</f>
        <v>0</v>
      </c>
      <c r="AX920" s="98">
        <f t="shared" si="2929"/>
        <v>0</v>
      </c>
      <c r="AY920" s="99" t="e">
        <f t="shared" si="2930"/>
        <v>#DIV/0!</v>
      </c>
      <c r="AZ920" s="100">
        <f t="shared" si="2931"/>
        <v>0</v>
      </c>
      <c r="BA920" s="67">
        <f>MAX(0, Table176252626[[#This Row],[Column6]])</f>
        <v>50</v>
      </c>
      <c r="BB920" s="68">
        <v>1</v>
      </c>
      <c r="BC920" s="84">
        <f t="shared" si="2857"/>
        <v>50</v>
      </c>
      <c r="BD920" s="83">
        <f t="shared" si="2849"/>
        <v>49</v>
      </c>
      <c r="BE920" s="85">
        <v>2</v>
      </c>
      <c r="BF920" s="86">
        <v>45796</v>
      </c>
      <c r="BG920" s="72" t="e">
        <f t="shared" si="2880"/>
        <v>#REF!</v>
      </c>
      <c r="BH920" s="87" t="e">
        <f t="shared" si="2901"/>
        <v>#REF!</v>
      </c>
      <c r="BI920" s="80" t="e">
        <f t="shared" si="2850"/>
        <v>#REF!</v>
      </c>
      <c r="BJ920" s="238">
        <v>210</v>
      </c>
    </row>
    <row r="921" spans="1:62" ht="13">
      <c r="A921" s="49"/>
      <c r="B921" s="50"/>
      <c r="C921" s="51">
        <v>919</v>
      </c>
      <c r="D921" s="108"/>
      <c r="E921" s="78"/>
      <c r="F921" s="88" t="s">
        <v>1716</v>
      </c>
      <c r="G921" s="89" t="s">
        <v>1717</v>
      </c>
      <c r="H921" s="89" t="s">
        <v>292</v>
      </c>
      <c r="I921" s="80" t="s">
        <v>458</v>
      </c>
      <c r="J921" s="93">
        <f t="shared" si="2917"/>
        <v>2</v>
      </c>
      <c r="K921" s="88">
        <v>2</v>
      </c>
      <c r="L921" s="58"/>
      <c r="M921" s="58"/>
      <c r="N921" s="62">
        <f t="shared" si="2918"/>
        <v>2</v>
      </c>
      <c r="O921" s="60"/>
      <c r="P921" s="58"/>
      <c r="Q921" s="62">
        <f t="shared" si="2919"/>
        <v>2</v>
      </c>
      <c r="R921" s="60"/>
      <c r="S921" s="58"/>
      <c r="T921" s="94">
        <f t="shared" si="2920"/>
        <v>2</v>
      </c>
      <c r="U921" s="60"/>
      <c r="V921" s="58"/>
      <c r="W921" s="62">
        <f t="shared" si="2921"/>
        <v>2</v>
      </c>
      <c r="X921" s="60"/>
      <c r="Y921" s="58"/>
      <c r="Z921" s="94">
        <f t="shared" si="2922"/>
        <v>2</v>
      </c>
      <c r="AA921" s="60"/>
      <c r="AB921" s="58"/>
      <c r="AC921" s="62">
        <f t="shared" si="2923"/>
        <v>2</v>
      </c>
      <c r="AD921" s="57"/>
      <c r="AE921" s="58"/>
      <c r="AF921" s="165">
        <f t="shared" si="2924"/>
        <v>2</v>
      </c>
      <c r="AG921" s="60"/>
      <c r="AH921" s="58"/>
      <c r="AI921" s="62">
        <f t="shared" si="2925"/>
        <v>2</v>
      </c>
      <c r="AJ921" s="60"/>
      <c r="AK921" s="58"/>
      <c r="AL921" s="62">
        <f t="shared" si="2926"/>
        <v>2</v>
      </c>
      <c r="AM921" s="60"/>
      <c r="AN921" s="58"/>
      <c r="AO921" s="62">
        <f t="shared" ref="AO921" si="2935">SUM(AL921+AM921-AN921)</f>
        <v>2</v>
      </c>
      <c r="AP921" s="60"/>
      <c r="AQ921" s="58"/>
      <c r="AR921" s="62">
        <f>SUM(AO921+AP921-AQ921)</f>
        <v>2</v>
      </c>
      <c r="AS921" s="60"/>
      <c r="AT921" s="58"/>
      <c r="AU921" s="62">
        <f t="shared" si="2927"/>
        <v>2</v>
      </c>
      <c r="AV921" s="96">
        <f>SUM(L921+O921+R921+U921+X921+AA921+AD921+AG921+AJ921+AM921+AP921+AS921)</f>
        <v>0</v>
      </c>
      <c r="AW921" s="83">
        <f t="shared" si="2934"/>
        <v>0</v>
      </c>
      <c r="AX921" s="98">
        <f t="shared" si="2929"/>
        <v>0</v>
      </c>
      <c r="AY921" s="99" t="e">
        <f t="shared" si="2930"/>
        <v>#DIV/0!</v>
      </c>
      <c r="AZ921" s="100">
        <f t="shared" si="2931"/>
        <v>0</v>
      </c>
      <c r="BA921" s="67">
        <v>2</v>
      </c>
      <c r="BB921" s="68">
        <v>1</v>
      </c>
      <c r="BC921" s="84">
        <f t="shared" si="2857"/>
        <v>2</v>
      </c>
      <c r="BD921" s="83">
        <f t="shared" si="2849"/>
        <v>1</v>
      </c>
      <c r="BE921" s="85">
        <v>2</v>
      </c>
      <c r="BF921" s="86">
        <v>45942</v>
      </c>
      <c r="BG921" s="72" t="e">
        <f t="shared" si="2880"/>
        <v>#REF!</v>
      </c>
      <c r="BH921" s="87" t="e">
        <f t="shared" si="2901"/>
        <v>#REF!</v>
      </c>
      <c r="BI921" s="80" t="e">
        <f t="shared" si="2850"/>
        <v>#REF!</v>
      </c>
      <c r="BJ921" s="238">
        <v>3651</v>
      </c>
    </row>
    <row r="922" spans="1:62" ht="13">
      <c r="A922" s="49"/>
      <c r="B922" s="76"/>
      <c r="C922" s="77">
        <v>920</v>
      </c>
      <c r="D922" s="108"/>
      <c r="E922" s="78"/>
      <c r="F922" s="88" t="s">
        <v>1505</v>
      </c>
      <c r="G922" s="89" t="s">
        <v>1506</v>
      </c>
      <c r="H922" s="89" t="s">
        <v>301</v>
      </c>
      <c r="I922" s="88" t="s">
        <v>458</v>
      </c>
      <c r="J922" s="93">
        <f t="shared" si="2917"/>
        <v>1</v>
      </c>
      <c r="K922" s="88">
        <v>1</v>
      </c>
      <c r="L922" s="58"/>
      <c r="M922" s="58"/>
      <c r="N922" s="62">
        <f t="shared" si="2918"/>
        <v>1</v>
      </c>
      <c r="O922" s="60"/>
      <c r="P922" s="58"/>
      <c r="Q922" s="62">
        <f t="shared" si="2919"/>
        <v>1</v>
      </c>
      <c r="R922" s="60"/>
      <c r="S922" s="58"/>
      <c r="T922" s="94">
        <f t="shared" si="2920"/>
        <v>1</v>
      </c>
      <c r="U922" s="60"/>
      <c r="V922" s="58"/>
      <c r="W922" s="62">
        <f t="shared" si="2921"/>
        <v>1</v>
      </c>
      <c r="X922" s="60"/>
      <c r="Y922" s="58"/>
      <c r="Z922" s="94">
        <f t="shared" si="2922"/>
        <v>1</v>
      </c>
      <c r="AA922" s="60"/>
      <c r="AB922" s="58"/>
      <c r="AC922" s="62">
        <f t="shared" si="2923"/>
        <v>1</v>
      </c>
      <c r="AD922" s="57"/>
      <c r="AE922" s="58"/>
      <c r="AF922" s="165">
        <f t="shared" si="2924"/>
        <v>1</v>
      </c>
      <c r="AG922" s="60"/>
      <c r="AH922" s="58"/>
      <c r="AI922" s="62">
        <f t="shared" si="2925"/>
        <v>1</v>
      </c>
      <c r="AJ922" s="60"/>
      <c r="AK922" s="58"/>
      <c r="AL922" s="62">
        <f t="shared" si="2926"/>
        <v>1</v>
      </c>
      <c r="AM922" s="60"/>
      <c r="AN922" s="58"/>
      <c r="AO922" s="62">
        <f>SUM(AL922+AM922-AN922)</f>
        <v>1</v>
      </c>
      <c r="AP922" s="60"/>
      <c r="AQ922" s="58"/>
      <c r="AR922" s="62">
        <f>SUM(AO922+AP922-AQ922)</f>
        <v>1</v>
      </c>
      <c r="AS922" s="60"/>
      <c r="AT922" s="58"/>
      <c r="AU922" s="62">
        <f t="shared" si="2927"/>
        <v>1</v>
      </c>
      <c r="AV922" s="96">
        <f>SUM(L922+O922+R922+U922+X922+AA922+AD922+AG922+AJ922+AM922+AP922+AS922)</f>
        <v>0</v>
      </c>
      <c r="AW922" s="83">
        <f t="shared" si="2934"/>
        <v>0</v>
      </c>
      <c r="AX922" s="98">
        <f t="shared" si="2929"/>
        <v>0</v>
      </c>
      <c r="AY922" s="99" t="e">
        <f t="shared" ref="AY922" si="2936">AVERAGE(M922,P922,S922,V922,Y922,AB922,AE922,AH922,AK922,AN922,AQ922,AT922)</f>
        <v>#DIV/0!</v>
      </c>
      <c r="AZ922" s="100">
        <f t="shared" ref="AZ922" si="2937">COUNT(M922,P922,S922,V922,Y922,AB922,AE922,AH922,AK922,AN922,AQ922,AT922)</f>
        <v>0</v>
      </c>
      <c r="BA922" s="101">
        <v>1</v>
      </c>
      <c r="BB922" s="102">
        <v>0</v>
      </c>
      <c r="BC922" s="84">
        <f t="shared" si="2857"/>
        <v>1</v>
      </c>
      <c r="BD922" s="83">
        <f t="shared" si="2849"/>
        <v>1</v>
      </c>
      <c r="BE922" s="85">
        <v>2</v>
      </c>
      <c r="BF922" s="86">
        <v>45577.592407407406</v>
      </c>
      <c r="BG922" s="72" t="e">
        <f t="shared" si="2880"/>
        <v>#REF!</v>
      </c>
      <c r="BH922" s="103" t="e">
        <f t="shared" ref="BH922" si="2938">BG922-BF922</f>
        <v>#REF!</v>
      </c>
      <c r="BI922" s="80" t="e">
        <f t="shared" si="2850"/>
        <v>#REF!</v>
      </c>
      <c r="BJ922" s="238">
        <v>2670</v>
      </c>
    </row>
    <row r="923" spans="1:62" ht="13">
      <c r="A923" s="49"/>
      <c r="B923" s="50"/>
      <c r="C923" s="77">
        <v>921</v>
      </c>
      <c r="D923" s="108"/>
      <c r="E923" s="78"/>
      <c r="F923" s="54" t="s">
        <v>1955</v>
      </c>
      <c r="G923" s="55" t="s">
        <v>1956</v>
      </c>
      <c r="H923" s="89" t="s">
        <v>289</v>
      </c>
      <c r="I923" s="80" t="s">
        <v>802</v>
      </c>
      <c r="J923" s="93">
        <f>AU923</f>
        <v>30</v>
      </c>
      <c r="K923" s="88">
        <v>0</v>
      </c>
      <c r="L923" s="58"/>
      <c r="M923" s="58"/>
      <c r="N923" s="62">
        <f>SUM(K923+L923-M923)</f>
        <v>0</v>
      </c>
      <c r="O923" s="60"/>
      <c r="P923" s="58"/>
      <c r="Q923" s="62">
        <f>SUM(N923+O923-P923)</f>
        <v>0</v>
      </c>
      <c r="R923" s="60"/>
      <c r="S923" s="58"/>
      <c r="T923" s="94">
        <f>SUM(Q923+R923-S923)</f>
        <v>0</v>
      </c>
      <c r="U923" s="60">
        <v>30</v>
      </c>
      <c r="V923" s="58"/>
      <c r="W923" s="62">
        <f>SUM(T923+U923-V923)</f>
        <v>30</v>
      </c>
      <c r="X923" s="60"/>
      <c r="Y923" s="58"/>
      <c r="Z923" s="94">
        <f>SUM(W923+X923-Y923)</f>
        <v>30</v>
      </c>
      <c r="AA923" s="60"/>
      <c r="AB923" s="58"/>
      <c r="AC923" s="62">
        <f>SUM(Z923+AA923-AB923)</f>
        <v>30</v>
      </c>
      <c r="AD923" s="57"/>
      <c r="AE923" s="58"/>
      <c r="AF923" s="165">
        <f>SUM(AC923+AD923-AE923)</f>
        <v>30</v>
      </c>
      <c r="AG923" s="60"/>
      <c r="AH923" s="58"/>
      <c r="AI923" s="62">
        <f>SUM(AF923+AG923-AH923)</f>
        <v>30</v>
      </c>
      <c r="AJ923" s="60"/>
      <c r="AK923" s="58"/>
      <c r="AL923" s="62">
        <f>SUM(AI923+AJ923-AK923)</f>
        <v>30</v>
      </c>
      <c r="AM923" s="60"/>
      <c r="AN923" s="58"/>
      <c r="AO923" s="62">
        <f>SUM(AL923+AM923-AN923)</f>
        <v>30</v>
      </c>
      <c r="AP923" s="60"/>
      <c r="AQ923" s="58"/>
      <c r="AR923" s="62">
        <f>SUM(AO923+AP923-AQ923)</f>
        <v>30</v>
      </c>
      <c r="AS923" s="60"/>
      <c r="AT923" s="58"/>
      <c r="AU923" s="62">
        <f>SUM(AR923+AS923-AT923)</f>
        <v>30</v>
      </c>
      <c r="AV923" s="96">
        <f>SUM(L923+O923+R923+U923+X923+AA923+AD923+AG923+AJ923+AM923+AP923+AS923)</f>
        <v>30</v>
      </c>
      <c r="AW923" s="83">
        <f t="shared" ref="AW923" si="2939">SUM(M923+P923+S923+V923+Y923+AB923+AE923+AH923+AK923+AN923+AQ923+AT923)</f>
        <v>0</v>
      </c>
      <c r="AX923" s="98">
        <f>SUM(M923,P923,S923,V923,Y923,AB923,AE923,AH923,AK923,AN923,AQ923,AT923)</f>
        <v>0</v>
      </c>
      <c r="AY923" s="99" t="e">
        <f>AVERAGE(M923,P923,S923,V923,Y923,AB923,AE923,AH923,AK923,AN923,AQ923,AT923)</f>
        <v>#DIV/0!</v>
      </c>
      <c r="AZ923" s="100">
        <f>COUNT(M923,P923,S923,V923,Y923,AB923,AE923,AH923,AK923,AN923,AQ923,AT923)</f>
        <v>0</v>
      </c>
      <c r="BA923" s="101">
        <v>30</v>
      </c>
      <c r="BB923" s="102">
        <v>1</v>
      </c>
      <c r="BC923" s="84">
        <f t="shared" si="2857"/>
        <v>30</v>
      </c>
      <c r="BD923" s="83">
        <f t="shared" si="2849"/>
        <v>29</v>
      </c>
      <c r="BE923" s="85">
        <v>2</v>
      </c>
      <c r="BF923" s="86">
        <v>46132</v>
      </c>
      <c r="BG923" s="72" t="e">
        <f t="shared" si="2880"/>
        <v>#REF!</v>
      </c>
      <c r="BH923" s="103" t="e">
        <f t="shared" ref="BH923" si="2940">BG923-BF923</f>
        <v>#REF!</v>
      </c>
      <c r="BI923" s="80" t="e">
        <f t="shared" si="2850"/>
        <v>#REF!</v>
      </c>
      <c r="BJ923" s="238">
        <v>133</v>
      </c>
    </row>
    <row r="924" spans="1:62" ht="13">
      <c r="A924" s="90"/>
      <c r="B924" s="91"/>
      <c r="C924" s="51">
        <v>922</v>
      </c>
      <c r="D924" s="108"/>
      <c r="E924" s="78"/>
      <c r="F924" s="90" t="s">
        <v>1802</v>
      </c>
      <c r="G924" s="134" t="s">
        <v>1803</v>
      </c>
      <c r="H924" s="134" t="s">
        <v>289</v>
      </c>
      <c r="I924" s="90" t="s">
        <v>458</v>
      </c>
      <c r="J924" s="153">
        <f t="shared" ref="J924" si="2941">AU924</f>
        <v>1</v>
      </c>
      <c r="K924" s="54">
        <v>1</v>
      </c>
      <c r="L924" s="125"/>
      <c r="M924" s="125">
        <v>1</v>
      </c>
      <c r="N924" s="59">
        <f t="shared" ref="N924" si="2942">SUM(K924+L924-M924)</f>
        <v>0</v>
      </c>
      <c r="O924" s="126"/>
      <c r="P924" s="125"/>
      <c r="Q924" s="59">
        <f t="shared" ref="Q924" si="2943">SUM(N924+O924-P924)</f>
        <v>0</v>
      </c>
      <c r="R924" s="126"/>
      <c r="S924" s="125"/>
      <c r="T924" s="61">
        <f t="shared" ref="T924" si="2944">SUM(Q924+R924-S924)</f>
        <v>0</v>
      </c>
      <c r="U924" s="126">
        <v>1</v>
      </c>
      <c r="V924" s="125">
        <v>1</v>
      </c>
      <c r="W924" s="59">
        <f t="shared" ref="W924" si="2945">SUM(T924+U924-V924)</f>
        <v>0</v>
      </c>
      <c r="X924" s="126"/>
      <c r="Y924" s="125"/>
      <c r="Z924" s="61">
        <f t="shared" ref="Z924" si="2946">SUM(W924+X924-Y924)</f>
        <v>0</v>
      </c>
      <c r="AA924" s="126">
        <v>1</v>
      </c>
      <c r="AB924" s="125">
        <v>1</v>
      </c>
      <c r="AC924" s="59">
        <f t="shared" ref="AC924" si="2947">SUM(Z924+AA924-AB924)</f>
        <v>0</v>
      </c>
      <c r="AD924" s="124">
        <v>1</v>
      </c>
      <c r="AE924" s="125"/>
      <c r="AF924" s="243">
        <f t="shared" ref="AF924" si="2948">SUM(AC924+AD924-AE924)</f>
        <v>1</v>
      </c>
      <c r="AG924" s="126">
        <v>1</v>
      </c>
      <c r="AH924" s="125">
        <v>1</v>
      </c>
      <c r="AI924" s="59">
        <f t="shared" ref="AI924" si="2949">SUM(AF924+AG924-AH924)</f>
        <v>1</v>
      </c>
      <c r="AJ924" s="126"/>
      <c r="AK924" s="125"/>
      <c r="AL924" s="59">
        <f t="shared" ref="AL924" si="2950">SUM(AI924+AJ924-AK924)</f>
        <v>1</v>
      </c>
      <c r="AM924" s="126"/>
      <c r="AN924" s="125"/>
      <c r="AO924" s="59">
        <f t="shared" ref="AO924" si="2951">SUM(AL924+AM924-AN924)</f>
        <v>1</v>
      </c>
      <c r="AP924" s="126"/>
      <c r="AQ924" s="125"/>
      <c r="AR924" s="59">
        <f t="shared" ref="AR924" si="2952">SUM(AO924+AP924-AQ924)</f>
        <v>1</v>
      </c>
      <c r="AS924" s="126"/>
      <c r="AT924" s="125"/>
      <c r="AU924" s="59">
        <f t="shared" ref="AU924" si="2953">SUM(AR924+AS924-AT924)</f>
        <v>1</v>
      </c>
      <c r="AV924" s="96">
        <f>SUM(L924+O924+R924+U924+X924+AA924+AD924+AG924+AJ924+AM924+AP924+AS924)</f>
        <v>4</v>
      </c>
      <c r="AW924" s="208">
        <f>SUM(M924+P924+S924+V924+Y924+AB924+AE924+AH924+AK924+AN924+AQ924+AT924)</f>
        <v>4</v>
      </c>
      <c r="AX924" s="209">
        <f t="shared" ref="AX924" si="2954">SUM(M924,P924,S924,V924,Y924,AB924,AE924,AH924,AK924,AN924,AQ924,AT924)</f>
        <v>4</v>
      </c>
      <c r="AY924" s="210">
        <f t="shared" ref="AY924" si="2955">AVERAGE(M924,P924,S924,V924,Y924,AB924,AE924,AH924,AK924,AN924,AQ924,AT924)</f>
        <v>1</v>
      </c>
      <c r="AZ924" s="211">
        <f t="shared" ref="AZ924" si="2956">COUNT(M924,P924,S924,V924,Y924,AB924,AE924,AH924,AK924,AN924,AQ924,AT924)</f>
        <v>4</v>
      </c>
      <c r="BA924" s="212">
        <v>2</v>
      </c>
      <c r="BB924" s="213">
        <v>1</v>
      </c>
      <c r="BC924" s="84">
        <f>J924</f>
        <v>1</v>
      </c>
      <c r="BD924" s="83">
        <f>SUM(BC924-BB924)</f>
        <v>0</v>
      </c>
      <c r="BE924" s="85">
        <v>2</v>
      </c>
      <c r="BF924" s="214">
        <v>46209</v>
      </c>
      <c r="BG924" s="72" t="e">
        <f t="shared" si="2880"/>
        <v>#REF!</v>
      </c>
      <c r="BH924" s="215" t="e">
        <f t="shared" ref="BH924" si="2957">BG924-BF924</f>
        <v>#REF!</v>
      </c>
      <c r="BI924" s="80" t="e">
        <f>IF(AND(J924&gt;0,BH924&gt;365),"Dead Stock","")</f>
        <v>#REF!</v>
      </c>
      <c r="BJ924" s="238">
        <v>80000</v>
      </c>
    </row>
    <row r="925" spans="1:62" ht="13">
      <c r="A925" s="49"/>
      <c r="B925" s="50"/>
      <c r="C925" s="51">
        <v>923</v>
      </c>
      <c r="D925" s="78"/>
      <c r="E925" s="78"/>
      <c r="F925" s="88" t="s">
        <v>1622</v>
      </c>
      <c r="G925" s="89" t="s">
        <v>1623</v>
      </c>
      <c r="H925" s="89" t="s">
        <v>2003</v>
      </c>
      <c r="I925" s="80" t="s">
        <v>458</v>
      </c>
      <c r="J925" s="93">
        <f t="shared" ref="J925" si="2958">AU925</f>
        <v>8</v>
      </c>
      <c r="K925" s="80">
        <v>20</v>
      </c>
      <c r="L925" s="58"/>
      <c r="M925" s="58"/>
      <c r="N925" s="62">
        <f t="shared" ref="N925" si="2959">SUM(K925+L925-M925)</f>
        <v>20</v>
      </c>
      <c r="O925" s="60"/>
      <c r="P925" s="58"/>
      <c r="Q925" s="62">
        <f t="shared" ref="Q925" si="2960">SUM(N925+O925-P925)</f>
        <v>20</v>
      </c>
      <c r="R925" s="60"/>
      <c r="S925" s="58"/>
      <c r="T925" s="94">
        <f t="shared" ref="T925" si="2961">SUM(Q925+R925-S925)</f>
        <v>20</v>
      </c>
      <c r="U925" s="60"/>
      <c r="V925" s="58"/>
      <c r="W925" s="62">
        <f t="shared" ref="W925" si="2962">SUM(T925+U925-V925)</f>
        <v>20</v>
      </c>
      <c r="X925" s="60"/>
      <c r="Y925" s="58"/>
      <c r="Z925" s="94">
        <f t="shared" ref="Z925" si="2963">SUM(W925+X925-Y925)</f>
        <v>20</v>
      </c>
      <c r="AA925" s="60"/>
      <c r="AB925" s="58"/>
      <c r="AC925" s="62">
        <f t="shared" ref="AC925" si="2964">SUM(Z925+AA925-AB925)</f>
        <v>20</v>
      </c>
      <c r="AD925" s="57"/>
      <c r="AE925" s="58">
        <v>12</v>
      </c>
      <c r="AF925" s="165">
        <f t="shared" ref="AF925" si="2965">SUM(AC925+AD925-AE925)</f>
        <v>8</v>
      </c>
      <c r="AG925" s="60"/>
      <c r="AH925" s="58"/>
      <c r="AI925" s="62">
        <f t="shared" ref="AI925" si="2966">SUM(AF925+AG925-AH925)</f>
        <v>8</v>
      </c>
      <c r="AJ925" s="60"/>
      <c r="AK925" s="58"/>
      <c r="AL925" s="62">
        <f t="shared" ref="AL925" si="2967">SUM(AI925+AJ925-AK925)</f>
        <v>8</v>
      </c>
      <c r="AM925" s="60"/>
      <c r="AN925" s="58"/>
      <c r="AO925" s="62">
        <f t="shared" ref="AO925" si="2968">SUM(AL925+AM925-AN925)</f>
        <v>8</v>
      </c>
      <c r="AP925" s="60"/>
      <c r="AQ925" s="58"/>
      <c r="AR925" s="62">
        <f t="shared" ref="AR925" si="2969">SUM(AO925+AP925-AQ925)</f>
        <v>8</v>
      </c>
      <c r="AS925" s="60"/>
      <c r="AT925" s="58"/>
      <c r="AU925" s="62">
        <f t="shared" ref="AU925" si="2970">SUM(AR925+AS925-AT925)</f>
        <v>8</v>
      </c>
      <c r="AV925" s="96">
        <f t="shared" ref="AV925" si="2971">SUM(L925+O925+R925+U925+X925+AA925+AD925+AG925+AJ925+AM925+AP925+AS925)</f>
        <v>0</v>
      </c>
      <c r="AW925" s="83">
        <f t="shared" ref="AW925" si="2972">SUM(M925+P925+S925+V925+Y925+AB925+AE925+AH925+AK925+AN925+AQ925+AT925)</f>
        <v>12</v>
      </c>
      <c r="AX925" s="98">
        <f t="shared" ref="AX925" si="2973">SUM(M925,P925,S925,V925,Y925,AB925,AE925,AH925,AK925,AN925,AQ925,AT925)</f>
        <v>12</v>
      </c>
      <c r="AY925" s="99">
        <f t="shared" ref="AY925" si="2974">AVERAGE(M925,P925,S925,V925,Y925,AB925,AE925,AH925,AK925,AN925,AQ925,AT925)</f>
        <v>12</v>
      </c>
      <c r="AZ925" s="100">
        <f t="shared" ref="AZ925" si="2975">COUNT(M925,P925,S925,V925,Y925,AB925,AE925,AH925,AK925,AN925,AQ925,AT925)</f>
        <v>1</v>
      </c>
      <c r="BA925" s="101">
        <v>8</v>
      </c>
      <c r="BB925" s="102">
        <v>1</v>
      </c>
      <c r="BC925" s="84">
        <f t="shared" si="2857"/>
        <v>8</v>
      </c>
      <c r="BD925" s="83">
        <f t="shared" si="2849"/>
        <v>7</v>
      </c>
      <c r="BE925" s="85">
        <v>2</v>
      </c>
      <c r="BF925" s="86">
        <v>46065</v>
      </c>
      <c r="BG925" s="72" t="e">
        <f t="shared" si="2880"/>
        <v>#REF!</v>
      </c>
      <c r="BH925" s="103" t="e">
        <f t="shared" ref="BH925" si="2976">BG925-BF925</f>
        <v>#REF!</v>
      </c>
      <c r="BI925" s="80" t="e">
        <f t="shared" si="2850"/>
        <v>#REF!</v>
      </c>
      <c r="BJ925" s="238">
        <v>390</v>
      </c>
    </row>
    <row r="926" spans="1:62" ht="13">
      <c r="A926" s="90"/>
      <c r="B926" s="91"/>
      <c r="C926" s="51">
        <v>924</v>
      </c>
      <c r="D926" s="78"/>
      <c r="E926" s="78"/>
      <c r="F926" s="88" t="s">
        <v>641</v>
      </c>
      <c r="G926" s="89" t="s">
        <v>642</v>
      </c>
      <c r="H926" s="89" t="s">
        <v>289</v>
      </c>
      <c r="I926" s="80" t="s">
        <v>458</v>
      </c>
      <c r="J926" s="93">
        <f t="shared" ref="J926" si="2977">AU926</f>
        <v>1</v>
      </c>
      <c r="K926" s="80">
        <v>0</v>
      </c>
      <c r="L926" s="58"/>
      <c r="M926" s="58"/>
      <c r="N926" s="62">
        <f t="shared" ref="N926" si="2978">SUM(K926+L926-M926)</f>
        <v>0</v>
      </c>
      <c r="O926" s="60"/>
      <c r="P926" s="58"/>
      <c r="Q926" s="62">
        <f t="shared" ref="Q926" si="2979">SUM(N926+O926-P926)</f>
        <v>0</v>
      </c>
      <c r="R926" s="60"/>
      <c r="S926" s="58"/>
      <c r="T926" s="94">
        <f t="shared" ref="T926" si="2980">SUM(Q926+R926-S926)</f>
        <v>0</v>
      </c>
      <c r="U926" s="60"/>
      <c r="V926" s="58"/>
      <c r="W926" s="62">
        <f t="shared" ref="W926" si="2981">SUM(T926+U926-V926)</f>
        <v>0</v>
      </c>
      <c r="X926" s="60"/>
      <c r="Y926" s="58"/>
      <c r="Z926" s="94">
        <f t="shared" ref="Z926" si="2982">SUM(W926+X926-Y926)</f>
        <v>0</v>
      </c>
      <c r="AA926" s="60"/>
      <c r="AB926" s="58"/>
      <c r="AC926" s="62">
        <f t="shared" ref="AC926" si="2983">SUM(Z926+AA926-AB926)</f>
        <v>0</v>
      </c>
      <c r="AD926" s="57">
        <v>1</v>
      </c>
      <c r="AE926" s="58"/>
      <c r="AF926" s="165">
        <f t="shared" ref="AF926" si="2984">SUM(AC926+AD926-AE926)</f>
        <v>1</v>
      </c>
      <c r="AG926" s="60"/>
      <c r="AH926" s="58"/>
      <c r="AI926" s="62">
        <f t="shared" ref="AI926" si="2985">SUM(AF926+AG926-AH926)</f>
        <v>1</v>
      </c>
      <c r="AJ926" s="60"/>
      <c r="AK926" s="58"/>
      <c r="AL926" s="62">
        <f t="shared" ref="AL926" si="2986">SUM(AI926+AJ926-AK926)</f>
        <v>1</v>
      </c>
      <c r="AM926" s="60"/>
      <c r="AN926" s="58"/>
      <c r="AO926" s="62">
        <f t="shared" ref="AO926" si="2987">SUM(AL926+AM926-AN926)</f>
        <v>1</v>
      </c>
      <c r="AP926" s="60"/>
      <c r="AQ926" s="58"/>
      <c r="AR926" s="62">
        <f t="shared" ref="AR926" si="2988">SUM(AO926+AP926-AQ926)</f>
        <v>1</v>
      </c>
      <c r="AS926" s="60"/>
      <c r="AT926" s="58"/>
      <c r="AU926" s="62">
        <f t="shared" ref="AU926" si="2989">SUM(AR926+AS926-AT926)</f>
        <v>1</v>
      </c>
      <c r="AV926" s="96">
        <f t="shared" ref="AV926" si="2990">SUM(L926+O926+R926+U926+X926+AA926+AD926+AG926+AJ926+AM926+AP926+AS926)</f>
        <v>1</v>
      </c>
      <c r="AW926" s="83">
        <f>SUM(M926+P926+S926+V926+Y926+AB926+AE926+AH926+AK926+AN926+AQ926+AT926)</f>
        <v>0</v>
      </c>
      <c r="AX926" s="98">
        <f t="shared" ref="AX926" si="2991">SUM(M926,P926,S926,V926,Y926,AB926,AE926,AH926,AK926,AN926,AQ926,AT926)</f>
        <v>0</v>
      </c>
      <c r="AY926" s="99" t="e">
        <f t="shared" ref="AY926" si="2992">AVERAGE(M926,P926,S926,V926,Y926,AB926,AE926,AH926,AK926,AN926,AQ926,AT926)</f>
        <v>#DIV/0!</v>
      </c>
      <c r="AZ926" s="100">
        <f t="shared" ref="AZ926" si="2993">COUNT(M926,P926,S926,V926,Y926,AB926,AE926,AH926,AK926,AN926,AQ926,AT926)</f>
        <v>0</v>
      </c>
      <c r="BA926" s="101">
        <v>1</v>
      </c>
      <c r="BB926" s="102">
        <v>0</v>
      </c>
      <c r="BC926" s="84">
        <f t="shared" si="2857"/>
        <v>1</v>
      </c>
      <c r="BD926" s="83">
        <f t="shared" si="2849"/>
        <v>1</v>
      </c>
      <c r="BE926" s="85">
        <v>2</v>
      </c>
      <c r="BF926" s="86">
        <v>46226</v>
      </c>
      <c r="BG926" s="72" t="e">
        <f t="shared" si="2880"/>
        <v>#REF!</v>
      </c>
      <c r="BH926" s="103" t="e">
        <f t="shared" ref="BH926" si="2994">BG926-BF926</f>
        <v>#REF!</v>
      </c>
      <c r="BI926" s="80" t="e">
        <f t="shared" si="2850"/>
        <v>#REF!</v>
      </c>
      <c r="BJ926" s="238">
        <v>65909.5</v>
      </c>
    </row>
    <row r="927" spans="1:62" ht="13">
      <c r="A927" s="75"/>
      <c r="B927" s="223"/>
      <c r="C927" s="51">
        <v>925</v>
      </c>
      <c r="D927" s="78"/>
      <c r="E927" s="78"/>
      <c r="F927" s="222" t="s">
        <v>2073</v>
      </c>
      <c r="G927" s="89" t="s">
        <v>2074</v>
      </c>
      <c r="H927" s="81" t="s">
        <v>289</v>
      </c>
      <c r="I927" s="80" t="s">
        <v>458</v>
      </c>
      <c r="J927" s="82">
        <f t="shared" ref="J927" si="2995">AU927</f>
        <v>2</v>
      </c>
      <c r="K927" s="80">
        <v>0</v>
      </c>
      <c r="L927" s="57"/>
      <c r="M927" s="58"/>
      <c r="N927" s="59">
        <f t="shared" ref="N927" si="2996">SUM(K927+L927-M927)</f>
        <v>0</v>
      </c>
      <c r="O927" s="60"/>
      <c r="P927" s="58"/>
      <c r="Q927" s="59">
        <f t="shared" ref="Q927" si="2997">SUM(N927+O927-P927)</f>
        <v>0</v>
      </c>
      <c r="R927" s="60"/>
      <c r="S927" s="58"/>
      <c r="T927" s="61">
        <f t="shared" ref="T927" si="2998">SUM(Q927+R927-S927)</f>
        <v>0</v>
      </c>
      <c r="U927" s="60"/>
      <c r="V927" s="58"/>
      <c r="W927" s="59">
        <f t="shared" ref="W927" si="2999">SUM(T927+U927-V927)</f>
        <v>0</v>
      </c>
      <c r="X927" s="60"/>
      <c r="Y927" s="58"/>
      <c r="Z927" s="61">
        <f t="shared" ref="Z927" si="3000">SUM(W927+X927-Y927)</f>
        <v>0</v>
      </c>
      <c r="AA927" s="60"/>
      <c r="AB927" s="58"/>
      <c r="AC927" s="59">
        <f t="shared" ref="AC927" si="3001">SUM(Z927+AA927-AB927)</f>
        <v>0</v>
      </c>
      <c r="AD927" s="57"/>
      <c r="AE927" s="58"/>
      <c r="AF927" s="243">
        <f t="shared" ref="AF927" si="3002">SUM(AC927+AD927-AE927)</f>
        <v>0</v>
      </c>
      <c r="AG927" s="60">
        <v>2</v>
      </c>
      <c r="AH927" s="58"/>
      <c r="AI927" s="62">
        <f t="shared" ref="AI927" si="3003">SUM(AF927+AG927-AH927)</f>
        <v>2</v>
      </c>
      <c r="AJ927" s="60"/>
      <c r="AK927" s="58"/>
      <c r="AL927" s="62">
        <f t="shared" ref="AL927" si="3004">SUM(AI927+AJ927-AK927)</f>
        <v>2</v>
      </c>
      <c r="AM927" s="60"/>
      <c r="AN927" s="58"/>
      <c r="AO927" s="62">
        <f t="shared" ref="AO927" si="3005">SUM(AL927+AM927-AN927)</f>
        <v>2</v>
      </c>
      <c r="AP927" s="60"/>
      <c r="AQ927" s="58"/>
      <c r="AR927" s="62">
        <f t="shared" ref="AR927" si="3006">SUM(AO927+AP927-AQ927)</f>
        <v>2</v>
      </c>
      <c r="AS927" s="60"/>
      <c r="AT927" s="58"/>
      <c r="AU927" s="62">
        <f t="shared" ref="AU927" si="3007">SUM(AR927+AS927-AT927)</f>
        <v>2</v>
      </c>
      <c r="AV927" s="83">
        <f t="shared" ref="AV927" si="3008">SUM(L927+O927+R927+U927+X927+AA927+AD927+AG927+AJ927+AM927+AP927+AS927)</f>
        <v>2</v>
      </c>
      <c r="AW927" s="83">
        <f>SUM(M927+P927+S927+V927+Y927+AB927+AE927+AH927+AK927+AN927+AQ927+AT927)</f>
        <v>0</v>
      </c>
      <c r="AX927" s="64">
        <f t="shared" ref="AX927" si="3009">SUM(M927,P927,S927,V927,Y927,AB927,AE927,AH927,AK927,AN927,AQ927,AT927)</f>
        <v>0</v>
      </c>
      <c r="AY927" s="65" t="e">
        <f t="shared" ref="AY927" si="3010">AVERAGE(M927,P927,S927,V927,Y927,AB927,AE927,AH927,AK927,AN927,AQ927,AT927)</f>
        <v>#DIV/0!</v>
      </c>
      <c r="AZ927" s="66">
        <f t="shared" ref="AZ927" si="3011">COUNT(M927,P927,S927,V927,Y927,AB927,AE927,AH927,AK927,AN927,AQ927,AT927)</f>
        <v>0</v>
      </c>
      <c r="BA927" s="67">
        <f>MAX(0, Table176252626[[#This Row],[Column6]])</f>
        <v>2</v>
      </c>
      <c r="BB927" s="68">
        <v>0</v>
      </c>
      <c r="BC927" s="84">
        <f>J927</f>
        <v>2</v>
      </c>
      <c r="BD927" s="83">
        <f>SUM(BC927-BB927)</f>
        <v>2</v>
      </c>
      <c r="BE927" s="85">
        <v>2</v>
      </c>
      <c r="BF927" s="86">
        <v>46259</v>
      </c>
      <c r="BG927" s="72" t="e">
        <f t="shared" si="2880"/>
        <v>#REF!</v>
      </c>
      <c r="BH927" s="107" t="e">
        <f t="shared" ref="BH927" si="3012">BG927-BF927</f>
        <v>#REF!</v>
      </c>
      <c r="BI927" s="80" t="e">
        <f>IF(AND(J927&gt;0,BH927&gt;365),"Dead Stock","")</f>
        <v>#REF!</v>
      </c>
      <c r="BJ927" s="238">
        <v>26000</v>
      </c>
    </row>
    <row r="928" spans="1:62" ht="13">
      <c r="A928" s="90"/>
      <c r="B928" s="91"/>
      <c r="C928" s="77">
        <v>926</v>
      </c>
      <c r="D928" s="58"/>
      <c r="E928" s="58"/>
      <c r="F928" s="220" t="s">
        <v>2075</v>
      </c>
      <c r="G928" s="81" t="s">
        <v>2076</v>
      </c>
      <c r="H928" s="81" t="s">
        <v>293</v>
      </c>
      <c r="I928" s="80" t="s">
        <v>458</v>
      </c>
      <c r="J928" s="82">
        <f t="shared" ref="J928:J929" si="3013">AU928</f>
        <v>1</v>
      </c>
      <c r="K928" s="80">
        <v>0</v>
      </c>
      <c r="L928" s="57"/>
      <c r="M928" s="58"/>
      <c r="N928" s="59">
        <f t="shared" ref="N928:N929" si="3014">SUM(K928+L928-M928)</f>
        <v>0</v>
      </c>
      <c r="O928" s="60"/>
      <c r="P928" s="58"/>
      <c r="Q928" s="59">
        <f t="shared" ref="Q928:Q929" si="3015">SUM(N928+O928-P928)</f>
        <v>0</v>
      </c>
      <c r="R928" s="60"/>
      <c r="S928" s="58"/>
      <c r="T928" s="61">
        <f t="shared" ref="T928:T929" si="3016">SUM(Q928+R928-S928)</f>
        <v>0</v>
      </c>
      <c r="U928" s="60"/>
      <c r="V928" s="58"/>
      <c r="W928" s="59">
        <f t="shared" ref="W928:W929" si="3017">SUM(T928+U928-V928)</f>
        <v>0</v>
      </c>
      <c r="X928" s="60"/>
      <c r="Y928" s="58"/>
      <c r="Z928" s="61">
        <f t="shared" ref="Z928:Z929" si="3018">SUM(W928+X928-Y928)</f>
        <v>0</v>
      </c>
      <c r="AA928" s="60"/>
      <c r="AB928" s="58"/>
      <c r="AC928" s="59">
        <f t="shared" ref="AC928:AC929" si="3019">SUM(Z928+AA928-AB928)</f>
        <v>0</v>
      </c>
      <c r="AD928" s="57"/>
      <c r="AE928" s="58"/>
      <c r="AF928" s="243">
        <f t="shared" ref="AF928:AF929" si="3020">SUM(AC928+AD928-AE928)</f>
        <v>0</v>
      </c>
      <c r="AG928" s="60">
        <v>1</v>
      </c>
      <c r="AH928" s="58"/>
      <c r="AI928" s="62">
        <f t="shared" ref="AI928:AI929" si="3021">SUM(AF928+AG928-AH928)</f>
        <v>1</v>
      </c>
      <c r="AJ928" s="60"/>
      <c r="AK928" s="58"/>
      <c r="AL928" s="62">
        <f t="shared" ref="AL928:AL929" si="3022">SUM(AI928+AJ928-AK928)</f>
        <v>1</v>
      </c>
      <c r="AM928" s="60"/>
      <c r="AN928" s="58"/>
      <c r="AO928" s="62">
        <f t="shared" ref="AO928:AO929" si="3023">SUM(AL928+AM928-AN928)</f>
        <v>1</v>
      </c>
      <c r="AP928" s="60"/>
      <c r="AQ928" s="58"/>
      <c r="AR928" s="62">
        <f t="shared" ref="AR928:AR929" si="3024">SUM(AO928+AP928-AQ928)</f>
        <v>1</v>
      </c>
      <c r="AS928" s="60"/>
      <c r="AT928" s="58"/>
      <c r="AU928" s="62">
        <f t="shared" ref="AU928:AU929" si="3025">SUM(AR928+AS928-AT928)</f>
        <v>1</v>
      </c>
      <c r="AV928" s="83">
        <f t="shared" ref="AV928:AW944" si="3026">SUM(L928+O928+R928+U928+X928+AA928+AD928+AG928+AJ928+AM928+AP928+AS928)</f>
        <v>1</v>
      </c>
      <c r="AW928" s="83">
        <f t="shared" si="3026"/>
        <v>0</v>
      </c>
      <c r="AX928" s="64">
        <f t="shared" ref="AX928:AX929" si="3027">SUM(M928,P928,S928,V928,Y928,AB928,AE928,AH928,AK928,AN928,AQ928,AT928)</f>
        <v>0</v>
      </c>
      <c r="AY928" s="65" t="e">
        <f t="shared" ref="AY928:AY929" si="3028">AVERAGE(M928,P928,S928,V928,Y928,AB928,AE928,AH928,AK928,AN928,AQ928,AT928)</f>
        <v>#DIV/0!</v>
      </c>
      <c r="AZ928" s="66">
        <f t="shared" ref="AZ928:AZ929" si="3029">COUNT(M928,P928,S928,V928,Y928,AB928,AE928,AH928,AK928,AN928,AQ928,AT928)</f>
        <v>0</v>
      </c>
      <c r="BA928" s="67">
        <f>MAX(0, Table176252626[[#This Row],[Column6]])</f>
        <v>1</v>
      </c>
      <c r="BB928" s="68">
        <v>0</v>
      </c>
      <c r="BC928" s="84">
        <f t="shared" ref="BC928:BC975" si="3030">J928</f>
        <v>1</v>
      </c>
      <c r="BD928" s="83">
        <f t="shared" ref="BD928:BD979" si="3031">SUM(BC928-BB928)</f>
        <v>1</v>
      </c>
      <c r="BE928" s="85">
        <v>2</v>
      </c>
      <c r="BF928" s="86">
        <v>46262</v>
      </c>
      <c r="BG928" s="72" t="e">
        <f t="shared" si="2880"/>
        <v>#REF!</v>
      </c>
      <c r="BH928" s="87" t="e">
        <f t="shared" ref="BH928:BH929" si="3032">BG928-BF928</f>
        <v>#REF!</v>
      </c>
      <c r="BI928" s="80" t="e">
        <f t="shared" ref="BI928:BI979" si="3033">IF(AND(J928&gt;0,BH928&gt;365),"Dead Stock","")</f>
        <v>#REF!</v>
      </c>
      <c r="BJ928" s="238">
        <v>56745</v>
      </c>
    </row>
    <row r="929" spans="1:62" ht="13">
      <c r="A929" s="49"/>
      <c r="B929" s="217"/>
      <c r="C929" s="77">
        <v>927</v>
      </c>
      <c r="D929" s="58"/>
      <c r="E929" s="58"/>
      <c r="F929" s="225" t="s">
        <v>1787</v>
      </c>
      <c r="G929" s="81" t="s">
        <v>1788</v>
      </c>
      <c r="H929" s="81"/>
      <c r="I929" s="80" t="s">
        <v>458</v>
      </c>
      <c r="J929" s="82">
        <f t="shared" si="3013"/>
        <v>1</v>
      </c>
      <c r="K929" s="80">
        <v>0</v>
      </c>
      <c r="L929" s="57"/>
      <c r="M929" s="58"/>
      <c r="N929" s="59">
        <f t="shared" si="3014"/>
        <v>0</v>
      </c>
      <c r="O929" s="60"/>
      <c r="P929" s="58"/>
      <c r="Q929" s="59">
        <f t="shared" si="3015"/>
        <v>0</v>
      </c>
      <c r="R929" s="60"/>
      <c r="S929" s="58"/>
      <c r="T929" s="61">
        <f t="shared" si="3016"/>
        <v>0</v>
      </c>
      <c r="U929" s="60"/>
      <c r="V929" s="58"/>
      <c r="W929" s="59">
        <f t="shared" si="3017"/>
        <v>0</v>
      </c>
      <c r="X929" s="60"/>
      <c r="Y929" s="58"/>
      <c r="Z929" s="61">
        <f t="shared" si="3018"/>
        <v>0</v>
      </c>
      <c r="AA929" s="60"/>
      <c r="AB929" s="58"/>
      <c r="AC929" s="59">
        <f t="shared" si="3019"/>
        <v>0</v>
      </c>
      <c r="AD929" s="57"/>
      <c r="AE929" s="58"/>
      <c r="AF929" s="243">
        <f t="shared" si="3020"/>
        <v>0</v>
      </c>
      <c r="AG929" s="60">
        <v>1</v>
      </c>
      <c r="AH929" s="58"/>
      <c r="AI929" s="62">
        <f t="shared" si="3021"/>
        <v>1</v>
      </c>
      <c r="AJ929" s="60"/>
      <c r="AK929" s="58"/>
      <c r="AL929" s="62">
        <f t="shared" si="3022"/>
        <v>1</v>
      </c>
      <c r="AM929" s="60"/>
      <c r="AN929" s="58"/>
      <c r="AO929" s="62">
        <f t="shared" si="3023"/>
        <v>1</v>
      </c>
      <c r="AP929" s="60"/>
      <c r="AQ929" s="58"/>
      <c r="AR929" s="62">
        <f t="shared" si="3024"/>
        <v>1</v>
      </c>
      <c r="AS929" s="60"/>
      <c r="AT929" s="58"/>
      <c r="AU929" s="62">
        <f t="shared" si="3025"/>
        <v>1</v>
      </c>
      <c r="AV929" s="83">
        <f t="shared" si="3026"/>
        <v>1</v>
      </c>
      <c r="AW929" s="83">
        <f t="shared" si="3026"/>
        <v>0</v>
      </c>
      <c r="AX929" s="64">
        <f t="shared" si="3027"/>
        <v>0</v>
      </c>
      <c r="AY929" s="65" t="e">
        <f t="shared" si="3028"/>
        <v>#DIV/0!</v>
      </c>
      <c r="AZ929" s="66">
        <f t="shared" si="3029"/>
        <v>0</v>
      </c>
      <c r="BA929" s="67">
        <f>MAX(0, Table176252626[[#This Row],[Column6]])</f>
        <v>1</v>
      </c>
      <c r="BB929" s="68">
        <v>0</v>
      </c>
      <c r="BC929" s="84">
        <f t="shared" si="3030"/>
        <v>1</v>
      </c>
      <c r="BD929" s="83">
        <f t="shared" si="3031"/>
        <v>1</v>
      </c>
      <c r="BE929" s="85">
        <v>2</v>
      </c>
      <c r="BF929" s="86">
        <v>46262</v>
      </c>
      <c r="BG929" s="72" t="e">
        <f t="shared" si="2880"/>
        <v>#REF!</v>
      </c>
      <c r="BH929" s="87" t="e">
        <f t="shared" si="3032"/>
        <v>#REF!</v>
      </c>
      <c r="BI929" s="80" t="e">
        <f t="shared" si="3033"/>
        <v>#REF!</v>
      </c>
      <c r="BJ929" s="238">
        <v>15000</v>
      </c>
    </row>
    <row r="930" spans="1:62" ht="13">
      <c r="A930" s="49"/>
      <c r="B930" s="217"/>
      <c r="C930" s="51">
        <v>928</v>
      </c>
      <c r="D930" s="58"/>
      <c r="E930" s="58"/>
      <c r="F930" s="222" t="s">
        <v>2077</v>
      </c>
      <c r="G930" s="89" t="s">
        <v>2078</v>
      </c>
      <c r="H930" s="89" t="s">
        <v>1686</v>
      </c>
      <c r="I930" s="88" t="s">
        <v>469</v>
      </c>
      <c r="J930" s="93">
        <f>AU930</f>
        <v>1</v>
      </c>
      <c r="K930" s="88">
        <v>0</v>
      </c>
      <c r="L930" s="58"/>
      <c r="M930" s="58"/>
      <c r="N930" s="62">
        <f>SUM(K930+L930-M930)</f>
        <v>0</v>
      </c>
      <c r="O930" s="60"/>
      <c r="P930" s="58"/>
      <c r="Q930" s="62">
        <f>SUM(N930+O930-P930)</f>
        <v>0</v>
      </c>
      <c r="R930" s="60"/>
      <c r="S930" s="58"/>
      <c r="T930" s="94">
        <f>SUM(Q930+R930-S930)</f>
        <v>0</v>
      </c>
      <c r="U930" s="60"/>
      <c r="V930" s="58"/>
      <c r="W930" s="62">
        <f>SUM(T930+U930-V930)</f>
        <v>0</v>
      </c>
      <c r="X930" s="60"/>
      <c r="Y930" s="58"/>
      <c r="Z930" s="94">
        <f>SUM(W930+X930-Y930)</f>
        <v>0</v>
      </c>
      <c r="AA930" s="60"/>
      <c r="AB930" s="58"/>
      <c r="AC930" s="62">
        <f>SUM(Z930+AA930-AB930)</f>
        <v>0</v>
      </c>
      <c r="AD930" s="57"/>
      <c r="AE930" s="58"/>
      <c r="AF930" s="165">
        <f>SUM(AC930+AD930-AE930)</f>
        <v>0</v>
      </c>
      <c r="AG930" s="60">
        <v>1</v>
      </c>
      <c r="AH930" s="58"/>
      <c r="AI930" s="62">
        <f>SUM(AF930+AG930-AH930)</f>
        <v>1</v>
      </c>
      <c r="AJ930" s="60"/>
      <c r="AK930" s="58"/>
      <c r="AL930" s="62">
        <f>SUM(AI930+AJ930-AK930)</f>
        <v>1</v>
      </c>
      <c r="AM930" s="60"/>
      <c r="AN930" s="58"/>
      <c r="AO930" s="62">
        <f>SUM(AL930+AM930-AN930)</f>
        <v>1</v>
      </c>
      <c r="AP930" s="60"/>
      <c r="AQ930" s="58"/>
      <c r="AR930" s="62">
        <f>SUM(AO930+AP930-AQ930)</f>
        <v>1</v>
      </c>
      <c r="AS930" s="60"/>
      <c r="AT930" s="58"/>
      <c r="AU930" s="62">
        <f>SUM(AR930+AS930-AT930)</f>
        <v>1</v>
      </c>
      <c r="AV930" s="96">
        <f t="shared" ref="AV930" si="3034">SUM(L930+O930+R930+U930+X930+AA930+AD930+AG930+AJ930+AM930+AP930+AS930)</f>
        <v>1</v>
      </c>
      <c r="AW930" s="83">
        <f t="shared" si="3026"/>
        <v>0</v>
      </c>
      <c r="AX930" s="98">
        <f>SUM(M930,P930,S930,V930,Y930,AB930,AE930,AH930,AK930,AN930,AQ930,AT930)</f>
        <v>0</v>
      </c>
      <c r="AY930" s="99" t="e">
        <f>AVERAGE(M930,P930,S930,V930,Y930,AB930,AE930,AH930,AK930,AN930,AQ930,AT930)</f>
        <v>#DIV/0!</v>
      </c>
      <c r="AZ930" s="100">
        <f>COUNT(M930,P930,S930,V930,Y930,AB930,AE930,AH930,AK930,AN930,AQ930,AT930)</f>
        <v>0</v>
      </c>
      <c r="BA930" s="67">
        <f>MAX(0, Table176252626[[#This Row],[Column6]])</f>
        <v>1</v>
      </c>
      <c r="BB930" s="68">
        <v>0</v>
      </c>
      <c r="BC930" s="84">
        <f t="shared" si="3030"/>
        <v>1</v>
      </c>
      <c r="BD930" s="83">
        <f t="shared" si="3031"/>
        <v>1</v>
      </c>
      <c r="BE930" s="224">
        <v>2</v>
      </c>
      <c r="BF930" s="86">
        <v>46262</v>
      </c>
      <c r="BG930" s="72" t="e">
        <f t="shared" si="2880"/>
        <v>#REF!</v>
      </c>
      <c r="BH930" s="87" t="e">
        <f>BG930-BF930</f>
        <v>#REF!</v>
      </c>
      <c r="BI930" s="80" t="e">
        <f t="shared" si="3033"/>
        <v>#REF!</v>
      </c>
      <c r="BJ930" s="238">
        <v>9000</v>
      </c>
    </row>
    <row r="931" spans="1:62" ht="13">
      <c r="A931" s="90"/>
      <c r="B931" s="91"/>
      <c r="C931" s="51">
        <v>929</v>
      </c>
      <c r="D931" s="58"/>
      <c r="E931" s="58"/>
      <c r="F931" s="222" t="s">
        <v>2079</v>
      </c>
      <c r="G931" s="89" t="s">
        <v>2080</v>
      </c>
      <c r="H931" s="89" t="s">
        <v>2081</v>
      </c>
      <c r="I931" s="88" t="s">
        <v>469</v>
      </c>
      <c r="J931" s="93">
        <f>AU931</f>
        <v>1</v>
      </c>
      <c r="K931" s="80">
        <v>0</v>
      </c>
      <c r="L931" s="58"/>
      <c r="M931" s="58"/>
      <c r="N931" s="62">
        <f>SUM(K931+L931-M931)</f>
        <v>0</v>
      </c>
      <c r="O931" s="60"/>
      <c r="P931" s="58"/>
      <c r="Q931" s="62">
        <f>SUM(N931+O931-P931)</f>
        <v>0</v>
      </c>
      <c r="R931" s="60"/>
      <c r="S931" s="58"/>
      <c r="T931" s="94">
        <f>SUM(Q931+R931-S931)</f>
        <v>0</v>
      </c>
      <c r="U931" s="60"/>
      <c r="V931" s="58"/>
      <c r="W931" s="62">
        <f>SUM(T931+U931-V931)</f>
        <v>0</v>
      </c>
      <c r="X931" s="60"/>
      <c r="Y931" s="58"/>
      <c r="Z931" s="94">
        <f>SUM(W931+X931-Y931)</f>
        <v>0</v>
      </c>
      <c r="AA931" s="60"/>
      <c r="AB931" s="58"/>
      <c r="AC931" s="62">
        <f>SUM(Z931+AA931-AB931)</f>
        <v>0</v>
      </c>
      <c r="AD931" s="57"/>
      <c r="AE931" s="58"/>
      <c r="AF931" s="165">
        <f>SUM(AC931+AD931-AE931)</f>
        <v>0</v>
      </c>
      <c r="AG931" s="60">
        <v>1</v>
      </c>
      <c r="AH931" s="58"/>
      <c r="AI931" s="62">
        <f>SUM(AF931+AG931-AH931)</f>
        <v>1</v>
      </c>
      <c r="AJ931" s="60"/>
      <c r="AK931" s="58"/>
      <c r="AL931" s="62">
        <f>SUM(AI931+AJ931-AK931)</f>
        <v>1</v>
      </c>
      <c r="AM931" s="60"/>
      <c r="AN931" s="58"/>
      <c r="AO931" s="62">
        <f>SUM(AL931+AM931-AN931)</f>
        <v>1</v>
      </c>
      <c r="AP931" s="60"/>
      <c r="AQ931" s="58"/>
      <c r="AR931" s="62">
        <f>SUM(AO931+AP931-AQ931)</f>
        <v>1</v>
      </c>
      <c r="AS931" s="60"/>
      <c r="AT931" s="58"/>
      <c r="AU931" s="62">
        <f>SUM(AR931+AS931-AT931)</f>
        <v>1</v>
      </c>
      <c r="AV931" s="96">
        <f t="shared" ref="AV931:AV934" si="3035">SUM(L931+O931+R931+U931+X931+AA931+AD931+AG931+AJ931+AM931+AP931+AS931)</f>
        <v>1</v>
      </c>
      <c r="AW931" s="83">
        <f t="shared" si="3026"/>
        <v>0</v>
      </c>
      <c r="AX931" s="98">
        <f>SUM(M931,P931,S931,V931,Y931,AB931,AE931,AH931,AK931,AN931,AQ931,AT931)</f>
        <v>0</v>
      </c>
      <c r="AY931" s="99" t="e">
        <f>AVERAGE(M931,P931,S931,V931,Y931,AB931,AE931,AH931,AK931,AN931,AQ931,AT931)</f>
        <v>#DIV/0!</v>
      </c>
      <c r="AZ931" s="100">
        <f>COUNT(M931,P931,S931,V931,Y931,AB931,AE931,AH931,AK931,AN931,AQ931,AT931)</f>
        <v>0</v>
      </c>
      <c r="BA931" s="101">
        <f>MAX(M931,P931,S931,V931,Y931,AB931,AE931,AH931,AK931,AN931,AQ931,AT931)</f>
        <v>0</v>
      </c>
      <c r="BB931" s="68">
        <v>0</v>
      </c>
      <c r="BC931" s="84">
        <f t="shared" si="3030"/>
        <v>1</v>
      </c>
      <c r="BD931" s="83">
        <f t="shared" si="3031"/>
        <v>1</v>
      </c>
      <c r="BE931" s="224">
        <v>2</v>
      </c>
      <c r="BF931" s="86">
        <v>46262</v>
      </c>
      <c r="BG931" s="72" t="e">
        <f t="shared" si="2880"/>
        <v>#REF!</v>
      </c>
      <c r="BH931" s="103" t="e">
        <f>BG931-BF931</f>
        <v>#REF!</v>
      </c>
      <c r="BI931" s="80" t="e">
        <f t="shared" si="3033"/>
        <v>#REF!</v>
      </c>
      <c r="BJ931" s="238">
        <v>8300</v>
      </c>
    </row>
    <row r="932" spans="1:62" ht="13">
      <c r="A932" s="90"/>
      <c r="B932" s="91"/>
      <c r="C932" s="51">
        <v>930</v>
      </c>
      <c r="D932" s="58"/>
      <c r="E932" s="58"/>
      <c r="F932" s="222" t="s">
        <v>2082</v>
      </c>
      <c r="G932" s="89" t="s">
        <v>2084</v>
      </c>
      <c r="H932" s="89" t="s">
        <v>2083</v>
      </c>
      <c r="I932" s="88" t="s">
        <v>469</v>
      </c>
      <c r="J932" s="93">
        <f>AU932</f>
        <v>1</v>
      </c>
      <c r="K932" s="88">
        <v>0</v>
      </c>
      <c r="L932" s="58"/>
      <c r="M932" s="58"/>
      <c r="N932" s="62">
        <f>SUM(K932+L932-M932)</f>
        <v>0</v>
      </c>
      <c r="O932" s="60"/>
      <c r="P932" s="58"/>
      <c r="Q932" s="62">
        <f>SUM(N932+O932-P932)</f>
        <v>0</v>
      </c>
      <c r="R932" s="60"/>
      <c r="S932" s="58"/>
      <c r="T932" s="94">
        <f>SUM(Q932+R932-S932)</f>
        <v>0</v>
      </c>
      <c r="U932" s="60"/>
      <c r="V932" s="58"/>
      <c r="W932" s="62">
        <f>SUM(T932+U932-V932)</f>
        <v>0</v>
      </c>
      <c r="X932" s="60"/>
      <c r="Y932" s="58"/>
      <c r="Z932" s="94">
        <f>SUM(W932+X932-Y932)</f>
        <v>0</v>
      </c>
      <c r="AA932" s="60"/>
      <c r="AB932" s="58"/>
      <c r="AC932" s="62">
        <f>SUM(Z932+AA932-AB932)</f>
        <v>0</v>
      </c>
      <c r="AD932" s="57">
        <v>1</v>
      </c>
      <c r="AE932" s="58"/>
      <c r="AF932" s="165">
        <f>SUM(AC932+AD932-AE932)</f>
        <v>1</v>
      </c>
      <c r="AG932" s="60"/>
      <c r="AH932" s="58"/>
      <c r="AI932" s="62">
        <f>SUM(AF932+AG932-AH932)</f>
        <v>1</v>
      </c>
      <c r="AJ932" s="60"/>
      <c r="AK932" s="58"/>
      <c r="AL932" s="62">
        <f>SUM(AI932+AJ932-AK932)</f>
        <v>1</v>
      </c>
      <c r="AM932" s="60"/>
      <c r="AN932" s="58"/>
      <c r="AO932" s="62">
        <f>SUM(AL932+AM932-AN932)</f>
        <v>1</v>
      </c>
      <c r="AP932" s="60"/>
      <c r="AQ932" s="58"/>
      <c r="AR932" s="62">
        <f>SUM(AO932+AP932-AQ932)</f>
        <v>1</v>
      </c>
      <c r="AS932" s="60"/>
      <c r="AT932" s="58"/>
      <c r="AU932" s="62">
        <f>SUM(AR932+AS932-AT932)</f>
        <v>1</v>
      </c>
      <c r="AV932" s="96">
        <f t="shared" si="3035"/>
        <v>1</v>
      </c>
      <c r="AW932" s="83">
        <f t="shared" si="3026"/>
        <v>0</v>
      </c>
      <c r="AX932" s="98">
        <f>SUM(M932,P932,S932,V932,Y932,AB932,AE932,AH932,AK932,AN932,AQ932,AT932)</f>
        <v>0</v>
      </c>
      <c r="AY932" s="99" t="e">
        <f>AVERAGE(M932,P932,S932,V932,Y932,AB932,AE932,AH932,AK932,AN932,AQ932,AT932)</f>
        <v>#DIV/0!</v>
      </c>
      <c r="AZ932" s="100">
        <f>COUNT(M932,P932,S932,V932,Y932,AB932,AE932,AH932,AK932,AN932,AQ932,AT932)</f>
        <v>0</v>
      </c>
      <c r="BA932" s="101">
        <f>MAX(M932,P932,S932,V932,Y932,AB932,AE932,AH932,AK932,AN932,AQ932,AT932)</f>
        <v>0</v>
      </c>
      <c r="BB932" s="68">
        <v>0</v>
      </c>
      <c r="BC932" s="84">
        <f t="shared" si="3030"/>
        <v>1</v>
      </c>
      <c r="BD932" s="83">
        <f t="shared" si="3031"/>
        <v>1</v>
      </c>
      <c r="BE932" s="224">
        <v>2</v>
      </c>
      <c r="BF932" s="86">
        <v>46212.412916666668</v>
      </c>
      <c r="BG932" s="72" t="e">
        <f t="shared" si="2880"/>
        <v>#REF!</v>
      </c>
      <c r="BH932" s="103" t="e">
        <f>BG932-BF932</f>
        <v>#REF!</v>
      </c>
      <c r="BI932" s="80" t="e">
        <f t="shared" si="3033"/>
        <v>#REF!</v>
      </c>
      <c r="BJ932" s="238">
        <v>135000</v>
      </c>
    </row>
    <row r="933" spans="1:62" ht="13">
      <c r="A933" s="49"/>
      <c r="B933" s="217"/>
      <c r="C933" s="51">
        <v>931</v>
      </c>
      <c r="D933" s="218" t="s">
        <v>2014</v>
      </c>
      <c r="E933" s="219"/>
      <c r="F933" s="220" t="s">
        <v>2012</v>
      </c>
      <c r="G933" s="81" t="s">
        <v>2013</v>
      </c>
      <c r="H933" s="81" t="s">
        <v>743</v>
      </c>
      <c r="I933" s="80" t="s">
        <v>458</v>
      </c>
      <c r="J933" s="82">
        <f>AU933</f>
        <v>1</v>
      </c>
      <c r="K933" s="80">
        <v>0</v>
      </c>
      <c r="L933" s="57"/>
      <c r="M933" s="58"/>
      <c r="N933" s="59">
        <f t="shared" ref="N933" si="3036">SUM(K933+L933-M933)</f>
        <v>0</v>
      </c>
      <c r="O933" s="60"/>
      <c r="P933" s="58"/>
      <c r="Q933" s="59">
        <f>SUM(N933+O933-P933)</f>
        <v>0</v>
      </c>
      <c r="R933" s="60"/>
      <c r="S933" s="58"/>
      <c r="T933" s="61">
        <f>SUM(Q933+R933-S933)</f>
        <v>0</v>
      </c>
      <c r="U933" s="60"/>
      <c r="V933" s="58"/>
      <c r="W933" s="59">
        <f>SUM(T933+U933-V933)</f>
        <v>0</v>
      </c>
      <c r="X933" s="60"/>
      <c r="Y933" s="58"/>
      <c r="Z933" s="61">
        <f>SUM(W933+X933-Y933)</f>
        <v>0</v>
      </c>
      <c r="AA933" s="60"/>
      <c r="AB933" s="58"/>
      <c r="AC933" s="59">
        <f>SUM(Z933+AA933-AB933)</f>
        <v>0</v>
      </c>
      <c r="AD933" s="57"/>
      <c r="AE933" s="58"/>
      <c r="AF933" s="243">
        <f>SUM(AC933+AD933-AE933)</f>
        <v>0</v>
      </c>
      <c r="AG933" s="60">
        <v>1</v>
      </c>
      <c r="AH933" s="58"/>
      <c r="AI933" s="62">
        <f>SUM(AF933+AG933-AH933)</f>
        <v>1</v>
      </c>
      <c r="AJ933" s="60"/>
      <c r="AK933" s="58"/>
      <c r="AL933" s="62">
        <f>SUM(AI933+AJ933-AK933)</f>
        <v>1</v>
      </c>
      <c r="AM933" s="60"/>
      <c r="AN933" s="58"/>
      <c r="AO933" s="62">
        <f>SUM(AL933+AM933-AN933)</f>
        <v>1</v>
      </c>
      <c r="AP933" s="60"/>
      <c r="AQ933" s="58"/>
      <c r="AR933" s="104">
        <f>SUM(AO933+AP933-AQ933)</f>
        <v>1</v>
      </c>
      <c r="AS933" s="57"/>
      <c r="AT933" s="58"/>
      <c r="AU933" s="62">
        <f t="shared" ref="AU933" si="3037">SUM(AR933+AS933-AT933)</f>
        <v>1</v>
      </c>
      <c r="AV933" s="83">
        <f>SUM(L933+O933+R933+U933+X933+AA933+AD933+AG933+AJ933+AM933+AP933+AS933)</f>
        <v>1</v>
      </c>
      <c r="AW933" s="83">
        <f>SUM(M933+P933+S933+V933+Y933+AB933+AE933+AH933+AK933+AN933+AQ933+AT933)</f>
        <v>0</v>
      </c>
      <c r="AX933" s="64">
        <f t="shared" ref="AX933" si="3038">SUM(M933,P933,S933,V933,Y933,AB933,AE933,AH933,AK933,AN933,AQ933,AT933)</f>
        <v>0</v>
      </c>
      <c r="AY933" s="65" t="e">
        <f t="shared" ref="AY933" si="3039">AVERAGE(M933,P933,S933,V933,Y933,AB933,AE933,AH933,AK933,AN933,AQ933,AT933)</f>
        <v>#DIV/0!</v>
      </c>
      <c r="AZ933" s="66">
        <f t="shared" ref="AZ933" si="3040">COUNT(M933,P933,S933,V933,Y933,AB933,AE933,AH933,AK933,AN933,AQ933,AT933)</f>
        <v>0</v>
      </c>
      <c r="BA933" s="67">
        <f>MAX(0, Table176252626[[#This Row],[Column6]])</f>
        <v>1</v>
      </c>
      <c r="BB933" s="68">
        <v>1</v>
      </c>
      <c r="BC933" s="84">
        <f t="shared" ref="BC933" si="3041">J933</f>
        <v>1</v>
      </c>
      <c r="BD933" s="83">
        <f t="shared" ref="BD933" si="3042">SUM(BC933-BB933)</f>
        <v>0</v>
      </c>
      <c r="BE933" s="85">
        <v>2</v>
      </c>
      <c r="BF933" s="86">
        <v>46255</v>
      </c>
      <c r="BG933" s="72" t="e">
        <f t="shared" si="2880"/>
        <v>#REF!</v>
      </c>
      <c r="BH933" s="87" t="e">
        <f t="shared" ref="BH933" si="3043">BG933-BF933</f>
        <v>#REF!</v>
      </c>
      <c r="BI933" s="80" t="e">
        <f>IF(AND(J933&gt;0,BH933&gt;365),"Dead Stock","")</f>
        <v>#REF!</v>
      </c>
      <c r="BJ933" s="238">
        <v>65000</v>
      </c>
    </row>
    <row r="934" spans="1:62" ht="13">
      <c r="A934" s="75"/>
      <c r="B934" s="223"/>
      <c r="C934" s="221"/>
      <c r="D934" s="58"/>
      <c r="E934" s="58"/>
      <c r="F934" s="220"/>
      <c r="G934" s="81"/>
      <c r="H934" s="81"/>
      <c r="I934" s="80"/>
      <c r="J934" s="82">
        <f>AU934</f>
        <v>0</v>
      </c>
      <c r="K934" s="80">
        <v>0</v>
      </c>
      <c r="L934" s="57"/>
      <c r="M934" s="58"/>
      <c r="N934" s="59">
        <f>SUM(K934+L934-M934)</f>
        <v>0</v>
      </c>
      <c r="O934" s="60"/>
      <c r="P934" s="58"/>
      <c r="Q934" s="59">
        <f>SUM(N934+O934-P934)</f>
        <v>0</v>
      </c>
      <c r="R934" s="60"/>
      <c r="S934" s="58"/>
      <c r="T934" s="61">
        <f>SUM(Q934+R934-S934)</f>
        <v>0</v>
      </c>
      <c r="U934" s="60"/>
      <c r="V934" s="58"/>
      <c r="W934" s="59">
        <f>SUM(T934+U934-V934)</f>
        <v>0</v>
      </c>
      <c r="X934" s="60"/>
      <c r="Y934" s="58"/>
      <c r="Z934" s="61">
        <f>SUM(W934+X934-Y934)</f>
        <v>0</v>
      </c>
      <c r="AA934" s="60"/>
      <c r="AB934" s="58"/>
      <c r="AC934" s="59">
        <f>SUM(Z934+AA934-AB934)</f>
        <v>0</v>
      </c>
      <c r="AD934" s="57"/>
      <c r="AE934" s="58"/>
      <c r="AF934" s="243">
        <f>SUM(AC934+AD934-AE934)</f>
        <v>0</v>
      </c>
      <c r="AG934" s="60"/>
      <c r="AH934" s="58"/>
      <c r="AI934" s="62">
        <f t="shared" ref="AI934" si="3044">SUM(AF934+AG934-AH934)</f>
        <v>0</v>
      </c>
      <c r="AJ934" s="60"/>
      <c r="AK934" s="58"/>
      <c r="AL934" s="62">
        <f t="shared" ref="AL934" si="3045">SUM(AI934+AJ934-AK934)</f>
        <v>0</v>
      </c>
      <c r="AM934" s="60"/>
      <c r="AN934" s="58"/>
      <c r="AO934" s="62">
        <f>SUM(AL934+AM934-AN934)</f>
        <v>0</v>
      </c>
      <c r="AP934" s="60"/>
      <c r="AQ934" s="58"/>
      <c r="AR934" s="104">
        <f>SUM(AO934+AP934-AQ934)</f>
        <v>0</v>
      </c>
      <c r="AS934" s="57"/>
      <c r="AT934" s="58"/>
      <c r="AU934" s="62">
        <f>SUM(AR934+AS934-AT934)</f>
        <v>0</v>
      </c>
      <c r="AV934" s="83">
        <f t="shared" si="3035"/>
        <v>0</v>
      </c>
      <c r="AW934" s="83">
        <f t="shared" si="3026"/>
        <v>0</v>
      </c>
      <c r="AX934" s="64">
        <f>SUM(M934,P934,S934,V934,Y934,AB934,AE934,AH934,AK934,AN934,AQ934,AT934)</f>
        <v>0</v>
      </c>
      <c r="AY934" s="65" t="e">
        <f>AVERAGE(M934,P934,S934,V934,Y934,AB934,AE934,AH934,AK934,AN934,AQ934,AT934)</f>
        <v>#DIV/0!</v>
      </c>
      <c r="AZ934" s="66">
        <f>COUNT(M934,P934,S934,V934,Y934,AB934,AE934,AH934,AK934,AN934,AQ934,AT934)</f>
        <v>0</v>
      </c>
      <c r="BA934" s="67">
        <f>MAX(0, Table176252626[[#This Row],[Column6]])</f>
        <v>0</v>
      </c>
      <c r="BB934" s="68">
        <v>0</v>
      </c>
      <c r="BC934" s="84">
        <f t="shared" si="3030"/>
        <v>0</v>
      </c>
      <c r="BD934" s="83">
        <f t="shared" si="3031"/>
        <v>0</v>
      </c>
      <c r="BE934" s="85"/>
      <c r="BF934" s="86"/>
      <c r="BG934" s="72"/>
      <c r="BH934" s="87">
        <f>BG934-BF934</f>
        <v>0</v>
      </c>
      <c r="BI934" s="80" t="str">
        <f t="shared" si="3033"/>
        <v/>
      </c>
      <c r="BJ934" s="239"/>
    </row>
    <row r="935" spans="1:62" ht="13">
      <c r="A935" s="90"/>
      <c r="B935" s="91"/>
      <c r="C935" s="221"/>
      <c r="D935" s="58"/>
      <c r="E935" s="58"/>
      <c r="F935" s="220"/>
      <c r="G935" s="81"/>
      <c r="H935" s="81"/>
      <c r="I935" s="80"/>
      <c r="J935" s="82">
        <f t="shared" ref="J935" si="3046">AU935</f>
        <v>0</v>
      </c>
      <c r="K935" s="80">
        <v>0</v>
      </c>
      <c r="L935" s="57"/>
      <c r="M935" s="58"/>
      <c r="N935" s="59">
        <f t="shared" ref="N935" si="3047">SUM(K935+L935-M935)</f>
        <v>0</v>
      </c>
      <c r="O935" s="60"/>
      <c r="P935" s="58"/>
      <c r="Q935" s="59">
        <f t="shared" ref="Q935" si="3048">SUM(N935+O935-P935)</f>
        <v>0</v>
      </c>
      <c r="R935" s="60"/>
      <c r="S935" s="58"/>
      <c r="T935" s="61">
        <f t="shared" ref="T935" si="3049">SUM(Q935+R935-S935)</f>
        <v>0</v>
      </c>
      <c r="U935" s="60"/>
      <c r="V935" s="58"/>
      <c r="W935" s="59">
        <f t="shared" ref="W935" si="3050">SUM(T935+U935-V935)</f>
        <v>0</v>
      </c>
      <c r="X935" s="60"/>
      <c r="Y935" s="58"/>
      <c r="Z935" s="61">
        <f t="shared" ref="Z935" si="3051">SUM(W935+X935-Y935)</f>
        <v>0</v>
      </c>
      <c r="AA935" s="60"/>
      <c r="AB935" s="58"/>
      <c r="AC935" s="59">
        <f t="shared" ref="AC935" si="3052">SUM(Z935+AA935-AB935)</f>
        <v>0</v>
      </c>
      <c r="AD935" s="57"/>
      <c r="AE935" s="58"/>
      <c r="AF935" s="243">
        <f t="shared" ref="AF935" si="3053">SUM(AC935+AD935-AE935)</f>
        <v>0</v>
      </c>
      <c r="AG935" s="60"/>
      <c r="AH935" s="58"/>
      <c r="AI935" s="62">
        <f t="shared" ref="AI935" si="3054">SUM(AF935+AG935-AH935)</f>
        <v>0</v>
      </c>
      <c r="AJ935" s="60"/>
      <c r="AK935" s="58"/>
      <c r="AL935" s="62">
        <f t="shared" ref="AL935" si="3055">SUM(AI935+AJ935-AK935)</f>
        <v>0</v>
      </c>
      <c r="AM935" s="60"/>
      <c r="AN935" s="58"/>
      <c r="AO935" s="62">
        <f t="shared" ref="AO935" si="3056">SUM(AL935+AM935-AN935)</f>
        <v>0</v>
      </c>
      <c r="AP935" s="60"/>
      <c r="AQ935" s="58"/>
      <c r="AR935" s="104">
        <f t="shared" ref="AR935" si="3057">SUM(AO935+AP935-AQ935)</f>
        <v>0</v>
      </c>
      <c r="AS935" s="57"/>
      <c r="AT935" s="58"/>
      <c r="AU935" s="62">
        <f t="shared" ref="AU935" si="3058">SUM(AR935+AS935-AT935)</f>
        <v>0</v>
      </c>
      <c r="AV935" s="83">
        <f t="shared" ref="AV935" si="3059">SUM(L935+O935+R935+U935+X935+AA935+AD935+AG935+AJ935+AM935+AP935+AS935)</f>
        <v>0</v>
      </c>
      <c r="AW935" s="83">
        <f t="shared" si="3026"/>
        <v>0</v>
      </c>
      <c r="AX935" s="64">
        <f t="shared" ref="AX935" si="3060">SUM(M935,P935,S935,V935,Y935,AB935,AE935,AH935,AK935,AN935,AQ935,AT935)</f>
        <v>0</v>
      </c>
      <c r="AY935" s="65" t="e">
        <f t="shared" ref="AY935" si="3061">AVERAGE(M935,P935,S935,V935,Y935,AB935,AE935,AH935,AK935,AN935,AQ935,AT935)</f>
        <v>#DIV/0!</v>
      </c>
      <c r="AZ935" s="66">
        <f t="shared" ref="AZ935" si="3062">COUNT(M935,P935,S935,V935,Y935,AB935,AE935,AH935,AK935,AN935,AQ935,AT935)</f>
        <v>0</v>
      </c>
      <c r="BA935" s="67">
        <f>MAX(0, Table176252626[[#This Row],[Column6]])</f>
        <v>0</v>
      </c>
      <c r="BB935" s="68">
        <v>0</v>
      </c>
      <c r="BC935" s="84">
        <f t="shared" si="3030"/>
        <v>0</v>
      </c>
      <c r="BD935" s="83">
        <f t="shared" si="3031"/>
        <v>0</v>
      </c>
      <c r="BE935" s="85"/>
      <c r="BF935" s="86"/>
      <c r="BG935" s="72"/>
      <c r="BH935" s="107">
        <f t="shared" ref="BH935" si="3063">BG935-BF935</f>
        <v>0</v>
      </c>
      <c r="BI935" s="80" t="str">
        <f t="shared" si="3033"/>
        <v/>
      </c>
      <c r="BJ935" s="239"/>
    </row>
    <row r="936" spans="1:62" ht="13">
      <c r="A936" s="90"/>
      <c r="B936" s="91"/>
      <c r="C936" s="221"/>
      <c r="D936" s="58"/>
      <c r="E936" s="58"/>
      <c r="F936" s="226"/>
      <c r="G936" s="55"/>
      <c r="H936" s="55"/>
      <c r="I936" s="80"/>
      <c r="J936" s="82">
        <f>AU936</f>
        <v>0</v>
      </c>
      <c r="K936" s="54">
        <v>0</v>
      </c>
      <c r="L936" s="57"/>
      <c r="M936" s="58"/>
      <c r="N936" s="59">
        <f>SUM(K936+L936-M936)</f>
        <v>0</v>
      </c>
      <c r="O936" s="60"/>
      <c r="P936" s="58"/>
      <c r="Q936" s="59">
        <f>SUM(N936+O936-P936)</f>
        <v>0</v>
      </c>
      <c r="R936" s="60"/>
      <c r="S936" s="58"/>
      <c r="T936" s="61">
        <f>SUM(Q936+R936-S936)</f>
        <v>0</v>
      </c>
      <c r="U936" s="60"/>
      <c r="V936" s="58"/>
      <c r="W936" s="59">
        <f>SUM(T936+U936-V936)</f>
        <v>0</v>
      </c>
      <c r="X936" s="60"/>
      <c r="Y936" s="58"/>
      <c r="Z936" s="61">
        <f>SUM(W936+X936-Y936)</f>
        <v>0</v>
      </c>
      <c r="AA936" s="60"/>
      <c r="AB936" s="58"/>
      <c r="AC936" s="59">
        <f>SUM(Z936+AA936-AB936)</f>
        <v>0</v>
      </c>
      <c r="AD936" s="57"/>
      <c r="AE936" s="58"/>
      <c r="AF936" s="243">
        <f>SUM(AC936+AD936-AE936)</f>
        <v>0</v>
      </c>
      <c r="AG936" s="60"/>
      <c r="AH936" s="58"/>
      <c r="AI936" s="62">
        <f>SUM(AF936+AG936-AH936)</f>
        <v>0</v>
      </c>
      <c r="AJ936" s="60"/>
      <c r="AK936" s="58"/>
      <c r="AL936" s="62">
        <f>SUM(AI936+AJ936-AK936)</f>
        <v>0</v>
      </c>
      <c r="AM936" s="60"/>
      <c r="AN936" s="58"/>
      <c r="AO936" s="62">
        <f>SUM(AL936+AM936-AN936)</f>
        <v>0</v>
      </c>
      <c r="AP936" s="60"/>
      <c r="AQ936" s="58"/>
      <c r="AR936" s="62">
        <f>SUM(AO936+AP936-AQ936)</f>
        <v>0</v>
      </c>
      <c r="AS936" s="60"/>
      <c r="AT936" s="58"/>
      <c r="AU936" s="62">
        <f>SUM(AR936+AS936-AT936)</f>
        <v>0</v>
      </c>
      <c r="AV936" s="83">
        <f>SUM(L936+O936+R936+U936+X936+AA936+AD936+AG936+AJ936+AM936+AP936+AS936)</f>
        <v>0</v>
      </c>
      <c r="AW936" s="83">
        <f t="shared" si="3026"/>
        <v>0</v>
      </c>
      <c r="AX936" s="64">
        <f>SUM(M936,P936,S936,V936,Y936,AB936,AE936,AH936,AK936,AN936,AQ936,AT936)</f>
        <v>0</v>
      </c>
      <c r="AY936" s="65" t="e">
        <f>AVERAGE(M936,P936,S936,V936,Y936,AB936,AE936,AH936,AK936,AN936,AQ936,AT936)</f>
        <v>#DIV/0!</v>
      </c>
      <c r="AZ936" s="66">
        <f>COUNT(M936,P936,S936,V936,Y936,AB936,AE936,AH936,AK936,AN936,AQ936,AT936)</f>
        <v>0</v>
      </c>
      <c r="BA936" s="67">
        <f>MAX(0, Table176252626[[#This Row],[Column6]])</f>
        <v>0</v>
      </c>
      <c r="BB936" s="68">
        <v>0</v>
      </c>
      <c r="BC936" s="84">
        <f t="shared" si="3030"/>
        <v>0</v>
      </c>
      <c r="BD936" s="83">
        <f t="shared" si="3031"/>
        <v>0</v>
      </c>
      <c r="BE936" s="85"/>
      <c r="BF936" s="86"/>
      <c r="BG936" s="72"/>
      <c r="BH936" s="107">
        <f>BG936-BF936</f>
        <v>0</v>
      </c>
      <c r="BI936" s="80" t="str">
        <f t="shared" si="3033"/>
        <v/>
      </c>
      <c r="BJ936" s="239"/>
    </row>
    <row r="937" spans="1:62" ht="13">
      <c r="A937" s="49"/>
      <c r="B937" s="217"/>
      <c r="C937" s="221"/>
      <c r="D937" s="58"/>
      <c r="E937" s="58"/>
      <c r="F937" s="222"/>
      <c r="G937" s="89"/>
      <c r="H937" s="89"/>
      <c r="I937" s="88"/>
      <c r="J937" s="93">
        <f t="shared" ref="J937" si="3064">AU937</f>
        <v>0</v>
      </c>
      <c r="K937" s="80">
        <v>0</v>
      </c>
      <c r="L937" s="58"/>
      <c r="M937" s="58"/>
      <c r="N937" s="62">
        <f>SUM(K937+L937-M937)</f>
        <v>0</v>
      </c>
      <c r="O937" s="60"/>
      <c r="P937" s="58"/>
      <c r="Q937" s="62">
        <f>SUM(N937+O937-P937)</f>
        <v>0</v>
      </c>
      <c r="R937" s="60"/>
      <c r="S937" s="58"/>
      <c r="T937" s="94">
        <f>SUM(Q937+R937-S937)</f>
        <v>0</v>
      </c>
      <c r="U937" s="60"/>
      <c r="V937" s="58"/>
      <c r="W937" s="62">
        <f>SUM(T937+U937-V937)</f>
        <v>0</v>
      </c>
      <c r="X937" s="60"/>
      <c r="Y937" s="58"/>
      <c r="Z937" s="94">
        <f>SUM(W937+X937-Y937)</f>
        <v>0</v>
      </c>
      <c r="AA937" s="60"/>
      <c r="AB937" s="58"/>
      <c r="AC937" s="62">
        <f>SUM(Z937+AA937-AB937)</f>
        <v>0</v>
      </c>
      <c r="AD937" s="57"/>
      <c r="AE937" s="58"/>
      <c r="AF937" s="165">
        <f>SUM(AC937+AD937-AE937)</f>
        <v>0</v>
      </c>
      <c r="AG937" s="60"/>
      <c r="AH937" s="58"/>
      <c r="AI937" s="62">
        <f>SUM(AF937+AG937-AH937)</f>
        <v>0</v>
      </c>
      <c r="AJ937" s="60"/>
      <c r="AK937" s="58"/>
      <c r="AL937" s="62">
        <f>SUM(AI937+AJ937-AK937)</f>
        <v>0</v>
      </c>
      <c r="AM937" s="60"/>
      <c r="AN937" s="58"/>
      <c r="AO937" s="62">
        <f>SUM(AL937+AM937-AN937)</f>
        <v>0</v>
      </c>
      <c r="AP937" s="60"/>
      <c r="AQ937" s="58"/>
      <c r="AR937" s="62">
        <f>SUM(AO937+AP937-AQ937)</f>
        <v>0</v>
      </c>
      <c r="AS937" s="60"/>
      <c r="AT937" s="58"/>
      <c r="AU937" s="62">
        <f>SUM(AR937+AS937-AT937)</f>
        <v>0</v>
      </c>
      <c r="AV937" s="96">
        <f t="shared" ref="AV937" si="3065">SUM(L937+O937+R937+U937+X937+AA937+AD937+AG937+AJ937+AM937+AP937+AS937)</f>
        <v>0</v>
      </c>
      <c r="AW937" s="83">
        <f t="shared" si="3026"/>
        <v>0</v>
      </c>
      <c r="AX937" s="98">
        <f>SUM(M937,P937,S937,V937,Y937,AB937,AE937,AH937,AK937,AN937,AQ937,AT937)</f>
        <v>0</v>
      </c>
      <c r="AY937" s="99" t="e">
        <f>AVERAGE(M937,P937,S937,V937,Y937,AB937,AE937,AH937,AK937,AN937,AQ937,AT937)</f>
        <v>#DIV/0!</v>
      </c>
      <c r="AZ937" s="100">
        <f>COUNT(M937,P937,S937,V937,Y937,AB937,AE937,AH937,AK937,AN937,AQ937,AT937)</f>
        <v>0</v>
      </c>
      <c r="BA937" s="101">
        <f>MAX(M937,P937,S937,V937,Y937,AB937,AE937,AH937,AK937,AN937,AQ937,AT937)</f>
        <v>0</v>
      </c>
      <c r="BB937" s="68">
        <v>0</v>
      </c>
      <c r="BC937" s="84">
        <f t="shared" si="3030"/>
        <v>0</v>
      </c>
      <c r="BD937" s="83">
        <f t="shared" si="3031"/>
        <v>0</v>
      </c>
      <c r="BE937" s="224"/>
      <c r="BF937" s="86"/>
      <c r="BG937" s="72"/>
      <c r="BH937" s="103">
        <f>BG937-BF937</f>
        <v>0</v>
      </c>
      <c r="BI937" s="80" t="str">
        <f t="shared" si="3033"/>
        <v/>
      </c>
      <c r="BJ937" s="239"/>
    </row>
    <row r="938" spans="1:62" ht="13">
      <c r="A938" s="75"/>
      <c r="B938" s="223"/>
      <c r="C938" s="221"/>
      <c r="D938" s="58"/>
      <c r="E938" s="58"/>
      <c r="F938" s="222"/>
      <c r="G938" s="89"/>
      <c r="H938" s="89"/>
      <c r="I938" s="88"/>
      <c r="J938" s="93">
        <f t="shared" ref="J938" si="3066">AU938</f>
        <v>0</v>
      </c>
      <c r="K938" s="80">
        <v>0</v>
      </c>
      <c r="L938" s="58"/>
      <c r="M938" s="58"/>
      <c r="N938" s="62">
        <f t="shared" ref="N938" si="3067">SUM(K938+L938-M938)</f>
        <v>0</v>
      </c>
      <c r="O938" s="60"/>
      <c r="P938" s="58"/>
      <c r="Q938" s="62">
        <f t="shared" ref="Q938" si="3068">SUM(N938+O938-P938)</f>
        <v>0</v>
      </c>
      <c r="R938" s="60"/>
      <c r="S938" s="58"/>
      <c r="T938" s="94">
        <f t="shared" ref="T938" si="3069">SUM(Q938+R938-S938)</f>
        <v>0</v>
      </c>
      <c r="U938" s="60"/>
      <c r="V938" s="58"/>
      <c r="W938" s="62">
        <f t="shared" ref="W938" si="3070">SUM(T938+U938-V938)</f>
        <v>0</v>
      </c>
      <c r="X938" s="60"/>
      <c r="Y938" s="58"/>
      <c r="Z938" s="94">
        <f t="shared" ref="Z938" si="3071">SUM(W938+X938-Y938)</f>
        <v>0</v>
      </c>
      <c r="AA938" s="60"/>
      <c r="AB938" s="58"/>
      <c r="AC938" s="62">
        <f t="shared" ref="AC938" si="3072">SUM(Z938+AA938-AB938)</f>
        <v>0</v>
      </c>
      <c r="AD938" s="57"/>
      <c r="AE938" s="58"/>
      <c r="AF938" s="165">
        <f t="shared" ref="AF938" si="3073">SUM(AC938+AD938-AE938)</f>
        <v>0</v>
      </c>
      <c r="AG938" s="60"/>
      <c r="AH938" s="58"/>
      <c r="AI938" s="62">
        <f t="shared" ref="AI938" si="3074">SUM(AF938+AG938-AH938)</f>
        <v>0</v>
      </c>
      <c r="AJ938" s="60"/>
      <c r="AK938" s="58"/>
      <c r="AL938" s="62">
        <f t="shared" ref="AL938" si="3075">SUM(AI938+AJ938-AK938)</f>
        <v>0</v>
      </c>
      <c r="AM938" s="60"/>
      <c r="AN938" s="58"/>
      <c r="AO938" s="62">
        <f t="shared" ref="AO938" si="3076">SUM(AL938+AM938-AN938)</f>
        <v>0</v>
      </c>
      <c r="AP938" s="60"/>
      <c r="AQ938" s="58"/>
      <c r="AR938" s="62">
        <f t="shared" ref="AR938" si="3077">SUM(AO938+AP938-AQ938)</f>
        <v>0</v>
      </c>
      <c r="AS938" s="60"/>
      <c r="AT938" s="58"/>
      <c r="AU938" s="62">
        <f t="shared" ref="AU938" si="3078">SUM(AR938+AS938-AT938)</f>
        <v>0</v>
      </c>
      <c r="AV938" s="96">
        <f t="shared" ref="AV938" si="3079">SUM(L938+O938+R938+U938+X938+AA938+AD938+AG938+AJ938+AM938+AP938+AS938)</f>
        <v>0</v>
      </c>
      <c r="AW938" s="83">
        <f t="shared" si="3026"/>
        <v>0</v>
      </c>
      <c r="AX938" s="98">
        <f t="shared" ref="AX938" si="3080">SUM(M938,P938,S938,V938,Y938,AB938,AE938,AH938,AK938,AN938,AQ938,AT938)</f>
        <v>0</v>
      </c>
      <c r="AY938" s="99" t="e">
        <f t="shared" ref="AY938" si="3081">AVERAGE(M938,P938,S938,V938,Y938,AB938,AE938,AH938,AK938,AN938,AQ938,AT938)</f>
        <v>#DIV/0!</v>
      </c>
      <c r="AZ938" s="100">
        <f t="shared" ref="AZ938" si="3082">COUNT(M938,P938,S938,V938,Y938,AB938,AE938,AH938,AK938,AN938,AQ938,AT938)</f>
        <v>0</v>
      </c>
      <c r="BA938" s="101">
        <f t="shared" ref="BA938" si="3083">MAX(M938,P938,S938,V938,Y938,AB938,AE938,AH938,AK938,AN938,AQ938,AT938)</f>
        <v>0</v>
      </c>
      <c r="BB938" s="68">
        <v>0</v>
      </c>
      <c r="BC938" s="84">
        <f t="shared" si="3030"/>
        <v>0</v>
      </c>
      <c r="BD938" s="83">
        <f t="shared" si="3031"/>
        <v>0</v>
      </c>
      <c r="BE938" s="224"/>
      <c r="BF938" s="86"/>
      <c r="BG938" s="72"/>
      <c r="BH938" s="103">
        <f t="shared" ref="BH938" si="3084">BG938-BF938</f>
        <v>0</v>
      </c>
      <c r="BI938" s="80" t="str">
        <f t="shared" si="3033"/>
        <v/>
      </c>
      <c r="BJ938" s="239"/>
    </row>
    <row r="939" spans="1:62" ht="13">
      <c r="A939" s="49"/>
      <c r="B939" s="223"/>
      <c r="C939" s="221"/>
      <c r="D939" s="58"/>
      <c r="E939" s="58"/>
      <c r="F939" s="222"/>
      <c r="G939" s="89"/>
      <c r="H939" s="89"/>
      <c r="I939" s="88"/>
      <c r="J939" s="93">
        <f t="shared" ref="J939" si="3085">AU939</f>
        <v>0</v>
      </c>
      <c r="K939" s="80">
        <v>0</v>
      </c>
      <c r="L939" s="58"/>
      <c r="M939" s="58"/>
      <c r="N939" s="62">
        <f t="shared" ref="N939" si="3086">SUM(K939+L939-M939)</f>
        <v>0</v>
      </c>
      <c r="O939" s="60"/>
      <c r="P939" s="58"/>
      <c r="Q939" s="62">
        <f t="shared" ref="Q939" si="3087">SUM(N939+O939-P939)</f>
        <v>0</v>
      </c>
      <c r="R939" s="60"/>
      <c r="S939" s="58"/>
      <c r="T939" s="94">
        <f t="shared" ref="T939" si="3088">SUM(Q939+R939-S939)</f>
        <v>0</v>
      </c>
      <c r="U939" s="60"/>
      <c r="V939" s="58"/>
      <c r="W939" s="62">
        <f t="shared" ref="W939" si="3089">SUM(T939+U939-V939)</f>
        <v>0</v>
      </c>
      <c r="X939" s="60"/>
      <c r="Y939" s="58"/>
      <c r="Z939" s="94">
        <f t="shared" ref="Z939" si="3090">SUM(W939+X939-Y939)</f>
        <v>0</v>
      </c>
      <c r="AA939" s="60"/>
      <c r="AB939" s="58"/>
      <c r="AC939" s="62">
        <f t="shared" ref="AC939" si="3091">SUM(Z939+AA939-AB939)</f>
        <v>0</v>
      </c>
      <c r="AD939" s="57"/>
      <c r="AE939" s="58"/>
      <c r="AF939" s="165">
        <f t="shared" ref="AF939" si="3092">SUM(AC939+AD939-AE939)</f>
        <v>0</v>
      </c>
      <c r="AG939" s="60"/>
      <c r="AH939" s="58"/>
      <c r="AI939" s="62">
        <f t="shared" ref="AI939" si="3093">SUM(AF939+AG939-AH939)</f>
        <v>0</v>
      </c>
      <c r="AJ939" s="60"/>
      <c r="AK939" s="58"/>
      <c r="AL939" s="62">
        <f t="shared" ref="AL939" si="3094">SUM(AI939+AJ939-AK939)</f>
        <v>0</v>
      </c>
      <c r="AM939" s="60"/>
      <c r="AN939" s="58"/>
      <c r="AO939" s="62">
        <f t="shared" ref="AO939" si="3095">SUM(AL939+AM939-AN939)</f>
        <v>0</v>
      </c>
      <c r="AP939" s="60"/>
      <c r="AQ939" s="58"/>
      <c r="AR939" s="62">
        <f t="shared" ref="AR939" si="3096">SUM(AO939+AP939-AQ939)</f>
        <v>0</v>
      </c>
      <c r="AS939" s="60"/>
      <c r="AT939" s="58"/>
      <c r="AU939" s="62">
        <f t="shared" ref="AU939" si="3097">SUM(AR939+AS939-AT939)</f>
        <v>0</v>
      </c>
      <c r="AV939" s="96">
        <f t="shared" ref="AV939" si="3098">SUM(L939+O939+R939+U939+X939+AA939+AD939+AG939+AJ939+AM939+AP939+AS939)</f>
        <v>0</v>
      </c>
      <c r="AW939" s="83">
        <f t="shared" si="3026"/>
        <v>0</v>
      </c>
      <c r="AX939" s="98">
        <f t="shared" ref="AX939" si="3099">SUM(M939,P939,S939,V939,Y939,AB939,AE939,AH939,AK939,AN939,AQ939,AT939)</f>
        <v>0</v>
      </c>
      <c r="AY939" s="99" t="e">
        <f t="shared" ref="AY939" si="3100">AVERAGE(M939,P939,S939,V939,Y939,AB939,AE939,AH939,AK939,AN939,AQ939,AT939)</f>
        <v>#DIV/0!</v>
      </c>
      <c r="AZ939" s="100">
        <f t="shared" ref="AZ939" si="3101">COUNT(M939,P939,S939,V939,Y939,AB939,AE939,AH939,AK939,AN939,AQ939,AT939)</f>
        <v>0</v>
      </c>
      <c r="BA939" s="101">
        <f>MAX(M939,P939,S939,V939,Y939,AB939,AE939,AH939,AK939,AN939,AQ939,AT939)</f>
        <v>0</v>
      </c>
      <c r="BB939" s="68">
        <v>0</v>
      </c>
      <c r="BC939" s="84">
        <f t="shared" si="3030"/>
        <v>0</v>
      </c>
      <c r="BD939" s="83">
        <f t="shared" si="3031"/>
        <v>0</v>
      </c>
      <c r="BE939" s="224"/>
      <c r="BF939" s="86"/>
      <c r="BG939" s="72"/>
      <c r="BH939" s="103">
        <f t="shared" ref="BH939" si="3102">BG939-BF939</f>
        <v>0</v>
      </c>
      <c r="BI939" s="80" t="str">
        <f t="shared" si="3033"/>
        <v/>
      </c>
      <c r="BJ939" s="239"/>
    </row>
    <row r="940" spans="1:62" ht="13">
      <c r="A940" s="49"/>
      <c r="B940" s="217"/>
      <c r="C940" s="221"/>
      <c r="D940" s="58"/>
      <c r="E940" s="58"/>
      <c r="F940" s="227"/>
      <c r="G940" s="112"/>
      <c r="H940" s="81"/>
      <c r="I940" s="80"/>
      <c r="J940" s="82">
        <f t="shared" ref="J940:J944" si="3103">AU940</f>
        <v>0</v>
      </c>
      <c r="K940" s="80">
        <v>0</v>
      </c>
      <c r="L940" s="57"/>
      <c r="M940" s="58"/>
      <c r="N940" s="59">
        <f t="shared" ref="N940:N944" si="3104">SUM(K940+L940-M940)</f>
        <v>0</v>
      </c>
      <c r="O940" s="60"/>
      <c r="P940" s="58"/>
      <c r="Q940" s="59">
        <f t="shared" ref="Q940:Q944" si="3105">SUM(N940+O940-P940)</f>
        <v>0</v>
      </c>
      <c r="R940" s="60"/>
      <c r="S940" s="58"/>
      <c r="T940" s="61">
        <f t="shared" ref="T940:T944" si="3106">SUM(Q940+R940-S940)</f>
        <v>0</v>
      </c>
      <c r="U940" s="60"/>
      <c r="V940" s="58"/>
      <c r="W940" s="59">
        <f t="shared" ref="W940:W944" si="3107">SUM(T940+U940-V940)</f>
        <v>0</v>
      </c>
      <c r="X940" s="60"/>
      <c r="Y940" s="58"/>
      <c r="Z940" s="61">
        <f t="shared" ref="Z940:Z944" si="3108">SUM(W940+X940-Y940)</f>
        <v>0</v>
      </c>
      <c r="AA940" s="60"/>
      <c r="AB940" s="58"/>
      <c r="AC940" s="59">
        <f t="shared" ref="AC940:AC944" si="3109">SUM(Z940+AA940-AB940)</f>
        <v>0</v>
      </c>
      <c r="AD940" s="57"/>
      <c r="AE940" s="58"/>
      <c r="AF940" s="243">
        <f t="shared" ref="AF940:AF944" si="3110">SUM(AC940+AD940-AE940)</f>
        <v>0</v>
      </c>
      <c r="AG940" s="60"/>
      <c r="AH940" s="58"/>
      <c r="AI940" s="62">
        <f t="shared" ref="AI940:AI944" si="3111">SUM(AF940+AG940-AH940)</f>
        <v>0</v>
      </c>
      <c r="AJ940" s="60"/>
      <c r="AK940" s="58"/>
      <c r="AL940" s="62">
        <f t="shared" ref="AL940:AL944" si="3112">SUM(AI940+AJ940-AK940)</f>
        <v>0</v>
      </c>
      <c r="AM940" s="60"/>
      <c r="AN940" s="58"/>
      <c r="AO940" s="62">
        <f t="shared" ref="AO940:AO944" si="3113">SUM(AL940+AM940-AN940)</f>
        <v>0</v>
      </c>
      <c r="AP940" s="60"/>
      <c r="AQ940" s="58"/>
      <c r="AR940" s="62">
        <f t="shared" ref="AR940:AR944" si="3114">SUM(AO940+AP940-AQ940)</f>
        <v>0</v>
      </c>
      <c r="AS940" s="60"/>
      <c r="AT940" s="58"/>
      <c r="AU940" s="62">
        <f t="shared" ref="AU940:AU944" si="3115">SUM(AR940+AS940-AT940)</f>
        <v>0</v>
      </c>
      <c r="AV940" s="83">
        <f t="shared" ref="AV940:AV944" si="3116">SUM(L940+O940+R940+U940+X940+AA940+AD940+AG940+AJ940+AM940+AP940+AS940)</f>
        <v>0</v>
      </c>
      <c r="AW940" s="83">
        <f t="shared" si="3026"/>
        <v>0</v>
      </c>
      <c r="AX940" s="64">
        <f t="shared" ref="AX940:AX944" si="3117">SUM(M940,P940,S940,V940,Y940,AB940,AE940,AH940,AK940,AN940,AQ940,AT940)</f>
        <v>0</v>
      </c>
      <c r="AY940" s="65" t="e">
        <f t="shared" ref="AY940:AY944" si="3118">AVERAGE(M940,P940,S940,V940,Y940,AB940,AE940,AH940,AK940,AN940,AQ940,AT940)</f>
        <v>#DIV/0!</v>
      </c>
      <c r="AZ940" s="66">
        <f t="shared" ref="AZ940:AZ944" si="3119">COUNT(M940,P940,S940,V940,Y940,AB940,AE940,AH940,AK940,AN940,AQ940,AT940)</f>
        <v>0</v>
      </c>
      <c r="BA940" s="67">
        <f>MAX(0, Table176252626[[#This Row],[Column6]])</f>
        <v>0</v>
      </c>
      <c r="BB940" s="68">
        <v>0</v>
      </c>
      <c r="BC940" s="84">
        <f t="shared" si="3030"/>
        <v>0</v>
      </c>
      <c r="BD940" s="83">
        <f t="shared" si="3031"/>
        <v>0</v>
      </c>
      <c r="BE940" s="85"/>
      <c r="BF940" s="86"/>
      <c r="BG940" s="72"/>
      <c r="BH940" s="87">
        <f t="shared" ref="BH940:BH944" si="3120">BG940-BF940</f>
        <v>0</v>
      </c>
      <c r="BI940" s="80" t="str">
        <f t="shared" si="3033"/>
        <v/>
      </c>
      <c r="BJ940" s="239"/>
    </row>
    <row r="941" spans="1:62" ht="13">
      <c r="A941" s="90"/>
      <c r="B941" s="91"/>
      <c r="C941" s="221"/>
      <c r="D941" s="58"/>
      <c r="E941" s="58"/>
      <c r="F941" s="227"/>
      <c r="G941" s="116"/>
      <c r="H941" s="89"/>
      <c r="I941" s="80"/>
      <c r="J941" s="82">
        <f t="shared" si="3103"/>
        <v>0</v>
      </c>
      <c r="K941" s="80">
        <v>0</v>
      </c>
      <c r="L941" s="57"/>
      <c r="M941" s="58"/>
      <c r="N941" s="59">
        <f t="shared" si="3104"/>
        <v>0</v>
      </c>
      <c r="O941" s="60"/>
      <c r="P941" s="58"/>
      <c r="Q941" s="59">
        <f t="shared" si="3105"/>
        <v>0</v>
      </c>
      <c r="R941" s="60"/>
      <c r="S941" s="58"/>
      <c r="T941" s="61">
        <f t="shared" si="3106"/>
        <v>0</v>
      </c>
      <c r="U941" s="60"/>
      <c r="V941" s="58"/>
      <c r="W941" s="59">
        <f t="shared" si="3107"/>
        <v>0</v>
      </c>
      <c r="X941" s="60"/>
      <c r="Y941" s="58"/>
      <c r="Z941" s="61">
        <f t="shared" si="3108"/>
        <v>0</v>
      </c>
      <c r="AA941" s="60"/>
      <c r="AB941" s="58"/>
      <c r="AC941" s="59">
        <f t="shared" si="3109"/>
        <v>0</v>
      </c>
      <c r="AD941" s="57"/>
      <c r="AE941" s="58"/>
      <c r="AF941" s="243">
        <f t="shared" si="3110"/>
        <v>0</v>
      </c>
      <c r="AG941" s="60"/>
      <c r="AH941" s="58"/>
      <c r="AI941" s="62">
        <f t="shared" si="3111"/>
        <v>0</v>
      </c>
      <c r="AJ941" s="60"/>
      <c r="AK941" s="58"/>
      <c r="AL941" s="62">
        <f t="shared" si="3112"/>
        <v>0</v>
      </c>
      <c r="AM941" s="60"/>
      <c r="AN941" s="58"/>
      <c r="AO941" s="62">
        <f t="shared" si="3113"/>
        <v>0</v>
      </c>
      <c r="AP941" s="60"/>
      <c r="AQ941" s="58"/>
      <c r="AR941" s="62">
        <f t="shared" si="3114"/>
        <v>0</v>
      </c>
      <c r="AS941" s="60"/>
      <c r="AT941" s="58"/>
      <c r="AU941" s="62">
        <f t="shared" si="3115"/>
        <v>0</v>
      </c>
      <c r="AV941" s="83">
        <f t="shared" si="3116"/>
        <v>0</v>
      </c>
      <c r="AW941" s="83">
        <f t="shared" si="3026"/>
        <v>0</v>
      </c>
      <c r="AX941" s="64">
        <f t="shared" si="3117"/>
        <v>0</v>
      </c>
      <c r="AY941" s="65" t="e">
        <f t="shared" si="3118"/>
        <v>#DIV/0!</v>
      </c>
      <c r="AZ941" s="66">
        <f t="shared" si="3119"/>
        <v>0</v>
      </c>
      <c r="BA941" s="67">
        <f>MAX(0, Table176252626[[#This Row],[Column6]])</f>
        <v>0</v>
      </c>
      <c r="BB941" s="68">
        <v>0</v>
      </c>
      <c r="BC941" s="84">
        <f t="shared" si="3030"/>
        <v>0</v>
      </c>
      <c r="BD941" s="83">
        <f t="shared" si="3031"/>
        <v>0</v>
      </c>
      <c r="BE941" s="85"/>
      <c r="BF941" s="86"/>
      <c r="BG941" s="72"/>
      <c r="BH941" s="87">
        <f t="shared" si="3120"/>
        <v>0</v>
      </c>
      <c r="BI941" s="80" t="str">
        <f t="shared" si="3033"/>
        <v/>
      </c>
      <c r="BJ941" s="239"/>
    </row>
    <row r="942" spans="1:62" ht="13">
      <c r="A942" s="49"/>
      <c r="B942" s="217"/>
      <c r="C942" s="221"/>
      <c r="D942" s="58"/>
      <c r="E942" s="58"/>
      <c r="F942" s="227"/>
      <c r="G942" s="228"/>
      <c r="H942" s="89"/>
      <c r="I942" s="80"/>
      <c r="J942" s="82">
        <f t="shared" si="3103"/>
        <v>0</v>
      </c>
      <c r="K942" s="80">
        <v>0</v>
      </c>
      <c r="L942" s="57"/>
      <c r="M942" s="58"/>
      <c r="N942" s="59">
        <f t="shared" si="3104"/>
        <v>0</v>
      </c>
      <c r="O942" s="60"/>
      <c r="P942" s="58"/>
      <c r="Q942" s="59">
        <f t="shared" si="3105"/>
        <v>0</v>
      </c>
      <c r="R942" s="60"/>
      <c r="S942" s="58"/>
      <c r="T942" s="61">
        <f t="shared" si="3106"/>
        <v>0</v>
      </c>
      <c r="U942" s="60"/>
      <c r="V942" s="58"/>
      <c r="W942" s="59">
        <f t="shared" si="3107"/>
        <v>0</v>
      </c>
      <c r="X942" s="60"/>
      <c r="Y942" s="58"/>
      <c r="Z942" s="61">
        <f t="shared" si="3108"/>
        <v>0</v>
      </c>
      <c r="AA942" s="60"/>
      <c r="AB942" s="58"/>
      <c r="AC942" s="59">
        <f t="shared" si="3109"/>
        <v>0</v>
      </c>
      <c r="AD942" s="57"/>
      <c r="AE942" s="58"/>
      <c r="AF942" s="243">
        <f t="shared" si="3110"/>
        <v>0</v>
      </c>
      <c r="AG942" s="60"/>
      <c r="AH942" s="58"/>
      <c r="AI942" s="62">
        <f t="shared" si="3111"/>
        <v>0</v>
      </c>
      <c r="AJ942" s="60"/>
      <c r="AK942" s="58"/>
      <c r="AL942" s="62">
        <f t="shared" si="3112"/>
        <v>0</v>
      </c>
      <c r="AM942" s="60"/>
      <c r="AN942" s="58"/>
      <c r="AO942" s="62">
        <f t="shared" si="3113"/>
        <v>0</v>
      </c>
      <c r="AP942" s="60"/>
      <c r="AQ942" s="58"/>
      <c r="AR942" s="62">
        <f t="shared" si="3114"/>
        <v>0</v>
      </c>
      <c r="AS942" s="60"/>
      <c r="AT942" s="58"/>
      <c r="AU942" s="165">
        <f t="shared" si="3115"/>
        <v>0</v>
      </c>
      <c r="AV942" s="151">
        <f t="shared" si="3116"/>
        <v>0</v>
      </c>
      <c r="AW942" s="83">
        <f t="shared" si="3026"/>
        <v>0</v>
      </c>
      <c r="AX942" s="64">
        <f t="shared" si="3117"/>
        <v>0</v>
      </c>
      <c r="AY942" s="65" t="e">
        <f t="shared" si="3118"/>
        <v>#DIV/0!</v>
      </c>
      <c r="AZ942" s="66">
        <f t="shared" si="3119"/>
        <v>0</v>
      </c>
      <c r="BA942" s="67">
        <f>MAX(0, Table176252626[[#This Row],[Column6]])</f>
        <v>0</v>
      </c>
      <c r="BB942" s="68">
        <v>0</v>
      </c>
      <c r="BC942" s="84">
        <f t="shared" si="3030"/>
        <v>0</v>
      </c>
      <c r="BD942" s="83">
        <f t="shared" si="3031"/>
        <v>0</v>
      </c>
      <c r="BE942" s="85"/>
      <c r="BF942" s="86"/>
      <c r="BG942" s="72"/>
      <c r="BH942" s="87">
        <f t="shared" si="3120"/>
        <v>0</v>
      </c>
      <c r="BI942" s="80" t="str">
        <f t="shared" si="3033"/>
        <v/>
      </c>
      <c r="BJ942" s="239"/>
    </row>
    <row r="943" spans="1:62" ht="13">
      <c r="A943" s="75"/>
      <c r="B943" s="223"/>
      <c r="C943" s="221"/>
      <c r="D943" s="58"/>
      <c r="E943" s="58"/>
      <c r="F943" s="220"/>
      <c r="G943" s="81"/>
      <c r="H943" s="81"/>
      <c r="I943" s="80"/>
      <c r="J943" s="82">
        <f t="shared" si="3103"/>
        <v>0</v>
      </c>
      <c r="K943" s="80">
        <v>0</v>
      </c>
      <c r="L943" s="57"/>
      <c r="M943" s="58"/>
      <c r="N943" s="59">
        <f t="shared" si="3104"/>
        <v>0</v>
      </c>
      <c r="O943" s="60"/>
      <c r="P943" s="58"/>
      <c r="Q943" s="59">
        <f t="shared" si="3105"/>
        <v>0</v>
      </c>
      <c r="R943" s="60"/>
      <c r="S943" s="58"/>
      <c r="T943" s="61">
        <f t="shared" si="3106"/>
        <v>0</v>
      </c>
      <c r="U943" s="60"/>
      <c r="V943" s="58"/>
      <c r="W943" s="59">
        <f t="shared" si="3107"/>
        <v>0</v>
      </c>
      <c r="X943" s="60"/>
      <c r="Y943" s="58"/>
      <c r="Z943" s="61">
        <f t="shared" si="3108"/>
        <v>0</v>
      </c>
      <c r="AA943" s="60"/>
      <c r="AB943" s="58"/>
      <c r="AC943" s="59">
        <f t="shared" si="3109"/>
        <v>0</v>
      </c>
      <c r="AD943" s="57"/>
      <c r="AE943" s="58"/>
      <c r="AF943" s="243">
        <f t="shared" si="3110"/>
        <v>0</v>
      </c>
      <c r="AG943" s="60"/>
      <c r="AH943" s="58"/>
      <c r="AI943" s="62">
        <f t="shared" si="3111"/>
        <v>0</v>
      </c>
      <c r="AJ943" s="60"/>
      <c r="AK943" s="58"/>
      <c r="AL943" s="62">
        <f t="shared" si="3112"/>
        <v>0</v>
      </c>
      <c r="AM943" s="60"/>
      <c r="AN943" s="58"/>
      <c r="AO943" s="62">
        <f t="shared" si="3113"/>
        <v>0</v>
      </c>
      <c r="AP943" s="60"/>
      <c r="AQ943" s="58"/>
      <c r="AR943" s="62">
        <f t="shared" si="3114"/>
        <v>0</v>
      </c>
      <c r="AS943" s="60"/>
      <c r="AT943" s="58"/>
      <c r="AU943" s="62">
        <f t="shared" si="3115"/>
        <v>0</v>
      </c>
      <c r="AV943" s="83">
        <f t="shared" si="3116"/>
        <v>0</v>
      </c>
      <c r="AW943" s="83">
        <f t="shared" si="3026"/>
        <v>0</v>
      </c>
      <c r="AX943" s="64">
        <f t="shared" si="3117"/>
        <v>0</v>
      </c>
      <c r="AY943" s="65" t="e">
        <f t="shared" si="3118"/>
        <v>#DIV/0!</v>
      </c>
      <c r="AZ943" s="66">
        <f t="shared" si="3119"/>
        <v>0</v>
      </c>
      <c r="BA943" s="67">
        <f>MAX(0, Table176252626[[#This Row],[Column6]])</f>
        <v>0</v>
      </c>
      <c r="BB943" s="68">
        <v>0</v>
      </c>
      <c r="BC943" s="84">
        <f t="shared" si="3030"/>
        <v>0</v>
      </c>
      <c r="BD943" s="83">
        <f t="shared" si="3031"/>
        <v>0</v>
      </c>
      <c r="BE943" s="85"/>
      <c r="BF943" s="86"/>
      <c r="BG943" s="72"/>
      <c r="BH943" s="87">
        <f t="shared" si="3120"/>
        <v>0</v>
      </c>
      <c r="BI943" s="80" t="str">
        <f t="shared" si="3033"/>
        <v/>
      </c>
      <c r="BJ943" s="239"/>
    </row>
    <row r="944" spans="1:62" ht="13">
      <c r="A944" s="49"/>
      <c r="B944" s="223"/>
      <c r="C944" s="221"/>
      <c r="D944" s="58"/>
      <c r="E944" s="58"/>
      <c r="F944" s="227"/>
      <c r="G944" s="116"/>
      <c r="H944" s="89"/>
      <c r="I944" s="80"/>
      <c r="J944" s="82">
        <f t="shared" si="3103"/>
        <v>0</v>
      </c>
      <c r="K944" s="80">
        <v>0</v>
      </c>
      <c r="L944" s="57"/>
      <c r="M944" s="58"/>
      <c r="N944" s="59">
        <f t="shared" si="3104"/>
        <v>0</v>
      </c>
      <c r="O944" s="60"/>
      <c r="P944" s="58"/>
      <c r="Q944" s="59">
        <f t="shared" si="3105"/>
        <v>0</v>
      </c>
      <c r="R944" s="60"/>
      <c r="S944" s="58"/>
      <c r="T944" s="61">
        <f t="shared" si="3106"/>
        <v>0</v>
      </c>
      <c r="U944" s="60"/>
      <c r="V944" s="58"/>
      <c r="W944" s="59">
        <f t="shared" si="3107"/>
        <v>0</v>
      </c>
      <c r="X944" s="60"/>
      <c r="Y944" s="58"/>
      <c r="Z944" s="61">
        <f t="shared" si="3108"/>
        <v>0</v>
      </c>
      <c r="AA944" s="60"/>
      <c r="AB944" s="58"/>
      <c r="AC944" s="59">
        <f t="shared" si="3109"/>
        <v>0</v>
      </c>
      <c r="AD944" s="57"/>
      <c r="AE944" s="58"/>
      <c r="AF944" s="243">
        <f t="shared" si="3110"/>
        <v>0</v>
      </c>
      <c r="AG944" s="60"/>
      <c r="AH944" s="58"/>
      <c r="AI944" s="62">
        <f t="shared" si="3111"/>
        <v>0</v>
      </c>
      <c r="AJ944" s="60"/>
      <c r="AK944" s="58"/>
      <c r="AL944" s="62">
        <f t="shared" si="3112"/>
        <v>0</v>
      </c>
      <c r="AM944" s="60"/>
      <c r="AN944" s="58"/>
      <c r="AO944" s="62">
        <f t="shared" si="3113"/>
        <v>0</v>
      </c>
      <c r="AP944" s="60"/>
      <c r="AQ944" s="58"/>
      <c r="AR944" s="62">
        <f t="shared" si="3114"/>
        <v>0</v>
      </c>
      <c r="AS944" s="60"/>
      <c r="AT944" s="58"/>
      <c r="AU944" s="165">
        <f t="shared" si="3115"/>
        <v>0</v>
      </c>
      <c r="AV944" s="151">
        <f t="shared" si="3116"/>
        <v>0</v>
      </c>
      <c r="AW944" s="83">
        <f t="shared" si="3026"/>
        <v>0</v>
      </c>
      <c r="AX944" s="64">
        <f t="shared" si="3117"/>
        <v>0</v>
      </c>
      <c r="AY944" s="65" t="e">
        <f t="shared" si="3118"/>
        <v>#DIV/0!</v>
      </c>
      <c r="AZ944" s="66">
        <f t="shared" si="3119"/>
        <v>0</v>
      </c>
      <c r="BA944" s="67">
        <f>MAX(0, Table176252626[[#This Row],[Column6]])</f>
        <v>0</v>
      </c>
      <c r="BB944" s="68">
        <v>0</v>
      </c>
      <c r="BC944" s="84">
        <f t="shared" si="3030"/>
        <v>0</v>
      </c>
      <c r="BD944" s="83">
        <f t="shared" si="3031"/>
        <v>0</v>
      </c>
      <c r="BE944" s="85"/>
      <c r="BF944" s="86"/>
      <c r="BG944" s="72"/>
      <c r="BH944" s="87">
        <f t="shared" si="3120"/>
        <v>0</v>
      </c>
      <c r="BI944" s="80" t="str">
        <f t="shared" si="3033"/>
        <v/>
      </c>
      <c r="BJ944" s="239"/>
    </row>
    <row r="945" spans="1:62" ht="13">
      <c r="A945" s="49"/>
      <c r="B945" s="217"/>
      <c r="C945" s="221"/>
      <c r="D945" s="58"/>
      <c r="E945" s="58"/>
      <c r="F945" s="222"/>
      <c r="G945" s="89"/>
      <c r="H945" s="89"/>
      <c r="I945" s="88"/>
      <c r="J945" s="93">
        <f t="shared" ref="J945:J989" si="3121">AU945</f>
        <v>0</v>
      </c>
      <c r="K945" s="88">
        <v>0</v>
      </c>
      <c r="L945" s="58"/>
      <c r="M945" s="58"/>
      <c r="N945" s="62">
        <f t="shared" ref="N945:N950" si="3122">SUM(K945+L945-M945)</f>
        <v>0</v>
      </c>
      <c r="O945" s="60"/>
      <c r="P945" s="58"/>
      <c r="Q945" s="62">
        <f t="shared" ref="Q945:Q950" si="3123">SUM(N945+O945-P945)</f>
        <v>0</v>
      </c>
      <c r="R945" s="60"/>
      <c r="S945" s="58"/>
      <c r="T945" s="94">
        <f t="shared" ref="T945:T950" si="3124">SUM(Q945+R945-S945)</f>
        <v>0</v>
      </c>
      <c r="U945" s="60"/>
      <c r="V945" s="58"/>
      <c r="W945" s="62">
        <f t="shared" ref="W945:W950" si="3125">SUM(T945+U945-V945)</f>
        <v>0</v>
      </c>
      <c r="X945" s="60"/>
      <c r="Y945" s="58"/>
      <c r="Z945" s="94">
        <f t="shared" ref="Z945:Z950" si="3126">SUM(W945+X945-Y945)</f>
        <v>0</v>
      </c>
      <c r="AA945" s="60"/>
      <c r="AB945" s="58"/>
      <c r="AC945" s="62">
        <f t="shared" ref="AC945:AC950" si="3127">SUM(Z945+AA945-AB945)</f>
        <v>0</v>
      </c>
      <c r="AD945" s="57"/>
      <c r="AE945" s="58"/>
      <c r="AF945" s="165">
        <f t="shared" ref="AF945:AF950" si="3128">SUM(AC945+AD945-AE945)</f>
        <v>0</v>
      </c>
      <c r="AG945" s="60"/>
      <c r="AH945" s="58"/>
      <c r="AI945" s="62">
        <f t="shared" ref="AI945:AI950" si="3129">SUM(AF945+AG945-AH945)</f>
        <v>0</v>
      </c>
      <c r="AJ945" s="60"/>
      <c r="AK945" s="58"/>
      <c r="AL945" s="62">
        <f t="shared" ref="AL945:AL950" si="3130">SUM(AI945+AJ945-AK945)</f>
        <v>0</v>
      </c>
      <c r="AM945" s="60"/>
      <c r="AN945" s="58"/>
      <c r="AO945" s="62">
        <f t="shared" ref="AO945:AO950" si="3131">SUM(AL945+AM945-AN945)</f>
        <v>0</v>
      </c>
      <c r="AP945" s="60"/>
      <c r="AQ945" s="58"/>
      <c r="AR945" s="62">
        <f t="shared" ref="AR945:AR950" si="3132">SUM(AO945+AP945-AQ945)</f>
        <v>0</v>
      </c>
      <c r="AS945" s="60"/>
      <c r="AT945" s="58"/>
      <c r="AU945" s="62">
        <f t="shared" ref="AU945:AU950" si="3133">SUM(AR945+AS945-AT945)</f>
        <v>0</v>
      </c>
      <c r="AV945" s="96">
        <f t="shared" ref="AV945:AW960" si="3134">SUM(L945+O945+R945+U945+X945+AA945+AD945+AG945+AJ945+AM945+AP945+AS945)</f>
        <v>0</v>
      </c>
      <c r="AW945" s="83">
        <f t="shared" si="3134"/>
        <v>0</v>
      </c>
      <c r="AX945" s="98">
        <f t="shared" ref="AX945:AX950" si="3135">SUM(M945,P945,S945,V945,Y945,AB945,AE945,AH945,AK945,AN945,AQ945,AT945)</f>
        <v>0</v>
      </c>
      <c r="AY945" s="99" t="e">
        <f t="shared" ref="AY945:AY950" si="3136">AVERAGE(M945,P945,S945,V945,Y945,AB945,AE945,AH945,AK945,AN945,AQ945,AT945)</f>
        <v>#DIV/0!</v>
      </c>
      <c r="AZ945" s="100">
        <f t="shared" ref="AZ945:AZ950" si="3137">COUNT(M945,P945,S945,V945,Y945,AB945,AE945,AH945,AK945,AN945,AQ945,AT945)</f>
        <v>0</v>
      </c>
      <c r="BA945" s="101">
        <f>MAX(M945,P945,S945,V945,Y945,AB945,AE945,AH945,AK945,AN945,AQ945,AT945)</f>
        <v>0</v>
      </c>
      <c r="BB945" s="68">
        <v>0</v>
      </c>
      <c r="BC945" s="84">
        <f t="shared" si="3030"/>
        <v>0</v>
      </c>
      <c r="BD945" s="83">
        <f t="shared" si="3031"/>
        <v>0</v>
      </c>
      <c r="BE945" s="224"/>
      <c r="BF945" s="86"/>
      <c r="BG945" s="72"/>
      <c r="BH945" s="103">
        <f t="shared" ref="BH945:BH950" si="3138">BG945-BF945</f>
        <v>0</v>
      </c>
      <c r="BI945" s="80" t="str">
        <f t="shared" si="3033"/>
        <v/>
      </c>
      <c r="BJ945" s="239"/>
    </row>
    <row r="946" spans="1:62" ht="13">
      <c r="A946" s="75"/>
      <c r="B946" s="223"/>
      <c r="C946" s="221"/>
      <c r="D946" s="58"/>
      <c r="E946" s="58"/>
      <c r="F946" s="222"/>
      <c r="G946" s="89"/>
      <c r="H946" s="89"/>
      <c r="I946" s="88"/>
      <c r="J946" s="93">
        <f t="shared" si="3121"/>
        <v>0</v>
      </c>
      <c r="K946" s="80">
        <v>0</v>
      </c>
      <c r="L946" s="58"/>
      <c r="M946" s="58"/>
      <c r="N946" s="62">
        <f t="shared" si="3122"/>
        <v>0</v>
      </c>
      <c r="O946" s="60"/>
      <c r="P946" s="58"/>
      <c r="Q946" s="62">
        <f t="shared" si="3123"/>
        <v>0</v>
      </c>
      <c r="R946" s="60"/>
      <c r="S946" s="58"/>
      <c r="T946" s="94">
        <f t="shared" si="3124"/>
        <v>0</v>
      </c>
      <c r="U946" s="60"/>
      <c r="V946" s="58"/>
      <c r="W946" s="62">
        <f t="shared" si="3125"/>
        <v>0</v>
      </c>
      <c r="X946" s="60"/>
      <c r="Y946" s="58"/>
      <c r="Z946" s="94">
        <f t="shared" si="3126"/>
        <v>0</v>
      </c>
      <c r="AA946" s="60"/>
      <c r="AB946" s="58"/>
      <c r="AC946" s="62">
        <f t="shared" si="3127"/>
        <v>0</v>
      </c>
      <c r="AD946" s="57"/>
      <c r="AE946" s="58"/>
      <c r="AF946" s="165">
        <f t="shared" si="3128"/>
        <v>0</v>
      </c>
      <c r="AG946" s="60"/>
      <c r="AH946" s="58"/>
      <c r="AI946" s="62">
        <f t="shared" si="3129"/>
        <v>0</v>
      </c>
      <c r="AJ946" s="60"/>
      <c r="AK946" s="58"/>
      <c r="AL946" s="62">
        <f t="shared" si="3130"/>
        <v>0</v>
      </c>
      <c r="AM946" s="60"/>
      <c r="AN946" s="58"/>
      <c r="AO946" s="62">
        <f t="shared" si="3131"/>
        <v>0</v>
      </c>
      <c r="AP946" s="60"/>
      <c r="AQ946" s="58"/>
      <c r="AR946" s="62">
        <f t="shared" si="3132"/>
        <v>0</v>
      </c>
      <c r="AS946" s="60"/>
      <c r="AT946" s="58"/>
      <c r="AU946" s="62">
        <f t="shared" si="3133"/>
        <v>0</v>
      </c>
      <c r="AV946" s="96">
        <f t="shared" si="3134"/>
        <v>0</v>
      </c>
      <c r="AW946" s="83">
        <f t="shared" si="3134"/>
        <v>0</v>
      </c>
      <c r="AX946" s="98">
        <f t="shared" si="3135"/>
        <v>0</v>
      </c>
      <c r="AY946" s="99" t="e">
        <f t="shared" si="3136"/>
        <v>#DIV/0!</v>
      </c>
      <c r="AZ946" s="100">
        <f t="shared" si="3137"/>
        <v>0</v>
      </c>
      <c r="BA946" s="101">
        <f>MAX(M946,P946,S946,V946,Y946,AB946,AE946,AH946,AK946,AN946,AQ946,AT946)</f>
        <v>0</v>
      </c>
      <c r="BB946" s="68">
        <v>0</v>
      </c>
      <c r="BC946" s="84">
        <f t="shared" si="3030"/>
        <v>0</v>
      </c>
      <c r="BD946" s="83">
        <f t="shared" si="3031"/>
        <v>0</v>
      </c>
      <c r="BE946" s="224"/>
      <c r="BF946" s="86"/>
      <c r="BG946" s="72"/>
      <c r="BH946" s="103">
        <f t="shared" si="3138"/>
        <v>0</v>
      </c>
      <c r="BI946" s="80" t="str">
        <f t="shared" si="3033"/>
        <v/>
      </c>
      <c r="BJ946" s="239"/>
    </row>
    <row r="947" spans="1:62" ht="13">
      <c r="A947" s="49"/>
      <c r="B947" s="217"/>
      <c r="C947" s="221"/>
      <c r="D947" s="58"/>
      <c r="E947" s="58"/>
      <c r="F947" s="222"/>
      <c r="G947" s="89"/>
      <c r="H947" s="89"/>
      <c r="I947" s="88"/>
      <c r="J947" s="93">
        <f t="shared" si="3121"/>
        <v>0</v>
      </c>
      <c r="K947" s="88">
        <v>0</v>
      </c>
      <c r="L947" s="58"/>
      <c r="M947" s="58"/>
      <c r="N947" s="62">
        <f t="shared" si="3122"/>
        <v>0</v>
      </c>
      <c r="O947" s="60"/>
      <c r="P947" s="58"/>
      <c r="Q947" s="62">
        <f t="shared" si="3123"/>
        <v>0</v>
      </c>
      <c r="R947" s="60"/>
      <c r="S947" s="58"/>
      <c r="T947" s="94">
        <f t="shared" si="3124"/>
        <v>0</v>
      </c>
      <c r="U947" s="60"/>
      <c r="V947" s="58"/>
      <c r="W947" s="62">
        <f t="shared" si="3125"/>
        <v>0</v>
      </c>
      <c r="X947" s="60"/>
      <c r="Y947" s="58"/>
      <c r="Z947" s="94">
        <f t="shared" si="3126"/>
        <v>0</v>
      </c>
      <c r="AA947" s="60"/>
      <c r="AB947" s="58"/>
      <c r="AC947" s="62">
        <f t="shared" si="3127"/>
        <v>0</v>
      </c>
      <c r="AD947" s="57"/>
      <c r="AE947" s="58"/>
      <c r="AF947" s="165">
        <f t="shared" si="3128"/>
        <v>0</v>
      </c>
      <c r="AG947" s="60"/>
      <c r="AH947" s="58"/>
      <c r="AI947" s="62">
        <f t="shared" si="3129"/>
        <v>0</v>
      </c>
      <c r="AJ947" s="60"/>
      <c r="AK947" s="58"/>
      <c r="AL947" s="62">
        <f t="shared" si="3130"/>
        <v>0</v>
      </c>
      <c r="AM947" s="60"/>
      <c r="AN947" s="58"/>
      <c r="AO947" s="62">
        <f t="shared" si="3131"/>
        <v>0</v>
      </c>
      <c r="AP947" s="60"/>
      <c r="AQ947" s="58"/>
      <c r="AR947" s="62">
        <f t="shared" si="3132"/>
        <v>0</v>
      </c>
      <c r="AS947" s="60"/>
      <c r="AT947" s="58"/>
      <c r="AU947" s="62">
        <f t="shared" si="3133"/>
        <v>0</v>
      </c>
      <c r="AV947" s="96">
        <f>SUM(L947+O947+R947+U947+X947+AA947+AD947+AG947+AJ947+AM947+AP947+AS947)</f>
        <v>0</v>
      </c>
      <c r="AW947" s="83">
        <f t="shared" si="3134"/>
        <v>0</v>
      </c>
      <c r="AX947" s="98">
        <f t="shared" si="3135"/>
        <v>0</v>
      </c>
      <c r="AY947" s="99" t="e">
        <f t="shared" si="3136"/>
        <v>#DIV/0!</v>
      </c>
      <c r="AZ947" s="100">
        <f t="shared" si="3137"/>
        <v>0</v>
      </c>
      <c r="BA947" s="67">
        <f>MAX(0, Table176252626[[#This Row],[Column6]])</f>
        <v>0</v>
      </c>
      <c r="BB947" s="68">
        <v>0</v>
      </c>
      <c r="BC947" s="84">
        <f t="shared" si="3030"/>
        <v>0</v>
      </c>
      <c r="BD947" s="83">
        <f t="shared" si="3031"/>
        <v>0</v>
      </c>
      <c r="BE947" s="224"/>
      <c r="BF947" s="86"/>
      <c r="BG947" s="72"/>
      <c r="BH947" s="87">
        <f t="shared" si="3138"/>
        <v>0</v>
      </c>
      <c r="BI947" s="80" t="str">
        <f t="shared" si="3033"/>
        <v/>
      </c>
      <c r="BJ947" s="239"/>
    </row>
    <row r="948" spans="1:62" ht="12.75" customHeight="1">
      <c r="A948" s="90"/>
      <c r="B948" s="91"/>
      <c r="C948" s="221"/>
      <c r="D948" s="58"/>
      <c r="E948" s="58"/>
      <c r="F948" s="222"/>
      <c r="G948" s="89"/>
      <c r="H948" s="134"/>
      <c r="I948" s="88"/>
      <c r="J948" s="93">
        <f t="shared" si="3121"/>
        <v>0</v>
      </c>
      <c r="K948" s="88">
        <v>0</v>
      </c>
      <c r="L948" s="58"/>
      <c r="M948" s="58"/>
      <c r="N948" s="58">
        <f t="shared" si="3122"/>
        <v>0</v>
      </c>
      <c r="O948" s="58"/>
      <c r="P948" s="58"/>
      <c r="Q948" s="58">
        <f t="shared" si="3123"/>
        <v>0</v>
      </c>
      <c r="R948" s="58"/>
      <c r="S948" s="58"/>
      <c r="T948" s="58">
        <f t="shared" si="3124"/>
        <v>0</v>
      </c>
      <c r="U948" s="58"/>
      <c r="V948" s="58"/>
      <c r="W948" s="58">
        <f t="shared" si="3125"/>
        <v>0</v>
      </c>
      <c r="X948" s="58"/>
      <c r="Y948" s="58"/>
      <c r="Z948" s="58">
        <f t="shared" si="3126"/>
        <v>0</v>
      </c>
      <c r="AA948" s="58"/>
      <c r="AB948" s="58"/>
      <c r="AC948" s="104">
        <f t="shared" si="3127"/>
        <v>0</v>
      </c>
      <c r="AD948" s="58"/>
      <c r="AE948" s="58"/>
      <c r="AF948" s="104">
        <f t="shared" si="3128"/>
        <v>0</v>
      </c>
      <c r="AG948" s="58"/>
      <c r="AH948" s="58"/>
      <c r="AI948" s="104">
        <f t="shared" si="3129"/>
        <v>0</v>
      </c>
      <c r="AJ948" s="58"/>
      <c r="AK948" s="58"/>
      <c r="AL948" s="104">
        <f t="shared" si="3130"/>
        <v>0</v>
      </c>
      <c r="AM948" s="58"/>
      <c r="AN948" s="58"/>
      <c r="AO948" s="104">
        <f t="shared" si="3131"/>
        <v>0</v>
      </c>
      <c r="AP948" s="58"/>
      <c r="AQ948" s="58"/>
      <c r="AR948" s="104">
        <f t="shared" si="3132"/>
        <v>0</v>
      </c>
      <c r="AS948" s="58"/>
      <c r="AT948" s="58"/>
      <c r="AU948" s="104">
        <f t="shared" si="3133"/>
        <v>0</v>
      </c>
      <c r="AV948" s="123">
        <f t="shared" ref="AV948" si="3139">SUM(L948+O948+R948+U948+X948+AA948+AD948+AG948+AJ948+AM948+AP948+AS948)</f>
        <v>0</v>
      </c>
      <c r="AW948" s="83">
        <f t="shared" si="3134"/>
        <v>0</v>
      </c>
      <c r="AX948" s="64">
        <f t="shared" si="3135"/>
        <v>0</v>
      </c>
      <c r="AY948" s="65" t="e">
        <f t="shared" si="3136"/>
        <v>#DIV/0!</v>
      </c>
      <c r="AZ948" s="66">
        <f t="shared" si="3137"/>
        <v>0</v>
      </c>
      <c r="BA948" s="67">
        <f>MAX(0, Table176252626[[#This Row],[Column6]])</f>
        <v>0</v>
      </c>
      <c r="BB948" s="68">
        <v>0</v>
      </c>
      <c r="BC948" s="84">
        <f t="shared" si="3030"/>
        <v>0</v>
      </c>
      <c r="BD948" s="83">
        <f t="shared" si="3031"/>
        <v>0</v>
      </c>
      <c r="BE948" s="85"/>
      <c r="BF948" s="86"/>
      <c r="BG948" s="72"/>
      <c r="BH948" s="87">
        <f t="shared" si="3138"/>
        <v>0</v>
      </c>
      <c r="BI948" s="80" t="str">
        <f t="shared" si="3033"/>
        <v/>
      </c>
      <c r="BJ948" s="239"/>
    </row>
    <row r="949" spans="1:62" ht="13">
      <c r="A949" s="49"/>
      <c r="B949" s="217"/>
      <c r="C949" s="221"/>
      <c r="D949" s="58"/>
      <c r="E949" s="58"/>
      <c r="F949" s="222"/>
      <c r="G949" s="118"/>
      <c r="H949" s="81"/>
      <c r="I949" s="88"/>
      <c r="J949" s="82">
        <f t="shared" si="3121"/>
        <v>0</v>
      </c>
      <c r="K949" s="88">
        <v>0</v>
      </c>
      <c r="L949" s="57"/>
      <c r="M949" s="58"/>
      <c r="N949" s="59">
        <f t="shared" si="3122"/>
        <v>0</v>
      </c>
      <c r="O949" s="60"/>
      <c r="P949" s="58"/>
      <c r="Q949" s="59">
        <f t="shared" si="3123"/>
        <v>0</v>
      </c>
      <c r="R949" s="60"/>
      <c r="S949" s="58"/>
      <c r="T949" s="61">
        <f t="shared" si="3124"/>
        <v>0</v>
      </c>
      <c r="U949" s="60"/>
      <c r="V949" s="58"/>
      <c r="W949" s="59">
        <f t="shared" si="3125"/>
        <v>0</v>
      </c>
      <c r="X949" s="60"/>
      <c r="Y949" s="58"/>
      <c r="Z949" s="61">
        <f t="shared" si="3126"/>
        <v>0</v>
      </c>
      <c r="AA949" s="60"/>
      <c r="AB949" s="58"/>
      <c r="AC949" s="59">
        <f t="shared" si="3127"/>
        <v>0</v>
      </c>
      <c r="AD949" s="57"/>
      <c r="AE949" s="58"/>
      <c r="AF949" s="243">
        <f t="shared" si="3128"/>
        <v>0</v>
      </c>
      <c r="AG949" s="60"/>
      <c r="AH949" s="58"/>
      <c r="AI949" s="62">
        <f t="shared" si="3129"/>
        <v>0</v>
      </c>
      <c r="AJ949" s="60"/>
      <c r="AK949" s="58"/>
      <c r="AL949" s="62">
        <f t="shared" si="3130"/>
        <v>0</v>
      </c>
      <c r="AM949" s="60"/>
      <c r="AN949" s="58"/>
      <c r="AO949" s="62">
        <f t="shared" si="3131"/>
        <v>0</v>
      </c>
      <c r="AP949" s="60"/>
      <c r="AQ949" s="58"/>
      <c r="AR949" s="62">
        <f t="shared" si="3132"/>
        <v>0</v>
      </c>
      <c r="AS949" s="60"/>
      <c r="AT949" s="58"/>
      <c r="AU949" s="62">
        <f t="shared" si="3133"/>
        <v>0</v>
      </c>
      <c r="AV949" s="83">
        <f>SUM(L949+O949+R949+U949+X949+AA949+AD949+AG949+AJ949+AM949+AP949+AS949)</f>
        <v>0</v>
      </c>
      <c r="AW949" s="83">
        <f t="shared" si="3134"/>
        <v>0</v>
      </c>
      <c r="AX949" s="64">
        <f t="shared" si="3135"/>
        <v>0</v>
      </c>
      <c r="AY949" s="65" t="e">
        <f t="shared" si="3136"/>
        <v>#DIV/0!</v>
      </c>
      <c r="AZ949" s="66">
        <f t="shared" si="3137"/>
        <v>0</v>
      </c>
      <c r="BA949" s="67">
        <f>MAX(0, Table176252626[[#This Row],[Column6]])</f>
        <v>0</v>
      </c>
      <c r="BB949" s="68">
        <v>0</v>
      </c>
      <c r="BC949" s="84">
        <f t="shared" si="3030"/>
        <v>0</v>
      </c>
      <c r="BD949" s="83">
        <f t="shared" si="3031"/>
        <v>0</v>
      </c>
      <c r="BE949" s="85"/>
      <c r="BF949" s="86"/>
      <c r="BG949" s="72"/>
      <c r="BH949" s="87">
        <f t="shared" si="3138"/>
        <v>0</v>
      </c>
      <c r="BI949" s="80" t="str">
        <f t="shared" si="3033"/>
        <v/>
      </c>
      <c r="BJ949" s="239"/>
    </row>
    <row r="950" spans="1:62" ht="13">
      <c r="A950" s="75"/>
      <c r="B950" s="223"/>
      <c r="C950" s="221"/>
      <c r="D950" s="58"/>
      <c r="E950" s="58"/>
      <c r="F950" s="220"/>
      <c r="G950" s="81"/>
      <c r="H950" s="89"/>
      <c r="I950" s="88"/>
      <c r="J950" s="93">
        <f t="shared" si="3121"/>
        <v>0</v>
      </c>
      <c r="K950" s="80">
        <v>0</v>
      </c>
      <c r="L950" s="58"/>
      <c r="M950" s="58"/>
      <c r="N950" s="62">
        <f t="shared" si="3122"/>
        <v>0</v>
      </c>
      <c r="O950" s="60"/>
      <c r="P950" s="58"/>
      <c r="Q950" s="62">
        <f t="shared" si="3123"/>
        <v>0</v>
      </c>
      <c r="R950" s="60"/>
      <c r="S950" s="58"/>
      <c r="T950" s="94">
        <f t="shared" si="3124"/>
        <v>0</v>
      </c>
      <c r="U950" s="60"/>
      <c r="V950" s="58"/>
      <c r="W950" s="62">
        <f t="shared" si="3125"/>
        <v>0</v>
      </c>
      <c r="X950" s="60"/>
      <c r="Y950" s="58"/>
      <c r="Z950" s="94">
        <f t="shared" si="3126"/>
        <v>0</v>
      </c>
      <c r="AA950" s="60"/>
      <c r="AB950" s="58"/>
      <c r="AC950" s="62">
        <f t="shared" si="3127"/>
        <v>0</v>
      </c>
      <c r="AD950" s="57"/>
      <c r="AE950" s="58"/>
      <c r="AF950" s="165">
        <f t="shared" si="3128"/>
        <v>0</v>
      </c>
      <c r="AG950" s="60"/>
      <c r="AH950" s="58"/>
      <c r="AI950" s="62">
        <f t="shared" si="3129"/>
        <v>0</v>
      </c>
      <c r="AJ950" s="60"/>
      <c r="AK950" s="58"/>
      <c r="AL950" s="62">
        <f t="shared" si="3130"/>
        <v>0</v>
      </c>
      <c r="AM950" s="60"/>
      <c r="AN950" s="58"/>
      <c r="AO950" s="62">
        <f t="shared" si="3131"/>
        <v>0</v>
      </c>
      <c r="AP950" s="60"/>
      <c r="AQ950" s="58"/>
      <c r="AR950" s="62">
        <f t="shared" si="3132"/>
        <v>0</v>
      </c>
      <c r="AS950" s="60"/>
      <c r="AT950" s="58"/>
      <c r="AU950" s="62">
        <f t="shared" si="3133"/>
        <v>0</v>
      </c>
      <c r="AV950" s="96">
        <f>SUM(L950+O950+R950+U950+X950+AA950+AD950+AG950+AJ950+AM950+AP950+AS950)</f>
        <v>0</v>
      </c>
      <c r="AW950" s="83">
        <f t="shared" si="3134"/>
        <v>0</v>
      </c>
      <c r="AX950" s="98">
        <f t="shared" si="3135"/>
        <v>0</v>
      </c>
      <c r="AY950" s="99" t="e">
        <f t="shared" si="3136"/>
        <v>#DIV/0!</v>
      </c>
      <c r="AZ950" s="100">
        <f t="shared" si="3137"/>
        <v>0</v>
      </c>
      <c r="BA950" s="101">
        <f>MAX(M950,P950,S950,V950,Y950,AB950,AE950,AH950,AK950,AN950,AQ950,AT950)</f>
        <v>0</v>
      </c>
      <c r="BB950" s="68">
        <v>0</v>
      </c>
      <c r="BC950" s="84">
        <f t="shared" si="3030"/>
        <v>0</v>
      </c>
      <c r="BD950" s="83">
        <f t="shared" si="3031"/>
        <v>0</v>
      </c>
      <c r="BE950" s="224"/>
      <c r="BF950" s="86"/>
      <c r="BG950" s="72"/>
      <c r="BH950" s="103">
        <f t="shared" si="3138"/>
        <v>0</v>
      </c>
      <c r="BI950" s="80" t="str">
        <f t="shared" si="3033"/>
        <v/>
      </c>
      <c r="BJ950" s="239"/>
    </row>
    <row r="951" spans="1:62" ht="13">
      <c r="A951" s="90"/>
      <c r="B951" s="91"/>
      <c r="C951" s="221"/>
      <c r="D951" s="58"/>
      <c r="E951" s="58"/>
      <c r="F951" s="57"/>
      <c r="G951" s="229"/>
      <c r="H951" s="81"/>
      <c r="I951" s="80"/>
      <c r="J951" s="93">
        <f t="shared" si="3121"/>
        <v>0</v>
      </c>
      <c r="K951" s="80">
        <v>0</v>
      </c>
      <c r="L951" s="58"/>
      <c r="M951" s="58"/>
      <c r="N951" s="62">
        <f t="shared" ref="N951:N994" si="3140">SUM(K951+L951-M951)</f>
        <v>0</v>
      </c>
      <c r="O951" s="60"/>
      <c r="P951" s="58"/>
      <c r="Q951" s="62">
        <f t="shared" ref="Q951:Q994" si="3141">SUM(N951+O951-P951)</f>
        <v>0</v>
      </c>
      <c r="R951" s="60"/>
      <c r="S951" s="58"/>
      <c r="T951" s="94">
        <f t="shared" ref="T951:T994" si="3142">SUM(Q951+R951-S951)</f>
        <v>0</v>
      </c>
      <c r="U951" s="60"/>
      <c r="V951" s="58"/>
      <c r="W951" s="62">
        <f t="shared" ref="W951:W994" si="3143">SUM(T951+U951-V951)</f>
        <v>0</v>
      </c>
      <c r="X951" s="60"/>
      <c r="Y951" s="58"/>
      <c r="Z951" s="94">
        <f t="shared" ref="Z951:Z994" si="3144">SUM(W951+X951-Y951)</f>
        <v>0</v>
      </c>
      <c r="AA951" s="60"/>
      <c r="AB951" s="58"/>
      <c r="AC951" s="62">
        <f t="shared" ref="AC951:AC994" si="3145">SUM(Z951+AA951-AB951)</f>
        <v>0</v>
      </c>
      <c r="AD951" s="57"/>
      <c r="AE951" s="58"/>
      <c r="AF951" s="165">
        <f t="shared" ref="AF951:AF994" si="3146">SUM(AC951+AD951-AE951)</f>
        <v>0</v>
      </c>
      <c r="AG951" s="60"/>
      <c r="AH951" s="58"/>
      <c r="AI951" s="62">
        <f t="shared" ref="AI951:AI994" si="3147">SUM(AF951+AG951-AH951)</f>
        <v>0</v>
      </c>
      <c r="AJ951" s="60"/>
      <c r="AK951" s="58"/>
      <c r="AL951" s="62">
        <f t="shared" ref="AL951:AL994" si="3148">SUM(AI951+AJ951-AK951)</f>
        <v>0</v>
      </c>
      <c r="AM951" s="60"/>
      <c r="AN951" s="58"/>
      <c r="AO951" s="62">
        <f t="shared" ref="AO951:AO994" si="3149">SUM(AL951+AM951-AN951)</f>
        <v>0</v>
      </c>
      <c r="AP951" s="60"/>
      <c r="AQ951" s="58"/>
      <c r="AR951" s="62">
        <f t="shared" ref="AR951:AR994" si="3150">SUM(AO951+AP951-AQ951)</f>
        <v>0</v>
      </c>
      <c r="AS951" s="60"/>
      <c r="AT951" s="58"/>
      <c r="AU951" s="62">
        <f t="shared" ref="AU951:AU994" si="3151">SUM(AR951+AS951-AT951)</f>
        <v>0</v>
      </c>
      <c r="AV951" s="96">
        <f t="shared" ref="AV951:AW993" si="3152">SUM(L951+O951+R951+U951+X951+AA951+AD951+AG951+AJ951+AM951+AP951+AS951)</f>
        <v>0</v>
      </c>
      <c r="AW951" s="83">
        <f t="shared" si="3134"/>
        <v>0</v>
      </c>
      <c r="AX951" s="98">
        <f t="shared" ref="AX951:AX994" si="3153">SUM(M951,P951,S951,V951,Y951,AB951,AE951,AH951,AK951,AN951,AQ951,AT951)</f>
        <v>0</v>
      </c>
      <c r="AY951" s="99" t="e">
        <f t="shared" ref="AY951:AY994" si="3154">AVERAGE(M951,P951,S951,V951,Y951,AB951,AE951,AH951,AK951,AN951,AQ951,AT951)</f>
        <v>#DIV/0!</v>
      </c>
      <c r="AZ951" s="100">
        <f t="shared" ref="AZ951:AZ994" si="3155">COUNT(M951,P951,S951,V951,Y951,AB951,AE951,AH951,AK951,AN951,AQ951,AT951)</f>
        <v>0</v>
      </c>
      <c r="BA951" s="101">
        <f t="shared" ref="BA951:BA993" si="3156">MAX(M951,P951,S951,V951,Y951,AB951,AE951,AH951,AK951,AN951,AQ951,AT951)</f>
        <v>0</v>
      </c>
      <c r="BB951" s="68">
        <v>0</v>
      </c>
      <c r="BC951" s="84">
        <f t="shared" si="3030"/>
        <v>0</v>
      </c>
      <c r="BD951" s="83">
        <f t="shared" si="3031"/>
        <v>0</v>
      </c>
      <c r="BE951" s="224"/>
      <c r="BF951" s="86"/>
      <c r="BG951" s="72"/>
      <c r="BH951" s="109">
        <f t="shared" ref="BH951:BH994" si="3157">BG951-BF951</f>
        <v>0</v>
      </c>
      <c r="BI951" s="80" t="str">
        <f t="shared" si="3033"/>
        <v/>
      </c>
      <c r="BJ951" s="239"/>
    </row>
    <row r="952" spans="1:62" ht="13">
      <c r="A952" s="90"/>
      <c r="B952" s="91"/>
      <c r="C952" s="221"/>
      <c r="D952" s="58"/>
      <c r="E952" s="58"/>
      <c r="F952" s="57"/>
      <c r="G952" s="229"/>
      <c r="H952" s="81"/>
      <c r="I952" s="80"/>
      <c r="J952" s="93">
        <f t="shared" si="3121"/>
        <v>0</v>
      </c>
      <c r="K952" s="88">
        <v>0</v>
      </c>
      <c r="L952" s="58"/>
      <c r="M952" s="58"/>
      <c r="N952" s="62">
        <f t="shared" si="3140"/>
        <v>0</v>
      </c>
      <c r="O952" s="60"/>
      <c r="P952" s="58"/>
      <c r="Q952" s="62">
        <f t="shared" si="3141"/>
        <v>0</v>
      </c>
      <c r="R952" s="60"/>
      <c r="S952" s="58"/>
      <c r="T952" s="94">
        <f t="shared" si="3142"/>
        <v>0</v>
      </c>
      <c r="U952" s="60"/>
      <c r="V952" s="58"/>
      <c r="W952" s="62">
        <f t="shared" si="3143"/>
        <v>0</v>
      </c>
      <c r="X952" s="60"/>
      <c r="Y952" s="58"/>
      <c r="Z952" s="94">
        <f t="shared" si="3144"/>
        <v>0</v>
      </c>
      <c r="AA952" s="60"/>
      <c r="AB952" s="58"/>
      <c r="AC952" s="62">
        <f t="shared" si="3145"/>
        <v>0</v>
      </c>
      <c r="AD952" s="57"/>
      <c r="AE952" s="58"/>
      <c r="AF952" s="165">
        <f t="shared" si="3146"/>
        <v>0</v>
      </c>
      <c r="AG952" s="60"/>
      <c r="AH952" s="58"/>
      <c r="AI952" s="62">
        <f t="shared" si="3147"/>
        <v>0</v>
      </c>
      <c r="AJ952" s="60"/>
      <c r="AK952" s="58"/>
      <c r="AL952" s="62">
        <f t="shared" si="3148"/>
        <v>0</v>
      </c>
      <c r="AM952" s="60"/>
      <c r="AN952" s="58"/>
      <c r="AO952" s="62">
        <f t="shared" si="3149"/>
        <v>0</v>
      </c>
      <c r="AP952" s="60"/>
      <c r="AQ952" s="58"/>
      <c r="AR952" s="62">
        <f t="shared" si="3150"/>
        <v>0</v>
      </c>
      <c r="AS952" s="60"/>
      <c r="AT952" s="58"/>
      <c r="AU952" s="62">
        <f t="shared" si="3151"/>
        <v>0</v>
      </c>
      <c r="AV952" s="96">
        <f t="shared" si="3152"/>
        <v>0</v>
      </c>
      <c r="AW952" s="83">
        <f t="shared" si="3134"/>
        <v>0</v>
      </c>
      <c r="AX952" s="98">
        <f t="shared" si="3153"/>
        <v>0</v>
      </c>
      <c r="AY952" s="99" t="e">
        <f t="shared" si="3154"/>
        <v>#DIV/0!</v>
      </c>
      <c r="AZ952" s="100">
        <f t="shared" si="3155"/>
        <v>0</v>
      </c>
      <c r="BA952" s="101">
        <f t="shared" si="3156"/>
        <v>0</v>
      </c>
      <c r="BB952" s="68">
        <v>0</v>
      </c>
      <c r="BC952" s="84">
        <f t="shared" si="3030"/>
        <v>0</v>
      </c>
      <c r="BD952" s="83">
        <f t="shared" si="3031"/>
        <v>0</v>
      </c>
      <c r="BE952" s="224"/>
      <c r="BF952" s="86"/>
      <c r="BG952" s="72"/>
      <c r="BH952" s="109">
        <f t="shared" si="3157"/>
        <v>0</v>
      </c>
      <c r="BI952" s="80" t="str">
        <f t="shared" si="3033"/>
        <v/>
      </c>
      <c r="BJ952" s="239"/>
    </row>
    <row r="953" spans="1:62" ht="13">
      <c r="A953" s="90"/>
      <c r="B953" s="91"/>
      <c r="C953" s="221"/>
      <c r="D953" s="58"/>
      <c r="E953" s="58"/>
      <c r="F953" s="57"/>
      <c r="G953" s="229"/>
      <c r="H953" s="81"/>
      <c r="I953" s="80"/>
      <c r="J953" s="93">
        <f t="shared" si="3121"/>
        <v>0</v>
      </c>
      <c r="K953" s="80">
        <v>0</v>
      </c>
      <c r="L953" s="58"/>
      <c r="M953" s="58"/>
      <c r="N953" s="62">
        <f t="shared" si="3140"/>
        <v>0</v>
      </c>
      <c r="O953" s="60"/>
      <c r="P953" s="58"/>
      <c r="Q953" s="62">
        <f t="shared" si="3141"/>
        <v>0</v>
      </c>
      <c r="R953" s="60"/>
      <c r="S953" s="58"/>
      <c r="T953" s="94">
        <f t="shared" si="3142"/>
        <v>0</v>
      </c>
      <c r="U953" s="60"/>
      <c r="V953" s="58"/>
      <c r="W953" s="62">
        <f t="shared" si="3143"/>
        <v>0</v>
      </c>
      <c r="X953" s="60"/>
      <c r="Y953" s="58"/>
      <c r="Z953" s="94">
        <f t="shared" si="3144"/>
        <v>0</v>
      </c>
      <c r="AA953" s="60"/>
      <c r="AB953" s="58"/>
      <c r="AC953" s="62">
        <f t="shared" si="3145"/>
        <v>0</v>
      </c>
      <c r="AD953" s="57"/>
      <c r="AE953" s="58"/>
      <c r="AF953" s="165">
        <f t="shared" si="3146"/>
        <v>0</v>
      </c>
      <c r="AG953" s="60"/>
      <c r="AH953" s="58"/>
      <c r="AI953" s="62">
        <f t="shared" si="3147"/>
        <v>0</v>
      </c>
      <c r="AJ953" s="60"/>
      <c r="AK953" s="58"/>
      <c r="AL953" s="62">
        <f t="shared" si="3148"/>
        <v>0</v>
      </c>
      <c r="AM953" s="60"/>
      <c r="AN953" s="58"/>
      <c r="AO953" s="62">
        <f t="shared" si="3149"/>
        <v>0</v>
      </c>
      <c r="AP953" s="60"/>
      <c r="AQ953" s="58"/>
      <c r="AR953" s="62">
        <f t="shared" si="3150"/>
        <v>0</v>
      </c>
      <c r="AS953" s="60"/>
      <c r="AT953" s="58"/>
      <c r="AU953" s="62">
        <f t="shared" si="3151"/>
        <v>0</v>
      </c>
      <c r="AV953" s="96">
        <f t="shared" si="3152"/>
        <v>0</v>
      </c>
      <c r="AW953" s="83">
        <f t="shared" si="3134"/>
        <v>0</v>
      </c>
      <c r="AX953" s="98">
        <f t="shared" si="3153"/>
        <v>0</v>
      </c>
      <c r="AY953" s="99" t="e">
        <f t="shared" si="3154"/>
        <v>#DIV/0!</v>
      </c>
      <c r="AZ953" s="100">
        <f t="shared" si="3155"/>
        <v>0</v>
      </c>
      <c r="BA953" s="101">
        <f t="shared" si="3156"/>
        <v>0</v>
      </c>
      <c r="BB953" s="68">
        <v>0</v>
      </c>
      <c r="BC953" s="84">
        <f t="shared" si="3030"/>
        <v>0</v>
      </c>
      <c r="BD953" s="83">
        <f t="shared" si="3031"/>
        <v>0</v>
      </c>
      <c r="BE953" s="224"/>
      <c r="BF953" s="86"/>
      <c r="BG953" s="72"/>
      <c r="BH953" s="109">
        <f t="shared" si="3157"/>
        <v>0</v>
      </c>
      <c r="BI953" s="80" t="str">
        <f t="shared" si="3033"/>
        <v/>
      </c>
      <c r="BJ953" s="239"/>
    </row>
    <row r="954" spans="1:62" ht="13">
      <c r="A954" s="90"/>
      <c r="B954" s="91"/>
      <c r="C954" s="221"/>
      <c r="D954" s="58"/>
      <c r="E954" s="58"/>
      <c r="F954" s="57"/>
      <c r="G954" s="229"/>
      <c r="H954" s="81"/>
      <c r="I954" s="80"/>
      <c r="J954" s="93">
        <f t="shared" si="3121"/>
        <v>0</v>
      </c>
      <c r="K954" s="88">
        <v>0</v>
      </c>
      <c r="L954" s="58"/>
      <c r="M954" s="58"/>
      <c r="N954" s="62">
        <f t="shared" si="3140"/>
        <v>0</v>
      </c>
      <c r="O954" s="60"/>
      <c r="P954" s="58"/>
      <c r="Q954" s="62">
        <f t="shared" si="3141"/>
        <v>0</v>
      </c>
      <c r="R954" s="60"/>
      <c r="S954" s="58"/>
      <c r="T954" s="94">
        <f t="shared" si="3142"/>
        <v>0</v>
      </c>
      <c r="U954" s="60"/>
      <c r="V954" s="58"/>
      <c r="W954" s="62">
        <f t="shared" si="3143"/>
        <v>0</v>
      </c>
      <c r="X954" s="60"/>
      <c r="Y954" s="58"/>
      <c r="Z954" s="94">
        <f t="shared" si="3144"/>
        <v>0</v>
      </c>
      <c r="AA954" s="60"/>
      <c r="AB954" s="58"/>
      <c r="AC954" s="62">
        <f t="shared" si="3145"/>
        <v>0</v>
      </c>
      <c r="AD954" s="57"/>
      <c r="AE954" s="58"/>
      <c r="AF954" s="165">
        <f t="shared" si="3146"/>
        <v>0</v>
      </c>
      <c r="AG954" s="60"/>
      <c r="AH954" s="58"/>
      <c r="AI954" s="62">
        <f t="shared" si="3147"/>
        <v>0</v>
      </c>
      <c r="AJ954" s="60"/>
      <c r="AK954" s="58"/>
      <c r="AL954" s="62">
        <f t="shared" si="3148"/>
        <v>0</v>
      </c>
      <c r="AM954" s="60"/>
      <c r="AN954" s="58"/>
      <c r="AO954" s="62">
        <f t="shared" si="3149"/>
        <v>0</v>
      </c>
      <c r="AP954" s="60"/>
      <c r="AQ954" s="58"/>
      <c r="AR954" s="62">
        <f t="shared" si="3150"/>
        <v>0</v>
      </c>
      <c r="AS954" s="60"/>
      <c r="AT954" s="58"/>
      <c r="AU954" s="62">
        <f t="shared" si="3151"/>
        <v>0</v>
      </c>
      <c r="AV954" s="96">
        <f t="shared" si="3152"/>
        <v>0</v>
      </c>
      <c r="AW954" s="83">
        <f t="shared" si="3134"/>
        <v>0</v>
      </c>
      <c r="AX954" s="98">
        <f t="shared" si="3153"/>
        <v>0</v>
      </c>
      <c r="AY954" s="99" t="e">
        <f t="shared" si="3154"/>
        <v>#DIV/0!</v>
      </c>
      <c r="AZ954" s="100">
        <f t="shared" si="3155"/>
        <v>0</v>
      </c>
      <c r="BA954" s="101">
        <f t="shared" si="3156"/>
        <v>0</v>
      </c>
      <c r="BB954" s="68">
        <v>0</v>
      </c>
      <c r="BC954" s="84">
        <f t="shared" si="3030"/>
        <v>0</v>
      </c>
      <c r="BD954" s="83">
        <f t="shared" si="3031"/>
        <v>0</v>
      </c>
      <c r="BE954" s="224"/>
      <c r="BF954" s="86"/>
      <c r="BG954" s="72"/>
      <c r="BH954" s="109">
        <f t="shared" si="3157"/>
        <v>0</v>
      </c>
      <c r="BI954" s="80" t="str">
        <f t="shared" si="3033"/>
        <v/>
      </c>
      <c r="BJ954" s="239"/>
    </row>
    <row r="955" spans="1:62" ht="13">
      <c r="A955" s="90"/>
      <c r="B955" s="91"/>
      <c r="C955" s="221"/>
      <c r="D955" s="58"/>
      <c r="E955" s="58"/>
      <c r="F955" s="57"/>
      <c r="G955" s="229"/>
      <c r="H955" s="81"/>
      <c r="I955" s="80"/>
      <c r="J955" s="93">
        <f t="shared" si="3121"/>
        <v>0</v>
      </c>
      <c r="K955" s="80">
        <v>0</v>
      </c>
      <c r="L955" s="58"/>
      <c r="M955" s="58"/>
      <c r="N955" s="62">
        <f t="shared" si="3140"/>
        <v>0</v>
      </c>
      <c r="O955" s="60"/>
      <c r="P955" s="58"/>
      <c r="Q955" s="62">
        <f t="shared" si="3141"/>
        <v>0</v>
      </c>
      <c r="R955" s="60"/>
      <c r="S955" s="58"/>
      <c r="T955" s="94">
        <f t="shared" si="3142"/>
        <v>0</v>
      </c>
      <c r="U955" s="60"/>
      <c r="V955" s="58"/>
      <c r="W955" s="62">
        <f t="shared" si="3143"/>
        <v>0</v>
      </c>
      <c r="X955" s="60"/>
      <c r="Y955" s="58"/>
      <c r="Z955" s="94">
        <f t="shared" si="3144"/>
        <v>0</v>
      </c>
      <c r="AA955" s="60"/>
      <c r="AB955" s="58"/>
      <c r="AC955" s="62">
        <f t="shared" si="3145"/>
        <v>0</v>
      </c>
      <c r="AD955" s="57"/>
      <c r="AE955" s="58"/>
      <c r="AF955" s="165">
        <f t="shared" si="3146"/>
        <v>0</v>
      </c>
      <c r="AG955" s="60"/>
      <c r="AH955" s="58"/>
      <c r="AI955" s="62">
        <f t="shared" si="3147"/>
        <v>0</v>
      </c>
      <c r="AJ955" s="60"/>
      <c r="AK955" s="58"/>
      <c r="AL955" s="62">
        <f t="shared" si="3148"/>
        <v>0</v>
      </c>
      <c r="AM955" s="60"/>
      <c r="AN955" s="58"/>
      <c r="AO955" s="62">
        <f t="shared" si="3149"/>
        <v>0</v>
      </c>
      <c r="AP955" s="60"/>
      <c r="AQ955" s="58"/>
      <c r="AR955" s="62">
        <f t="shared" si="3150"/>
        <v>0</v>
      </c>
      <c r="AS955" s="60"/>
      <c r="AT955" s="58"/>
      <c r="AU955" s="62">
        <f t="shared" si="3151"/>
        <v>0</v>
      </c>
      <c r="AV955" s="96">
        <f t="shared" si="3152"/>
        <v>0</v>
      </c>
      <c r="AW955" s="83">
        <f t="shared" si="3134"/>
        <v>0</v>
      </c>
      <c r="AX955" s="98">
        <f t="shared" si="3153"/>
        <v>0</v>
      </c>
      <c r="AY955" s="99" t="e">
        <f t="shared" si="3154"/>
        <v>#DIV/0!</v>
      </c>
      <c r="AZ955" s="100">
        <f t="shared" si="3155"/>
        <v>0</v>
      </c>
      <c r="BA955" s="101">
        <f t="shared" si="3156"/>
        <v>0</v>
      </c>
      <c r="BB955" s="68">
        <v>0</v>
      </c>
      <c r="BC955" s="84">
        <f t="shared" si="3030"/>
        <v>0</v>
      </c>
      <c r="BD955" s="83">
        <f t="shared" si="3031"/>
        <v>0</v>
      </c>
      <c r="BE955" s="224"/>
      <c r="BF955" s="86"/>
      <c r="BG955" s="72"/>
      <c r="BH955" s="109">
        <f t="shared" si="3157"/>
        <v>0</v>
      </c>
      <c r="BI955" s="80" t="str">
        <f t="shared" si="3033"/>
        <v/>
      </c>
      <c r="BJ955" s="239"/>
    </row>
    <row r="956" spans="1:62" ht="13">
      <c r="A956" s="90"/>
      <c r="B956" s="91"/>
      <c r="C956" s="221"/>
      <c r="D956" s="58"/>
      <c r="E956" s="58"/>
      <c r="F956" s="57"/>
      <c r="G956" s="229"/>
      <c r="H956" s="81"/>
      <c r="I956" s="80"/>
      <c r="J956" s="93">
        <f t="shared" si="3121"/>
        <v>0</v>
      </c>
      <c r="K956" s="88">
        <v>0</v>
      </c>
      <c r="L956" s="58"/>
      <c r="M956" s="58"/>
      <c r="N956" s="62">
        <f t="shared" si="3140"/>
        <v>0</v>
      </c>
      <c r="O956" s="60"/>
      <c r="P956" s="58"/>
      <c r="Q956" s="62">
        <f t="shared" si="3141"/>
        <v>0</v>
      </c>
      <c r="R956" s="60"/>
      <c r="S956" s="58"/>
      <c r="T956" s="94">
        <f t="shared" si="3142"/>
        <v>0</v>
      </c>
      <c r="U956" s="60"/>
      <c r="V956" s="58"/>
      <c r="W956" s="62">
        <f t="shared" si="3143"/>
        <v>0</v>
      </c>
      <c r="X956" s="60"/>
      <c r="Y956" s="58"/>
      <c r="Z956" s="94">
        <f t="shared" si="3144"/>
        <v>0</v>
      </c>
      <c r="AA956" s="60"/>
      <c r="AB956" s="58"/>
      <c r="AC956" s="62">
        <f t="shared" si="3145"/>
        <v>0</v>
      </c>
      <c r="AD956" s="57"/>
      <c r="AE956" s="58"/>
      <c r="AF956" s="165">
        <f t="shared" si="3146"/>
        <v>0</v>
      </c>
      <c r="AG956" s="60"/>
      <c r="AH956" s="58"/>
      <c r="AI956" s="62">
        <f t="shared" si="3147"/>
        <v>0</v>
      </c>
      <c r="AJ956" s="60"/>
      <c r="AK956" s="58"/>
      <c r="AL956" s="62">
        <f t="shared" si="3148"/>
        <v>0</v>
      </c>
      <c r="AM956" s="60"/>
      <c r="AN956" s="58"/>
      <c r="AO956" s="62">
        <f t="shared" si="3149"/>
        <v>0</v>
      </c>
      <c r="AP956" s="60"/>
      <c r="AQ956" s="58"/>
      <c r="AR956" s="62">
        <f t="shared" si="3150"/>
        <v>0</v>
      </c>
      <c r="AS956" s="60"/>
      <c r="AT956" s="58"/>
      <c r="AU956" s="62">
        <f t="shared" si="3151"/>
        <v>0</v>
      </c>
      <c r="AV956" s="96">
        <f t="shared" si="3152"/>
        <v>0</v>
      </c>
      <c r="AW956" s="83">
        <f t="shared" si="3134"/>
        <v>0</v>
      </c>
      <c r="AX956" s="98">
        <f t="shared" si="3153"/>
        <v>0</v>
      </c>
      <c r="AY956" s="99" t="e">
        <f t="shared" si="3154"/>
        <v>#DIV/0!</v>
      </c>
      <c r="AZ956" s="100">
        <f t="shared" si="3155"/>
        <v>0</v>
      </c>
      <c r="BA956" s="101">
        <f t="shared" si="3156"/>
        <v>0</v>
      </c>
      <c r="BB956" s="68">
        <v>0</v>
      </c>
      <c r="BC956" s="84">
        <f t="shared" si="3030"/>
        <v>0</v>
      </c>
      <c r="BD956" s="83">
        <f t="shared" si="3031"/>
        <v>0</v>
      </c>
      <c r="BE956" s="224"/>
      <c r="BF956" s="86"/>
      <c r="BG956" s="72"/>
      <c r="BH956" s="109">
        <f t="shared" si="3157"/>
        <v>0</v>
      </c>
      <c r="BI956" s="80" t="str">
        <f t="shared" si="3033"/>
        <v/>
      </c>
      <c r="BJ956" s="239"/>
    </row>
    <row r="957" spans="1:62" ht="13">
      <c r="A957" s="90"/>
      <c r="B957" s="91"/>
      <c r="C957" s="221"/>
      <c r="D957" s="58"/>
      <c r="E957" s="58"/>
      <c r="F957" s="57"/>
      <c r="G957" s="229"/>
      <c r="H957" s="81"/>
      <c r="I957" s="80"/>
      <c r="J957" s="93">
        <f t="shared" si="3121"/>
        <v>0</v>
      </c>
      <c r="K957" s="80">
        <v>0</v>
      </c>
      <c r="L957" s="58"/>
      <c r="M957" s="58"/>
      <c r="N957" s="62">
        <f t="shared" si="3140"/>
        <v>0</v>
      </c>
      <c r="O957" s="60"/>
      <c r="P957" s="58"/>
      <c r="Q957" s="62">
        <f t="shared" si="3141"/>
        <v>0</v>
      </c>
      <c r="R957" s="60"/>
      <c r="S957" s="58"/>
      <c r="T957" s="94">
        <f t="shared" si="3142"/>
        <v>0</v>
      </c>
      <c r="U957" s="60"/>
      <c r="V957" s="58"/>
      <c r="W957" s="62">
        <f t="shared" si="3143"/>
        <v>0</v>
      </c>
      <c r="X957" s="60"/>
      <c r="Y957" s="58"/>
      <c r="Z957" s="94">
        <f t="shared" si="3144"/>
        <v>0</v>
      </c>
      <c r="AA957" s="60"/>
      <c r="AB957" s="58"/>
      <c r="AC957" s="62">
        <f t="shared" si="3145"/>
        <v>0</v>
      </c>
      <c r="AD957" s="57"/>
      <c r="AE957" s="58"/>
      <c r="AF957" s="165">
        <f t="shared" si="3146"/>
        <v>0</v>
      </c>
      <c r="AG957" s="60"/>
      <c r="AH957" s="58"/>
      <c r="AI957" s="62">
        <f t="shared" si="3147"/>
        <v>0</v>
      </c>
      <c r="AJ957" s="60"/>
      <c r="AK957" s="58"/>
      <c r="AL957" s="62">
        <f t="shared" si="3148"/>
        <v>0</v>
      </c>
      <c r="AM957" s="60"/>
      <c r="AN957" s="58"/>
      <c r="AO957" s="62">
        <f t="shared" si="3149"/>
        <v>0</v>
      </c>
      <c r="AP957" s="60"/>
      <c r="AQ957" s="58"/>
      <c r="AR957" s="62">
        <f t="shared" si="3150"/>
        <v>0</v>
      </c>
      <c r="AS957" s="60"/>
      <c r="AT957" s="58"/>
      <c r="AU957" s="62">
        <f t="shared" si="3151"/>
        <v>0</v>
      </c>
      <c r="AV957" s="96">
        <f t="shared" si="3152"/>
        <v>0</v>
      </c>
      <c r="AW957" s="83">
        <f t="shared" si="3134"/>
        <v>0</v>
      </c>
      <c r="AX957" s="98">
        <f t="shared" si="3153"/>
        <v>0</v>
      </c>
      <c r="AY957" s="99" t="e">
        <f t="shared" si="3154"/>
        <v>#DIV/0!</v>
      </c>
      <c r="AZ957" s="100">
        <f t="shared" si="3155"/>
        <v>0</v>
      </c>
      <c r="BA957" s="101">
        <f t="shared" si="3156"/>
        <v>0</v>
      </c>
      <c r="BB957" s="68">
        <v>0</v>
      </c>
      <c r="BC957" s="84">
        <f t="shared" si="3030"/>
        <v>0</v>
      </c>
      <c r="BD957" s="83">
        <f t="shared" si="3031"/>
        <v>0</v>
      </c>
      <c r="BE957" s="224"/>
      <c r="BF957" s="86"/>
      <c r="BG957" s="72"/>
      <c r="BH957" s="109">
        <f t="shared" si="3157"/>
        <v>0</v>
      </c>
      <c r="BI957" s="80" t="str">
        <f t="shared" si="3033"/>
        <v/>
      </c>
      <c r="BJ957" s="239"/>
    </row>
    <row r="958" spans="1:62" ht="13">
      <c r="A958" s="90"/>
      <c r="B958" s="91"/>
      <c r="C958" s="221"/>
      <c r="D958" s="58"/>
      <c r="E958" s="58"/>
      <c r="F958" s="57"/>
      <c r="G958" s="229"/>
      <c r="H958" s="81"/>
      <c r="I958" s="80"/>
      <c r="J958" s="93">
        <f t="shared" si="3121"/>
        <v>0</v>
      </c>
      <c r="K958" s="88">
        <v>0</v>
      </c>
      <c r="L958" s="58"/>
      <c r="M958" s="58"/>
      <c r="N958" s="62">
        <f t="shared" si="3140"/>
        <v>0</v>
      </c>
      <c r="O958" s="60"/>
      <c r="P958" s="58"/>
      <c r="Q958" s="62">
        <f t="shared" si="3141"/>
        <v>0</v>
      </c>
      <c r="R958" s="60"/>
      <c r="S958" s="58"/>
      <c r="T958" s="94">
        <f t="shared" si="3142"/>
        <v>0</v>
      </c>
      <c r="U958" s="60"/>
      <c r="V958" s="58"/>
      <c r="W958" s="62">
        <f t="shared" si="3143"/>
        <v>0</v>
      </c>
      <c r="X958" s="60"/>
      <c r="Y958" s="58"/>
      <c r="Z958" s="94">
        <f t="shared" si="3144"/>
        <v>0</v>
      </c>
      <c r="AA958" s="60"/>
      <c r="AB958" s="58"/>
      <c r="AC958" s="62">
        <f t="shared" si="3145"/>
        <v>0</v>
      </c>
      <c r="AD958" s="57"/>
      <c r="AE958" s="58"/>
      <c r="AF958" s="165">
        <f t="shared" si="3146"/>
        <v>0</v>
      </c>
      <c r="AG958" s="60"/>
      <c r="AH958" s="58"/>
      <c r="AI958" s="62">
        <f t="shared" si="3147"/>
        <v>0</v>
      </c>
      <c r="AJ958" s="60"/>
      <c r="AK958" s="58"/>
      <c r="AL958" s="62">
        <f t="shared" si="3148"/>
        <v>0</v>
      </c>
      <c r="AM958" s="60"/>
      <c r="AN958" s="58"/>
      <c r="AO958" s="62">
        <f t="shared" si="3149"/>
        <v>0</v>
      </c>
      <c r="AP958" s="60"/>
      <c r="AQ958" s="58"/>
      <c r="AR958" s="62">
        <f t="shared" si="3150"/>
        <v>0</v>
      </c>
      <c r="AS958" s="60"/>
      <c r="AT958" s="58"/>
      <c r="AU958" s="62">
        <f t="shared" si="3151"/>
        <v>0</v>
      </c>
      <c r="AV958" s="96">
        <f t="shared" si="3152"/>
        <v>0</v>
      </c>
      <c r="AW958" s="83">
        <f t="shared" si="3134"/>
        <v>0</v>
      </c>
      <c r="AX958" s="98">
        <f t="shared" si="3153"/>
        <v>0</v>
      </c>
      <c r="AY958" s="99" t="e">
        <f t="shared" si="3154"/>
        <v>#DIV/0!</v>
      </c>
      <c r="AZ958" s="100">
        <f t="shared" si="3155"/>
        <v>0</v>
      </c>
      <c r="BA958" s="101">
        <f t="shared" si="3156"/>
        <v>0</v>
      </c>
      <c r="BB958" s="68">
        <v>0</v>
      </c>
      <c r="BC958" s="84">
        <f t="shared" si="3030"/>
        <v>0</v>
      </c>
      <c r="BD958" s="83">
        <f t="shared" si="3031"/>
        <v>0</v>
      </c>
      <c r="BE958" s="224"/>
      <c r="BF958" s="86"/>
      <c r="BG958" s="72"/>
      <c r="BH958" s="109">
        <f t="shared" si="3157"/>
        <v>0</v>
      </c>
      <c r="BI958" s="80" t="str">
        <f t="shared" si="3033"/>
        <v/>
      </c>
      <c r="BJ958" s="239"/>
    </row>
    <row r="959" spans="1:62" ht="13">
      <c r="A959" s="90"/>
      <c r="B959" s="91"/>
      <c r="C959" s="221"/>
      <c r="D959" s="58"/>
      <c r="E959" s="58"/>
      <c r="F959" s="57"/>
      <c r="G959" s="229"/>
      <c r="H959" s="81"/>
      <c r="I959" s="80"/>
      <c r="J959" s="93">
        <f t="shared" si="3121"/>
        <v>0</v>
      </c>
      <c r="K959" s="80">
        <v>0</v>
      </c>
      <c r="L959" s="58"/>
      <c r="M959" s="58"/>
      <c r="N959" s="62">
        <f t="shared" si="3140"/>
        <v>0</v>
      </c>
      <c r="O959" s="60"/>
      <c r="P959" s="58"/>
      <c r="Q959" s="62">
        <f t="shared" si="3141"/>
        <v>0</v>
      </c>
      <c r="R959" s="60"/>
      <c r="S959" s="58"/>
      <c r="T959" s="94">
        <f t="shared" si="3142"/>
        <v>0</v>
      </c>
      <c r="U959" s="60"/>
      <c r="V959" s="58"/>
      <c r="W959" s="62">
        <f t="shared" si="3143"/>
        <v>0</v>
      </c>
      <c r="X959" s="60"/>
      <c r="Y959" s="58"/>
      <c r="Z959" s="94">
        <f t="shared" si="3144"/>
        <v>0</v>
      </c>
      <c r="AA959" s="60"/>
      <c r="AB959" s="58"/>
      <c r="AC959" s="62">
        <f t="shared" si="3145"/>
        <v>0</v>
      </c>
      <c r="AD959" s="57"/>
      <c r="AE959" s="58"/>
      <c r="AF959" s="165">
        <f t="shared" si="3146"/>
        <v>0</v>
      </c>
      <c r="AG959" s="60"/>
      <c r="AH959" s="58"/>
      <c r="AI959" s="62">
        <f t="shared" si="3147"/>
        <v>0</v>
      </c>
      <c r="AJ959" s="60"/>
      <c r="AK959" s="58"/>
      <c r="AL959" s="62">
        <f t="shared" si="3148"/>
        <v>0</v>
      </c>
      <c r="AM959" s="60"/>
      <c r="AN959" s="58"/>
      <c r="AO959" s="62">
        <f t="shared" si="3149"/>
        <v>0</v>
      </c>
      <c r="AP959" s="60"/>
      <c r="AQ959" s="58"/>
      <c r="AR959" s="62">
        <f t="shared" si="3150"/>
        <v>0</v>
      </c>
      <c r="AS959" s="60"/>
      <c r="AT959" s="58"/>
      <c r="AU959" s="62">
        <f t="shared" si="3151"/>
        <v>0</v>
      </c>
      <c r="AV959" s="96">
        <f t="shared" si="3152"/>
        <v>0</v>
      </c>
      <c r="AW959" s="83">
        <f t="shared" si="3134"/>
        <v>0</v>
      </c>
      <c r="AX959" s="98">
        <f t="shared" si="3153"/>
        <v>0</v>
      </c>
      <c r="AY959" s="99" t="e">
        <f t="shared" si="3154"/>
        <v>#DIV/0!</v>
      </c>
      <c r="AZ959" s="100">
        <f t="shared" si="3155"/>
        <v>0</v>
      </c>
      <c r="BA959" s="101">
        <f t="shared" si="3156"/>
        <v>0</v>
      </c>
      <c r="BB959" s="68">
        <v>0</v>
      </c>
      <c r="BC959" s="84">
        <f t="shared" si="3030"/>
        <v>0</v>
      </c>
      <c r="BD959" s="83">
        <f t="shared" si="3031"/>
        <v>0</v>
      </c>
      <c r="BE959" s="224"/>
      <c r="BF959" s="86"/>
      <c r="BG959" s="72"/>
      <c r="BH959" s="109">
        <f t="shared" si="3157"/>
        <v>0</v>
      </c>
      <c r="BI959" s="80" t="str">
        <f t="shared" si="3033"/>
        <v/>
      </c>
      <c r="BJ959" s="239"/>
    </row>
    <row r="960" spans="1:62" ht="13">
      <c r="A960" s="90"/>
      <c r="B960" s="91"/>
      <c r="C960" s="221"/>
      <c r="D960" s="58"/>
      <c r="E960" s="58"/>
      <c r="F960" s="57"/>
      <c r="G960" s="229"/>
      <c r="H960" s="81"/>
      <c r="I960" s="80"/>
      <c r="J960" s="93">
        <f t="shared" si="3121"/>
        <v>0</v>
      </c>
      <c r="K960" s="88">
        <v>0</v>
      </c>
      <c r="L960" s="58"/>
      <c r="M960" s="58"/>
      <c r="N960" s="62">
        <f t="shared" si="3140"/>
        <v>0</v>
      </c>
      <c r="O960" s="60"/>
      <c r="P960" s="58"/>
      <c r="Q960" s="62">
        <f t="shared" si="3141"/>
        <v>0</v>
      </c>
      <c r="R960" s="60"/>
      <c r="S960" s="58"/>
      <c r="T960" s="94">
        <f t="shared" si="3142"/>
        <v>0</v>
      </c>
      <c r="U960" s="60"/>
      <c r="V960" s="58"/>
      <c r="W960" s="62">
        <f t="shared" si="3143"/>
        <v>0</v>
      </c>
      <c r="X960" s="60"/>
      <c r="Y960" s="58"/>
      <c r="Z960" s="94">
        <f t="shared" si="3144"/>
        <v>0</v>
      </c>
      <c r="AA960" s="60"/>
      <c r="AB960" s="58"/>
      <c r="AC960" s="62">
        <f t="shared" si="3145"/>
        <v>0</v>
      </c>
      <c r="AD960" s="57"/>
      <c r="AE960" s="58"/>
      <c r="AF960" s="165">
        <f t="shared" si="3146"/>
        <v>0</v>
      </c>
      <c r="AG960" s="60"/>
      <c r="AH960" s="58"/>
      <c r="AI960" s="62">
        <f t="shared" si="3147"/>
        <v>0</v>
      </c>
      <c r="AJ960" s="60"/>
      <c r="AK960" s="58"/>
      <c r="AL960" s="62">
        <f t="shared" si="3148"/>
        <v>0</v>
      </c>
      <c r="AM960" s="60"/>
      <c r="AN960" s="58"/>
      <c r="AO960" s="62">
        <f t="shared" si="3149"/>
        <v>0</v>
      </c>
      <c r="AP960" s="60"/>
      <c r="AQ960" s="58"/>
      <c r="AR960" s="62">
        <f t="shared" si="3150"/>
        <v>0</v>
      </c>
      <c r="AS960" s="60"/>
      <c r="AT960" s="58"/>
      <c r="AU960" s="62">
        <f t="shared" si="3151"/>
        <v>0</v>
      </c>
      <c r="AV960" s="96">
        <f t="shared" si="3152"/>
        <v>0</v>
      </c>
      <c r="AW960" s="83">
        <f t="shared" si="3134"/>
        <v>0</v>
      </c>
      <c r="AX960" s="98">
        <f t="shared" si="3153"/>
        <v>0</v>
      </c>
      <c r="AY960" s="99" t="e">
        <f t="shared" si="3154"/>
        <v>#DIV/0!</v>
      </c>
      <c r="AZ960" s="100">
        <f t="shared" si="3155"/>
        <v>0</v>
      </c>
      <c r="BA960" s="101">
        <f t="shared" si="3156"/>
        <v>0</v>
      </c>
      <c r="BB960" s="68">
        <v>0</v>
      </c>
      <c r="BC960" s="84">
        <f t="shared" si="3030"/>
        <v>0</v>
      </c>
      <c r="BD960" s="83">
        <f t="shared" si="3031"/>
        <v>0</v>
      </c>
      <c r="BE960" s="224"/>
      <c r="BF960" s="86"/>
      <c r="BG960" s="72"/>
      <c r="BH960" s="109">
        <f t="shared" si="3157"/>
        <v>0</v>
      </c>
      <c r="BI960" s="80" t="str">
        <f t="shared" si="3033"/>
        <v/>
      </c>
      <c r="BJ960" s="239"/>
    </row>
    <row r="961" spans="1:62" ht="13">
      <c r="A961" s="90"/>
      <c r="B961" s="91"/>
      <c r="C961" s="221"/>
      <c r="D961" s="58"/>
      <c r="E961" s="58"/>
      <c r="F961" s="57"/>
      <c r="G961" s="229"/>
      <c r="H961" s="81"/>
      <c r="I961" s="80"/>
      <c r="J961" s="93">
        <f t="shared" si="3121"/>
        <v>0</v>
      </c>
      <c r="K961" s="80">
        <v>0</v>
      </c>
      <c r="L961" s="58"/>
      <c r="M961" s="58"/>
      <c r="N961" s="62">
        <f t="shared" si="3140"/>
        <v>0</v>
      </c>
      <c r="O961" s="60"/>
      <c r="P961" s="58"/>
      <c r="Q961" s="62">
        <f t="shared" si="3141"/>
        <v>0</v>
      </c>
      <c r="R961" s="60"/>
      <c r="S961" s="58"/>
      <c r="T961" s="94">
        <f t="shared" si="3142"/>
        <v>0</v>
      </c>
      <c r="U961" s="60"/>
      <c r="V961" s="58"/>
      <c r="W961" s="62">
        <f t="shared" si="3143"/>
        <v>0</v>
      </c>
      <c r="X961" s="60"/>
      <c r="Y961" s="58"/>
      <c r="Z961" s="94">
        <f t="shared" si="3144"/>
        <v>0</v>
      </c>
      <c r="AA961" s="60"/>
      <c r="AB961" s="58"/>
      <c r="AC961" s="62">
        <f t="shared" si="3145"/>
        <v>0</v>
      </c>
      <c r="AD961" s="57"/>
      <c r="AE961" s="58"/>
      <c r="AF961" s="165">
        <f t="shared" si="3146"/>
        <v>0</v>
      </c>
      <c r="AG961" s="60"/>
      <c r="AH961" s="58"/>
      <c r="AI961" s="62">
        <f t="shared" si="3147"/>
        <v>0</v>
      </c>
      <c r="AJ961" s="60"/>
      <c r="AK961" s="58"/>
      <c r="AL961" s="62">
        <f t="shared" si="3148"/>
        <v>0</v>
      </c>
      <c r="AM961" s="60"/>
      <c r="AN961" s="58"/>
      <c r="AO961" s="62">
        <f t="shared" si="3149"/>
        <v>0</v>
      </c>
      <c r="AP961" s="60"/>
      <c r="AQ961" s="58"/>
      <c r="AR961" s="62">
        <f t="shared" si="3150"/>
        <v>0</v>
      </c>
      <c r="AS961" s="60"/>
      <c r="AT961" s="58"/>
      <c r="AU961" s="62">
        <f t="shared" si="3151"/>
        <v>0</v>
      </c>
      <c r="AV961" s="96">
        <f t="shared" si="3152"/>
        <v>0</v>
      </c>
      <c r="AW961" s="83">
        <f t="shared" si="3152"/>
        <v>0</v>
      </c>
      <c r="AX961" s="98">
        <f t="shared" si="3153"/>
        <v>0</v>
      </c>
      <c r="AY961" s="99" t="e">
        <f t="shared" si="3154"/>
        <v>#DIV/0!</v>
      </c>
      <c r="AZ961" s="100">
        <f t="shared" si="3155"/>
        <v>0</v>
      </c>
      <c r="BA961" s="101">
        <f t="shared" si="3156"/>
        <v>0</v>
      </c>
      <c r="BB961" s="68">
        <v>0</v>
      </c>
      <c r="BC961" s="84">
        <f t="shared" si="3030"/>
        <v>0</v>
      </c>
      <c r="BD961" s="83">
        <f t="shared" si="3031"/>
        <v>0</v>
      </c>
      <c r="BE961" s="224"/>
      <c r="BF961" s="86"/>
      <c r="BG961" s="72"/>
      <c r="BH961" s="109">
        <f t="shared" si="3157"/>
        <v>0</v>
      </c>
      <c r="BI961" s="80" t="str">
        <f t="shared" si="3033"/>
        <v/>
      </c>
      <c r="BJ961" s="239"/>
    </row>
    <row r="962" spans="1:62" ht="13">
      <c r="A962" s="90"/>
      <c r="B962" s="91"/>
      <c r="C962" s="221"/>
      <c r="D962" s="58"/>
      <c r="E962" s="58"/>
      <c r="F962" s="57"/>
      <c r="G962" s="229"/>
      <c r="H962" s="81"/>
      <c r="I962" s="80"/>
      <c r="J962" s="93">
        <f t="shared" si="3121"/>
        <v>0</v>
      </c>
      <c r="K962" s="88">
        <v>0</v>
      </c>
      <c r="L962" s="58"/>
      <c r="M962" s="58"/>
      <c r="N962" s="62">
        <f t="shared" si="3140"/>
        <v>0</v>
      </c>
      <c r="O962" s="60"/>
      <c r="P962" s="58"/>
      <c r="Q962" s="62">
        <f t="shared" si="3141"/>
        <v>0</v>
      </c>
      <c r="R962" s="60"/>
      <c r="S962" s="58"/>
      <c r="T962" s="94">
        <f t="shared" si="3142"/>
        <v>0</v>
      </c>
      <c r="U962" s="60"/>
      <c r="V962" s="58"/>
      <c r="W962" s="62">
        <f t="shared" si="3143"/>
        <v>0</v>
      </c>
      <c r="X962" s="60"/>
      <c r="Y962" s="58"/>
      <c r="Z962" s="94">
        <f t="shared" si="3144"/>
        <v>0</v>
      </c>
      <c r="AA962" s="60"/>
      <c r="AB962" s="58"/>
      <c r="AC962" s="62">
        <f t="shared" si="3145"/>
        <v>0</v>
      </c>
      <c r="AD962" s="57"/>
      <c r="AE962" s="58"/>
      <c r="AF962" s="165">
        <f t="shared" si="3146"/>
        <v>0</v>
      </c>
      <c r="AG962" s="60"/>
      <c r="AH962" s="58"/>
      <c r="AI962" s="62">
        <f t="shared" si="3147"/>
        <v>0</v>
      </c>
      <c r="AJ962" s="60"/>
      <c r="AK962" s="58"/>
      <c r="AL962" s="62">
        <f t="shared" si="3148"/>
        <v>0</v>
      </c>
      <c r="AM962" s="60"/>
      <c r="AN962" s="58"/>
      <c r="AO962" s="62">
        <f t="shared" si="3149"/>
        <v>0</v>
      </c>
      <c r="AP962" s="60"/>
      <c r="AQ962" s="58"/>
      <c r="AR962" s="62">
        <f t="shared" si="3150"/>
        <v>0</v>
      </c>
      <c r="AS962" s="60"/>
      <c r="AT962" s="58"/>
      <c r="AU962" s="62">
        <f t="shared" si="3151"/>
        <v>0</v>
      </c>
      <c r="AV962" s="96">
        <f t="shared" si="3152"/>
        <v>0</v>
      </c>
      <c r="AW962" s="83">
        <f t="shared" si="3152"/>
        <v>0</v>
      </c>
      <c r="AX962" s="98">
        <f t="shared" si="3153"/>
        <v>0</v>
      </c>
      <c r="AY962" s="99" t="e">
        <f t="shared" si="3154"/>
        <v>#DIV/0!</v>
      </c>
      <c r="AZ962" s="100">
        <f t="shared" si="3155"/>
        <v>0</v>
      </c>
      <c r="BA962" s="101">
        <f t="shared" si="3156"/>
        <v>0</v>
      </c>
      <c r="BB962" s="68">
        <v>0</v>
      </c>
      <c r="BC962" s="84">
        <f t="shared" si="3030"/>
        <v>0</v>
      </c>
      <c r="BD962" s="83">
        <f t="shared" si="3031"/>
        <v>0</v>
      </c>
      <c r="BE962" s="224"/>
      <c r="BF962" s="86"/>
      <c r="BG962" s="72"/>
      <c r="BH962" s="109">
        <f t="shared" si="3157"/>
        <v>0</v>
      </c>
      <c r="BI962" s="80" t="str">
        <f t="shared" si="3033"/>
        <v/>
      </c>
      <c r="BJ962" s="239"/>
    </row>
    <row r="963" spans="1:62" ht="13">
      <c r="A963" s="90"/>
      <c r="B963" s="91"/>
      <c r="C963" s="221"/>
      <c r="D963" s="58"/>
      <c r="E963" s="58"/>
      <c r="F963" s="57"/>
      <c r="G963" s="229"/>
      <c r="H963" s="81"/>
      <c r="I963" s="80"/>
      <c r="J963" s="93">
        <f t="shared" si="3121"/>
        <v>0</v>
      </c>
      <c r="K963" s="88">
        <v>0</v>
      </c>
      <c r="L963" s="58"/>
      <c r="M963" s="58"/>
      <c r="N963" s="62">
        <f t="shared" si="3140"/>
        <v>0</v>
      </c>
      <c r="O963" s="60"/>
      <c r="P963" s="58"/>
      <c r="Q963" s="62">
        <f t="shared" si="3141"/>
        <v>0</v>
      </c>
      <c r="R963" s="60"/>
      <c r="S963" s="58"/>
      <c r="T963" s="94">
        <f t="shared" si="3142"/>
        <v>0</v>
      </c>
      <c r="U963" s="60"/>
      <c r="V963" s="58"/>
      <c r="W963" s="62">
        <f t="shared" si="3143"/>
        <v>0</v>
      </c>
      <c r="X963" s="60"/>
      <c r="Y963" s="58"/>
      <c r="Z963" s="94">
        <f t="shared" si="3144"/>
        <v>0</v>
      </c>
      <c r="AA963" s="60"/>
      <c r="AB963" s="58"/>
      <c r="AC963" s="62">
        <f t="shared" si="3145"/>
        <v>0</v>
      </c>
      <c r="AD963" s="57"/>
      <c r="AE963" s="58"/>
      <c r="AF963" s="165">
        <f t="shared" si="3146"/>
        <v>0</v>
      </c>
      <c r="AG963" s="60"/>
      <c r="AH963" s="58"/>
      <c r="AI963" s="62">
        <f t="shared" si="3147"/>
        <v>0</v>
      </c>
      <c r="AJ963" s="60"/>
      <c r="AK963" s="58"/>
      <c r="AL963" s="62">
        <f t="shared" si="3148"/>
        <v>0</v>
      </c>
      <c r="AM963" s="60"/>
      <c r="AN963" s="58"/>
      <c r="AO963" s="62">
        <f t="shared" si="3149"/>
        <v>0</v>
      </c>
      <c r="AP963" s="60"/>
      <c r="AQ963" s="58"/>
      <c r="AR963" s="62">
        <f t="shared" si="3150"/>
        <v>0</v>
      </c>
      <c r="AS963" s="60"/>
      <c r="AT963" s="58"/>
      <c r="AU963" s="62">
        <f t="shared" si="3151"/>
        <v>0</v>
      </c>
      <c r="AV963" s="96">
        <f t="shared" si="3152"/>
        <v>0</v>
      </c>
      <c r="AW963" s="83">
        <f t="shared" si="3152"/>
        <v>0</v>
      </c>
      <c r="AX963" s="98">
        <f t="shared" si="3153"/>
        <v>0</v>
      </c>
      <c r="AY963" s="99" t="e">
        <f t="shared" si="3154"/>
        <v>#DIV/0!</v>
      </c>
      <c r="AZ963" s="100">
        <f t="shared" si="3155"/>
        <v>0</v>
      </c>
      <c r="BA963" s="101">
        <f t="shared" si="3156"/>
        <v>0</v>
      </c>
      <c r="BB963" s="68">
        <v>0</v>
      </c>
      <c r="BC963" s="84">
        <f t="shared" si="3030"/>
        <v>0</v>
      </c>
      <c r="BD963" s="83">
        <f t="shared" si="3031"/>
        <v>0</v>
      </c>
      <c r="BE963" s="224"/>
      <c r="BF963" s="86"/>
      <c r="BG963" s="72"/>
      <c r="BH963" s="109">
        <f t="shared" si="3157"/>
        <v>0</v>
      </c>
      <c r="BI963" s="80" t="str">
        <f t="shared" si="3033"/>
        <v/>
      </c>
      <c r="BJ963" s="239"/>
    </row>
    <row r="964" spans="1:62" ht="13">
      <c r="A964" s="90"/>
      <c r="B964" s="91"/>
      <c r="C964" s="221"/>
      <c r="D964" s="58"/>
      <c r="E964" s="58"/>
      <c r="F964" s="57"/>
      <c r="G964" s="229"/>
      <c r="H964" s="81"/>
      <c r="I964" s="80"/>
      <c r="J964" s="93">
        <f t="shared" si="3121"/>
        <v>0</v>
      </c>
      <c r="K964" s="80">
        <v>0</v>
      </c>
      <c r="L964" s="58"/>
      <c r="M964" s="58"/>
      <c r="N964" s="62">
        <f t="shared" si="3140"/>
        <v>0</v>
      </c>
      <c r="O964" s="60"/>
      <c r="P964" s="58"/>
      <c r="Q964" s="62">
        <f t="shared" si="3141"/>
        <v>0</v>
      </c>
      <c r="R964" s="60"/>
      <c r="S964" s="58"/>
      <c r="T964" s="94">
        <f t="shared" si="3142"/>
        <v>0</v>
      </c>
      <c r="U964" s="60"/>
      <c r="V964" s="58"/>
      <c r="W964" s="62">
        <f t="shared" si="3143"/>
        <v>0</v>
      </c>
      <c r="X964" s="60"/>
      <c r="Y964" s="58"/>
      <c r="Z964" s="94">
        <f t="shared" si="3144"/>
        <v>0</v>
      </c>
      <c r="AA964" s="60"/>
      <c r="AB964" s="58"/>
      <c r="AC964" s="62">
        <f t="shared" si="3145"/>
        <v>0</v>
      </c>
      <c r="AD964" s="57"/>
      <c r="AE964" s="58"/>
      <c r="AF964" s="165">
        <f t="shared" si="3146"/>
        <v>0</v>
      </c>
      <c r="AG964" s="60"/>
      <c r="AH964" s="58"/>
      <c r="AI964" s="62">
        <f t="shared" si="3147"/>
        <v>0</v>
      </c>
      <c r="AJ964" s="60"/>
      <c r="AK964" s="58"/>
      <c r="AL964" s="62">
        <f t="shared" si="3148"/>
        <v>0</v>
      </c>
      <c r="AM964" s="60"/>
      <c r="AN964" s="58"/>
      <c r="AO964" s="62">
        <f t="shared" si="3149"/>
        <v>0</v>
      </c>
      <c r="AP964" s="60"/>
      <c r="AQ964" s="58"/>
      <c r="AR964" s="62">
        <f t="shared" si="3150"/>
        <v>0</v>
      </c>
      <c r="AS964" s="60"/>
      <c r="AT964" s="58"/>
      <c r="AU964" s="62">
        <f t="shared" si="3151"/>
        <v>0</v>
      </c>
      <c r="AV964" s="96">
        <f t="shared" si="3152"/>
        <v>0</v>
      </c>
      <c r="AW964" s="83">
        <f t="shared" si="3152"/>
        <v>0</v>
      </c>
      <c r="AX964" s="98">
        <f t="shared" si="3153"/>
        <v>0</v>
      </c>
      <c r="AY964" s="99" t="e">
        <f t="shared" si="3154"/>
        <v>#DIV/0!</v>
      </c>
      <c r="AZ964" s="100">
        <f t="shared" si="3155"/>
        <v>0</v>
      </c>
      <c r="BA964" s="101">
        <f t="shared" si="3156"/>
        <v>0</v>
      </c>
      <c r="BB964" s="68">
        <v>0</v>
      </c>
      <c r="BC964" s="84">
        <f t="shared" si="3030"/>
        <v>0</v>
      </c>
      <c r="BD964" s="83">
        <f t="shared" si="3031"/>
        <v>0</v>
      </c>
      <c r="BE964" s="224"/>
      <c r="BF964" s="86"/>
      <c r="BG964" s="72"/>
      <c r="BH964" s="109">
        <f t="shared" si="3157"/>
        <v>0</v>
      </c>
      <c r="BI964" s="80" t="str">
        <f t="shared" si="3033"/>
        <v/>
      </c>
      <c r="BJ964" s="239"/>
    </row>
    <row r="965" spans="1:62" ht="13">
      <c r="A965" s="90"/>
      <c r="B965" s="91"/>
      <c r="C965" s="221"/>
      <c r="D965" s="58"/>
      <c r="E965" s="58"/>
      <c r="F965" s="57"/>
      <c r="G965" s="229"/>
      <c r="H965" s="81"/>
      <c r="I965" s="80"/>
      <c r="J965" s="93">
        <f t="shared" si="3121"/>
        <v>0</v>
      </c>
      <c r="K965" s="88">
        <v>0</v>
      </c>
      <c r="L965" s="58"/>
      <c r="M965" s="58"/>
      <c r="N965" s="62">
        <f t="shared" si="3140"/>
        <v>0</v>
      </c>
      <c r="O965" s="60"/>
      <c r="P965" s="58"/>
      <c r="Q965" s="62">
        <f t="shared" si="3141"/>
        <v>0</v>
      </c>
      <c r="R965" s="60"/>
      <c r="S965" s="58"/>
      <c r="T965" s="94">
        <f t="shared" si="3142"/>
        <v>0</v>
      </c>
      <c r="U965" s="60"/>
      <c r="V965" s="58"/>
      <c r="W965" s="62">
        <f t="shared" si="3143"/>
        <v>0</v>
      </c>
      <c r="X965" s="60"/>
      <c r="Y965" s="58"/>
      <c r="Z965" s="94">
        <f t="shared" si="3144"/>
        <v>0</v>
      </c>
      <c r="AA965" s="60"/>
      <c r="AB965" s="58"/>
      <c r="AC965" s="62">
        <f t="shared" si="3145"/>
        <v>0</v>
      </c>
      <c r="AD965" s="57"/>
      <c r="AE965" s="58"/>
      <c r="AF965" s="165">
        <f t="shared" si="3146"/>
        <v>0</v>
      </c>
      <c r="AG965" s="60"/>
      <c r="AH965" s="58"/>
      <c r="AI965" s="62">
        <f t="shared" si="3147"/>
        <v>0</v>
      </c>
      <c r="AJ965" s="60"/>
      <c r="AK965" s="58"/>
      <c r="AL965" s="62">
        <f t="shared" si="3148"/>
        <v>0</v>
      </c>
      <c r="AM965" s="60"/>
      <c r="AN965" s="58"/>
      <c r="AO965" s="62">
        <f t="shared" si="3149"/>
        <v>0</v>
      </c>
      <c r="AP965" s="60"/>
      <c r="AQ965" s="58"/>
      <c r="AR965" s="62">
        <f t="shared" si="3150"/>
        <v>0</v>
      </c>
      <c r="AS965" s="60"/>
      <c r="AT965" s="58"/>
      <c r="AU965" s="62">
        <f t="shared" si="3151"/>
        <v>0</v>
      </c>
      <c r="AV965" s="96">
        <f t="shared" si="3152"/>
        <v>0</v>
      </c>
      <c r="AW965" s="83">
        <f t="shared" si="3152"/>
        <v>0</v>
      </c>
      <c r="AX965" s="98">
        <f t="shared" si="3153"/>
        <v>0</v>
      </c>
      <c r="AY965" s="99" t="e">
        <f t="shared" si="3154"/>
        <v>#DIV/0!</v>
      </c>
      <c r="AZ965" s="100">
        <f t="shared" si="3155"/>
        <v>0</v>
      </c>
      <c r="BA965" s="101">
        <f t="shared" si="3156"/>
        <v>0</v>
      </c>
      <c r="BB965" s="68">
        <v>0</v>
      </c>
      <c r="BC965" s="84">
        <f t="shared" si="3030"/>
        <v>0</v>
      </c>
      <c r="BD965" s="83">
        <f t="shared" si="3031"/>
        <v>0</v>
      </c>
      <c r="BE965" s="224"/>
      <c r="BF965" s="86"/>
      <c r="BG965" s="72"/>
      <c r="BH965" s="109">
        <f t="shared" si="3157"/>
        <v>0</v>
      </c>
      <c r="BI965" s="80" t="str">
        <f t="shared" si="3033"/>
        <v/>
      </c>
      <c r="BJ965" s="239"/>
    </row>
    <row r="966" spans="1:62" ht="13">
      <c r="A966" s="90"/>
      <c r="B966" s="91"/>
      <c r="C966" s="221"/>
      <c r="D966" s="58"/>
      <c r="E966" s="58"/>
      <c r="F966" s="57"/>
      <c r="G966" s="229"/>
      <c r="H966" s="81"/>
      <c r="I966" s="80"/>
      <c r="J966" s="93">
        <f t="shared" si="3121"/>
        <v>0</v>
      </c>
      <c r="K966" s="88">
        <v>0</v>
      </c>
      <c r="L966" s="58"/>
      <c r="M966" s="58"/>
      <c r="N966" s="62">
        <f t="shared" si="3140"/>
        <v>0</v>
      </c>
      <c r="O966" s="60"/>
      <c r="P966" s="58"/>
      <c r="Q966" s="62">
        <f t="shared" si="3141"/>
        <v>0</v>
      </c>
      <c r="R966" s="60"/>
      <c r="S966" s="58"/>
      <c r="T966" s="94">
        <f t="shared" si="3142"/>
        <v>0</v>
      </c>
      <c r="U966" s="60"/>
      <c r="V966" s="58"/>
      <c r="W966" s="62">
        <f t="shared" si="3143"/>
        <v>0</v>
      </c>
      <c r="X966" s="60"/>
      <c r="Y966" s="58"/>
      <c r="Z966" s="94">
        <f t="shared" si="3144"/>
        <v>0</v>
      </c>
      <c r="AA966" s="60"/>
      <c r="AB966" s="58"/>
      <c r="AC966" s="62">
        <f t="shared" si="3145"/>
        <v>0</v>
      </c>
      <c r="AD966" s="57"/>
      <c r="AE966" s="58"/>
      <c r="AF966" s="165">
        <f t="shared" si="3146"/>
        <v>0</v>
      </c>
      <c r="AG966" s="60"/>
      <c r="AH966" s="58"/>
      <c r="AI966" s="62">
        <f t="shared" si="3147"/>
        <v>0</v>
      </c>
      <c r="AJ966" s="60"/>
      <c r="AK966" s="58"/>
      <c r="AL966" s="62">
        <f t="shared" si="3148"/>
        <v>0</v>
      </c>
      <c r="AM966" s="60"/>
      <c r="AN966" s="58"/>
      <c r="AO966" s="62">
        <f t="shared" si="3149"/>
        <v>0</v>
      </c>
      <c r="AP966" s="60"/>
      <c r="AQ966" s="58"/>
      <c r="AR966" s="62">
        <f t="shared" si="3150"/>
        <v>0</v>
      </c>
      <c r="AS966" s="60"/>
      <c r="AT966" s="58"/>
      <c r="AU966" s="62">
        <f t="shared" si="3151"/>
        <v>0</v>
      </c>
      <c r="AV966" s="96">
        <f t="shared" si="3152"/>
        <v>0</v>
      </c>
      <c r="AW966" s="83">
        <f t="shared" si="3152"/>
        <v>0</v>
      </c>
      <c r="AX966" s="98">
        <f t="shared" si="3153"/>
        <v>0</v>
      </c>
      <c r="AY966" s="99" t="e">
        <f t="shared" si="3154"/>
        <v>#DIV/0!</v>
      </c>
      <c r="AZ966" s="100">
        <f t="shared" si="3155"/>
        <v>0</v>
      </c>
      <c r="BA966" s="101">
        <f t="shared" si="3156"/>
        <v>0</v>
      </c>
      <c r="BB966" s="68">
        <v>0</v>
      </c>
      <c r="BC966" s="84">
        <f t="shared" si="3030"/>
        <v>0</v>
      </c>
      <c r="BD966" s="83">
        <f t="shared" si="3031"/>
        <v>0</v>
      </c>
      <c r="BE966" s="224"/>
      <c r="BF966" s="86"/>
      <c r="BG966" s="72"/>
      <c r="BH966" s="109">
        <f t="shared" si="3157"/>
        <v>0</v>
      </c>
      <c r="BI966" s="80" t="str">
        <f t="shared" si="3033"/>
        <v/>
      </c>
      <c r="BJ966" s="239"/>
    </row>
    <row r="967" spans="1:62" ht="13">
      <c r="A967" s="90"/>
      <c r="B967" s="91"/>
      <c r="C967" s="221"/>
      <c r="D967" s="58"/>
      <c r="E967" s="58"/>
      <c r="F967" s="57"/>
      <c r="G967" s="229"/>
      <c r="H967" s="81"/>
      <c r="I967" s="80"/>
      <c r="J967" s="93">
        <f t="shared" si="3121"/>
        <v>0</v>
      </c>
      <c r="K967" s="80">
        <v>0</v>
      </c>
      <c r="L967" s="58"/>
      <c r="M967" s="58"/>
      <c r="N967" s="62">
        <f t="shared" si="3140"/>
        <v>0</v>
      </c>
      <c r="O967" s="60"/>
      <c r="P967" s="58"/>
      <c r="Q967" s="62">
        <f t="shared" si="3141"/>
        <v>0</v>
      </c>
      <c r="R967" s="60"/>
      <c r="S967" s="58"/>
      <c r="T967" s="94">
        <f t="shared" si="3142"/>
        <v>0</v>
      </c>
      <c r="U967" s="60"/>
      <c r="V967" s="58"/>
      <c r="W967" s="62">
        <f t="shared" si="3143"/>
        <v>0</v>
      </c>
      <c r="X967" s="60"/>
      <c r="Y967" s="58"/>
      <c r="Z967" s="94">
        <f t="shared" si="3144"/>
        <v>0</v>
      </c>
      <c r="AA967" s="60"/>
      <c r="AB967" s="58"/>
      <c r="AC967" s="62">
        <f t="shared" si="3145"/>
        <v>0</v>
      </c>
      <c r="AD967" s="57"/>
      <c r="AE967" s="58"/>
      <c r="AF967" s="165">
        <f t="shared" si="3146"/>
        <v>0</v>
      </c>
      <c r="AG967" s="60"/>
      <c r="AH967" s="58"/>
      <c r="AI967" s="62">
        <f t="shared" si="3147"/>
        <v>0</v>
      </c>
      <c r="AJ967" s="60"/>
      <c r="AK967" s="58"/>
      <c r="AL967" s="62">
        <f t="shared" si="3148"/>
        <v>0</v>
      </c>
      <c r="AM967" s="60"/>
      <c r="AN967" s="58"/>
      <c r="AO967" s="62">
        <f t="shared" si="3149"/>
        <v>0</v>
      </c>
      <c r="AP967" s="60"/>
      <c r="AQ967" s="58"/>
      <c r="AR967" s="62">
        <f t="shared" si="3150"/>
        <v>0</v>
      </c>
      <c r="AS967" s="60"/>
      <c r="AT967" s="58"/>
      <c r="AU967" s="62">
        <f t="shared" si="3151"/>
        <v>0</v>
      </c>
      <c r="AV967" s="96">
        <f t="shared" si="3152"/>
        <v>0</v>
      </c>
      <c r="AW967" s="83">
        <f t="shared" si="3152"/>
        <v>0</v>
      </c>
      <c r="AX967" s="98">
        <f t="shared" si="3153"/>
        <v>0</v>
      </c>
      <c r="AY967" s="99" t="e">
        <f t="shared" si="3154"/>
        <v>#DIV/0!</v>
      </c>
      <c r="AZ967" s="100">
        <f t="shared" si="3155"/>
        <v>0</v>
      </c>
      <c r="BA967" s="101">
        <f t="shared" si="3156"/>
        <v>0</v>
      </c>
      <c r="BB967" s="68">
        <v>0</v>
      </c>
      <c r="BC967" s="84">
        <f t="shared" si="3030"/>
        <v>0</v>
      </c>
      <c r="BD967" s="83">
        <f t="shared" si="3031"/>
        <v>0</v>
      </c>
      <c r="BE967" s="224"/>
      <c r="BF967" s="86"/>
      <c r="BG967" s="72"/>
      <c r="BH967" s="109">
        <f t="shared" si="3157"/>
        <v>0</v>
      </c>
      <c r="BI967" s="80" t="str">
        <f t="shared" si="3033"/>
        <v/>
      </c>
      <c r="BJ967" s="239"/>
    </row>
    <row r="968" spans="1:62" ht="13">
      <c r="A968" s="90"/>
      <c r="B968" s="91"/>
      <c r="C968" s="221"/>
      <c r="D968" s="58"/>
      <c r="E968" s="58"/>
      <c r="F968" s="57"/>
      <c r="G968" s="229"/>
      <c r="H968" s="81"/>
      <c r="I968" s="80"/>
      <c r="J968" s="93">
        <f t="shared" si="3121"/>
        <v>0</v>
      </c>
      <c r="K968" s="88">
        <v>0</v>
      </c>
      <c r="L968" s="58"/>
      <c r="M968" s="58"/>
      <c r="N968" s="62">
        <f t="shared" si="3140"/>
        <v>0</v>
      </c>
      <c r="O968" s="60"/>
      <c r="P968" s="58"/>
      <c r="Q968" s="62">
        <f t="shared" si="3141"/>
        <v>0</v>
      </c>
      <c r="R968" s="60"/>
      <c r="S968" s="58"/>
      <c r="T968" s="94">
        <f t="shared" si="3142"/>
        <v>0</v>
      </c>
      <c r="U968" s="60"/>
      <c r="V968" s="58"/>
      <c r="W968" s="62">
        <f t="shared" si="3143"/>
        <v>0</v>
      </c>
      <c r="X968" s="60"/>
      <c r="Y968" s="58"/>
      <c r="Z968" s="94">
        <f t="shared" si="3144"/>
        <v>0</v>
      </c>
      <c r="AA968" s="60"/>
      <c r="AB968" s="58"/>
      <c r="AC968" s="62">
        <f t="shared" si="3145"/>
        <v>0</v>
      </c>
      <c r="AD968" s="57"/>
      <c r="AE968" s="58"/>
      <c r="AF968" s="165">
        <f t="shared" si="3146"/>
        <v>0</v>
      </c>
      <c r="AG968" s="60"/>
      <c r="AH968" s="58"/>
      <c r="AI968" s="62">
        <f t="shared" si="3147"/>
        <v>0</v>
      </c>
      <c r="AJ968" s="60"/>
      <c r="AK968" s="58"/>
      <c r="AL968" s="62">
        <f t="shared" si="3148"/>
        <v>0</v>
      </c>
      <c r="AM968" s="60"/>
      <c r="AN968" s="58"/>
      <c r="AO968" s="62">
        <f t="shared" si="3149"/>
        <v>0</v>
      </c>
      <c r="AP968" s="60"/>
      <c r="AQ968" s="58"/>
      <c r="AR968" s="62">
        <f t="shared" si="3150"/>
        <v>0</v>
      </c>
      <c r="AS968" s="60"/>
      <c r="AT968" s="58"/>
      <c r="AU968" s="62">
        <f t="shared" si="3151"/>
        <v>0</v>
      </c>
      <c r="AV968" s="96">
        <f t="shared" si="3152"/>
        <v>0</v>
      </c>
      <c r="AW968" s="83">
        <f t="shared" si="3152"/>
        <v>0</v>
      </c>
      <c r="AX968" s="98">
        <f t="shared" si="3153"/>
        <v>0</v>
      </c>
      <c r="AY968" s="99" t="e">
        <f t="shared" si="3154"/>
        <v>#DIV/0!</v>
      </c>
      <c r="AZ968" s="100">
        <f t="shared" si="3155"/>
        <v>0</v>
      </c>
      <c r="BA968" s="101">
        <f t="shared" si="3156"/>
        <v>0</v>
      </c>
      <c r="BB968" s="68">
        <v>0</v>
      </c>
      <c r="BC968" s="84">
        <f t="shared" si="3030"/>
        <v>0</v>
      </c>
      <c r="BD968" s="83">
        <f t="shared" si="3031"/>
        <v>0</v>
      </c>
      <c r="BE968" s="224"/>
      <c r="BF968" s="86"/>
      <c r="BG968" s="72"/>
      <c r="BH968" s="109">
        <f t="shared" si="3157"/>
        <v>0</v>
      </c>
      <c r="BI968" s="80" t="str">
        <f t="shared" si="3033"/>
        <v/>
      </c>
      <c r="BJ968" s="239"/>
    </row>
    <row r="969" spans="1:62" ht="13">
      <c r="A969" s="90"/>
      <c r="B969" s="91"/>
      <c r="C969" s="221"/>
      <c r="D969" s="58"/>
      <c r="E969" s="58"/>
      <c r="F969" s="57"/>
      <c r="G969" s="229"/>
      <c r="H969" s="81"/>
      <c r="I969" s="80"/>
      <c r="J969" s="93">
        <f t="shared" si="3121"/>
        <v>0</v>
      </c>
      <c r="K969" s="88">
        <v>0</v>
      </c>
      <c r="L969" s="58"/>
      <c r="M969" s="58"/>
      <c r="N969" s="62">
        <f t="shared" si="3140"/>
        <v>0</v>
      </c>
      <c r="O969" s="60"/>
      <c r="P969" s="58"/>
      <c r="Q969" s="62">
        <f t="shared" si="3141"/>
        <v>0</v>
      </c>
      <c r="R969" s="60"/>
      <c r="S969" s="58"/>
      <c r="T969" s="94">
        <f t="shared" si="3142"/>
        <v>0</v>
      </c>
      <c r="U969" s="60"/>
      <c r="V969" s="58"/>
      <c r="W969" s="62">
        <f t="shared" si="3143"/>
        <v>0</v>
      </c>
      <c r="X969" s="60"/>
      <c r="Y969" s="58"/>
      <c r="Z969" s="94">
        <f t="shared" si="3144"/>
        <v>0</v>
      </c>
      <c r="AA969" s="60"/>
      <c r="AB969" s="58"/>
      <c r="AC969" s="62">
        <f t="shared" si="3145"/>
        <v>0</v>
      </c>
      <c r="AD969" s="57"/>
      <c r="AE969" s="58"/>
      <c r="AF969" s="165">
        <f t="shared" si="3146"/>
        <v>0</v>
      </c>
      <c r="AG969" s="60"/>
      <c r="AH969" s="58"/>
      <c r="AI969" s="62">
        <f t="shared" si="3147"/>
        <v>0</v>
      </c>
      <c r="AJ969" s="60"/>
      <c r="AK969" s="58"/>
      <c r="AL969" s="62">
        <f t="shared" si="3148"/>
        <v>0</v>
      </c>
      <c r="AM969" s="60"/>
      <c r="AN969" s="58"/>
      <c r="AO969" s="62">
        <f t="shared" si="3149"/>
        <v>0</v>
      </c>
      <c r="AP969" s="60"/>
      <c r="AQ969" s="58"/>
      <c r="AR969" s="62">
        <f t="shared" si="3150"/>
        <v>0</v>
      </c>
      <c r="AS969" s="60"/>
      <c r="AT969" s="58"/>
      <c r="AU969" s="62">
        <f t="shared" si="3151"/>
        <v>0</v>
      </c>
      <c r="AV969" s="96">
        <f t="shared" si="3152"/>
        <v>0</v>
      </c>
      <c r="AW969" s="83">
        <f t="shared" si="3152"/>
        <v>0</v>
      </c>
      <c r="AX969" s="98">
        <f t="shared" si="3153"/>
        <v>0</v>
      </c>
      <c r="AY969" s="99" t="e">
        <f t="shared" si="3154"/>
        <v>#DIV/0!</v>
      </c>
      <c r="AZ969" s="100">
        <f t="shared" si="3155"/>
        <v>0</v>
      </c>
      <c r="BA969" s="101">
        <f t="shared" si="3156"/>
        <v>0</v>
      </c>
      <c r="BB969" s="68">
        <v>0</v>
      </c>
      <c r="BC969" s="84">
        <f t="shared" si="3030"/>
        <v>0</v>
      </c>
      <c r="BD969" s="83">
        <f t="shared" si="3031"/>
        <v>0</v>
      </c>
      <c r="BE969" s="224"/>
      <c r="BF969" s="86"/>
      <c r="BG969" s="72"/>
      <c r="BH969" s="109">
        <f t="shared" si="3157"/>
        <v>0</v>
      </c>
      <c r="BI969" s="80" t="str">
        <f t="shared" si="3033"/>
        <v/>
      </c>
      <c r="BJ969" s="239"/>
    </row>
    <row r="970" spans="1:62" ht="13">
      <c r="A970" s="90"/>
      <c r="B970" s="91"/>
      <c r="C970" s="221"/>
      <c r="D970" s="58"/>
      <c r="E970" s="58"/>
      <c r="F970" s="57"/>
      <c r="G970" s="229"/>
      <c r="H970" s="81"/>
      <c r="I970" s="80"/>
      <c r="J970" s="93">
        <f t="shared" si="3121"/>
        <v>0</v>
      </c>
      <c r="K970" s="80">
        <v>0</v>
      </c>
      <c r="L970" s="58"/>
      <c r="M970" s="58"/>
      <c r="N970" s="62">
        <f t="shared" si="3140"/>
        <v>0</v>
      </c>
      <c r="O970" s="60"/>
      <c r="P970" s="58"/>
      <c r="Q970" s="62">
        <f t="shared" si="3141"/>
        <v>0</v>
      </c>
      <c r="R970" s="60"/>
      <c r="S970" s="58"/>
      <c r="T970" s="94">
        <f t="shared" si="3142"/>
        <v>0</v>
      </c>
      <c r="U970" s="60"/>
      <c r="V970" s="58"/>
      <c r="W970" s="62">
        <f t="shared" si="3143"/>
        <v>0</v>
      </c>
      <c r="X970" s="60"/>
      <c r="Y970" s="58"/>
      <c r="Z970" s="94">
        <f t="shared" si="3144"/>
        <v>0</v>
      </c>
      <c r="AA970" s="60"/>
      <c r="AB970" s="58"/>
      <c r="AC970" s="62">
        <f t="shared" si="3145"/>
        <v>0</v>
      </c>
      <c r="AD970" s="57"/>
      <c r="AE970" s="58"/>
      <c r="AF970" s="165">
        <f t="shared" si="3146"/>
        <v>0</v>
      </c>
      <c r="AG970" s="60"/>
      <c r="AH970" s="58"/>
      <c r="AI970" s="62">
        <f t="shared" si="3147"/>
        <v>0</v>
      </c>
      <c r="AJ970" s="60"/>
      <c r="AK970" s="58"/>
      <c r="AL970" s="62">
        <f t="shared" si="3148"/>
        <v>0</v>
      </c>
      <c r="AM970" s="60"/>
      <c r="AN970" s="58"/>
      <c r="AO970" s="62">
        <f t="shared" si="3149"/>
        <v>0</v>
      </c>
      <c r="AP970" s="60"/>
      <c r="AQ970" s="58"/>
      <c r="AR970" s="62">
        <f t="shared" si="3150"/>
        <v>0</v>
      </c>
      <c r="AS970" s="60"/>
      <c r="AT970" s="58"/>
      <c r="AU970" s="62">
        <f t="shared" si="3151"/>
        <v>0</v>
      </c>
      <c r="AV970" s="96">
        <f t="shared" si="3152"/>
        <v>0</v>
      </c>
      <c r="AW970" s="83">
        <f t="shared" si="3152"/>
        <v>0</v>
      </c>
      <c r="AX970" s="98">
        <f t="shared" si="3153"/>
        <v>0</v>
      </c>
      <c r="AY970" s="99" t="e">
        <f t="shared" si="3154"/>
        <v>#DIV/0!</v>
      </c>
      <c r="AZ970" s="100">
        <f t="shared" si="3155"/>
        <v>0</v>
      </c>
      <c r="BA970" s="101">
        <f t="shared" si="3156"/>
        <v>0</v>
      </c>
      <c r="BB970" s="68">
        <v>0</v>
      </c>
      <c r="BC970" s="84">
        <f t="shared" si="3030"/>
        <v>0</v>
      </c>
      <c r="BD970" s="83">
        <f t="shared" si="3031"/>
        <v>0</v>
      </c>
      <c r="BE970" s="224"/>
      <c r="BF970" s="86"/>
      <c r="BG970" s="72"/>
      <c r="BH970" s="109">
        <f t="shared" si="3157"/>
        <v>0</v>
      </c>
      <c r="BI970" s="80" t="str">
        <f t="shared" si="3033"/>
        <v/>
      </c>
      <c r="BJ970" s="239"/>
    </row>
    <row r="971" spans="1:62" ht="13">
      <c r="A971" s="90"/>
      <c r="B971" s="91"/>
      <c r="C971" s="221"/>
      <c r="D971" s="58"/>
      <c r="E971" s="58"/>
      <c r="F971" s="57"/>
      <c r="G971" s="229"/>
      <c r="H971" s="81"/>
      <c r="I971" s="80"/>
      <c r="J971" s="93">
        <f t="shared" si="3121"/>
        <v>0</v>
      </c>
      <c r="K971" s="88">
        <v>0</v>
      </c>
      <c r="L971" s="58"/>
      <c r="M971" s="58"/>
      <c r="N971" s="62">
        <f t="shared" si="3140"/>
        <v>0</v>
      </c>
      <c r="O971" s="60"/>
      <c r="P971" s="58"/>
      <c r="Q971" s="62">
        <f t="shared" si="3141"/>
        <v>0</v>
      </c>
      <c r="R971" s="60"/>
      <c r="S971" s="58"/>
      <c r="T971" s="94">
        <f t="shared" si="3142"/>
        <v>0</v>
      </c>
      <c r="U971" s="60"/>
      <c r="V971" s="58"/>
      <c r="W971" s="62">
        <f t="shared" si="3143"/>
        <v>0</v>
      </c>
      <c r="X971" s="60"/>
      <c r="Y971" s="58"/>
      <c r="Z971" s="94">
        <f t="shared" si="3144"/>
        <v>0</v>
      </c>
      <c r="AA971" s="60"/>
      <c r="AB971" s="58"/>
      <c r="AC971" s="62">
        <f t="shared" si="3145"/>
        <v>0</v>
      </c>
      <c r="AD971" s="57"/>
      <c r="AE971" s="58"/>
      <c r="AF971" s="165">
        <f t="shared" si="3146"/>
        <v>0</v>
      </c>
      <c r="AG971" s="60"/>
      <c r="AH971" s="58"/>
      <c r="AI971" s="62">
        <f t="shared" si="3147"/>
        <v>0</v>
      </c>
      <c r="AJ971" s="60"/>
      <c r="AK971" s="58"/>
      <c r="AL971" s="62">
        <f t="shared" si="3148"/>
        <v>0</v>
      </c>
      <c r="AM971" s="60"/>
      <c r="AN971" s="58"/>
      <c r="AO971" s="62">
        <f t="shared" si="3149"/>
        <v>0</v>
      </c>
      <c r="AP971" s="60"/>
      <c r="AQ971" s="58"/>
      <c r="AR971" s="62">
        <f t="shared" si="3150"/>
        <v>0</v>
      </c>
      <c r="AS971" s="60"/>
      <c r="AT971" s="58"/>
      <c r="AU971" s="62">
        <f t="shared" si="3151"/>
        <v>0</v>
      </c>
      <c r="AV971" s="96">
        <f t="shared" si="3152"/>
        <v>0</v>
      </c>
      <c r="AW971" s="83">
        <f t="shared" si="3152"/>
        <v>0</v>
      </c>
      <c r="AX971" s="98">
        <f t="shared" si="3153"/>
        <v>0</v>
      </c>
      <c r="AY971" s="99" t="e">
        <f t="shared" si="3154"/>
        <v>#DIV/0!</v>
      </c>
      <c r="AZ971" s="100">
        <f t="shared" si="3155"/>
        <v>0</v>
      </c>
      <c r="BA971" s="101">
        <f t="shared" si="3156"/>
        <v>0</v>
      </c>
      <c r="BB971" s="68">
        <v>0</v>
      </c>
      <c r="BC971" s="84">
        <f t="shared" si="3030"/>
        <v>0</v>
      </c>
      <c r="BD971" s="83">
        <f t="shared" si="3031"/>
        <v>0</v>
      </c>
      <c r="BE971" s="224"/>
      <c r="BF971" s="86"/>
      <c r="BG971" s="72"/>
      <c r="BH971" s="109">
        <f t="shared" si="3157"/>
        <v>0</v>
      </c>
      <c r="BI971" s="80" t="str">
        <f t="shared" si="3033"/>
        <v/>
      </c>
      <c r="BJ971" s="239"/>
    </row>
    <row r="972" spans="1:62" ht="13">
      <c r="A972" s="90"/>
      <c r="B972" s="91"/>
      <c r="C972" s="221"/>
      <c r="D972" s="58"/>
      <c r="E972" s="58"/>
      <c r="F972" s="57"/>
      <c r="G972" s="229"/>
      <c r="H972" s="81"/>
      <c r="I972" s="80"/>
      <c r="J972" s="93">
        <f t="shared" si="3121"/>
        <v>0</v>
      </c>
      <c r="K972" s="88">
        <v>0</v>
      </c>
      <c r="L972" s="58"/>
      <c r="M972" s="58"/>
      <c r="N972" s="62">
        <f t="shared" si="3140"/>
        <v>0</v>
      </c>
      <c r="O972" s="60"/>
      <c r="P972" s="58"/>
      <c r="Q972" s="62">
        <f t="shared" si="3141"/>
        <v>0</v>
      </c>
      <c r="R972" s="60"/>
      <c r="S972" s="58"/>
      <c r="T972" s="94">
        <f t="shared" si="3142"/>
        <v>0</v>
      </c>
      <c r="U972" s="60"/>
      <c r="V972" s="58"/>
      <c r="W972" s="62">
        <f t="shared" si="3143"/>
        <v>0</v>
      </c>
      <c r="X972" s="60"/>
      <c r="Y972" s="58"/>
      <c r="Z972" s="94">
        <f t="shared" si="3144"/>
        <v>0</v>
      </c>
      <c r="AA972" s="60"/>
      <c r="AB972" s="58"/>
      <c r="AC972" s="62">
        <f t="shared" si="3145"/>
        <v>0</v>
      </c>
      <c r="AD972" s="57"/>
      <c r="AE972" s="58"/>
      <c r="AF972" s="165">
        <f t="shared" si="3146"/>
        <v>0</v>
      </c>
      <c r="AG972" s="60"/>
      <c r="AH972" s="58"/>
      <c r="AI972" s="62">
        <f t="shared" si="3147"/>
        <v>0</v>
      </c>
      <c r="AJ972" s="60"/>
      <c r="AK972" s="58"/>
      <c r="AL972" s="62">
        <f t="shared" si="3148"/>
        <v>0</v>
      </c>
      <c r="AM972" s="60"/>
      <c r="AN972" s="58"/>
      <c r="AO972" s="62">
        <f t="shared" si="3149"/>
        <v>0</v>
      </c>
      <c r="AP972" s="60"/>
      <c r="AQ972" s="58"/>
      <c r="AR972" s="62">
        <f t="shared" si="3150"/>
        <v>0</v>
      </c>
      <c r="AS972" s="60"/>
      <c r="AT972" s="58"/>
      <c r="AU972" s="62">
        <f t="shared" si="3151"/>
        <v>0</v>
      </c>
      <c r="AV972" s="96">
        <f t="shared" si="3152"/>
        <v>0</v>
      </c>
      <c r="AW972" s="83">
        <f t="shared" si="3152"/>
        <v>0</v>
      </c>
      <c r="AX972" s="98">
        <f t="shared" si="3153"/>
        <v>0</v>
      </c>
      <c r="AY972" s="99" t="e">
        <f t="shared" si="3154"/>
        <v>#DIV/0!</v>
      </c>
      <c r="AZ972" s="100">
        <f t="shared" si="3155"/>
        <v>0</v>
      </c>
      <c r="BA972" s="101">
        <f t="shared" si="3156"/>
        <v>0</v>
      </c>
      <c r="BB972" s="68">
        <v>0</v>
      </c>
      <c r="BC972" s="84">
        <f t="shared" si="3030"/>
        <v>0</v>
      </c>
      <c r="BD972" s="83">
        <f t="shared" si="3031"/>
        <v>0</v>
      </c>
      <c r="BE972" s="224"/>
      <c r="BF972" s="86"/>
      <c r="BG972" s="72"/>
      <c r="BH972" s="109">
        <f t="shared" si="3157"/>
        <v>0</v>
      </c>
      <c r="BI972" s="80" t="str">
        <f t="shared" si="3033"/>
        <v/>
      </c>
      <c r="BJ972" s="239"/>
    </row>
    <row r="973" spans="1:62" ht="13">
      <c r="A973" s="90"/>
      <c r="B973" s="91"/>
      <c r="C973" s="221"/>
      <c r="D973" s="58"/>
      <c r="E973" s="58"/>
      <c r="F973" s="57"/>
      <c r="G973" s="229"/>
      <c r="H973" s="81"/>
      <c r="I973" s="80"/>
      <c r="J973" s="93">
        <f t="shared" si="3121"/>
        <v>0</v>
      </c>
      <c r="K973" s="80">
        <v>0</v>
      </c>
      <c r="L973" s="58"/>
      <c r="M973" s="58"/>
      <c r="N973" s="62">
        <f t="shared" si="3140"/>
        <v>0</v>
      </c>
      <c r="O973" s="60"/>
      <c r="P973" s="58"/>
      <c r="Q973" s="62">
        <f t="shared" si="3141"/>
        <v>0</v>
      </c>
      <c r="R973" s="60"/>
      <c r="S973" s="58"/>
      <c r="T973" s="94">
        <f t="shared" si="3142"/>
        <v>0</v>
      </c>
      <c r="U973" s="60"/>
      <c r="V973" s="58"/>
      <c r="W973" s="62">
        <f t="shared" si="3143"/>
        <v>0</v>
      </c>
      <c r="X973" s="60"/>
      <c r="Y973" s="58"/>
      <c r="Z973" s="94">
        <f t="shared" si="3144"/>
        <v>0</v>
      </c>
      <c r="AA973" s="60"/>
      <c r="AB973" s="58"/>
      <c r="AC973" s="62">
        <f t="shared" si="3145"/>
        <v>0</v>
      </c>
      <c r="AD973" s="57"/>
      <c r="AE973" s="58"/>
      <c r="AF973" s="165">
        <f t="shared" si="3146"/>
        <v>0</v>
      </c>
      <c r="AG973" s="60"/>
      <c r="AH973" s="58"/>
      <c r="AI973" s="62">
        <f t="shared" si="3147"/>
        <v>0</v>
      </c>
      <c r="AJ973" s="60"/>
      <c r="AK973" s="58"/>
      <c r="AL973" s="62">
        <f t="shared" si="3148"/>
        <v>0</v>
      </c>
      <c r="AM973" s="60"/>
      <c r="AN973" s="58"/>
      <c r="AO973" s="62">
        <f t="shared" si="3149"/>
        <v>0</v>
      </c>
      <c r="AP973" s="60"/>
      <c r="AQ973" s="58"/>
      <c r="AR973" s="62">
        <f t="shared" si="3150"/>
        <v>0</v>
      </c>
      <c r="AS973" s="60"/>
      <c r="AT973" s="58"/>
      <c r="AU973" s="62">
        <f t="shared" si="3151"/>
        <v>0</v>
      </c>
      <c r="AV973" s="96">
        <f t="shared" si="3152"/>
        <v>0</v>
      </c>
      <c r="AW973" s="83">
        <f t="shared" si="3152"/>
        <v>0</v>
      </c>
      <c r="AX973" s="98">
        <f t="shared" si="3153"/>
        <v>0</v>
      </c>
      <c r="AY973" s="99" t="e">
        <f t="shared" si="3154"/>
        <v>#DIV/0!</v>
      </c>
      <c r="AZ973" s="100">
        <f t="shared" si="3155"/>
        <v>0</v>
      </c>
      <c r="BA973" s="101">
        <f t="shared" si="3156"/>
        <v>0</v>
      </c>
      <c r="BB973" s="68">
        <v>0</v>
      </c>
      <c r="BC973" s="84">
        <f t="shared" si="3030"/>
        <v>0</v>
      </c>
      <c r="BD973" s="83">
        <f t="shared" si="3031"/>
        <v>0</v>
      </c>
      <c r="BE973" s="224"/>
      <c r="BF973" s="86"/>
      <c r="BG973" s="72"/>
      <c r="BH973" s="109">
        <f t="shared" si="3157"/>
        <v>0</v>
      </c>
      <c r="BI973" s="80" t="str">
        <f t="shared" si="3033"/>
        <v/>
      </c>
      <c r="BJ973" s="239"/>
    </row>
    <row r="974" spans="1:62" ht="13">
      <c r="A974" s="90"/>
      <c r="B974" s="91"/>
      <c r="C974" s="221"/>
      <c r="D974" s="58"/>
      <c r="E974" s="58"/>
      <c r="F974" s="57"/>
      <c r="G974" s="229"/>
      <c r="H974" s="81"/>
      <c r="I974" s="80"/>
      <c r="J974" s="93">
        <f t="shared" si="3121"/>
        <v>0</v>
      </c>
      <c r="K974" s="88">
        <v>0</v>
      </c>
      <c r="L974" s="58"/>
      <c r="M974" s="58"/>
      <c r="N974" s="62">
        <f t="shared" si="3140"/>
        <v>0</v>
      </c>
      <c r="O974" s="60"/>
      <c r="P974" s="58"/>
      <c r="Q974" s="62">
        <f t="shared" si="3141"/>
        <v>0</v>
      </c>
      <c r="R974" s="60"/>
      <c r="S974" s="58"/>
      <c r="T974" s="94">
        <f t="shared" si="3142"/>
        <v>0</v>
      </c>
      <c r="U974" s="60"/>
      <c r="V974" s="58"/>
      <c r="W974" s="62">
        <f t="shared" si="3143"/>
        <v>0</v>
      </c>
      <c r="X974" s="60"/>
      <c r="Y974" s="58"/>
      <c r="Z974" s="94">
        <f t="shared" si="3144"/>
        <v>0</v>
      </c>
      <c r="AA974" s="60"/>
      <c r="AB974" s="58"/>
      <c r="AC974" s="62">
        <f t="shared" si="3145"/>
        <v>0</v>
      </c>
      <c r="AD974" s="57"/>
      <c r="AE974" s="58"/>
      <c r="AF974" s="165">
        <f t="shared" si="3146"/>
        <v>0</v>
      </c>
      <c r="AG974" s="60"/>
      <c r="AH974" s="58"/>
      <c r="AI974" s="62">
        <f t="shared" si="3147"/>
        <v>0</v>
      </c>
      <c r="AJ974" s="60"/>
      <c r="AK974" s="58"/>
      <c r="AL974" s="62">
        <f t="shared" si="3148"/>
        <v>0</v>
      </c>
      <c r="AM974" s="60"/>
      <c r="AN974" s="58"/>
      <c r="AO974" s="62">
        <f t="shared" si="3149"/>
        <v>0</v>
      </c>
      <c r="AP974" s="60"/>
      <c r="AQ974" s="58"/>
      <c r="AR974" s="62">
        <f t="shared" si="3150"/>
        <v>0</v>
      </c>
      <c r="AS974" s="60"/>
      <c r="AT974" s="58"/>
      <c r="AU974" s="62">
        <f t="shared" si="3151"/>
        <v>0</v>
      </c>
      <c r="AV974" s="96">
        <f t="shared" si="3152"/>
        <v>0</v>
      </c>
      <c r="AW974" s="83">
        <f t="shared" si="3152"/>
        <v>0</v>
      </c>
      <c r="AX974" s="98">
        <f t="shared" si="3153"/>
        <v>0</v>
      </c>
      <c r="AY974" s="99" t="e">
        <f t="shared" si="3154"/>
        <v>#DIV/0!</v>
      </c>
      <c r="AZ974" s="100">
        <f t="shared" si="3155"/>
        <v>0</v>
      </c>
      <c r="BA974" s="101">
        <f t="shared" si="3156"/>
        <v>0</v>
      </c>
      <c r="BB974" s="68">
        <v>0</v>
      </c>
      <c r="BC974" s="84">
        <f t="shared" si="3030"/>
        <v>0</v>
      </c>
      <c r="BD974" s="83">
        <f t="shared" si="3031"/>
        <v>0</v>
      </c>
      <c r="BE974" s="224"/>
      <c r="BF974" s="86"/>
      <c r="BG974" s="72"/>
      <c r="BH974" s="109">
        <f t="shared" si="3157"/>
        <v>0</v>
      </c>
      <c r="BI974" s="80" t="str">
        <f t="shared" si="3033"/>
        <v/>
      </c>
      <c r="BJ974" s="239"/>
    </row>
    <row r="975" spans="1:62" ht="13">
      <c r="A975" s="90"/>
      <c r="B975" s="91"/>
      <c r="C975" s="221"/>
      <c r="D975" s="58"/>
      <c r="E975" s="58"/>
      <c r="F975" s="57"/>
      <c r="G975" s="229"/>
      <c r="H975" s="81"/>
      <c r="I975" s="80"/>
      <c r="J975" s="93">
        <f t="shared" si="3121"/>
        <v>0</v>
      </c>
      <c r="K975" s="88">
        <v>0</v>
      </c>
      <c r="L975" s="58"/>
      <c r="M975" s="58"/>
      <c r="N975" s="62">
        <f t="shared" si="3140"/>
        <v>0</v>
      </c>
      <c r="O975" s="60"/>
      <c r="P975" s="58"/>
      <c r="Q975" s="62">
        <f t="shared" si="3141"/>
        <v>0</v>
      </c>
      <c r="R975" s="60"/>
      <c r="S975" s="58"/>
      <c r="T975" s="94">
        <f t="shared" si="3142"/>
        <v>0</v>
      </c>
      <c r="U975" s="60"/>
      <c r="V975" s="58"/>
      <c r="W975" s="62">
        <f t="shared" si="3143"/>
        <v>0</v>
      </c>
      <c r="X975" s="60"/>
      <c r="Y975" s="58"/>
      <c r="Z975" s="94">
        <f t="shared" si="3144"/>
        <v>0</v>
      </c>
      <c r="AA975" s="60"/>
      <c r="AB975" s="58"/>
      <c r="AC975" s="62">
        <f t="shared" si="3145"/>
        <v>0</v>
      </c>
      <c r="AD975" s="57"/>
      <c r="AE975" s="58"/>
      <c r="AF975" s="165">
        <f t="shared" si="3146"/>
        <v>0</v>
      </c>
      <c r="AG975" s="60"/>
      <c r="AH975" s="58"/>
      <c r="AI975" s="62">
        <f t="shared" si="3147"/>
        <v>0</v>
      </c>
      <c r="AJ975" s="60"/>
      <c r="AK975" s="58"/>
      <c r="AL975" s="62">
        <f t="shared" si="3148"/>
        <v>0</v>
      </c>
      <c r="AM975" s="60"/>
      <c r="AN975" s="58"/>
      <c r="AO975" s="62">
        <f t="shared" si="3149"/>
        <v>0</v>
      </c>
      <c r="AP975" s="60"/>
      <c r="AQ975" s="58"/>
      <c r="AR975" s="62">
        <f t="shared" si="3150"/>
        <v>0</v>
      </c>
      <c r="AS975" s="60"/>
      <c r="AT975" s="58"/>
      <c r="AU975" s="62">
        <f t="shared" si="3151"/>
        <v>0</v>
      </c>
      <c r="AV975" s="96">
        <f t="shared" si="3152"/>
        <v>0</v>
      </c>
      <c r="AW975" s="83">
        <f t="shared" si="3152"/>
        <v>0</v>
      </c>
      <c r="AX975" s="98">
        <f t="shared" si="3153"/>
        <v>0</v>
      </c>
      <c r="AY975" s="99" t="e">
        <f t="shared" si="3154"/>
        <v>#DIV/0!</v>
      </c>
      <c r="AZ975" s="100">
        <f t="shared" si="3155"/>
        <v>0</v>
      </c>
      <c r="BA975" s="101">
        <f t="shared" si="3156"/>
        <v>0</v>
      </c>
      <c r="BB975" s="68">
        <v>0</v>
      </c>
      <c r="BC975" s="84">
        <f t="shared" si="3030"/>
        <v>0</v>
      </c>
      <c r="BD975" s="83">
        <f t="shared" si="3031"/>
        <v>0</v>
      </c>
      <c r="BE975" s="224"/>
      <c r="BF975" s="86"/>
      <c r="BG975" s="72"/>
      <c r="BH975" s="109">
        <f t="shared" si="3157"/>
        <v>0</v>
      </c>
      <c r="BI975" s="80" t="str">
        <f t="shared" si="3033"/>
        <v/>
      </c>
      <c r="BJ975" s="239"/>
    </row>
    <row r="976" spans="1:62" ht="13">
      <c r="A976" s="90"/>
      <c r="B976" s="91"/>
      <c r="C976" s="221"/>
      <c r="D976" s="58"/>
      <c r="E976" s="58"/>
      <c r="F976" s="57"/>
      <c r="G976" s="229"/>
      <c r="H976" s="81"/>
      <c r="I976" s="80"/>
      <c r="J976" s="93">
        <f t="shared" si="3121"/>
        <v>0</v>
      </c>
      <c r="K976" s="80">
        <v>0</v>
      </c>
      <c r="L976" s="58"/>
      <c r="M976" s="58"/>
      <c r="N976" s="62">
        <f t="shared" si="3140"/>
        <v>0</v>
      </c>
      <c r="O976" s="60"/>
      <c r="P976" s="58"/>
      <c r="Q976" s="62">
        <f t="shared" si="3141"/>
        <v>0</v>
      </c>
      <c r="R976" s="60"/>
      <c r="S976" s="58"/>
      <c r="T976" s="94">
        <f t="shared" si="3142"/>
        <v>0</v>
      </c>
      <c r="U976" s="60"/>
      <c r="V976" s="58"/>
      <c r="W976" s="62">
        <f t="shared" si="3143"/>
        <v>0</v>
      </c>
      <c r="X976" s="60"/>
      <c r="Y976" s="58"/>
      <c r="Z976" s="94">
        <f t="shared" si="3144"/>
        <v>0</v>
      </c>
      <c r="AA976" s="60"/>
      <c r="AB976" s="58"/>
      <c r="AC976" s="62">
        <f t="shared" si="3145"/>
        <v>0</v>
      </c>
      <c r="AD976" s="57"/>
      <c r="AE976" s="58"/>
      <c r="AF976" s="165">
        <f t="shared" si="3146"/>
        <v>0</v>
      </c>
      <c r="AG976" s="60"/>
      <c r="AH976" s="58"/>
      <c r="AI976" s="62">
        <f t="shared" si="3147"/>
        <v>0</v>
      </c>
      <c r="AJ976" s="60"/>
      <c r="AK976" s="58"/>
      <c r="AL976" s="62">
        <f t="shared" si="3148"/>
        <v>0</v>
      </c>
      <c r="AM976" s="60"/>
      <c r="AN976" s="58"/>
      <c r="AO976" s="62">
        <f t="shared" si="3149"/>
        <v>0</v>
      </c>
      <c r="AP976" s="60"/>
      <c r="AQ976" s="58"/>
      <c r="AR976" s="62">
        <f t="shared" si="3150"/>
        <v>0</v>
      </c>
      <c r="AS976" s="60"/>
      <c r="AT976" s="58"/>
      <c r="AU976" s="62">
        <f t="shared" si="3151"/>
        <v>0</v>
      </c>
      <c r="AV976" s="96">
        <f t="shared" si="3152"/>
        <v>0</v>
      </c>
      <c r="AW976" s="83">
        <f t="shared" si="3152"/>
        <v>0</v>
      </c>
      <c r="AX976" s="98">
        <f t="shared" si="3153"/>
        <v>0</v>
      </c>
      <c r="AY976" s="99" t="e">
        <f t="shared" si="3154"/>
        <v>#DIV/0!</v>
      </c>
      <c r="AZ976" s="100">
        <f t="shared" si="3155"/>
        <v>0</v>
      </c>
      <c r="BA976" s="101">
        <f t="shared" si="3156"/>
        <v>0</v>
      </c>
      <c r="BB976" s="68">
        <v>0</v>
      </c>
      <c r="BC976" s="84">
        <f t="shared" ref="BC976:BC994" si="3158">J976</f>
        <v>0</v>
      </c>
      <c r="BD976" s="83">
        <f t="shared" si="3031"/>
        <v>0</v>
      </c>
      <c r="BE976" s="224"/>
      <c r="BF976" s="86"/>
      <c r="BG976" s="72"/>
      <c r="BH976" s="109">
        <f t="shared" si="3157"/>
        <v>0</v>
      </c>
      <c r="BI976" s="80" t="str">
        <f t="shared" si="3033"/>
        <v/>
      </c>
      <c r="BJ976" s="239"/>
    </row>
    <row r="977" spans="1:62" ht="13">
      <c r="A977" s="90"/>
      <c r="B977" s="91"/>
      <c r="C977" s="221"/>
      <c r="D977" s="58"/>
      <c r="E977" s="58"/>
      <c r="F977" s="57"/>
      <c r="G977" s="229"/>
      <c r="H977" s="81"/>
      <c r="I977" s="80"/>
      <c r="J977" s="93">
        <f t="shared" si="3121"/>
        <v>0</v>
      </c>
      <c r="K977" s="88">
        <v>0</v>
      </c>
      <c r="L977" s="58"/>
      <c r="M977" s="58"/>
      <c r="N977" s="62">
        <f t="shared" si="3140"/>
        <v>0</v>
      </c>
      <c r="O977" s="60"/>
      <c r="P977" s="58"/>
      <c r="Q977" s="62">
        <f t="shared" si="3141"/>
        <v>0</v>
      </c>
      <c r="R977" s="60"/>
      <c r="S977" s="58"/>
      <c r="T977" s="94">
        <f t="shared" si="3142"/>
        <v>0</v>
      </c>
      <c r="U977" s="60"/>
      <c r="V977" s="58"/>
      <c r="W977" s="62">
        <f t="shared" si="3143"/>
        <v>0</v>
      </c>
      <c r="X977" s="60"/>
      <c r="Y977" s="58"/>
      <c r="Z977" s="94">
        <f t="shared" si="3144"/>
        <v>0</v>
      </c>
      <c r="AA977" s="60"/>
      <c r="AB977" s="58"/>
      <c r="AC977" s="62">
        <f t="shared" si="3145"/>
        <v>0</v>
      </c>
      <c r="AD977" s="57"/>
      <c r="AE977" s="58"/>
      <c r="AF977" s="165">
        <f t="shared" si="3146"/>
        <v>0</v>
      </c>
      <c r="AG977" s="60"/>
      <c r="AH977" s="58"/>
      <c r="AI977" s="62">
        <f t="shared" si="3147"/>
        <v>0</v>
      </c>
      <c r="AJ977" s="60"/>
      <c r="AK977" s="58"/>
      <c r="AL977" s="62">
        <f t="shared" si="3148"/>
        <v>0</v>
      </c>
      <c r="AM977" s="60"/>
      <c r="AN977" s="58"/>
      <c r="AO977" s="62">
        <f t="shared" si="3149"/>
        <v>0</v>
      </c>
      <c r="AP977" s="60"/>
      <c r="AQ977" s="58"/>
      <c r="AR977" s="62">
        <f t="shared" si="3150"/>
        <v>0</v>
      </c>
      <c r="AS977" s="60"/>
      <c r="AT977" s="58"/>
      <c r="AU977" s="62">
        <f t="shared" si="3151"/>
        <v>0</v>
      </c>
      <c r="AV977" s="96">
        <f t="shared" si="3152"/>
        <v>0</v>
      </c>
      <c r="AW977" s="83">
        <f t="shared" si="3152"/>
        <v>0</v>
      </c>
      <c r="AX977" s="98">
        <f t="shared" si="3153"/>
        <v>0</v>
      </c>
      <c r="AY977" s="99" t="e">
        <f t="shared" si="3154"/>
        <v>#DIV/0!</v>
      </c>
      <c r="AZ977" s="100">
        <f t="shared" si="3155"/>
        <v>0</v>
      </c>
      <c r="BA977" s="101">
        <f t="shared" si="3156"/>
        <v>0</v>
      </c>
      <c r="BB977" s="68">
        <v>0</v>
      </c>
      <c r="BC977" s="84">
        <f t="shared" si="3158"/>
        <v>0</v>
      </c>
      <c r="BD977" s="83">
        <f t="shared" si="3031"/>
        <v>0</v>
      </c>
      <c r="BE977" s="224"/>
      <c r="BF977" s="86"/>
      <c r="BG977" s="72"/>
      <c r="BH977" s="109">
        <f t="shared" si="3157"/>
        <v>0</v>
      </c>
      <c r="BI977" s="80" t="str">
        <f t="shared" si="3033"/>
        <v/>
      </c>
      <c r="BJ977" s="239"/>
    </row>
    <row r="978" spans="1:62" ht="13">
      <c r="A978" s="90"/>
      <c r="B978" s="91"/>
      <c r="C978" s="221"/>
      <c r="D978" s="58"/>
      <c r="E978" s="58"/>
      <c r="F978" s="57"/>
      <c r="G978" s="229"/>
      <c r="H978" s="81"/>
      <c r="I978" s="80"/>
      <c r="J978" s="93">
        <f t="shared" si="3121"/>
        <v>0</v>
      </c>
      <c r="K978" s="88">
        <v>0</v>
      </c>
      <c r="L978" s="58"/>
      <c r="M978" s="58"/>
      <c r="N978" s="62">
        <f t="shared" si="3140"/>
        <v>0</v>
      </c>
      <c r="O978" s="60"/>
      <c r="P978" s="58"/>
      <c r="Q978" s="62">
        <f t="shared" si="3141"/>
        <v>0</v>
      </c>
      <c r="R978" s="60"/>
      <c r="S978" s="58"/>
      <c r="T978" s="94">
        <f t="shared" si="3142"/>
        <v>0</v>
      </c>
      <c r="U978" s="60"/>
      <c r="V978" s="58"/>
      <c r="W978" s="62">
        <f t="shared" si="3143"/>
        <v>0</v>
      </c>
      <c r="X978" s="60"/>
      <c r="Y978" s="58"/>
      <c r="Z978" s="94">
        <f t="shared" si="3144"/>
        <v>0</v>
      </c>
      <c r="AA978" s="60"/>
      <c r="AB978" s="58"/>
      <c r="AC978" s="62">
        <f t="shared" si="3145"/>
        <v>0</v>
      </c>
      <c r="AD978" s="57"/>
      <c r="AE978" s="58"/>
      <c r="AF978" s="165">
        <f t="shared" si="3146"/>
        <v>0</v>
      </c>
      <c r="AG978" s="60"/>
      <c r="AH978" s="58"/>
      <c r="AI978" s="62">
        <f t="shared" si="3147"/>
        <v>0</v>
      </c>
      <c r="AJ978" s="60"/>
      <c r="AK978" s="58"/>
      <c r="AL978" s="62">
        <f t="shared" si="3148"/>
        <v>0</v>
      </c>
      <c r="AM978" s="60"/>
      <c r="AN978" s="58"/>
      <c r="AO978" s="62">
        <f t="shared" si="3149"/>
        <v>0</v>
      </c>
      <c r="AP978" s="60"/>
      <c r="AQ978" s="58"/>
      <c r="AR978" s="62">
        <f t="shared" si="3150"/>
        <v>0</v>
      </c>
      <c r="AS978" s="60"/>
      <c r="AT978" s="58"/>
      <c r="AU978" s="62">
        <f t="shared" si="3151"/>
        <v>0</v>
      </c>
      <c r="AV978" s="96">
        <f t="shared" si="3152"/>
        <v>0</v>
      </c>
      <c r="AW978" s="83">
        <f t="shared" si="3152"/>
        <v>0</v>
      </c>
      <c r="AX978" s="98">
        <f t="shared" si="3153"/>
        <v>0</v>
      </c>
      <c r="AY978" s="99" t="e">
        <f t="shared" si="3154"/>
        <v>#DIV/0!</v>
      </c>
      <c r="AZ978" s="100">
        <f t="shared" si="3155"/>
        <v>0</v>
      </c>
      <c r="BA978" s="101">
        <f t="shared" si="3156"/>
        <v>0</v>
      </c>
      <c r="BB978" s="68">
        <v>0</v>
      </c>
      <c r="BC978" s="84">
        <f t="shared" si="3158"/>
        <v>0</v>
      </c>
      <c r="BD978" s="83">
        <f t="shared" si="3031"/>
        <v>0</v>
      </c>
      <c r="BE978" s="224"/>
      <c r="BF978" s="86"/>
      <c r="BG978" s="72"/>
      <c r="BH978" s="109">
        <f t="shared" si="3157"/>
        <v>0</v>
      </c>
      <c r="BI978" s="80" t="str">
        <f t="shared" si="3033"/>
        <v/>
      </c>
      <c r="BJ978" s="239"/>
    </row>
    <row r="979" spans="1:62" ht="13">
      <c r="A979" s="90"/>
      <c r="B979" s="91"/>
      <c r="C979" s="221"/>
      <c r="D979" s="58"/>
      <c r="E979" s="58"/>
      <c r="F979" s="57"/>
      <c r="G979" s="229"/>
      <c r="H979" s="81"/>
      <c r="I979" s="80"/>
      <c r="J979" s="93">
        <f t="shared" si="3121"/>
        <v>0</v>
      </c>
      <c r="K979" s="80">
        <v>0</v>
      </c>
      <c r="L979" s="58"/>
      <c r="M979" s="58"/>
      <c r="N979" s="62">
        <f t="shared" si="3140"/>
        <v>0</v>
      </c>
      <c r="O979" s="60"/>
      <c r="P979" s="58"/>
      <c r="Q979" s="62">
        <f t="shared" si="3141"/>
        <v>0</v>
      </c>
      <c r="R979" s="60"/>
      <c r="S979" s="58"/>
      <c r="T979" s="94">
        <f t="shared" si="3142"/>
        <v>0</v>
      </c>
      <c r="U979" s="60"/>
      <c r="V979" s="58"/>
      <c r="W979" s="62">
        <f t="shared" si="3143"/>
        <v>0</v>
      </c>
      <c r="X979" s="60"/>
      <c r="Y979" s="58"/>
      <c r="Z979" s="94">
        <f t="shared" si="3144"/>
        <v>0</v>
      </c>
      <c r="AA979" s="60"/>
      <c r="AB979" s="58"/>
      <c r="AC979" s="62">
        <f t="shared" si="3145"/>
        <v>0</v>
      </c>
      <c r="AD979" s="57"/>
      <c r="AE979" s="58"/>
      <c r="AF979" s="165">
        <f t="shared" si="3146"/>
        <v>0</v>
      </c>
      <c r="AG979" s="60"/>
      <c r="AH979" s="58"/>
      <c r="AI979" s="62">
        <f t="shared" si="3147"/>
        <v>0</v>
      </c>
      <c r="AJ979" s="60"/>
      <c r="AK979" s="58"/>
      <c r="AL979" s="62">
        <f t="shared" si="3148"/>
        <v>0</v>
      </c>
      <c r="AM979" s="60"/>
      <c r="AN979" s="58"/>
      <c r="AO979" s="62">
        <f t="shared" si="3149"/>
        <v>0</v>
      </c>
      <c r="AP979" s="60"/>
      <c r="AQ979" s="58"/>
      <c r="AR979" s="62">
        <f t="shared" si="3150"/>
        <v>0</v>
      </c>
      <c r="AS979" s="60"/>
      <c r="AT979" s="58"/>
      <c r="AU979" s="62">
        <f t="shared" si="3151"/>
        <v>0</v>
      </c>
      <c r="AV979" s="96">
        <f t="shared" si="3152"/>
        <v>0</v>
      </c>
      <c r="AW979" s="83">
        <f t="shared" si="3152"/>
        <v>0</v>
      </c>
      <c r="AX979" s="98">
        <f t="shared" si="3153"/>
        <v>0</v>
      </c>
      <c r="AY979" s="99" t="e">
        <f t="shared" si="3154"/>
        <v>#DIV/0!</v>
      </c>
      <c r="AZ979" s="100">
        <f t="shared" si="3155"/>
        <v>0</v>
      </c>
      <c r="BA979" s="101">
        <f t="shared" si="3156"/>
        <v>0</v>
      </c>
      <c r="BB979" s="68">
        <v>0</v>
      </c>
      <c r="BC979" s="84">
        <f t="shared" si="3158"/>
        <v>0</v>
      </c>
      <c r="BD979" s="83">
        <f t="shared" si="3031"/>
        <v>0</v>
      </c>
      <c r="BE979" s="224"/>
      <c r="BF979" s="86"/>
      <c r="BG979" s="72"/>
      <c r="BH979" s="109">
        <f t="shared" si="3157"/>
        <v>0</v>
      </c>
      <c r="BI979" s="80" t="str">
        <f t="shared" si="3033"/>
        <v/>
      </c>
      <c r="BJ979" s="239"/>
    </row>
    <row r="980" spans="1:62" ht="13">
      <c r="A980" s="90"/>
      <c r="B980" s="91"/>
      <c r="C980" s="221"/>
      <c r="D980" s="58"/>
      <c r="E980" s="58"/>
      <c r="F980" s="57"/>
      <c r="G980" s="229"/>
      <c r="H980" s="81"/>
      <c r="I980" s="80"/>
      <c r="J980" s="93">
        <f t="shared" si="3121"/>
        <v>0</v>
      </c>
      <c r="K980" s="88">
        <v>0</v>
      </c>
      <c r="L980" s="58"/>
      <c r="M980" s="58"/>
      <c r="N980" s="62">
        <f t="shared" si="3140"/>
        <v>0</v>
      </c>
      <c r="O980" s="60"/>
      <c r="P980" s="58"/>
      <c r="Q980" s="62">
        <f t="shared" si="3141"/>
        <v>0</v>
      </c>
      <c r="R980" s="60"/>
      <c r="S980" s="58"/>
      <c r="T980" s="94">
        <f t="shared" si="3142"/>
        <v>0</v>
      </c>
      <c r="U980" s="60"/>
      <c r="V980" s="58"/>
      <c r="W980" s="62">
        <f t="shared" si="3143"/>
        <v>0</v>
      </c>
      <c r="X980" s="60"/>
      <c r="Y980" s="58"/>
      <c r="Z980" s="94">
        <f t="shared" si="3144"/>
        <v>0</v>
      </c>
      <c r="AA980" s="60"/>
      <c r="AB980" s="58"/>
      <c r="AC980" s="62">
        <f t="shared" si="3145"/>
        <v>0</v>
      </c>
      <c r="AD980" s="57"/>
      <c r="AE980" s="58"/>
      <c r="AF980" s="165">
        <f t="shared" si="3146"/>
        <v>0</v>
      </c>
      <c r="AG980" s="60"/>
      <c r="AH980" s="58"/>
      <c r="AI980" s="62">
        <f t="shared" si="3147"/>
        <v>0</v>
      </c>
      <c r="AJ980" s="60"/>
      <c r="AK980" s="58"/>
      <c r="AL980" s="62">
        <f t="shared" si="3148"/>
        <v>0</v>
      </c>
      <c r="AM980" s="60"/>
      <c r="AN980" s="58"/>
      <c r="AO980" s="62">
        <f t="shared" si="3149"/>
        <v>0</v>
      </c>
      <c r="AP980" s="60"/>
      <c r="AQ980" s="58"/>
      <c r="AR980" s="62">
        <f t="shared" si="3150"/>
        <v>0</v>
      </c>
      <c r="AS980" s="60"/>
      <c r="AT980" s="58"/>
      <c r="AU980" s="62">
        <f t="shared" si="3151"/>
        <v>0</v>
      </c>
      <c r="AV980" s="96">
        <f t="shared" si="3152"/>
        <v>0</v>
      </c>
      <c r="AW980" s="83">
        <f t="shared" si="3152"/>
        <v>0</v>
      </c>
      <c r="AX980" s="98">
        <f t="shared" si="3153"/>
        <v>0</v>
      </c>
      <c r="AY980" s="99" t="e">
        <f t="shared" si="3154"/>
        <v>#DIV/0!</v>
      </c>
      <c r="AZ980" s="100">
        <f t="shared" si="3155"/>
        <v>0</v>
      </c>
      <c r="BA980" s="101">
        <f t="shared" si="3156"/>
        <v>0</v>
      </c>
      <c r="BB980" s="68">
        <v>0</v>
      </c>
      <c r="BC980" s="84">
        <f t="shared" si="3158"/>
        <v>0</v>
      </c>
      <c r="BD980" s="83">
        <f t="shared" ref="BD980:BD994" si="3159">SUM(BC980-BB980)</f>
        <v>0</v>
      </c>
      <c r="BE980" s="224"/>
      <c r="BF980" s="86"/>
      <c r="BG980" s="72"/>
      <c r="BH980" s="109">
        <f t="shared" si="3157"/>
        <v>0</v>
      </c>
      <c r="BI980" s="80" t="str">
        <f t="shared" ref="BI980:BI994" si="3160">IF(AND(J980&gt;0,BH980&gt;365),"Dead Stock","")</f>
        <v/>
      </c>
      <c r="BJ980" s="239"/>
    </row>
    <row r="981" spans="1:62" ht="13">
      <c r="A981" s="90"/>
      <c r="B981" s="91"/>
      <c r="C981" s="221"/>
      <c r="D981" s="58"/>
      <c r="E981" s="58"/>
      <c r="F981" s="57"/>
      <c r="G981" s="229"/>
      <c r="H981" s="81"/>
      <c r="I981" s="80"/>
      <c r="J981" s="93">
        <f t="shared" si="3121"/>
        <v>0</v>
      </c>
      <c r="K981" s="88">
        <v>0</v>
      </c>
      <c r="L981" s="58"/>
      <c r="M981" s="58"/>
      <c r="N981" s="62">
        <f t="shared" si="3140"/>
        <v>0</v>
      </c>
      <c r="O981" s="60"/>
      <c r="P981" s="58"/>
      <c r="Q981" s="62">
        <f t="shared" si="3141"/>
        <v>0</v>
      </c>
      <c r="R981" s="60"/>
      <c r="S981" s="58"/>
      <c r="T981" s="94">
        <f t="shared" si="3142"/>
        <v>0</v>
      </c>
      <c r="U981" s="60"/>
      <c r="V981" s="58"/>
      <c r="W981" s="62">
        <f t="shared" si="3143"/>
        <v>0</v>
      </c>
      <c r="X981" s="60"/>
      <c r="Y981" s="58"/>
      <c r="Z981" s="94">
        <f t="shared" si="3144"/>
        <v>0</v>
      </c>
      <c r="AA981" s="60"/>
      <c r="AB981" s="58"/>
      <c r="AC981" s="62">
        <f t="shared" si="3145"/>
        <v>0</v>
      </c>
      <c r="AD981" s="57"/>
      <c r="AE981" s="58"/>
      <c r="AF981" s="165">
        <f t="shared" si="3146"/>
        <v>0</v>
      </c>
      <c r="AG981" s="60"/>
      <c r="AH981" s="58"/>
      <c r="AI981" s="62">
        <f t="shared" si="3147"/>
        <v>0</v>
      </c>
      <c r="AJ981" s="60"/>
      <c r="AK981" s="58"/>
      <c r="AL981" s="62">
        <f t="shared" si="3148"/>
        <v>0</v>
      </c>
      <c r="AM981" s="60"/>
      <c r="AN981" s="58"/>
      <c r="AO981" s="62">
        <f t="shared" si="3149"/>
        <v>0</v>
      </c>
      <c r="AP981" s="60"/>
      <c r="AQ981" s="58"/>
      <c r="AR981" s="62">
        <f t="shared" si="3150"/>
        <v>0</v>
      </c>
      <c r="AS981" s="60"/>
      <c r="AT981" s="58"/>
      <c r="AU981" s="62">
        <f t="shared" si="3151"/>
        <v>0</v>
      </c>
      <c r="AV981" s="96">
        <f t="shared" si="3152"/>
        <v>0</v>
      </c>
      <c r="AW981" s="83">
        <f t="shared" si="3152"/>
        <v>0</v>
      </c>
      <c r="AX981" s="98">
        <f t="shared" si="3153"/>
        <v>0</v>
      </c>
      <c r="AY981" s="99" t="e">
        <f t="shared" si="3154"/>
        <v>#DIV/0!</v>
      </c>
      <c r="AZ981" s="100">
        <f t="shared" si="3155"/>
        <v>0</v>
      </c>
      <c r="BA981" s="101">
        <f t="shared" si="3156"/>
        <v>0</v>
      </c>
      <c r="BB981" s="68">
        <v>0</v>
      </c>
      <c r="BC981" s="84">
        <f t="shared" si="3158"/>
        <v>0</v>
      </c>
      <c r="BD981" s="83">
        <f t="shared" si="3159"/>
        <v>0</v>
      </c>
      <c r="BE981" s="224"/>
      <c r="BF981" s="86"/>
      <c r="BG981" s="72"/>
      <c r="BH981" s="109">
        <f t="shared" si="3157"/>
        <v>0</v>
      </c>
      <c r="BI981" s="80" t="str">
        <f t="shared" si="3160"/>
        <v/>
      </c>
      <c r="BJ981" s="239"/>
    </row>
    <row r="982" spans="1:62" ht="13">
      <c r="A982" s="90"/>
      <c r="B982" s="91"/>
      <c r="C982" s="221"/>
      <c r="D982" s="58"/>
      <c r="E982" s="58"/>
      <c r="F982" s="57"/>
      <c r="G982" s="229"/>
      <c r="H982" s="81"/>
      <c r="I982" s="80"/>
      <c r="J982" s="93">
        <f t="shared" si="3121"/>
        <v>0</v>
      </c>
      <c r="K982" s="80">
        <v>0</v>
      </c>
      <c r="L982" s="58"/>
      <c r="M982" s="58"/>
      <c r="N982" s="62">
        <f t="shared" si="3140"/>
        <v>0</v>
      </c>
      <c r="O982" s="60"/>
      <c r="P982" s="58"/>
      <c r="Q982" s="62">
        <f t="shared" si="3141"/>
        <v>0</v>
      </c>
      <c r="R982" s="60"/>
      <c r="S982" s="58"/>
      <c r="T982" s="94">
        <f t="shared" si="3142"/>
        <v>0</v>
      </c>
      <c r="U982" s="60"/>
      <c r="V982" s="58"/>
      <c r="W982" s="62">
        <f t="shared" si="3143"/>
        <v>0</v>
      </c>
      <c r="X982" s="60"/>
      <c r="Y982" s="58"/>
      <c r="Z982" s="94">
        <f t="shared" si="3144"/>
        <v>0</v>
      </c>
      <c r="AA982" s="60"/>
      <c r="AB982" s="58"/>
      <c r="AC982" s="62">
        <f t="shared" si="3145"/>
        <v>0</v>
      </c>
      <c r="AD982" s="57"/>
      <c r="AE982" s="58"/>
      <c r="AF982" s="165">
        <f t="shared" si="3146"/>
        <v>0</v>
      </c>
      <c r="AG982" s="60"/>
      <c r="AH982" s="58"/>
      <c r="AI982" s="62">
        <f t="shared" si="3147"/>
        <v>0</v>
      </c>
      <c r="AJ982" s="60"/>
      <c r="AK982" s="58"/>
      <c r="AL982" s="62">
        <f t="shared" si="3148"/>
        <v>0</v>
      </c>
      <c r="AM982" s="60"/>
      <c r="AN982" s="58"/>
      <c r="AO982" s="62">
        <f t="shared" si="3149"/>
        <v>0</v>
      </c>
      <c r="AP982" s="60"/>
      <c r="AQ982" s="58"/>
      <c r="AR982" s="62">
        <f t="shared" si="3150"/>
        <v>0</v>
      </c>
      <c r="AS982" s="60"/>
      <c r="AT982" s="58"/>
      <c r="AU982" s="62">
        <f t="shared" si="3151"/>
        <v>0</v>
      </c>
      <c r="AV982" s="96">
        <f t="shared" si="3152"/>
        <v>0</v>
      </c>
      <c r="AW982" s="83">
        <f t="shared" si="3152"/>
        <v>0</v>
      </c>
      <c r="AX982" s="98">
        <f t="shared" si="3153"/>
        <v>0</v>
      </c>
      <c r="AY982" s="99" t="e">
        <f t="shared" si="3154"/>
        <v>#DIV/0!</v>
      </c>
      <c r="AZ982" s="100">
        <f t="shared" si="3155"/>
        <v>0</v>
      </c>
      <c r="BA982" s="101">
        <f t="shared" si="3156"/>
        <v>0</v>
      </c>
      <c r="BB982" s="68">
        <v>0</v>
      </c>
      <c r="BC982" s="84">
        <f t="shared" si="3158"/>
        <v>0</v>
      </c>
      <c r="BD982" s="83">
        <f t="shared" si="3159"/>
        <v>0</v>
      </c>
      <c r="BE982" s="224"/>
      <c r="BF982" s="86"/>
      <c r="BG982" s="72"/>
      <c r="BH982" s="109">
        <f t="shared" si="3157"/>
        <v>0</v>
      </c>
      <c r="BI982" s="80" t="str">
        <f t="shared" si="3160"/>
        <v/>
      </c>
      <c r="BJ982" s="239"/>
    </row>
    <row r="983" spans="1:62" ht="13">
      <c r="A983" s="90"/>
      <c r="B983" s="91"/>
      <c r="C983" s="221"/>
      <c r="D983" s="58"/>
      <c r="E983" s="58"/>
      <c r="F983" s="57"/>
      <c r="G983" s="229"/>
      <c r="H983" s="81"/>
      <c r="I983" s="80"/>
      <c r="J983" s="93">
        <f t="shared" si="3121"/>
        <v>0</v>
      </c>
      <c r="K983" s="88">
        <v>0</v>
      </c>
      <c r="L983" s="58"/>
      <c r="M983" s="58"/>
      <c r="N983" s="62">
        <f t="shared" si="3140"/>
        <v>0</v>
      </c>
      <c r="O983" s="60"/>
      <c r="P983" s="58"/>
      <c r="Q983" s="62">
        <f t="shared" si="3141"/>
        <v>0</v>
      </c>
      <c r="R983" s="60"/>
      <c r="S983" s="58"/>
      <c r="T983" s="94">
        <f t="shared" si="3142"/>
        <v>0</v>
      </c>
      <c r="U983" s="60"/>
      <c r="V983" s="58"/>
      <c r="W983" s="62">
        <f t="shared" si="3143"/>
        <v>0</v>
      </c>
      <c r="X983" s="60"/>
      <c r="Y983" s="58"/>
      <c r="Z983" s="94">
        <f t="shared" si="3144"/>
        <v>0</v>
      </c>
      <c r="AA983" s="60"/>
      <c r="AB983" s="58"/>
      <c r="AC983" s="62">
        <f t="shared" si="3145"/>
        <v>0</v>
      </c>
      <c r="AD983" s="57"/>
      <c r="AE983" s="58"/>
      <c r="AF983" s="165">
        <f t="shared" si="3146"/>
        <v>0</v>
      </c>
      <c r="AG983" s="60"/>
      <c r="AH983" s="58"/>
      <c r="AI983" s="62">
        <f t="shared" si="3147"/>
        <v>0</v>
      </c>
      <c r="AJ983" s="60"/>
      <c r="AK983" s="58"/>
      <c r="AL983" s="62">
        <f t="shared" si="3148"/>
        <v>0</v>
      </c>
      <c r="AM983" s="60"/>
      <c r="AN983" s="58"/>
      <c r="AO983" s="62">
        <f t="shared" si="3149"/>
        <v>0</v>
      </c>
      <c r="AP983" s="60"/>
      <c r="AQ983" s="58"/>
      <c r="AR983" s="62">
        <f t="shared" si="3150"/>
        <v>0</v>
      </c>
      <c r="AS983" s="60"/>
      <c r="AT983" s="58"/>
      <c r="AU983" s="62">
        <f t="shared" si="3151"/>
        <v>0</v>
      </c>
      <c r="AV983" s="96">
        <f t="shared" si="3152"/>
        <v>0</v>
      </c>
      <c r="AW983" s="83">
        <f t="shared" si="3152"/>
        <v>0</v>
      </c>
      <c r="AX983" s="98">
        <f t="shared" si="3153"/>
        <v>0</v>
      </c>
      <c r="AY983" s="99" t="e">
        <f t="shared" si="3154"/>
        <v>#DIV/0!</v>
      </c>
      <c r="AZ983" s="100">
        <f t="shared" si="3155"/>
        <v>0</v>
      </c>
      <c r="BA983" s="101">
        <f t="shared" si="3156"/>
        <v>0</v>
      </c>
      <c r="BB983" s="68">
        <v>0</v>
      </c>
      <c r="BC983" s="84">
        <f t="shared" si="3158"/>
        <v>0</v>
      </c>
      <c r="BD983" s="83">
        <f t="shared" si="3159"/>
        <v>0</v>
      </c>
      <c r="BE983" s="224"/>
      <c r="BF983" s="86"/>
      <c r="BG983" s="72"/>
      <c r="BH983" s="109">
        <f t="shared" si="3157"/>
        <v>0</v>
      </c>
      <c r="BI983" s="80" t="str">
        <f t="shared" si="3160"/>
        <v/>
      </c>
      <c r="BJ983" s="239"/>
    </row>
    <row r="984" spans="1:62" ht="13">
      <c r="A984" s="90"/>
      <c r="B984" s="91"/>
      <c r="C984" s="221"/>
      <c r="D984" s="58"/>
      <c r="E984" s="58"/>
      <c r="F984" s="57"/>
      <c r="G984" s="229"/>
      <c r="H984" s="81"/>
      <c r="I984" s="80"/>
      <c r="J984" s="93">
        <f t="shared" si="3121"/>
        <v>0</v>
      </c>
      <c r="K984" s="88">
        <v>0</v>
      </c>
      <c r="L984" s="58"/>
      <c r="M984" s="58"/>
      <c r="N984" s="62">
        <f t="shared" si="3140"/>
        <v>0</v>
      </c>
      <c r="O984" s="60"/>
      <c r="P984" s="58"/>
      <c r="Q984" s="62">
        <f t="shared" si="3141"/>
        <v>0</v>
      </c>
      <c r="R984" s="60"/>
      <c r="S984" s="58"/>
      <c r="T984" s="94">
        <f t="shared" si="3142"/>
        <v>0</v>
      </c>
      <c r="U984" s="60"/>
      <c r="V984" s="58"/>
      <c r="W984" s="62">
        <f t="shared" si="3143"/>
        <v>0</v>
      </c>
      <c r="X984" s="60"/>
      <c r="Y984" s="58"/>
      <c r="Z984" s="94">
        <f t="shared" si="3144"/>
        <v>0</v>
      </c>
      <c r="AA984" s="60"/>
      <c r="AB984" s="58"/>
      <c r="AC984" s="62">
        <f t="shared" si="3145"/>
        <v>0</v>
      </c>
      <c r="AD984" s="57"/>
      <c r="AE984" s="58"/>
      <c r="AF984" s="165">
        <f t="shared" si="3146"/>
        <v>0</v>
      </c>
      <c r="AG984" s="60"/>
      <c r="AH984" s="58"/>
      <c r="AI984" s="62">
        <f t="shared" si="3147"/>
        <v>0</v>
      </c>
      <c r="AJ984" s="60"/>
      <c r="AK984" s="58"/>
      <c r="AL984" s="62">
        <f t="shared" si="3148"/>
        <v>0</v>
      </c>
      <c r="AM984" s="60"/>
      <c r="AN984" s="58"/>
      <c r="AO984" s="62">
        <f t="shared" si="3149"/>
        <v>0</v>
      </c>
      <c r="AP984" s="60"/>
      <c r="AQ984" s="58"/>
      <c r="AR984" s="62">
        <f t="shared" si="3150"/>
        <v>0</v>
      </c>
      <c r="AS984" s="60"/>
      <c r="AT984" s="58"/>
      <c r="AU984" s="62">
        <f t="shared" si="3151"/>
        <v>0</v>
      </c>
      <c r="AV984" s="96">
        <f t="shared" si="3152"/>
        <v>0</v>
      </c>
      <c r="AW984" s="83">
        <f t="shared" si="3152"/>
        <v>0</v>
      </c>
      <c r="AX984" s="98">
        <f t="shared" si="3153"/>
        <v>0</v>
      </c>
      <c r="AY984" s="99" t="e">
        <f t="shared" si="3154"/>
        <v>#DIV/0!</v>
      </c>
      <c r="AZ984" s="100">
        <f t="shared" si="3155"/>
        <v>0</v>
      </c>
      <c r="BA984" s="101">
        <f t="shared" si="3156"/>
        <v>0</v>
      </c>
      <c r="BB984" s="68">
        <v>0</v>
      </c>
      <c r="BC984" s="84">
        <f t="shared" si="3158"/>
        <v>0</v>
      </c>
      <c r="BD984" s="83">
        <f t="shared" si="3159"/>
        <v>0</v>
      </c>
      <c r="BE984" s="224"/>
      <c r="BF984" s="86"/>
      <c r="BG984" s="72"/>
      <c r="BH984" s="109">
        <f t="shared" si="3157"/>
        <v>0</v>
      </c>
      <c r="BI984" s="80" t="str">
        <f t="shared" si="3160"/>
        <v/>
      </c>
      <c r="BJ984" s="239"/>
    </row>
    <row r="985" spans="1:62" ht="13">
      <c r="A985" s="90"/>
      <c r="B985" s="91"/>
      <c r="C985" s="221"/>
      <c r="D985" s="58"/>
      <c r="E985" s="58"/>
      <c r="F985" s="57"/>
      <c r="G985" s="229"/>
      <c r="H985" s="81"/>
      <c r="I985" s="80"/>
      <c r="J985" s="93">
        <f t="shared" si="3121"/>
        <v>0</v>
      </c>
      <c r="K985" s="80">
        <v>0</v>
      </c>
      <c r="L985" s="58"/>
      <c r="M985" s="58"/>
      <c r="N985" s="62">
        <f t="shared" si="3140"/>
        <v>0</v>
      </c>
      <c r="O985" s="60"/>
      <c r="P985" s="58"/>
      <c r="Q985" s="62">
        <f t="shared" si="3141"/>
        <v>0</v>
      </c>
      <c r="R985" s="60"/>
      <c r="S985" s="58"/>
      <c r="T985" s="94">
        <f t="shared" si="3142"/>
        <v>0</v>
      </c>
      <c r="U985" s="60"/>
      <c r="V985" s="58"/>
      <c r="W985" s="62">
        <f t="shared" si="3143"/>
        <v>0</v>
      </c>
      <c r="X985" s="60"/>
      <c r="Y985" s="58"/>
      <c r="Z985" s="94">
        <f t="shared" si="3144"/>
        <v>0</v>
      </c>
      <c r="AA985" s="60"/>
      <c r="AB985" s="58"/>
      <c r="AC985" s="62">
        <f t="shared" si="3145"/>
        <v>0</v>
      </c>
      <c r="AD985" s="57"/>
      <c r="AE985" s="58"/>
      <c r="AF985" s="165">
        <f t="shared" si="3146"/>
        <v>0</v>
      </c>
      <c r="AG985" s="60"/>
      <c r="AH985" s="58"/>
      <c r="AI985" s="62">
        <f t="shared" si="3147"/>
        <v>0</v>
      </c>
      <c r="AJ985" s="60"/>
      <c r="AK985" s="58"/>
      <c r="AL985" s="62">
        <f t="shared" si="3148"/>
        <v>0</v>
      </c>
      <c r="AM985" s="60"/>
      <c r="AN985" s="58"/>
      <c r="AO985" s="62">
        <f t="shared" si="3149"/>
        <v>0</v>
      </c>
      <c r="AP985" s="60"/>
      <c r="AQ985" s="58"/>
      <c r="AR985" s="62">
        <f t="shared" si="3150"/>
        <v>0</v>
      </c>
      <c r="AS985" s="60"/>
      <c r="AT985" s="58"/>
      <c r="AU985" s="62">
        <f t="shared" si="3151"/>
        <v>0</v>
      </c>
      <c r="AV985" s="96">
        <f t="shared" si="3152"/>
        <v>0</v>
      </c>
      <c r="AW985" s="83">
        <f t="shared" si="3152"/>
        <v>0</v>
      </c>
      <c r="AX985" s="98">
        <f t="shared" si="3153"/>
        <v>0</v>
      </c>
      <c r="AY985" s="99" t="e">
        <f t="shared" si="3154"/>
        <v>#DIV/0!</v>
      </c>
      <c r="AZ985" s="100">
        <f t="shared" si="3155"/>
        <v>0</v>
      </c>
      <c r="BA985" s="101">
        <f t="shared" si="3156"/>
        <v>0</v>
      </c>
      <c r="BB985" s="68">
        <v>0</v>
      </c>
      <c r="BC985" s="84">
        <f t="shared" si="3158"/>
        <v>0</v>
      </c>
      <c r="BD985" s="83">
        <f t="shared" si="3159"/>
        <v>0</v>
      </c>
      <c r="BE985" s="224"/>
      <c r="BF985" s="86"/>
      <c r="BG985" s="72"/>
      <c r="BH985" s="109">
        <f t="shared" si="3157"/>
        <v>0</v>
      </c>
      <c r="BI985" s="80" t="str">
        <f t="shared" si="3160"/>
        <v/>
      </c>
      <c r="BJ985" s="239"/>
    </row>
    <row r="986" spans="1:62" ht="13">
      <c r="A986" s="90"/>
      <c r="B986" s="91"/>
      <c r="C986" s="221"/>
      <c r="D986" s="58"/>
      <c r="E986" s="58"/>
      <c r="F986" s="57"/>
      <c r="G986" s="229"/>
      <c r="H986" s="81"/>
      <c r="I986" s="80"/>
      <c r="J986" s="93">
        <f t="shared" si="3121"/>
        <v>0</v>
      </c>
      <c r="K986" s="88">
        <v>0</v>
      </c>
      <c r="L986" s="58"/>
      <c r="M986" s="58"/>
      <c r="N986" s="62">
        <f t="shared" si="3140"/>
        <v>0</v>
      </c>
      <c r="O986" s="60"/>
      <c r="P986" s="58"/>
      <c r="Q986" s="62">
        <f t="shared" si="3141"/>
        <v>0</v>
      </c>
      <c r="R986" s="60"/>
      <c r="S986" s="58"/>
      <c r="T986" s="94">
        <f t="shared" si="3142"/>
        <v>0</v>
      </c>
      <c r="U986" s="60"/>
      <c r="V986" s="58"/>
      <c r="W986" s="62">
        <f t="shared" si="3143"/>
        <v>0</v>
      </c>
      <c r="X986" s="60"/>
      <c r="Y986" s="58"/>
      <c r="Z986" s="94">
        <f t="shared" si="3144"/>
        <v>0</v>
      </c>
      <c r="AA986" s="60"/>
      <c r="AB986" s="58"/>
      <c r="AC986" s="62">
        <f t="shared" si="3145"/>
        <v>0</v>
      </c>
      <c r="AD986" s="57"/>
      <c r="AE986" s="58"/>
      <c r="AF986" s="165">
        <f t="shared" si="3146"/>
        <v>0</v>
      </c>
      <c r="AG986" s="60"/>
      <c r="AH986" s="58"/>
      <c r="AI986" s="62">
        <f t="shared" si="3147"/>
        <v>0</v>
      </c>
      <c r="AJ986" s="60"/>
      <c r="AK986" s="58"/>
      <c r="AL986" s="62">
        <f t="shared" si="3148"/>
        <v>0</v>
      </c>
      <c r="AM986" s="60"/>
      <c r="AN986" s="58"/>
      <c r="AO986" s="62">
        <f t="shared" si="3149"/>
        <v>0</v>
      </c>
      <c r="AP986" s="60"/>
      <c r="AQ986" s="58"/>
      <c r="AR986" s="62">
        <f t="shared" si="3150"/>
        <v>0</v>
      </c>
      <c r="AS986" s="60"/>
      <c r="AT986" s="58"/>
      <c r="AU986" s="62">
        <f t="shared" si="3151"/>
        <v>0</v>
      </c>
      <c r="AV986" s="96">
        <f t="shared" si="3152"/>
        <v>0</v>
      </c>
      <c r="AW986" s="83">
        <f t="shared" si="3152"/>
        <v>0</v>
      </c>
      <c r="AX986" s="98">
        <f t="shared" si="3153"/>
        <v>0</v>
      </c>
      <c r="AY986" s="99" t="e">
        <f t="shared" si="3154"/>
        <v>#DIV/0!</v>
      </c>
      <c r="AZ986" s="100">
        <f t="shared" si="3155"/>
        <v>0</v>
      </c>
      <c r="BA986" s="101">
        <f t="shared" si="3156"/>
        <v>0</v>
      </c>
      <c r="BB986" s="68">
        <v>0</v>
      </c>
      <c r="BC986" s="84">
        <f t="shared" si="3158"/>
        <v>0</v>
      </c>
      <c r="BD986" s="83">
        <f t="shared" si="3159"/>
        <v>0</v>
      </c>
      <c r="BE986" s="224"/>
      <c r="BF986" s="86"/>
      <c r="BG986" s="72"/>
      <c r="BH986" s="109">
        <f t="shared" si="3157"/>
        <v>0</v>
      </c>
      <c r="BI986" s="80" t="str">
        <f t="shared" si="3160"/>
        <v/>
      </c>
      <c r="BJ986" s="239"/>
    </row>
    <row r="987" spans="1:62" ht="13">
      <c r="A987" s="90"/>
      <c r="B987" s="91"/>
      <c r="C987" s="221"/>
      <c r="D987" s="58"/>
      <c r="E987" s="58"/>
      <c r="F987" s="57"/>
      <c r="G987" s="229"/>
      <c r="H987" s="81"/>
      <c r="I987" s="80"/>
      <c r="J987" s="93">
        <f t="shared" si="3121"/>
        <v>0</v>
      </c>
      <c r="K987" s="88">
        <v>0</v>
      </c>
      <c r="L987" s="58"/>
      <c r="M987" s="58"/>
      <c r="N987" s="62">
        <f t="shared" si="3140"/>
        <v>0</v>
      </c>
      <c r="O987" s="60"/>
      <c r="P987" s="58"/>
      <c r="Q987" s="62">
        <f t="shared" si="3141"/>
        <v>0</v>
      </c>
      <c r="R987" s="60"/>
      <c r="S987" s="58"/>
      <c r="T987" s="94">
        <f t="shared" si="3142"/>
        <v>0</v>
      </c>
      <c r="U987" s="60"/>
      <c r="V987" s="58"/>
      <c r="W987" s="62">
        <f t="shared" si="3143"/>
        <v>0</v>
      </c>
      <c r="X987" s="60"/>
      <c r="Y987" s="58"/>
      <c r="Z987" s="94">
        <f t="shared" si="3144"/>
        <v>0</v>
      </c>
      <c r="AA987" s="60"/>
      <c r="AB987" s="58"/>
      <c r="AC987" s="62">
        <f t="shared" si="3145"/>
        <v>0</v>
      </c>
      <c r="AD987" s="57"/>
      <c r="AE987" s="58"/>
      <c r="AF987" s="165">
        <f t="shared" si="3146"/>
        <v>0</v>
      </c>
      <c r="AG987" s="60"/>
      <c r="AH987" s="58"/>
      <c r="AI987" s="62">
        <f t="shared" si="3147"/>
        <v>0</v>
      </c>
      <c r="AJ987" s="60"/>
      <c r="AK987" s="58"/>
      <c r="AL987" s="62">
        <f t="shared" si="3148"/>
        <v>0</v>
      </c>
      <c r="AM987" s="60"/>
      <c r="AN987" s="58"/>
      <c r="AO987" s="62">
        <f t="shared" si="3149"/>
        <v>0</v>
      </c>
      <c r="AP987" s="60"/>
      <c r="AQ987" s="58"/>
      <c r="AR987" s="62">
        <f t="shared" si="3150"/>
        <v>0</v>
      </c>
      <c r="AS987" s="60"/>
      <c r="AT987" s="58"/>
      <c r="AU987" s="62">
        <f t="shared" si="3151"/>
        <v>0</v>
      </c>
      <c r="AV987" s="96">
        <f t="shared" si="3152"/>
        <v>0</v>
      </c>
      <c r="AW987" s="83">
        <f t="shared" si="3152"/>
        <v>0</v>
      </c>
      <c r="AX987" s="98">
        <f t="shared" si="3153"/>
        <v>0</v>
      </c>
      <c r="AY987" s="99" t="e">
        <f t="shared" si="3154"/>
        <v>#DIV/0!</v>
      </c>
      <c r="AZ987" s="100">
        <f t="shared" si="3155"/>
        <v>0</v>
      </c>
      <c r="BA987" s="101">
        <f t="shared" si="3156"/>
        <v>0</v>
      </c>
      <c r="BB987" s="68">
        <v>0</v>
      </c>
      <c r="BC987" s="84">
        <f t="shared" si="3158"/>
        <v>0</v>
      </c>
      <c r="BD987" s="83">
        <f t="shared" si="3159"/>
        <v>0</v>
      </c>
      <c r="BE987" s="224"/>
      <c r="BF987" s="86"/>
      <c r="BG987" s="72"/>
      <c r="BH987" s="109">
        <f t="shared" si="3157"/>
        <v>0</v>
      </c>
      <c r="BI987" s="80" t="str">
        <f t="shared" si="3160"/>
        <v/>
      </c>
      <c r="BJ987" s="239"/>
    </row>
    <row r="988" spans="1:62" ht="13">
      <c r="A988" s="90"/>
      <c r="B988" s="91"/>
      <c r="C988" s="221"/>
      <c r="D988" s="58"/>
      <c r="E988" s="58"/>
      <c r="F988" s="57"/>
      <c r="G988" s="229"/>
      <c r="H988" s="81"/>
      <c r="I988" s="80"/>
      <c r="J988" s="93">
        <f t="shared" si="3121"/>
        <v>0</v>
      </c>
      <c r="K988" s="80">
        <v>0</v>
      </c>
      <c r="L988" s="58"/>
      <c r="M988" s="58"/>
      <c r="N988" s="62">
        <f t="shared" si="3140"/>
        <v>0</v>
      </c>
      <c r="O988" s="60"/>
      <c r="P988" s="58"/>
      <c r="Q988" s="62">
        <f t="shared" si="3141"/>
        <v>0</v>
      </c>
      <c r="R988" s="60"/>
      <c r="S988" s="58"/>
      <c r="T988" s="94">
        <f t="shared" si="3142"/>
        <v>0</v>
      </c>
      <c r="U988" s="60"/>
      <c r="V988" s="58"/>
      <c r="W988" s="62">
        <f t="shared" si="3143"/>
        <v>0</v>
      </c>
      <c r="X988" s="60"/>
      <c r="Y988" s="58"/>
      <c r="Z988" s="94">
        <f t="shared" si="3144"/>
        <v>0</v>
      </c>
      <c r="AA988" s="60"/>
      <c r="AB988" s="58"/>
      <c r="AC988" s="62">
        <f t="shared" si="3145"/>
        <v>0</v>
      </c>
      <c r="AD988" s="57"/>
      <c r="AE988" s="58"/>
      <c r="AF988" s="165">
        <f t="shared" si="3146"/>
        <v>0</v>
      </c>
      <c r="AG988" s="60"/>
      <c r="AH988" s="58"/>
      <c r="AI988" s="62">
        <f t="shared" si="3147"/>
        <v>0</v>
      </c>
      <c r="AJ988" s="60"/>
      <c r="AK988" s="58"/>
      <c r="AL988" s="62">
        <f t="shared" si="3148"/>
        <v>0</v>
      </c>
      <c r="AM988" s="60"/>
      <c r="AN988" s="58"/>
      <c r="AO988" s="62">
        <f t="shared" si="3149"/>
        <v>0</v>
      </c>
      <c r="AP988" s="60"/>
      <c r="AQ988" s="58"/>
      <c r="AR988" s="62">
        <f t="shared" si="3150"/>
        <v>0</v>
      </c>
      <c r="AS988" s="60"/>
      <c r="AT988" s="58"/>
      <c r="AU988" s="62">
        <f t="shared" si="3151"/>
        <v>0</v>
      </c>
      <c r="AV988" s="96">
        <f t="shared" si="3152"/>
        <v>0</v>
      </c>
      <c r="AW988" s="83">
        <f t="shared" si="3152"/>
        <v>0</v>
      </c>
      <c r="AX988" s="98">
        <f t="shared" si="3153"/>
        <v>0</v>
      </c>
      <c r="AY988" s="99" t="e">
        <f t="shared" si="3154"/>
        <v>#DIV/0!</v>
      </c>
      <c r="AZ988" s="100">
        <f t="shared" si="3155"/>
        <v>0</v>
      </c>
      <c r="BA988" s="101">
        <f t="shared" si="3156"/>
        <v>0</v>
      </c>
      <c r="BB988" s="68">
        <v>0</v>
      </c>
      <c r="BC988" s="84">
        <f t="shared" si="3158"/>
        <v>0</v>
      </c>
      <c r="BD988" s="83">
        <f t="shared" si="3159"/>
        <v>0</v>
      </c>
      <c r="BE988" s="224"/>
      <c r="BF988" s="86"/>
      <c r="BG988" s="72"/>
      <c r="BH988" s="109">
        <f t="shared" si="3157"/>
        <v>0</v>
      </c>
      <c r="BI988" s="80" t="str">
        <f t="shared" si="3160"/>
        <v/>
      </c>
      <c r="BJ988" s="239"/>
    </row>
    <row r="989" spans="1:62" ht="13">
      <c r="A989" s="90"/>
      <c r="B989" s="91"/>
      <c r="C989" s="221"/>
      <c r="D989" s="58"/>
      <c r="E989" s="58"/>
      <c r="F989" s="57"/>
      <c r="G989" s="229"/>
      <c r="H989" s="81"/>
      <c r="I989" s="80"/>
      <c r="J989" s="93">
        <f t="shared" si="3121"/>
        <v>0</v>
      </c>
      <c r="K989" s="88">
        <v>0</v>
      </c>
      <c r="L989" s="58"/>
      <c r="M989" s="58"/>
      <c r="N989" s="62">
        <f t="shared" si="3140"/>
        <v>0</v>
      </c>
      <c r="O989" s="60"/>
      <c r="P989" s="58"/>
      <c r="Q989" s="62">
        <f t="shared" si="3141"/>
        <v>0</v>
      </c>
      <c r="R989" s="60"/>
      <c r="S989" s="58"/>
      <c r="T989" s="94">
        <f t="shared" si="3142"/>
        <v>0</v>
      </c>
      <c r="U989" s="60"/>
      <c r="V989" s="58"/>
      <c r="W989" s="62">
        <f t="shared" si="3143"/>
        <v>0</v>
      </c>
      <c r="X989" s="60"/>
      <c r="Y989" s="58"/>
      <c r="Z989" s="94">
        <f t="shared" si="3144"/>
        <v>0</v>
      </c>
      <c r="AA989" s="60"/>
      <c r="AB989" s="58"/>
      <c r="AC989" s="62">
        <f t="shared" si="3145"/>
        <v>0</v>
      </c>
      <c r="AD989" s="57"/>
      <c r="AE989" s="58"/>
      <c r="AF989" s="165">
        <f t="shared" si="3146"/>
        <v>0</v>
      </c>
      <c r="AG989" s="60"/>
      <c r="AH989" s="58"/>
      <c r="AI989" s="62">
        <f t="shared" si="3147"/>
        <v>0</v>
      </c>
      <c r="AJ989" s="60"/>
      <c r="AK989" s="58"/>
      <c r="AL989" s="62">
        <f t="shared" si="3148"/>
        <v>0</v>
      </c>
      <c r="AM989" s="60"/>
      <c r="AN989" s="58"/>
      <c r="AO989" s="62">
        <f t="shared" si="3149"/>
        <v>0</v>
      </c>
      <c r="AP989" s="60"/>
      <c r="AQ989" s="58"/>
      <c r="AR989" s="62">
        <f t="shared" si="3150"/>
        <v>0</v>
      </c>
      <c r="AS989" s="60"/>
      <c r="AT989" s="58"/>
      <c r="AU989" s="62">
        <f t="shared" si="3151"/>
        <v>0</v>
      </c>
      <c r="AV989" s="96">
        <f t="shared" si="3152"/>
        <v>0</v>
      </c>
      <c r="AW989" s="83">
        <f t="shared" si="3152"/>
        <v>0</v>
      </c>
      <c r="AX989" s="98">
        <f t="shared" si="3153"/>
        <v>0</v>
      </c>
      <c r="AY989" s="99" t="e">
        <f t="shared" si="3154"/>
        <v>#DIV/0!</v>
      </c>
      <c r="AZ989" s="100">
        <f t="shared" si="3155"/>
        <v>0</v>
      </c>
      <c r="BA989" s="101">
        <f t="shared" si="3156"/>
        <v>0</v>
      </c>
      <c r="BB989" s="68">
        <v>0</v>
      </c>
      <c r="BC989" s="84">
        <f t="shared" si="3158"/>
        <v>0</v>
      </c>
      <c r="BD989" s="83">
        <f t="shared" si="3159"/>
        <v>0</v>
      </c>
      <c r="BE989" s="224"/>
      <c r="BF989" s="86"/>
      <c r="BG989" s="72"/>
      <c r="BH989" s="109">
        <f t="shared" si="3157"/>
        <v>0</v>
      </c>
      <c r="BI989" s="80" t="str">
        <f t="shared" si="3160"/>
        <v/>
      </c>
      <c r="BJ989" s="239"/>
    </row>
    <row r="990" spans="1:62" ht="13">
      <c r="A990" s="90"/>
      <c r="B990" s="91"/>
      <c r="C990" s="221"/>
      <c r="D990" s="58"/>
      <c r="E990" s="58"/>
      <c r="F990" s="57"/>
      <c r="G990" s="229"/>
      <c r="H990" s="81"/>
      <c r="I990" s="80"/>
      <c r="J990" s="93">
        <f t="shared" ref="J990:J994" si="3161">AU990</f>
        <v>0</v>
      </c>
      <c r="K990" s="88">
        <v>0</v>
      </c>
      <c r="L990" s="58"/>
      <c r="M990" s="58"/>
      <c r="N990" s="62">
        <f t="shared" si="3140"/>
        <v>0</v>
      </c>
      <c r="O990" s="60"/>
      <c r="P990" s="58"/>
      <c r="Q990" s="62">
        <f t="shared" si="3141"/>
        <v>0</v>
      </c>
      <c r="R990" s="60"/>
      <c r="S990" s="58"/>
      <c r="T990" s="94">
        <f t="shared" si="3142"/>
        <v>0</v>
      </c>
      <c r="U990" s="60"/>
      <c r="V990" s="58"/>
      <c r="W990" s="62">
        <f t="shared" si="3143"/>
        <v>0</v>
      </c>
      <c r="X990" s="60"/>
      <c r="Y990" s="58"/>
      <c r="Z990" s="94">
        <f t="shared" si="3144"/>
        <v>0</v>
      </c>
      <c r="AA990" s="60"/>
      <c r="AB990" s="58"/>
      <c r="AC990" s="62">
        <f t="shared" si="3145"/>
        <v>0</v>
      </c>
      <c r="AD990" s="57"/>
      <c r="AE990" s="58"/>
      <c r="AF990" s="95">
        <f t="shared" si="3146"/>
        <v>0</v>
      </c>
      <c r="AG990" s="60"/>
      <c r="AH990" s="58"/>
      <c r="AI990" s="62">
        <f t="shared" si="3147"/>
        <v>0</v>
      </c>
      <c r="AJ990" s="60"/>
      <c r="AK990" s="58"/>
      <c r="AL990" s="62">
        <f t="shared" si="3148"/>
        <v>0</v>
      </c>
      <c r="AM990" s="60"/>
      <c r="AN990" s="58"/>
      <c r="AO990" s="62">
        <f t="shared" si="3149"/>
        <v>0</v>
      </c>
      <c r="AP990" s="60"/>
      <c r="AQ990" s="58"/>
      <c r="AR990" s="62">
        <f t="shared" si="3150"/>
        <v>0</v>
      </c>
      <c r="AS990" s="60"/>
      <c r="AT990" s="58"/>
      <c r="AU990" s="62">
        <f t="shared" si="3151"/>
        <v>0</v>
      </c>
      <c r="AV990" s="96">
        <f t="shared" si="3152"/>
        <v>0</v>
      </c>
      <c r="AW990" s="83">
        <f t="shared" si="3152"/>
        <v>0</v>
      </c>
      <c r="AX990" s="98">
        <f t="shared" si="3153"/>
        <v>0</v>
      </c>
      <c r="AY990" s="99" t="e">
        <f t="shared" si="3154"/>
        <v>#DIV/0!</v>
      </c>
      <c r="AZ990" s="100">
        <f t="shared" si="3155"/>
        <v>0</v>
      </c>
      <c r="BA990" s="101">
        <f t="shared" si="3156"/>
        <v>0</v>
      </c>
      <c r="BB990" s="68">
        <v>0</v>
      </c>
      <c r="BC990" s="84">
        <f t="shared" si="3158"/>
        <v>0</v>
      </c>
      <c r="BD990" s="83">
        <f t="shared" si="3159"/>
        <v>0</v>
      </c>
      <c r="BE990" s="224"/>
      <c r="BF990" s="86"/>
      <c r="BG990" s="72"/>
      <c r="BH990" s="109">
        <f t="shared" si="3157"/>
        <v>0</v>
      </c>
      <c r="BI990" s="80" t="str">
        <f t="shared" si="3160"/>
        <v/>
      </c>
      <c r="BJ990" s="239"/>
    </row>
    <row r="991" spans="1:62" ht="13">
      <c r="A991" s="90"/>
      <c r="B991" s="91"/>
      <c r="C991" s="221"/>
      <c r="D991" s="58"/>
      <c r="E991" s="58"/>
      <c r="F991" s="57"/>
      <c r="G991" s="229"/>
      <c r="H991" s="81"/>
      <c r="I991" s="80"/>
      <c r="J991" s="93">
        <f t="shared" si="3161"/>
        <v>0</v>
      </c>
      <c r="K991" s="80">
        <v>0</v>
      </c>
      <c r="L991" s="58"/>
      <c r="M991" s="58"/>
      <c r="N991" s="62">
        <f t="shared" si="3140"/>
        <v>0</v>
      </c>
      <c r="O991" s="60"/>
      <c r="P991" s="58"/>
      <c r="Q991" s="62">
        <f t="shared" si="3141"/>
        <v>0</v>
      </c>
      <c r="R991" s="60"/>
      <c r="S991" s="58"/>
      <c r="T991" s="94">
        <f t="shared" si="3142"/>
        <v>0</v>
      </c>
      <c r="U991" s="60"/>
      <c r="V991" s="58"/>
      <c r="W991" s="62">
        <f t="shared" si="3143"/>
        <v>0</v>
      </c>
      <c r="X991" s="60"/>
      <c r="Y991" s="58"/>
      <c r="Z991" s="94">
        <f t="shared" si="3144"/>
        <v>0</v>
      </c>
      <c r="AA991" s="60"/>
      <c r="AB991" s="58"/>
      <c r="AC991" s="62">
        <f t="shared" si="3145"/>
        <v>0</v>
      </c>
      <c r="AD991" s="57"/>
      <c r="AE991" s="58"/>
      <c r="AF991" s="95">
        <f t="shared" si="3146"/>
        <v>0</v>
      </c>
      <c r="AG991" s="60"/>
      <c r="AH991" s="58"/>
      <c r="AI991" s="62">
        <f t="shared" si="3147"/>
        <v>0</v>
      </c>
      <c r="AJ991" s="60"/>
      <c r="AK991" s="58"/>
      <c r="AL991" s="62">
        <f t="shared" si="3148"/>
        <v>0</v>
      </c>
      <c r="AM991" s="60"/>
      <c r="AN991" s="58"/>
      <c r="AO991" s="62">
        <f t="shared" si="3149"/>
        <v>0</v>
      </c>
      <c r="AP991" s="60"/>
      <c r="AQ991" s="58"/>
      <c r="AR991" s="62">
        <f t="shared" si="3150"/>
        <v>0</v>
      </c>
      <c r="AS991" s="60"/>
      <c r="AT991" s="58"/>
      <c r="AU991" s="62">
        <f t="shared" si="3151"/>
        <v>0</v>
      </c>
      <c r="AV991" s="96">
        <f t="shared" si="3152"/>
        <v>0</v>
      </c>
      <c r="AW991" s="83">
        <f t="shared" si="3152"/>
        <v>0</v>
      </c>
      <c r="AX991" s="98">
        <f t="shared" si="3153"/>
        <v>0</v>
      </c>
      <c r="AY991" s="99" t="e">
        <f t="shared" si="3154"/>
        <v>#DIV/0!</v>
      </c>
      <c r="AZ991" s="100">
        <f t="shared" si="3155"/>
        <v>0</v>
      </c>
      <c r="BA991" s="101">
        <f t="shared" si="3156"/>
        <v>0</v>
      </c>
      <c r="BB991" s="68">
        <v>0</v>
      </c>
      <c r="BC991" s="84">
        <f t="shared" si="3158"/>
        <v>0</v>
      </c>
      <c r="BD991" s="83">
        <f t="shared" si="3159"/>
        <v>0</v>
      </c>
      <c r="BE991" s="224"/>
      <c r="BF991" s="86"/>
      <c r="BG991" s="72"/>
      <c r="BH991" s="109">
        <f t="shared" si="3157"/>
        <v>0</v>
      </c>
      <c r="BI991" s="80" t="str">
        <f t="shared" si="3160"/>
        <v/>
      </c>
      <c r="BJ991" s="239"/>
    </row>
    <row r="992" spans="1:62" ht="13">
      <c r="A992" s="90"/>
      <c r="B992" s="91"/>
      <c r="C992" s="221"/>
      <c r="D992" s="58"/>
      <c r="E992" s="58"/>
      <c r="F992" s="57"/>
      <c r="G992" s="229"/>
      <c r="H992" s="81"/>
      <c r="I992" s="80"/>
      <c r="J992" s="93">
        <f t="shared" si="3161"/>
        <v>0</v>
      </c>
      <c r="K992" s="88">
        <v>0</v>
      </c>
      <c r="L992" s="58"/>
      <c r="M992" s="58"/>
      <c r="N992" s="62">
        <f t="shared" si="3140"/>
        <v>0</v>
      </c>
      <c r="O992" s="60"/>
      <c r="P992" s="58"/>
      <c r="Q992" s="62">
        <f t="shared" si="3141"/>
        <v>0</v>
      </c>
      <c r="R992" s="60"/>
      <c r="S992" s="58"/>
      <c r="T992" s="94">
        <f t="shared" si="3142"/>
        <v>0</v>
      </c>
      <c r="U992" s="60"/>
      <c r="V992" s="58"/>
      <c r="W992" s="62">
        <f t="shared" si="3143"/>
        <v>0</v>
      </c>
      <c r="X992" s="60"/>
      <c r="Y992" s="58"/>
      <c r="Z992" s="94">
        <f t="shared" si="3144"/>
        <v>0</v>
      </c>
      <c r="AA992" s="60"/>
      <c r="AB992" s="58"/>
      <c r="AC992" s="62">
        <f t="shared" si="3145"/>
        <v>0</v>
      </c>
      <c r="AD992" s="57"/>
      <c r="AE992" s="58"/>
      <c r="AF992" s="95">
        <f t="shared" si="3146"/>
        <v>0</v>
      </c>
      <c r="AG992" s="60"/>
      <c r="AH992" s="58"/>
      <c r="AI992" s="62">
        <f t="shared" si="3147"/>
        <v>0</v>
      </c>
      <c r="AJ992" s="60"/>
      <c r="AK992" s="58"/>
      <c r="AL992" s="62">
        <f t="shared" si="3148"/>
        <v>0</v>
      </c>
      <c r="AM992" s="60"/>
      <c r="AN992" s="58"/>
      <c r="AO992" s="62">
        <f t="shared" si="3149"/>
        <v>0</v>
      </c>
      <c r="AP992" s="60"/>
      <c r="AQ992" s="58"/>
      <c r="AR992" s="62">
        <f t="shared" si="3150"/>
        <v>0</v>
      </c>
      <c r="AS992" s="60"/>
      <c r="AT992" s="58"/>
      <c r="AU992" s="62">
        <f t="shared" si="3151"/>
        <v>0</v>
      </c>
      <c r="AV992" s="96">
        <f t="shared" si="3152"/>
        <v>0</v>
      </c>
      <c r="AW992" s="83">
        <f t="shared" si="3152"/>
        <v>0</v>
      </c>
      <c r="AX992" s="98">
        <f t="shared" si="3153"/>
        <v>0</v>
      </c>
      <c r="AY992" s="99" t="e">
        <f t="shared" si="3154"/>
        <v>#DIV/0!</v>
      </c>
      <c r="AZ992" s="100">
        <f t="shared" si="3155"/>
        <v>0</v>
      </c>
      <c r="BA992" s="101">
        <f t="shared" si="3156"/>
        <v>0</v>
      </c>
      <c r="BB992" s="68">
        <v>0</v>
      </c>
      <c r="BC992" s="84">
        <f t="shared" si="3158"/>
        <v>0</v>
      </c>
      <c r="BD992" s="83">
        <f t="shared" si="3159"/>
        <v>0</v>
      </c>
      <c r="BE992" s="224"/>
      <c r="BF992" s="86"/>
      <c r="BG992" s="72"/>
      <c r="BH992" s="109">
        <f t="shared" si="3157"/>
        <v>0</v>
      </c>
      <c r="BI992" s="80" t="str">
        <f t="shared" si="3160"/>
        <v/>
      </c>
      <c r="BJ992" s="239"/>
    </row>
    <row r="993" spans="1:62" ht="13">
      <c r="A993" s="90"/>
      <c r="B993" s="91"/>
      <c r="C993" s="221"/>
      <c r="D993" s="58"/>
      <c r="E993" s="58"/>
      <c r="F993" s="57"/>
      <c r="G993" s="229"/>
      <c r="H993" s="81"/>
      <c r="I993" s="80"/>
      <c r="J993" s="93">
        <f t="shared" si="3161"/>
        <v>0</v>
      </c>
      <c r="K993" s="88">
        <v>0</v>
      </c>
      <c r="L993" s="58"/>
      <c r="M993" s="58"/>
      <c r="N993" s="62">
        <f t="shared" si="3140"/>
        <v>0</v>
      </c>
      <c r="O993" s="60"/>
      <c r="P993" s="58"/>
      <c r="Q993" s="62">
        <f t="shared" si="3141"/>
        <v>0</v>
      </c>
      <c r="R993" s="60"/>
      <c r="S993" s="58"/>
      <c r="T993" s="94">
        <f t="shared" si="3142"/>
        <v>0</v>
      </c>
      <c r="U993" s="60"/>
      <c r="V993" s="58"/>
      <c r="W993" s="62">
        <f t="shared" si="3143"/>
        <v>0</v>
      </c>
      <c r="X993" s="60"/>
      <c r="Y993" s="58"/>
      <c r="Z993" s="94">
        <f t="shared" si="3144"/>
        <v>0</v>
      </c>
      <c r="AA993" s="60"/>
      <c r="AB993" s="58"/>
      <c r="AC993" s="62">
        <f t="shared" si="3145"/>
        <v>0</v>
      </c>
      <c r="AD993" s="57"/>
      <c r="AE993" s="58"/>
      <c r="AF993" s="95">
        <f t="shared" si="3146"/>
        <v>0</v>
      </c>
      <c r="AG993" s="60"/>
      <c r="AH993" s="58"/>
      <c r="AI993" s="62">
        <f t="shared" si="3147"/>
        <v>0</v>
      </c>
      <c r="AJ993" s="60"/>
      <c r="AK993" s="58"/>
      <c r="AL993" s="62">
        <f t="shared" si="3148"/>
        <v>0</v>
      </c>
      <c r="AM993" s="60"/>
      <c r="AN993" s="58"/>
      <c r="AO993" s="62">
        <f t="shared" si="3149"/>
        <v>0</v>
      </c>
      <c r="AP993" s="60"/>
      <c r="AQ993" s="58"/>
      <c r="AR993" s="62">
        <f t="shared" si="3150"/>
        <v>0</v>
      </c>
      <c r="AS993" s="60"/>
      <c r="AT993" s="58"/>
      <c r="AU993" s="62">
        <f t="shared" si="3151"/>
        <v>0</v>
      </c>
      <c r="AV993" s="96">
        <f t="shared" si="3152"/>
        <v>0</v>
      </c>
      <c r="AW993" s="83">
        <f t="shared" si="3152"/>
        <v>0</v>
      </c>
      <c r="AX993" s="98">
        <f t="shared" si="3153"/>
        <v>0</v>
      </c>
      <c r="AY993" s="99" t="e">
        <f t="shared" si="3154"/>
        <v>#DIV/0!</v>
      </c>
      <c r="AZ993" s="100">
        <f t="shared" si="3155"/>
        <v>0</v>
      </c>
      <c r="BA993" s="101">
        <f t="shared" si="3156"/>
        <v>0</v>
      </c>
      <c r="BB993" s="68">
        <v>0</v>
      </c>
      <c r="BC993" s="84">
        <f t="shared" si="3158"/>
        <v>0</v>
      </c>
      <c r="BD993" s="83">
        <f t="shared" si="3159"/>
        <v>0</v>
      </c>
      <c r="BE993" s="224"/>
      <c r="BF993" s="86"/>
      <c r="BG993" s="72"/>
      <c r="BH993" s="109">
        <f t="shared" si="3157"/>
        <v>0</v>
      </c>
      <c r="BI993" s="80" t="str">
        <f t="shared" si="3160"/>
        <v/>
      </c>
      <c r="BJ993" s="239"/>
    </row>
    <row r="994" spans="1:62" ht="13">
      <c r="A994" s="90"/>
      <c r="B994" s="91"/>
      <c r="C994" s="221"/>
      <c r="D994" s="58"/>
      <c r="E994" s="58"/>
      <c r="F994" s="57"/>
      <c r="G994" s="229"/>
      <c r="H994" s="81"/>
      <c r="I994" s="80"/>
      <c r="J994" s="93">
        <f t="shared" si="3161"/>
        <v>0</v>
      </c>
      <c r="K994" s="136"/>
      <c r="L994" s="58"/>
      <c r="M994" s="58"/>
      <c r="N994" s="62">
        <f t="shared" si="3140"/>
        <v>0</v>
      </c>
      <c r="O994" s="60"/>
      <c r="P994" s="58"/>
      <c r="Q994" s="62">
        <f t="shared" si="3141"/>
        <v>0</v>
      </c>
      <c r="R994" s="60"/>
      <c r="S994" s="58"/>
      <c r="T994" s="94">
        <f t="shared" si="3142"/>
        <v>0</v>
      </c>
      <c r="U994" s="60"/>
      <c r="V994" s="58"/>
      <c r="W994" s="62">
        <f t="shared" si="3143"/>
        <v>0</v>
      </c>
      <c r="X994" s="60"/>
      <c r="Y994" s="58"/>
      <c r="Z994" s="94">
        <f t="shared" si="3144"/>
        <v>0</v>
      </c>
      <c r="AA994" s="60"/>
      <c r="AB994" s="58"/>
      <c r="AC994" s="62">
        <f t="shared" si="3145"/>
        <v>0</v>
      </c>
      <c r="AD994" s="57"/>
      <c r="AE994" s="58"/>
      <c r="AF994" s="95">
        <f t="shared" si="3146"/>
        <v>0</v>
      </c>
      <c r="AG994" s="60"/>
      <c r="AH994" s="58"/>
      <c r="AI994" s="62">
        <f t="shared" si="3147"/>
        <v>0</v>
      </c>
      <c r="AJ994" s="60"/>
      <c r="AK994" s="58"/>
      <c r="AL994" s="62">
        <f t="shared" si="3148"/>
        <v>0</v>
      </c>
      <c r="AM994" s="60"/>
      <c r="AN994" s="58"/>
      <c r="AO994" s="62">
        <f t="shared" si="3149"/>
        <v>0</v>
      </c>
      <c r="AP994" s="60"/>
      <c r="AQ994" s="58"/>
      <c r="AR994" s="62">
        <f t="shared" si="3150"/>
        <v>0</v>
      </c>
      <c r="AS994" s="60"/>
      <c r="AT994" s="58"/>
      <c r="AU994" s="62">
        <f t="shared" si="3151"/>
        <v>0</v>
      </c>
      <c r="AV994" s="96">
        <f>SUM(L994+O994+R994+U994+X994+AA994+AD994+AG994+AJ994+AM994+AP994+AS994)</f>
        <v>0</v>
      </c>
      <c r="AW994" s="83">
        <f t="shared" ref="AW994" si="3162">SUM(M994+P994+S994+V994+Y994+AB994+AE994+AH994+AK994+AN994+AQ994+AT994)</f>
        <v>0</v>
      </c>
      <c r="AX994" s="98">
        <f t="shared" si="3153"/>
        <v>0</v>
      </c>
      <c r="AY994" s="99" t="e">
        <f t="shared" si="3154"/>
        <v>#DIV/0!</v>
      </c>
      <c r="AZ994" s="100">
        <f t="shared" si="3155"/>
        <v>0</v>
      </c>
      <c r="BA994" s="101">
        <f>MAX(M994,P994,S994,V994,Y994,AB994,AE994,AH994,AK994,AN994,AQ994,AT994)</f>
        <v>0</v>
      </c>
      <c r="BB994" s="102">
        <f>MIN(M994,P994,S994,V994,Y994,AB994,AE994,AH994,AK994,AN994,AQ994,AT994)</f>
        <v>0</v>
      </c>
      <c r="BC994" s="84">
        <f t="shared" si="3158"/>
        <v>0</v>
      </c>
      <c r="BD994" s="83">
        <f t="shared" si="3159"/>
        <v>0</v>
      </c>
      <c r="BE994" s="224"/>
      <c r="BF994" s="86"/>
      <c r="BG994" s="72"/>
      <c r="BH994" s="109">
        <f t="shared" si="3157"/>
        <v>0</v>
      </c>
      <c r="BI994" s="88" t="str">
        <f t="shared" si="3160"/>
        <v/>
      </c>
      <c r="BJ994" s="240"/>
    </row>
  </sheetData>
  <phoneticPr fontId="25" type="noConversion"/>
  <conditionalFormatting sqref="J1 J3 J26:J33 J37:J40 J88 J91 J129:J136 J170 J211:J214 J232:J262 J297:J306 J309 J328 J373 J375:J376 J428 J453:J486 J496 J498:J499 J517:J524 J610:J850 J862 J887:J889 J923:J1048576">
    <cfRule type="cellIs" dxfId="24" priority="202" operator="equal">
      <formula>0</formula>
    </cfRule>
  </conditionalFormatting>
  <conditionalFormatting sqref="J1 J3:J1048576">
    <cfRule type="cellIs" dxfId="23" priority="9" operator="equal">
      <formula>0</formula>
    </cfRule>
    <cfRule type="cellIs" dxfId="22" priority="100" operator="equal">
      <formula>0</formula>
    </cfRule>
  </conditionalFormatting>
  <conditionalFormatting sqref="L4:L994 O4:O994 R4:R994 U4:U994 X4:X994 AA4:AA994 AD4:AD994 AG4:AG994 AJ4:AJ994 AM4:AM994 AP4:AP994 AS4:AS994">
    <cfRule type="cellIs" dxfId="21" priority="250" operator="greaterThan">
      <formula>0</formula>
    </cfRule>
  </conditionalFormatting>
  <conditionalFormatting sqref="AK4:AK377 M4:M994 P4:P994 S4:S994 V4:V994 Y4:Y994 AB4:AB994 AE4:AE994 AH4:AH994 AN4:AN994 AQ4:AQ994 AT4:AT994 AK379:AK994">
    <cfRule type="cellIs" dxfId="20" priority="247" operator="greaterThan">
      <formula>0</formula>
    </cfRule>
    <cfRule type="cellIs" dxfId="19" priority="248" operator="greaterThan">
      <formula>0</formula>
    </cfRule>
    <cfRule type="cellIs" dxfId="18" priority="249" operator="greaterThan">
      <formula>0</formula>
    </cfRule>
  </conditionalFormatting>
  <conditionalFormatting sqref="AO589 AO592 AO596:AO994 AO4:AO584 Q4:Q994 W4:W994 Z4:Z994 AC4:AC994 AF4:AF994 AI4:AI994 AL4:AL994">
    <cfRule type="cellIs" dxfId="17" priority="241" operator="equal">
      <formula>0</formula>
    </cfRule>
  </conditionalFormatting>
  <conditionalFormatting sqref="AO587:AO994 AO4:AO585 Q4:Q994 W4:W994 Z4:Z994 AC4:AC994 AF4:AF994 AI4:AI994 AL4:AL994">
    <cfRule type="cellIs" dxfId="16" priority="246" operator="equal">
      <formula>0</formula>
    </cfRule>
  </conditionalFormatting>
  <conditionalFormatting sqref="AV4:AV994">
    <cfRule type="cellIs" dxfId="15" priority="199" operator="greaterThan">
      <formula>0</formula>
    </cfRule>
    <cfRule type="cellIs" dxfId="14" priority="200" operator="greaterThan">
      <formula>0</formula>
    </cfRule>
  </conditionalFormatting>
  <conditionalFormatting sqref="AW4:AW994">
    <cfRule type="cellIs" dxfId="13" priority="198" operator="greaterThan">
      <formula>0</formula>
    </cfRule>
    <cfRule type="cellIs" dxfId="12" priority="201" operator="greaterThan">
      <formula>0</formula>
    </cfRule>
  </conditionalFormatting>
  <conditionalFormatting sqref="BD4:BD994">
    <cfRule type="cellIs" dxfId="11" priority="228" operator="lessThan">
      <formula>0</formula>
    </cfRule>
    <cfRule type="cellIs" dxfId="10" priority="229" operator="greaterThan">
      <formula>0</formula>
    </cfRule>
  </conditionalFormatting>
  <conditionalFormatting sqref="BE4:BE994">
    <cfRule type="cellIs" dxfId="9" priority="224" operator="greaterThan">
      <formula>19</formula>
    </cfRule>
    <cfRule type="cellIs" dxfId="8" priority="225" operator="greaterThan">
      <formula>19</formula>
    </cfRule>
    <cfRule type="cellIs" dxfId="7" priority="226" operator="greaterThan">
      <formula>19</formula>
    </cfRule>
    <cfRule type="cellIs" dxfId="6" priority="227" operator="greaterThan">
      <formula>30</formula>
    </cfRule>
  </conditionalFormatting>
  <conditionalFormatting sqref="BH1:BH2 BF1:BG994">
    <cfRule type="cellIs" dxfId="5" priority="117" operator="between">
      <formula>2012</formula>
      <formula>2020</formula>
    </cfRule>
  </conditionalFormatting>
  <conditionalFormatting sqref="BH4:BH1048576">
    <cfRule type="cellIs" dxfId="4" priority="73" operator="lessThan">
      <formula>366</formula>
    </cfRule>
    <cfRule type="cellIs" dxfId="3" priority="74" operator="greaterThan">
      <formula>1000</formula>
    </cfRule>
  </conditionalFormatting>
  <conditionalFormatting sqref="BI3 BH3:BH1048576">
    <cfRule type="cellIs" dxfId="2" priority="72" operator="between">
      <formula>366</formula>
      <formula>999</formula>
    </cfRule>
  </conditionalFormatting>
  <conditionalFormatting sqref="BI4:BI994">
    <cfRule type="containsText" dxfId="1" priority="5" operator="containsText" text="Dead Stock">
      <formula>NOT(ISERROR(SEARCH("Dead Stock",BI4)))</formula>
    </cfRule>
    <cfRule type="cellIs" dxfId="0" priority="6" operator="equal">
      <formula>"DEAD STOCK"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Machine Spare parts 2026</vt:lpstr>
      <vt:lpstr>'Machine Spare parts 2026'!plc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Jutamart.s</dc:creator>
  <cp:lastModifiedBy>Jutamart Sungsiangsoong (AHR)</cp:lastModifiedBy>
  <cp:lastPrinted>2021-12-21T07:51:11Z</cp:lastPrinted>
  <dcterms:created xsi:type="dcterms:W3CDTF">2017-10-06T10:57:00Z</dcterms:created>
  <dcterms:modified xsi:type="dcterms:W3CDTF">2026-09-03T07:11:33Z</dcterms:modified>
</cp:coreProperties>
</file>